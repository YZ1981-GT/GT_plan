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3.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底稿目录" sheetId="1" state="visible" r:id="rId1"/>
    <sheet xmlns:r="http://schemas.openxmlformats.org/officeDocument/2006/relationships" name="营业收入审计程序表D4A" sheetId="2" state="visible" r:id="rId2"/>
    <sheet xmlns:r="http://schemas.openxmlformats.org/officeDocument/2006/relationships" name="营业收入审定表D4-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主营业务收入明细表D4-2" sheetId="6" state="visible" r:id="rId6"/>
    <sheet xmlns:r="http://schemas.openxmlformats.org/officeDocument/2006/relationships" name="其他业务收入明细表D4-3" sheetId="7" state="visible" r:id="rId7"/>
    <sheet xmlns:r="http://schemas.openxmlformats.org/officeDocument/2006/relationships" name="营业收入调整分录汇总D4-4" sheetId="8" state="visible" r:id="rId8"/>
    <sheet xmlns:r="http://schemas.openxmlformats.org/officeDocument/2006/relationships" name="营业收入会计政策检查D4-5" sheetId="9" state="visible" r:id="rId9"/>
    <sheet xmlns:r="http://schemas.openxmlformats.org/officeDocument/2006/relationships" name="底稿目录 (2)" sheetId="10" state="visible" r:id="rId10"/>
    <sheet xmlns:r="http://schemas.openxmlformats.org/officeDocument/2006/relationships" name="重要指标分析D4-6" sheetId="11" state="visible" r:id="rId11"/>
    <sheet xmlns:r="http://schemas.openxmlformats.org/officeDocument/2006/relationships" name="毛利率分析表D4-7" sheetId="12" state="visible" r:id="rId12"/>
    <sheet xmlns:r="http://schemas.openxmlformats.org/officeDocument/2006/relationships" name="重要产品毛利分析D4-8" sheetId="13" state="visible" r:id="rId13"/>
    <sheet xmlns:r="http://schemas.openxmlformats.org/officeDocument/2006/relationships" name="重要客户结构分析D4-9" sheetId="14" state="visible" r:id="rId14"/>
    <sheet xmlns:r="http://schemas.openxmlformats.org/officeDocument/2006/relationships" name="重要客户销售价格分析D4-10" sheetId="15" state="visible" r:id="rId15"/>
    <sheet xmlns:r="http://schemas.openxmlformats.org/officeDocument/2006/relationships" name="产品销售价格分析D4-11" sheetId="16" state="visible" r:id="rId16"/>
    <sheet xmlns:r="http://schemas.openxmlformats.org/officeDocument/2006/relationships" name="合同检查表D4-12" sheetId="17" state="visible" r:id="rId17"/>
    <sheet xmlns:r="http://schemas.openxmlformats.org/officeDocument/2006/relationships" name="底稿目录 (3)" sheetId="18" state="visible" r:id="rId18"/>
    <sheet xmlns:r="http://schemas.openxmlformats.org/officeDocument/2006/relationships" name="营业收入账面金额与ERP系统核对记录D4-13" sheetId="19" state="visible" r:id="rId19"/>
    <sheet xmlns:r="http://schemas.openxmlformats.org/officeDocument/2006/relationships" name="营业收入发生检查表D4-14" sheetId="20" state="visible" r:id="rId20"/>
    <sheet xmlns:r="http://schemas.openxmlformats.org/officeDocument/2006/relationships" name="营业收入完整性检查表D4-15" sheetId="21" state="visible" r:id="rId21"/>
    <sheet xmlns:r="http://schemas.openxmlformats.org/officeDocument/2006/relationships" name="出口收入电子口岸系统核对D4-16" sheetId="22" state="visible" r:id="rId22"/>
    <sheet xmlns:r="http://schemas.openxmlformats.org/officeDocument/2006/relationships" name="营业收入截止测试（账到单据）D4-17" sheetId="23" state="visible" r:id="rId23"/>
    <sheet xmlns:r="http://schemas.openxmlformats.org/officeDocument/2006/relationships" name="营业收入截止测试（单据到账）D4-18" sheetId="24" state="visible" r:id="rId24"/>
    <sheet xmlns:r="http://schemas.openxmlformats.org/officeDocument/2006/relationships" name="销售折扣与折让检查D4-19" sheetId="25" state="visible" r:id="rId25"/>
    <sheet xmlns:r="http://schemas.openxmlformats.org/officeDocument/2006/relationships" name="销售退货检查表 D4-20" sheetId="26" state="visible" r:id="rId26"/>
    <sheet xmlns:r="http://schemas.openxmlformats.org/officeDocument/2006/relationships" name="关联方销售情况及价格分析D4-21" sheetId="27" state="visible" r:id="rId27"/>
    <sheet xmlns:r="http://schemas.openxmlformats.org/officeDocument/2006/relationships" name="底稿目录 (4)" sheetId="28" state="visible" r:id="rId28"/>
    <sheet xmlns:r="http://schemas.openxmlformats.org/officeDocument/2006/relationships" name="程序表D4-22A" sheetId="29" state="visible" r:id="rId29"/>
    <sheet xmlns:r="http://schemas.openxmlformats.org/officeDocument/2006/relationships" name="重要指标分析表D4-22" sheetId="30" state="visible" r:id="rId30"/>
    <sheet xmlns:r="http://schemas.openxmlformats.org/officeDocument/2006/relationships" name="收入与开具发票金额比较分析D4-23" sheetId="31" state="visible" r:id="rId31"/>
    <sheet xmlns:r="http://schemas.openxmlformats.org/officeDocument/2006/relationships" name="第三方回款检查D4-24" sheetId="32" state="visible" r:id="rId32"/>
    <sheet xmlns:r="http://schemas.openxmlformats.org/officeDocument/2006/relationships" name="经销商检查D4-25" sheetId="33" state="visible" r:id="rId33"/>
    <sheet xmlns:r="http://schemas.openxmlformats.org/officeDocument/2006/relationships" name="境外销售收入检查D4-26" sheetId="34" state="visible" r:id="rId34"/>
    <sheet xmlns:r="http://schemas.openxmlformats.org/officeDocument/2006/relationships" name="识别未披露的关联方D4-27" sheetId="35" state="visible" r:id="rId35"/>
    <sheet xmlns:r="http://schemas.openxmlformats.org/officeDocument/2006/relationships" name="客户信息核查清单D4-28" sheetId="36" state="visible" r:id="rId36"/>
    <sheet xmlns:r="http://schemas.openxmlformats.org/officeDocument/2006/relationships" name="客户信息检查表D4-29" sheetId="37" state="visible" r:id="rId37"/>
    <sheet xmlns:r="http://schemas.openxmlformats.org/officeDocument/2006/relationships" name="客户访谈记录汇总表D4-30" sheetId="38" state="visible" r:id="rId38"/>
    <sheet xmlns:r="http://schemas.openxmlformats.org/officeDocument/2006/relationships" name="客户访谈记录 D4-31" sheetId="39" state="visible" r:id="rId39"/>
    <sheet xmlns:r="http://schemas.openxmlformats.org/officeDocument/2006/relationships" name="访谈记录与核对示例" sheetId="40" state="visible" r:id="rId40"/>
    <sheet xmlns:r="http://schemas.openxmlformats.org/officeDocument/2006/relationships" name="客户、供应商等资金流水检查D4-32" sheetId="41" state="visible" r:id="rId41"/>
    <sheet xmlns:r="http://schemas.openxmlformats.org/officeDocument/2006/relationships" name="底稿目录 (5)" sheetId="42" state="visible" r:id="rId42"/>
    <sheet xmlns:r="http://schemas.openxmlformats.org/officeDocument/2006/relationships" name="其他业务毛利率分析表D4-33" sheetId="43" state="visible" r:id="rId43"/>
    <sheet xmlns:r="http://schemas.openxmlformats.org/officeDocument/2006/relationships" name="其他业务收入合同测算表D4-34" sheetId="44" state="visible" r:id="rId44"/>
    <sheet xmlns:r="http://schemas.openxmlformats.org/officeDocument/2006/relationships" name="其他业务收入检查表D4-35" sheetId="45" state="visible" r:id="rId45"/>
    <sheet xmlns:r="http://schemas.openxmlformats.org/officeDocument/2006/relationships" name="其他业务收入截止性测试D4-36" sheetId="46" state="visible" r:id="rId46"/>
  </sheets>
  <definedNames>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SD" hidden="1">#REF!</definedName>
    <definedName name="L" hidden="1">{#N/A,#N/A,FALSE,"BBPREP"}</definedName>
    <definedName name="RDES" hidden="1">#REF!</definedName>
    <definedName name="s" hidden="1">{#N/A,#N/A,FALSE,"BBPREP"}</definedName>
    <definedName name="t" hidden="1">{#N/A,#N/A,FALSE,"BBPREP"}</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3"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底稿目录" hidden="1">#REF!</definedName>
    <definedName name="去" hidden="1">#REF!</definedName>
    <definedName name="新目录" hidden="1">#REF!</definedName>
    <definedName name="SAPBEXrevision" hidden="1">1</definedName>
    <definedName name="SAPBEXsysID" hidden="1">"PE4"</definedName>
    <definedName name="SAPBEXwbID" hidden="1">"3Q4R7W3VD66V3CXTGQHGIRCBE"</definedName>
    <definedName name="gg" hidden="1">{#N/A,#N/A,FALSE,"BBPREP"}</definedName>
    <definedName name="发的撒发" hidden="1">{#N/A,#N/A,FALSE,"BBPREP"}</definedName>
    <definedName name="Z_47D4C474_81EA_4562_A03B_66488F80C527_.wvu.FilterData" hidden="1">#REF!</definedName>
    <definedName name="Z_85E7D15F_9559_4B54_A2EE_DCCECE011EC4_.wvu.Cols" hidden="1">#REF!</definedName>
    <definedName name="b" hidden="1">#REF!</definedName>
    <definedName name="AFV" localSheetId="1" hidden="1">#REF!</definedName>
    <definedName name="b" localSheetId="1" hidden="1">#REF!</definedName>
    <definedName name="bs" localSheetId="1" hidden="1">{#N/A,#N/A,FALSE,"BBPREP"}</definedName>
    <definedName name="bs_1" localSheetId="1" hidden="1">{#N/A,#N/A,FALSE,"BBPREP"}</definedName>
    <definedName name="FASD" localSheetId="1" hidden="1">#REF!</definedName>
    <definedName name="XREF_COLUMN_1" localSheetId="1" hidden="1">#REF!</definedName>
    <definedName name="XREF_COLUMN_3" localSheetId="1" hidden="1">#REF!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底稿目录" localSheetId="1" hidden="1">#REF!</definedName>
    <definedName name="新目录" localSheetId="1" hidden="1">#REF!</definedName>
    <definedName name="_xlnm.Print_Titles" localSheetId="1">'营业收入审计程序表D4A'!$15:$16</definedName>
    <definedName name="_xlnm.Print_Area" localSheetId="1">'营业收入审计程序表D4A'!$A$1:$J$39</definedName>
    <definedName name="_xlnm.Print_Area" localSheetId="2">'营业收入审定表D4-1'!$A$1:$I$37</definedName>
    <definedName name="_xlnm.Print_Area" localSheetId="3">'附注披露信息（上市公司）'!$A$1:$I$88</definedName>
    <definedName name="_xlnm.Print_Area" localSheetId="4">'附注披露信息（国企）'!$A$1:$I$74</definedName>
    <definedName name="_xlnm.Print_Area" localSheetId="5">'主营业务收入明细表D4-2'!$A$1:$V$31</definedName>
    <definedName name="AFV" localSheetId="6" hidden="1">#REF!</definedName>
    <definedName name="b" localSheetId="6" hidden="1">#REF!</definedName>
    <definedName name="bs" localSheetId="6" hidden="1">{#N/A,#N/A,FALSE,"BBPREP"}</definedName>
    <definedName name="bs_1" localSheetId="6" hidden="1">{#N/A,#N/A,FALSE,"BBPREP"}</definedName>
    <definedName name="CCD" localSheetId="6" hidden="1">#REF!</definedName>
    <definedName name="CDE" localSheetId="6" hidden="1">#REF!</definedName>
    <definedName name="DEX" localSheetId="6" hidden="1">#REF!</definedName>
    <definedName name="EDC" localSheetId="6" hidden="1">#REF!</definedName>
    <definedName name="FASD" localSheetId="6" hidden="1">#REF!</definedName>
    <definedName name="RDES" localSheetId="6" hidden="1">#REF!</definedName>
    <definedName name="VFE" localSheetId="6" hidden="1">#REF!</definedName>
    <definedName name="XAP" localSheetId="6" hidden="1">#REF!</definedName>
    <definedName name="XAQ" localSheetId="6" hidden="1">#REF!</definedName>
    <definedName name="XCD" localSheetId="6" hidden="1">#REF!</definedName>
    <definedName name="XREF_COLUMN_1" localSheetId="6" hidden="1">#REF!</definedName>
    <definedName name="XREF_COLUMN_3" localSheetId="6" hidden="1">#REF!</definedName>
    <definedName name="XRefActiveRow" localSheetId="6" hidden="1">#REF!</definedName>
    <definedName name="XRefCopy1" localSheetId="6" hidden="1">#REF!</definedName>
    <definedName name="XRefCopy1Row" localSheetId="6" hidden="1">#REF!</definedName>
    <definedName name="XRefCopy2Row" localSheetId="6" hidden="1">#REF!</definedName>
    <definedName name="XRefPaste1" localSheetId="6" hidden="1">#REF!</definedName>
    <definedName name="XRefPaste1Row" localSheetId="6" hidden="1">#REF!</definedName>
    <definedName name="XRefPaste2" localSheetId="6" hidden="1">#REF!</definedName>
    <definedName name="XRefPaste2Row" localSheetId="6" hidden="1">#REF!</definedName>
    <definedName name="XRefPaste3" localSheetId="6" hidden="1">#REF!</definedName>
    <definedName name="XRefPaste3Row" localSheetId="6" hidden="1">#REF!</definedName>
    <definedName name="底稿目录" localSheetId="6" hidden="1">#REF!</definedName>
    <definedName name="去" localSheetId="6" hidden="1">#REF!</definedName>
    <definedName name="新目录" localSheetId="6" hidden="1">#REF!</definedName>
    <definedName name="_xlnm.Print_Area" localSheetId="6">'其他业务收入明细表D4-3'!$A$1:$N$28</definedName>
    <definedName name="_xlnm.Print_Area" localSheetId="7">'营业收入调整分录汇总D4-4'!$A$1:$J$20</definedName>
    <definedName name="_xlnm.Print_Area" localSheetId="8">'营业收入会计政策检查D4-5'!$A$1:$E$57</definedName>
    <definedName name="_xlnm.Print_Area" localSheetId="10">'重要指标分析D4-6'!$A$1:$H$29</definedName>
    <definedName name="_xlnm.Print_Titles" localSheetId="11">'毛利率分析表D4-7'!$1:$4</definedName>
    <definedName name="_xlnm.Print_Area" localSheetId="11">'毛利率分析表D4-7'!$A$1:$W$31</definedName>
    <definedName name="_xlnm.Print_Area" localSheetId="12">'重要产品毛利分析D4-8'!$A$1:$X$39</definedName>
    <definedName name="_xlnm.Print_Area" localSheetId="13">'重要客户结构分析D4-9'!$A$1:$G$45</definedName>
    <definedName name="_xlnm.Print_Area" localSheetId="14">'重要客户销售价格分析D4-10'!$A$1:$N$39</definedName>
    <definedName name="_xlnm.Print_Area" localSheetId="15">'产品销售价格分析D4-11'!$A$1:$O$26</definedName>
    <definedName name="AFV" localSheetId="16" hidden="1">#REF!</definedName>
    <definedName name="bs" localSheetId="16" hidden="1">{#N/A,#N/A,FALSE,"BBPREP"}</definedName>
    <definedName name="bs_1" localSheetId="16" hidden="1">{#N/A,#N/A,FALSE,"BBPREP"}</definedName>
    <definedName name="CCD" localSheetId="16" hidden="1">#REF!</definedName>
    <definedName name="CDE" localSheetId="16" hidden="1">#REF!</definedName>
    <definedName name="DEX" localSheetId="16" hidden="1">#REF!</definedName>
    <definedName name="EDC" localSheetId="16" hidden="1">#REF!</definedName>
    <definedName name="FASD" localSheetId="16" hidden="1">#REF!</definedName>
    <definedName name="L" localSheetId="16" hidden="1">{#N/A,#N/A,FALSE,"BBPREP"}</definedName>
    <definedName name="RDES" localSheetId="16" hidden="1">#REF!</definedName>
    <definedName name="s" localSheetId="16" hidden="1">{#N/A,#N/A,FALSE,"BBPREP"}</definedName>
    <definedName name="t" localSheetId="16" hidden="1">{#N/A,#N/A,FALSE,"BBPREP"}</definedName>
    <definedName name="VFE" localSheetId="16" hidden="1">#REF!</definedName>
    <definedName name="XAP" localSheetId="16" hidden="1">#REF!</definedName>
    <definedName name="XAQ" localSheetId="16" hidden="1">#REF!</definedName>
    <definedName name="XCD" localSheetId="16" hidden="1">#REF!</definedName>
    <definedName name="XREF_COLUMN_1" localSheetId="16" hidden="1">#REF!</definedName>
    <definedName name="XREF_COLUMN_3" localSheetId="16" hidden="1">#REF!</definedName>
    <definedName name="XRefActiveRow" localSheetId="16" hidden="1">#REF!</definedName>
    <definedName name="XRefCopy1" localSheetId="16" hidden="1">#REF!</definedName>
    <definedName name="XRefCopy1Row" localSheetId="16" hidden="1">#REF!</definedName>
    <definedName name="XRefCopy2Row" localSheetId="16" hidden="1">#REF!</definedName>
    <definedName name="XRefPaste1" localSheetId="16" hidden="1">#REF!</definedName>
    <definedName name="XRefPaste1Row" localSheetId="16" hidden="1">#REF!</definedName>
    <definedName name="XRefPaste2" localSheetId="16" hidden="1">#REF!</definedName>
    <definedName name="XRefPaste2Row" localSheetId="16" hidden="1">#REF!</definedName>
    <definedName name="XRefPaste3" localSheetId="16" hidden="1">#REF!</definedName>
    <definedName name="XRefPaste3Row" localSheetId="16" hidden="1">#REF!</definedName>
    <definedName name="底稿目录" localSheetId="16" hidden="1">#REF!</definedName>
    <definedName name="去" localSheetId="16" hidden="1">#REF!</definedName>
    <definedName name="新目录" localSheetId="16" hidden="1">#REF!</definedName>
    <definedName name="_xlnm.Print_Area" localSheetId="16">'合同检查表D4-12'!$A$1:$K$37</definedName>
    <definedName name="AFV" localSheetId="17" hidden="1">#REF!</definedName>
    <definedName name="CCD" localSheetId="17" hidden="1">#REF!</definedName>
    <definedName name="CDE" localSheetId="17" hidden="1">#REF!</definedName>
    <definedName name="DEX" localSheetId="17" hidden="1">#REF!</definedName>
    <definedName name="EDC" localSheetId="17" hidden="1">#REF!</definedName>
    <definedName name="FASD" localSheetId="17" hidden="1">#REF!</definedName>
    <definedName name="RDES" localSheetId="17" hidden="1">#REF!</definedName>
    <definedName name="VFE" localSheetId="17" hidden="1">#REF!</definedName>
    <definedName name="XAP" localSheetId="17" hidden="1">#REF!</definedName>
    <definedName name="XAQ" localSheetId="17" hidden="1">#REF!</definedName>
    <definedName name="XCD" localSheetId="17" hidden="1">#REF!</definedName>
    <definedName name="XREF_COLUMN_1" localSheetId="17" hidden="1">#REF!</definedName>
    <definedName name="XREF_COLUMN_3" localSheetId="17" hidden="1">#REF!</definedName>
    <definedName name="XRefActiveRow" localSheetId="17" hidden="1">#REF!</definedName>
    <definedName name="XRefCopy1" localSheetId="17" hidden="1">#REF!</definedName>
    <definedName name="XRefCopy1Row" localSheetId="17" hidden="1">#REF!</definedName>
    <definedName name="XRefCopy2Row" localSheetId="17" hidden="1">#REF!</definedName>
    <definedName name="XRefPaste1" localSheetId="17" hidden="1">#REF!</definedName>
    <definedName name="XRefPaste1Row" localSheetId="17" hidden="1">#REF!</definedName>
    <definedName name="XRefPaste2" localSheetId="17" hidden="1">#REF!</definedName>
    <definedName name="XRefPaste2Row" localSheetId="17" hidden="1">#REF!</definedName>
    <definedName name="XRefPaste3" localSheetId="17" hidden="1">#REF!</definedName>
    <definedName name="XRefPaste3Row" localSheetId="17" hidden="1">#REF!</definedName>
    <definedName name="底稿目录" localSheetId="17" hidden="1">#REF!</definedName>
    <definedName name="去" localSheetId="17" hidden="1">#REF!</definedName>
    <definedName name="新目录" localSheetId="17" hidden="1">#REF!</definedName>
    <definedName name="AFV" localSheetId="18" hidden="1">#REF!</definedName>
    <definedName name="bs" localSheetId="18" hidden="1">{#N/A,#N/A,FALSE,"BBPREP"}</definedName>
    <definedName name="bs_1" localSheetId="18" hidden="1">{#N/A,#N/A,FALSE,"BBPREP"}</definedName>
    <definedName name="CCD" localSheetId="18" hidden="1">#REF!</definedName>
    <definedName name="CDE" localSheetId="18" hidden="1">#REF!</definedName>
    <definedName name="DEX" localSheetId="18" hidden="1">#REF!</definedName>
    <definedName name="EDC" localSheetId="18" hidden="1">#REF!</definedName>
    <definedName name="FASD" localSheetId="18" hidden="1">#REF!</definedName>
    <definedName name="L" localSheetId="18" hidden="1">{#N/A,#N/A,FALSE,"BBPREP"}</definedName>
    <definedName name="RDES" localSheetId="18" hidden="1">#REF!</definedName>
    <definedName name="s" localSheetId="18" hidden="1">{#N/A,#N/A,FALSE,"BBPREP"}</definedName>
    <definedName name="t" localSheetId="18" hidden="1">{#N/A,#N/A,FALSE,"BBPREP"}</definedName>
    <definedName name="VFE" localSheetId="18" hidden="1">#REF!</definedName>
    <definedName name="XAP" localSheetId="18" hidden="1">#REF!</definedName>
    <definedName name="XAQ" localSheetId="18" hidden="1">#REF!</definedName>
    <definedName name="XCD" localSheetId="18" hidden="1">#REF!</definedName>
    <definedName name="XREF_COLUMN_1" localSheetId="18" hidden="1">#REF!</definedName>
    <definedName name="XREF_COLUMN_3" localSheetId="18" hidden="1">#REF!</definedName>
    <definedName name="XRefActiveRow" localSheetId="18" hidden="1">#REF!</definedName>
    <definedName name="XRefCopy1" localSheetId="18" hidden="1">#REF!</definedName>
    <definedName name="XRefCopy1Row" localSheetId="18" hidden="1">#REF!</definedName>
    <definedName name="XRefCopy2Row" localSheetId="18" hidden="1">#REF!</definedName>
    <definedName name="XRefPaste1" localSheetId="18" hidden="1">#REF!</definedName>
    <definedName name="XRefPaste1Row" localSheetId="18" hidden="1">#REF!</definedName>
    <definedName name="XRefPaste2" localSheetId="18" hidden="1">#REF!</definedName>
    <definedName name="XRefPaste2Row" localSheetId="18" hidden="1">#REF!</definedName>
    <definedName name="XRefPaste3" localSheetId="18" hidden="1">#REF!</definedName>
    <definedName name="XRefPaste3Row" localSheetId="18" hidden="1">#REF!</definedName>
    <definedName name="底稿目录" localSheetId="18" hidden="1">#REF!</definedName>
    <definedName name="去" localSheetId="18" hidden="1">#REF!</definedName>
    <definedName name="新目录" localSheetId="18" hidden="1">#REF!</definedName>
    <definedName name="_xlnm.Print_Area" localSheetId="18">'营业收入账面金额与ERP系统核对记录D4-13'!$A$1:$E$18</definedName>
    <definedName name="AFV" localSheetId="19" hidden="1">#REF!</definedName>
    <definedName name="CCD" localSheetId="19" hidden="1">#REF!</definedName>
    <definedName name="CDE" localSheetId="19" hidden="1">#REF!</definedName>
    <definedName name="DEX" localSheetId="19" hidden="1">#REF!</definedName>
    <definedName name="EDC" localSheetId="19" hidden="1">#REF!</definedName>
    <definedName name="FASD" localSheetId="19" hidden="1">#REF!</definedName>
    <definedName name="RDES" localSheetId="19" hidden="1">#REF!</definedName>
    <definedName name="VFE" localSheetId="19" hidden="1">#REF!</definedName>
    <definedName name="XAP" localSheetId="19" hidden="1">#REF!</definedName>
    <definedName name="XAQ" localSheetId="19" hidden="1">#REF!</definedName>
    <definedName name="XCD" localSheetId="19" hidden="1">#REF!</definedName>
    <definedName name="XREF_COLUMN_1" localSheetId="19" hidden="1">#REF!</definedName>
    <definedName name="XREF_COLUMN_3" localSheetId="19" hidden="1">#REF!</definedName>
    <definedName name="XRefActiveRow" localSheetId="19" hidden="1">#REF!</definedName>
    <definedName name="XRefCopy1" localSheetId="19" hidden="1">#REF!</definedName>
    <definedName name="XRefCopy1Row" localSheetId="19" hidden="1">#REF!</definedName>
    <definedName name="XRefCopy2Row" localSheetId="19" hidden="1">#REF!</definedName>
    <definedName name="XRefPaste1" localSheetId="19" hidden="1">#REF!</definedName>
    <definedName name="XRefPaste1Row" localSheetId="19" hidden="1">#REF!</definedName>
    <definedName name="XRefPaste2" localSheetId="19" hidden="1">#REF!</definedName>
    <definedName name="XRefPaste2Row" localSheetId="19" hidden="1">#REF!</definedName>
    <definedName name="XRefPaste3" localSheetId="19" hidden="1">#REF!</definedName>
    <definedName name="XRefPaste3Row" localSheetId="19" hidden="1">#REF!</definedName>
    <definedName name="底稿目录" localSheetId="19" hidden="1">#REF!</definedName>
    <definedName name="去" localSheetId="19" hidden="1">#REF!</definedName>
    <definedName name="新目录" localSheetId="19" hidden="1">#REF!</definedName>
    <definedName name="_xlnm.Print_Area" localSheetId="19">'营业收入发生检查表D4-14'!$A$1:$AK$47</definedName>
    <definedName name="AFV" localSheetId="20" hidden="1">#REF!</definedName>
    <definedName name="CCD" localSheetId="20" hidden="1">#REF!</definedName>
    <definedName name="CDE" localSheetId="20" hidden="1">#REF!</definedName>
    <definedName name="DEX" localSheetId="20" hidden="1">#REF!</definedName>
    <definedName name="EDC" localSheetId="20" hidden="1">#REF!</definedName>
    <definedName name="FASD" localSheetId="20" hidden="1">#REF!</definedName>
    <definedName name="RDES" localSheetId="20" hidden="1">#REF!</definedName>
    <definedName name="VFE" localSheetId="20" hidden="1">#REF!</definedName>
    <definedName name="XAP" localSheetId="20" hidden="1">#REF!</definedName>
    <definedName name="XAQ" localSheetId="20" hidden="1">#REF!</definedName>
    <definedName name="XCD" localSheetId="20" hidden="1">#REF!</definedName>
    <definedName name="XREF_COLUMN_1" localSheetId="20" hidden="1">#REF!</definedName>
    <definedName name="XREF_COLUMN_3" localSheetId="20" hidden="1">#REF!</definedName>
    <definedName name="XRefActiveRow" localSheetId="20" hidden="1">#REF!</definedName>
    <definedName name="XRefCopy1" localSheetId="20" hidden="1">#REF!</definedName>
    <definedName name="XRefCopy1Row" localSheetId="20" hidden="1">#REF!</definedName>
    <definedName name="XRefCopy2Row" localSheetId="20" hidden="1">#REF!</definedName>
    <definedName name="XRefPaste1" localSheetId="20" hidden="1">#REF!</definedName>
    <definedName name="XRefPaste1Row" localSheetId="20" hidden="1">#REF!</definedName>
    <definedName name="XRefPaste2" localSheetId="20" hidden="1">#REF!</definedName>
    <definedName name="XRefPaste2Row" localSheetId="20" hidden="1">#REF!</definedName>
    <definedName name="XRefPaste3" localSheetId="20" hidden="1">#REF!</definedName>
    <definedName name="XRefPaste3Row" localSheetId="20" hidden="1">#REF!</definedName>
    <definedName name="底稿目录" localSheetId="20" hidden="1">#REF!</definedName>
    <definedName name="去" localSheetId="20" hidden="1">#REF!</definedName>
    <definedName name="新目录" localSheetId="20" hidden="1">#REF!</definedName>
    <definedName name="_xlnm.Print_Area" localSheetId="20">'营业收入完整性检查表D4-15'!$A$1:$Q$31</definedName>
    <definedName name="AFV" localSheetId="21" hidden="1">#REF!</definedName>
    <definedName name="CCD" localSheetId="21" hidden="1">#REF!</definedName>
    <definedName name="CDE" localSheetId="21" hidden="1">#REF!</definedName>
    <definedName name="DEX" localSheetId="21" hidden="1">#REF!</definedName>
    <definedName name="EDC" localSheetId="21" hidden="1">#REF!</definedName>
    <definedName name="FASD" localSheetId="21" hidden="1">#REF!</definedName>
    <definedName name="RDES" localSheetId="21" hidden="1">#REF!</definedName>
    <definedName name="VFE" localSheetId="21" hidden="1">#REF!</definedName>
    <definedName name="XAP" localSheetId="21" hidden="1">#REF!</definedName>
    <definedName name="XAQ" localSheetId="21" hidden="1">#REF!</definedName>
    <definedName name="XCD" localSheetId="21" hidden="1">#REF!</definedName>
    <definedName name="XREF_COLUMN_1" localSheetId="21" hidden="1">#REF!</definedName>
    <definedName name="XREF_COLUMN_3" localSheetId="21" hidden="1">#REF!</definedName>
    <definedName name="XRefActiveRow" localSheetId="21" hidden="1">#REF!</definedName>
    <definedName name="XRefCopy1" localSheetId="21" hidden="1">#REF!</definedName>
    <definedName name="XRefCopy1Row" localSheetId="21" hidden="1">#REF!</definedName>
    <definedName name="XRefCopy2Row" localSheetId="21" hidden="1">#REF!</definedName>
    <definedName name="XRefPaste1" localSheetId="21" hidden="1">#REF!</definedName>
    <definedName name="XRefPaste1Row" localSheetId="21" hidden="1">#REF!</definedName>
    <definedName name="XRefPaste2" localSheetId="21" hidden="1">#REF!</definedName>
    <definedName name="XRefPaste2Row" localSheetId="21" hidden="1">#REF!</definedName>
    <definedName name="XRefPaste3" localSheetId="21" hidden="1">#REF!</definedName>
    <definedName name="XRefPaste3Row" localSheetId="21" hidden="1">#REF!</definedName>
    <definedName name="底稿目录" localSheetId="21" hidden="1">#REF!</definedName>
    <definedName name="去" localSheetId="21" hidden="1">#REF!</definedName>
    <definedName name="新目录" localSheetId="21" hidden="1">#REF!</definedName>
    <definedName name="_xlnm.Print_Area" localSheetId="21">'出口收入电子口岸系统核对D4-16'!$A$1:$K$21</definedName>
    <definedName name="AFV" localSheetId="22" hidden="1">#REF!</definedName>
    <definedName name="CCD" localSheetId="22" hidden="1">#REF!</definedName>
    <definedName name="CDE" localSheetId="22" hidden="1">#REF!</definedName>
    <definedName name="DEX" localSheetId="22" hidden="1">#REF!</definedName>
    <definedName name="EDC" localSheetId="22" hidden="1">#REF!</definedName>
    <definedName name="FASD" localSheetId="22" hidden="1">#REF!</definedName>
    <definedName name="RDES" localSheetId="22" hidden="1">#REF!</definedName>
    <definedName name="VFE" localSheetId="22" hidden="1">#REF!</definedName>
    <definedName name="XAP" localSheetId="22" hidden="1">#REF!</definedName>
    <definedName name="XAQ" localSheetId="22" hidden="1">#REF!</definedName>
    <definedName name="XCD" localSheetId="22" hidden="1">#REF!</definedName>
    <definedName name="XREF_COLUMN_1" localSheetId="22" hidden="1">#REF!</definedName>
    <definedName name="XREF_COLUMN_3" localSheetId="22" hidden="1">#REF!</definedName>
    <definedName name="XRefActiveRow" localSheetId="22" hidden="1">#REF!</definedName>
    <definedName name="XRefCopy1" localSheetId="22" hidden="1">#REF!</definedName>
    <definedName name="XRefCopy1Row" localSheetId="22" hidden="1">#REF!</definedName>
    <definedName name="XRefCopy2Row" localSheetId="22" hidden="1">#REF!</definedName>
    <definedName name="XRefPaste1" localSheetId="22" hidden="1">#REF!</definedName>
    <definedName name="XRefPaste1Row" localSheetId="22" hidden="1">#REF!</definedName>
    <definedName name="XRefPaste2" localSheetId="22" hidden="1">#REF!</definedName>
    <definedName name="XRefPaste2Row" localSheetId="22" hidden="1">#REF!</definedName>
    <definedName name="XRefPaste3" localSheetId="22" hidden="1">#REF!</definedName>
    <definedName name="XRefPaste3Row" localSheetId="22" hidden="1">#REF!</definedName>
    <definedName name="Z_110E17E1_2BDE_11D8_A6E1_00D009A73964_.wvu.PrintArea" localSheetId="22" hidden="1">'营业收入截止测试（账到单据）D4-17'!$A$1:$K$9</definedName>
    <definedName name="Z_414F4590_4A74_4CEA_9FEB_C62076447B62_.wvu.PrintArea" localSheetId="22" hidden="1">'营业收入截止测试（账到单据）D4-17'!$A$1:$K$9</definedName>
    <definedName name="Z_80FEA70C_6BD1_442C_8680_7065F5D1BB65_.wvu.PrintArea" localSheetId="22" hidden="1">'营业收入截止测试（账到单据）D4-17'!$A$1:$K$9</definedName>
    <definedName name="底稿目录" localSheetId="22" hidden="1">#REF!</definedName>
    <definedName name="去" localSheetId="22" hidden="1">#REF!</definedName>
    <definedName name="新目录" localSheetId="22" hidden="1">#REF!</definedName>
    <definedName name="_xlnm.Print_Area" localSheetId="22">'营业收入截止测试（账到单据）D4-17'!$A$1:$K$41</definedName>
    <definedName name="AFV" localSheetId="23" hidden="1">#REF!</definedName>
    <definedName name="CCD" localSheetId="23" hidden="1">#REF!</definedName>
    <definedName name="CDE" localSheetId="23" hidden="1">#REF!</definedName>
    <definedName name="DEX" localSheetId="23" hidden="1">#REF!</definedName>
    <definedName name="EDC" localSheetId="23" hidden="1">#REF!</definedName>
    <definedName name="FASD" localSheetId="23" hidden="1">#REF!</definedName>
    <definedName name="RDES" localSheetId="23" hidden="1">#REF!</definedName>
    <definedName name="VFE" localSheetId="23" hidden="1">#REF!</definedName>
    <definedName name="XAP" localSheetId="23" hidden="1">#REF!</definedName>
    <definedName name="XAQ" localSheetId="23" hidden="1">#REF!</definedName>
    <definedName name="XCD" localSheetId="23" hidden="1">#REF!</definedName>
    <definedName name="XREF_COLUMN_1" localSheetId="23" hidden="1">#REF!</definedName>
    <definedName name="XREF_COLUMN_3" localSheetId="23" hidden="1">#REF!</definedName>
    <definedName name="XRefActiveRow" localSheetId="23" hidden="1">#REF!</definedName>
    <definedName name="XRefCopy1" localSheetId="23" hidden="1">#REF!</definedName>
    <definedName name="XRefCopy1Row" localSheetId="23" hidden="1">#REF!</definedName>
    <definedName name="XRefCopy2Row" localSheetId="23" hidden="1">#REF!</definedName>
    <definedName name="XRefPaste1" localSheetId="23" hidden="1">#REF!</definedName>
    <definedName name="XRefPaste1Row" localSheetId="23" hidden="1">#REF!</definedName>
    <definedName name="XRefPaste2" localSheetId="23" hidden="1">#REF!</definedName>
    <definedName name="XRefPaste2Row" localSheetId="23" hidden="1">#REF!</definedName>
    <definedName name="XRefPaste3" localSheetId="23" hidden="1">#REF!</definedName>
    <definedName name="XRefPaste3Row" localSheetId="23" hidden="1">#REF!</definedName>
    <definedName name="Z_110E17E1_2BDE_11D8_A6E1_00D009A73964_.wvu.PrintArea" localSheetId="23" hidden="1">'营业收入截止测试（单据到账）D4-18'!$A$1:$K$35</definedName>
    <definedName name="Z_414F4590_4A74_4CEA_9FEB_C62076447B62_.wvu.PrintArea" localSheetId="23" hidden="1">'营业收入截止测试（单据到账）D4-18'!$A$1:$K$35</definedName>
    <definedName name="Z_80FEA70C_6BD1_442C_8680_7065F5D1BB65_.wvu.PrintArea" localSheetId="23" hidden="1">'营业收入截止测试（单据到账）D4-18'!$A$1:$K$35</definedName>
    <definedName name="底稿目录" localSheetId="23" hidden="1">#REF!</definedName>
    <definedName name="去" localSheetId="23" hidden="1">#REF!</definedName>
    <definedName name="新目录" localSheetId="23" hidden="1">#REF!</definedName>
    <definedName name="_xlnm.Print_Area" localSheetId="23">'营业收入截止测试（单据到账）D4-18'!$A$1:$K$41</definedName>
    <definedName name="AFV" localSheetId="24" hidden="1">#REF!</definedName>
    <definedName name="CCD" localSheetId="24" hidden="1">#REF!</definedName>
    <definedName name="CDE" localSheetId="24" hidden="1">#REF!</definedName>
    <definedName name="DEX" localSheetId="24" hidden="1">#REF!</definedName>
    <definedName name="EDC" localSheetId="24" hidden="1">#REF!</definedName>
    <definedName name="FASD" localSheetId="24" hidden="1">#REF!</definedName>
    <definedName name="RDES" localSheetId="24" hidden="1">#REF!</definedName>
    <definedName name="VFE" localSheetId="24" hidden="1">#REF!</definedName>
    <definedName name="XAP" localSheetId="24" hidden="1">#REF!</definedName>
    <definedName name="XAQ" localSheetId="24" hidden="1">#REF!</definedName>
    <definedName name="XCD" localSheetId="24" hidden="1">#REF!</definedName>
    <definedName name="XREF_COLUMN_1" localSheetId="24" hidden="1">#REF!</definedName>
    <definedName name="XREF_COLUMN_3" localSheetId="24" hidden="1">#REF!</definedName>
    <definedName name="XRefActiveRow" localSheetId="24" hidden="1">#REF!</definedName>
    <definedName name="XRefCopy1" localSheetId="24" hidden="1">#REF!</definedName>
    <definedName name="XRefCopy1Row" localSheetId="24" hidden="1">#REF!</definedName>
    <definedName name="XRefCopy2Row" localSheetId="24" hidden="1">#REF!</definedName>
    <definedName name="XRefPaste1" localSheetId="24" hidden="1">#REF!</definedName>
    <definedName name="XRefPaste1Row" localSheetId="24" hidden="1">#REF!</definedName>
    <definedName name="XRefPaste2" localSheetId="24" hidden="1">#REF!</definedName>
    <definedName name="XRefPaste2Row" localSheetId="24" hidden="1">#REF!</definedName>
    <definedName name="XRefPaste3" localSheetId="24" hidden="1">#REF!</definedName>
    <definedName name="XRefPaste3Row" localSheetId="24" hidden="1">#REF!</definedName>
    <definedName name="底稿目录" localSheetId="24" hidden="1">#REF!</definedName>
    <definedName name="去" localSheetId="24" hidden="1">#REF!</definedName>
    <definedName name="新目录" localSheetId="24" hidden="1">#REF!</definedName>
    <definedName name="_xlnm.Print_Area" localSheetId="24">'销售折扣与折让检查D4-19'!$A$1:$O$29</definedName>
    <definedName name="AFV" localSheetId="25" hidden="1">#REF!</definedName>
    <definedName name="CCD" localSheetId="25" hidden="1">#REF!</definedName>
    <definedName name="CDE" localSheetId="25" hidden="1">#REF!</definedName>
    <definedName name="DEX" localSheetId="25" hidden="1">#REF!</definedName>
    <definedName name="EDC" localSheetId="25" hidden="1">#REF!</definedName>
    <definedName name="FASD" localSheetId="25" hidden="1">#REF!</definedName>
    <definedName name="RDES" localSheetId="25" hidden="1">#REF!</definedName>
    <definedName name="VFE" localSheetId="25" hidden="1">#REF!</definedName>
    <definedName name="XAP" localSheetId="25" hidden="1">#REF!</definedName>
    <definedName name="XAQ" localSheetId="25" hidden="1">#REF!</definedName>
    <definedName name="XCD" localSheetId="25" hidden="1">#REF!</definedName>
    <definedName name="XREF_COLUMN_1" localSheetId="25" hidden="1">#REF!</definedName>
    <definedName name="XREF_COLUMN_3" localSheetId="25" hidden="1">#REF!</definedName>
    <definedName name="XRefActiveRow" localSheetId="25" hidden="1">#REF!</definedName>
    <definedName name="XRefCopy1" localSheetId="25" hidden="1">#REF!</definedName>
    <definedName name="XRefCopy1Row" localSheetId="25" hidden="1">#REF!</definedName>
    <definedName name="XRefCopy2Row" localSheetId="25" hidden="1">#REF!</definedName>
    <definedName name="XRefPaste1" localSheetId="25" hidden="1">#REF!</definedName>
    <definedName name="XRefPaste1Row" localSheetId="25" hidden="1">#REF!</definedName>
    <definedName name="XRefPaste2" localSheetId="25" hidden="1">#REF!</definedName>
    <definedName name="XRefPaste2Row" localSheetId="25" hidden="1">#REF!</definedName>
    <definedName name="XRefPaste3" localSheetId="25" hidden="1">#REF!</definedName>
    <definedName name="XRefPaste3Row" localSheetId="25" hidden="1">#REF!</definedName>
    <definedName name="底稿目录" localSheetId="25" hidden="1">#REF!</definedName>
    <definedName name="去" localSheetId="25" hidden="1">#REF!</definedName>
    <definedName name="新目录" localSheetId="25" hidden="1">#REF!</definedName>
    <definedName name="_xlnm.Print_Titles" localSheetId="25">'销售退货检查表 D4-20'!$1:$4</definedName>
    <definedName name="_xlnm.Print_Area" localSheetId="25">'销售退货检查表 D4-20'!$A$1:$O$54</definedName>
    <definedName name="AFV" localSheetId="26" hidden="1">#REF!</definedName>
    <definedName name="bs" localSheetId="26" hidden="1">{#N/A,#N/A,FALSE,"BBPREP"}</definedName>
    <definedName name="bs_1" localSheetId="26" hidden="1">{#N/A,#N/A,FALSE,"BBPREP"}</definedName>
    <definedName name="CCD" localSheetId="26" hidden="1">#REF!</definedName>
    <definedName name="CDE" localSheetId="26" hidden="1">#REF!</definedName>
    <definedName name="DEX" localSheetId="26" hidden="1">#REF!</definedName>
    <definedName name="EDC" localSheetId="26" hidden="1">#REF!</definedName>
    <definedName name="FASD" localSheetId="26" hidden="1">#REF!</definedName>
    <definedName name="L" localSheetId="26" hidden="1">{#N/A,#N/A,FALSE,"BBPREP"}</definedName>
    <definedName name="RDES" localSheetId="26" hidden="1">#REF!</definedName>
    <definedName name="s" localSheetId="26" hidden="1">{#N/A,#N/A,FALSE,"BBPREP"}</definedName>
    <definedName name="t" localSheetId="26" hidden="1">{#N/A,#N/A,FALSE,"BBPREP"}</definedName>
    <definedName name="VFE" localSheetId="26" hidden="1">#REF!</definedName>
    <definedName name="XAP" localSheetId="26" hidden="1">#REF!</definedName>
    <definedName name="XAQ" localSheetId="26" hidden="1">#REF!</definedName>
    <definedName name="XCD" localSheetId="26" hidden="1">#REF!</definedName>
    <definedName name="XREF_COLUMN_1" localSheetId="26" hidden="1">#REF!</definedName>
    <definedName name="XREF_COLUMN_3" localSheetId="26" hidden="1">#REF!</definedName>
    <definedName name="XRefActiveRow" localSheetId="26" hidden="1">#REF!</definedName>
    <definedName name="XRefCopy1" localSheetId="26" hidden="1">#REF!</definedName>
    <definedName name="XRefCopy1Row" localSheetId="26" hidden="1">#REF!</definedName>
    <definedName name="XRefCopy2Row" localSheetId="26" hidden="1">#REF!</definedName>
    <definedName name="XRefPaste1" localSheetId="26" hidden="1">#REF!</definedName>
    <definedName name="XRefPaste1Row" localSheetId="26" hidden="1">#REF!</definedName>
    <definedName name="XRefPaste2" localSheetId="26" hidden="1">#REF!</definedName>
    <definedName name="XRefPaste2Row" localSheetId="26" hidden="1">#REF!</definedName>
    <definedName name="XRefPaste3" localSheetId="26" hidden="1">#REF!</definedName>
    <definedName name="XRefPaste3Row" localSheetId="26" hidden="1">#REF!</definedName>
    <definedName name="底稿目录" localSheetId="26" hidden="1">#REF!</definedName>
    <definedName name="去" localSheetId="26" hidden="1">#REF!</definedName>
    <definedName name="新目录" localSheetId="26" hidden="1">#REF!</definedName>
    <definedName name="_xlnm.Print_Area" localSheetId="26">'关联方销售情况及价格分析D4-21'!$A$1:$N$35</definedName>
    <definedName name="AFV" localSheetId="27" hidden="1">#REF!</definedName>
    <definedName name="CCD" localSheetId="27" hidden="1">#REF!</definedName>
    <definedName name="CDE" localSheetId="27" hidden="1">#REF!</definedName>
    <definedName name="DEX" localSheetId="27" hidden="1">#REF!</definedName>
    <definedName name="EDC" localSheetId="27" hidden="1">#REF!</definedName>
    <definedName name="FASD" localSheetId="27" hidden="1">#REF!</definedName>
    <definedName name="RDES" localSheetId="27" hidden="1">#REF!</definedName>
    <definedName name="VFE" localSheetId="27" hidden="1">#REF!</definedName>
    <definedName name="XAP" localSheetId="27" hidden="1">#REF!</definedName>
    <definedName name="XAQ" localSheetId="27" hidden="1">#REF!</definedName>
    <definedName name="XCD" localSheetId="27" hidden="1">#REF!</definedName>
    <definedName name="XREF_COLUMN_1" localSheetId="27" hidden="1">#REF!</definedName>
    <definedName name="XREF_COLUMN_3" localSheetId="27" hidden="1">#REF!</definedName>
    <definedName name="XRefActiveRow" localSheetId="27" hidden="1">#REF!</definedName>
    <definedName name="XRefCopy1" localSheetId="27" hidden="1">#REF!</definedName>
    <definedName name="XRefCopy1Row" localSheetId="27" hidden="1">#REF!</definedName>
    <definedName name="XRefCopy2Row" localSheetId="27" hidden="1">#REF!</definedName>
    <definedName name="XRefPaste1" localSheetId="27" hidden="1">#REF!</definedName>
    <definedName name="XRefPaste1Row" localSheetId="27" hidden="1">#REF!</definedName>
    <definedName name="XRefPaste2" localSheetId="27" hidden="1">#REF!</definedName>
    <definedName name="XRefPaste2Row" localSheetId="27" hidden="1">#REF!</definedName>
    <definedName name="XRefPaste3" localSheetId="27" hidden="1">#REF!</definedName>
    <definedName name="XRefPaste3Row" localSheetId="27" hidden="1">#REF!</definedName>
    <definedName name="底稿目录" localSheetId="27" hidden="1">#REF!</definedName>
    <definedName name="去" localSheetId="27" hidden="1">#REF!</definedName>
    <definedName name="新目录" localSheetId="27" hidden="1">#REF!</definedName>
    <definedName name="AFV" localSheetId="28" hidden="1">#REF!</definedName>
    <definedName name="CCD" localSheetId="28" hidden="1">#REF!</definedName>
    <definedName name="CDE" localSheetId="28" hidden="1">#REF!</definedName>
    <definedName name="DEX" localSheetId="28" hidden="1">#REF!</definedName>
    <definedName name="EDC" localSheetId="28" hidden="1">#REF!</definedName>
    <definedName name="FASD" localSheetId="28" hidden="1">#REF!</definedName>
    <definedName name="RDES" localSheetId="28" hidden="1">#REF!</definedName>
    <definedName name="VFE" localSheetId="28" hidden="1">#REF!</definedName>
    <definedName name="XAP" localSheetId="28" hidden="1">#REF!</definedName>
    <definedName name="XAQ" localSheetId="28" hidden="1">#REF!</definedName>
    <definedName name="XCD" localSheetId="28" hidden="1">#REF!</definedName>
    <definedName name="XREF_COLUMN_1" localSheetId="28" hidden="1">#REF!</definedName>
    <definedName name="XREF_COLUMN_3" localSheetId="28" hidden="1">#REF!</definedName>
    <definedName name="XRefActiveRow" localSheetId="28" hidden="1">#REF!</definedName>
    <definedName name="XRefCopy1" localSheetId="28" hidden="1">#REF!</definedName>
    <definedName name="XRefCopy1Row" localSheetId="28" hidden="1">#REF!</definedName>
    <definedName name="XRefCopy2Row" localSheetId="28" hidden="1">#REF!</definedName>
    <definedName name="XRefPaste1" localSheetId="28" hidden="1">#REF!</definedName>
    <definedName name="XRefPaste1Row" localSheetId="28" hidden="1">#REF!</definedName>
    <definedName name="XRefPaste2" localSheetId="28" hidden="1">#REF!</definedName>
    <definedName name="XRefPaste2Row" localSheetId="28" hidden="1">#REF!</definedName>
    <definedName name="XRefPaste3" localSheetId="28" hidden="1">#REF!</definedName>
    <definedName name="XRefPaste3Row" localSheetId="28" hidden="1">#REF!</definedName>
    <definedName name="底稿目录" localSheetId="28" hidden="1">#REF!</definedName>
    <definedName name="去" localSheetId="28" hidden="1">#REF!</definedName>
    <definedName name="新目录" localSheetId="28" hidden="1">#REF!</definedName>
    <definedName name="_xlnm.Print_Titles" localSheetId="28">'程序表D4-22A'!$15:$16</definedName>
    <definedName name="_xlnm.Print_Area" localSheetId="28">'程序表D4-22A'!$A$1:$J$34</definedName>
    <definedName name="AFV" localSheetId="29" hidden="1">#REF!</definedName>
    <definedName name="CCD" localSheetId="29" hidden="1">#REF!</definedName>
    <definedName name="CDE" localSheetId="29" hidden="1">#REF!</definedName>
    <definedName name="DEX" localSheetId="29" hidden="1">#REF!</definedName>
    <definedName name="EDC" localSheetId="29" hidden="1">#REF!</definedName>
    <definedName name="FASD" localSheetId="29" hidden="1">#REF!</definedName>
    <definedName name="RDES" localSheetId="29" hidden="1">#REF!</definedName>
    <definedName name="VFE" localSheetId="29" hidden="1">#REF!</definedName>
    <definedName name="XAP" localSheetId="29" hidden="1">#REF!</definedName>
    <definedName name="XAQ" localSheetId="29" hidden="1">#REF!</definedName>
    <definedName name="XCD" localSheetId="29" hidden="1">#REF!</definedName>
    <definedName name="XREF_COLUMN_1" localSheetId="29" hidden="1">#REF!</definedName>
    <definedName name="XREF_COLUMN_3" localSheetId="29" hidden="1">#REF!</definedName>
    <definedName name="XRefActiveRow" localSheetId="29" hidden="1">#REF!</definedName>
    <definedName name="XRefCopy1" localSheetId="29" hidden="1">#REF!</definedName>
    <definedName name="XRefCopy1Row" localSheetId="29" hidden="1">#REF!</definedName>
    <definedName name="XRefCopy2Row" localSheetId="29" hidden="1">#REF!</definedName>
    <definedName name="XRefPaste1" localSheetId="29" hidden="1">#REF!</definedName>
    <definedName name="XRefPaste1Row" localSheetId="29" hidden="1">#REF!</definedName>
    <definedName name="XRefPaste2" localSheetId="29" hidden="1">#REF!</definedName>
    <definedName name="XRefPaste2Row" localSheetId="29" hidden="1">#REF!</definedName>
    <definedName name="XRefPaste3" localSheetId="29" hidden="1">#REF!</definedName>
    <definedName name="XRefPaste3Row" localSheetId="29" hidden="1">#REF!</definedName>
    <definedName name="底稿目录" localSheetId="29" hidden="1">#REF!</definedName>
    <definedName name="去" localSheetId="29" hidden="1">#REF!</definedName>
    <definedName name="新目录" localSheetId="29" hidden="1">#REF!</definedName>
    <definedName name="_xlnm.Print_Area" localSheetId="29">'重要指标分析表D4-22'!$A$1:$H$29</definedName>
    <definedName name="AFV" localSheetId="30" hidden="1">#REF!</definedName>
    <definedName name="bs" localSheetId="30" hidden="1">{#N/A,#N/A,FALSE,"BBPREP"}</definedName>
    <definedName name="bs_1" localSheetId="30" hidden="1">{#N/A,#N/A,FALSE,"BBPREP"}</definedName>
    <definedName name="CCD" localSheetId="30" hidden="1">#REF!</definedName>
    <definedName name="CDE" localSheetId="30" hidden="1">#REF!</definedName>
    <definedName name="DEX" localSheetId="30" hidden="1">#REF!</definedName>
    <definedName name="EDC" localSheetId="30" hidden="1">#REF!</definedName>
    <definedName name="FASD" localSheetId="30" hidden="1">#REF!</definedName>
    <definedName name="RDES" localSheetId="30" hidden="1">#REF!</definedName>
    <definedName name="VFE" localSheetId="30" hidden="1">#REF!</definedName>
    <definedName name="XAP" localSheetId="30" hidden="1">#REF!</definedName>
    <definedName name="XAQ" localSheetId="30" hidden="1">#REF!</definedName>
    <definedName name="XCD" localSheetId="30" hidden="1">#REF!</definedName>
    <definedName name="XREF_COLUMN_1" localSheetId="30" hidden="1">#REF!</definedName>
    <definedName name="XREF_COLUMN_3" localSheetId="30" hidden="1">#REF!</definedName>
    <definedName name="XRefActiveRow" localSheetId="30" hidden="1">#REF!</definedName>
    <definedName name="XRefCopy1" localSheetId="30" hidden="1">#REF!</definedName>
    <definedName name="XRefCopy1Row" localSheetId="30" hidden="1">#REF!</definedName>
    <definedName name="XRefCopy2Row" localSheetId="30" hidden="1">#REF!</definedName>
    <definedName name="XRefPaste1" localSheetId="30" hidden="1">#REF!</definedName>
    <definedName name="XRefPaste1Row" localSheetId="30" hidden="1">#REF!</definedName>
    <definedName name="XRefPaste2" localSheetId="30" hidden="1">#REF!</definedName>
    <definedName name="XRefPaste2Row" localSheetId="30" hidden="1">#REF!</definedName>
    <definedName name="XRefPaste3" localSheetId="30" hidden="1">#REF!</definedName>
    <definedName name="XRefPaste3Row" localSheetId="30" hidden="1">#REF!</definedName>
    <definedName name="底稿目录" localSheetId="30" hidden="1">#REF!</definedName>
    <definedName name="去" localSheetId="30" hidden="1">#REF!</definedName>
    <definedName name="新目录" localSheetId="30" hidden="1">#REF!</definedName>
    <definedName name="_xlnm.Print_Area" localSheetId="30">'收入与开具发票金额比较分析D4-23'!$A$1:$K$30</definedName>
    <definedName name="AFV" localSheetId="31" hidden="1">#REF!</definedName>
    <definedName name="bs" localSheetId="31" hidden="1">{#N/A,#N/A,FALSE,"BBPREP"}</definedName>
    <definedName name="bs_1" localSheetId="31" hidden="1">{#N/A,#N/A,FALSE,"BBPREP"}</definedName>
    <definedName name="CCD" localSheetId="31" hidden="1">#REF!</definedName>
    <definedName name="CDE" localSheetId="31" hidden="1">#REF!</definedName>
    <definedName name="DEX" localSheetId="31" hidden="1">#REF!</definedName>
    <definedName name="EDC" localSheetId="31" hidden="1">#REF!</definedName>
    <definedName name="FASD" localSheetId="31" hidden="1">#REF!</definedName>
    <definedName name="L" localSheetId="31" hidden="1">{#N/A,#N/A,FALSE,"BBPREP"}</definedName>
    <definedName name="RDES" localSheetId="31" hidden="1">#REF!</definedName>
    <definedName name="s" localSheetId="31" hidden="1">{#N/A,#N/A,FALSE,"BBPREP"}</definedName>
    <definedName name="t" localSheetId="31" hidden="1">{#N/A,#N/A,FALSE,"BBPREP"}</definedName>
    <definedName name="VFE" localSheetId="31" hidden="1">#REF!</definedName>
    <definedName name="XAP" localSheetId="31" hidden="1">#REF!</definedName>
    <definedName name="XAQ" localSheetId="31" hidden="1">#REF!</definedName>
    <definedName name="XCD" localSheetId="31" hidden="1">#REF!</definedName>
    <definedName name="XREF_COLUMN_1" localSheetId="31" hidden="1">#REF!</definedName>
    <definedName name="XREF_COLUMN_3" localSheetId="31" hidden="1">#REF!</definedName>
    <definedName name="XRefActiveRow" localSheetId="31" hidden="1">#REF!</definedName>
    <definedName name="XRefCopy1" localSheetId="31" hidden="1">#REF!</definedName>
    <definedName name="XRefCopy1Row" localSheetId="31" hidden="1">#REF!</definedName>
    <definedName name="XRefCopy2Row" localSheetId="31" hidden="1">#REF!</definedName>
    <definedName name="XRefPaste1" localSheetId="31" hidden="1">#REF!</definedName>
    <definedName name="XRefPaste1Row" localSheetId="31" hidden="1">#REF!</definedName>
    <definedName name="XRefPaste2" localSheetId="31" hidden="1">#REF!</definedName>
    <definedName name="XRefPaste2Row" localSheetId="31" hidden="1">#REF!</definedName>
    <definedName name="XRefPaste3" localSheetId="31" hidden="1">#REF!</definedName>
    <definedName name="XRefPaste3Row" localSheetId="31" hidden="1">#REF!</definedName>
    <definedName name="底稿目录" localSheetId="31" hidden="1">#REF!</definedName>
    <definedName name="去" localSheetId="31" hidden="1">#REF!</definedName>
    <definedName name="新目录" localSheetId="31" hidden="1">#REF!</definedName>
    <definedName name="_xlnm.Print_Area" localSheetId="31">'第三方回款检查D4-24'!$A$1:$M$28</definedName>
    <definedName name="AFV" localSheetId="32" hidden="1">#REF!</definedName>
    <definedName name="bs" localSheetId="32" hidden="1">{#N/A,#N/A,FALSE,"BBPREP"}</definedName>
    <definedName name="bs_1" localSheetId="32" hidden="1">{#N/A,#N/A,FALSE,"BBPREP"}</definedName>
    <definedName name="CCD" localSheetId="32" hidden="1">#REF!</definedName>
    <definedName name="CDE" localSheetId="32" hidden="1">#REF!</definedName>
    <definedName name="DEX" localSheetId="32" hidden="1">#REF!</definedName>
    <definedName name="EDC" localSheetId="32" hidden="1">#REF!</definedName>
    <definedName name="FASD" localSheetId="32" hidden="1">#REF!</definedName>
    <definedName name="L" localSheetId="32" hidden="1">{#N/A,#N/A,FALSE,"BBPREP"}</definedName>
    <definedName name="RDES" localSheetId="32" hidden="1">#REF!</definedName>
    <definedName name="s" localSheetId="32" hidden="1">{#N/A,#N/A,FALSE,"BBPREP"}</definedName>
    <definedName name="t" localSheetId="32" hidden="1">{#N/A,#N/A,FALSE,"BBPREP"}</definedName>
    <definedName name="VFE" localSheetId="32" hidden="1">#REF!</definedName>
    <definedName name="XAP" localSheetId="32" hidden="1">#REF!</definedName>
    <definedName name="XAQ" localSheetId="32" hidden="1">#REF!</definedName>
    <definedName name="XCD" localSheetId="32" hidden="1">#REF!</definedName>
    <definedName name="XREF_COLUMN_1" localSheetId="32" hidden="1">#REF!</definedName>
    <definedName name="XREF_COLUMN_3" localSheetId="32" hidden="1">#REF!</definedName>
    <definedName name="XRefActiveRow" localSheetId="32" hidden="1">#REF!</definedName>
    <definedName name="XRefCopy1" localSheetId="32" hidden="1">#REF!</definedName>
    <definedName name="XRefCopy1Row" localSheetId="32" hidden="1">#REF!</definedName>
    <definedName name="XRefCopy2Row" localSheetId="32" hidden="1">#REF!</definedName>
    <definedName name="XRefPaste1" localSheetId="32" hidden="1">#REF!</definedName>
    <definedName name="XRefPaste1Row" localSheetId="32" hidden="1">#REF!</definedName>
    <definedName name="XRefPaste2" localSheetId="32" hidden="1">#REF!</definedName>
    <definedName name="XRefPaste2Row" localSheetId="32" hidden="1">#REF!</definedName>
    <definedName name="XRefPaste3" localSheetId="32" hidden="1">#REF!</definedName>
    <definedName name="XRefPaste3Row" localSheetId="32" hidden="1">#REF!</definedName>
    <definedName name="底稿目录" localSheetId="32" hidden="1">#REF!</definedName>
    <definedName name="去" localSheetId="32" hidden="1">#REF!</definedName>
    <definedName name="新目录" localSheetId="32" hidden="1">#REF!</definedName>
    <definedName name="_xlnm.Print_Area" localSheetId="32">'经销商检查D4-25'!$A$1:$M$28</definedName>
    <definedName name="AFV" localSheetId="33" hidden="1">#REF!</definedName>
    <definedName name="CCD" localSheetId="33" hidden="1">#REF!</definedName>
    <definedName name="CDE" localSheetId="33" hidden="1">#REF!</definedName>
    <definedName name="DEX" localSheetId="33" hidden="1">#REF!</definedName>
    <definedName name="EDC" localSheetId="33" hidden="1">#REF!</definedName>
    <definedName name="FASD" localSheetId="33" hidden="1">#REF!</definedName>
    <definedName name="RDES" localSheetId="33" hidden="1">#REF!</definedName>
    <definedName name="VFE" localSheetId="33" hidden="1">#REF!</definedName>
    <definedName name="XAP" localSheetId="33" hidden="1">#REF!</definedName>
    <definedName name="XAQ" localSheetId="33" hidden="1">#REF!</definedName>
    <definedName name="XCD" localSheetId="33" hidden="1">#REF!</definedName>
    <definedName name="XREF_COLUMN_1" localSheetId="33" hidden="1">#REF!</definedName>
    <definedName name="XREF_COLUMN_3" localSheetId="33" hidden="1">#REF!</definedName>
    <definedName name="XRefActiveRow" localSheetId="33" hidden="1">#REF!</definedName>
    <definedName name="XRefCopy1" localSheetId="33" hidden="1">#REF!</definedName>
    <definedName name="XRefCopy1Row" localSheetId="33" hidden="1">#REF!</definedName>
    <definedName name="XRefCopy2Row" localSheetId="33" hidden="1">#REF!</definedName>
    <definedName name="XRefPaste1" localSheetId="33" hidden="1">#REF!</definedName>
    <definedName name="XRefPaste1Row" localSheetId="33" hidden="1">#REF!</definedName>
    <definedName name="XRefPaste2" localSheetId="33" hidden="1">#REF!</definedName>
    <definedName name="XRefPaste2Row" localSheetId="33" hidden="1">#REF!</definedName>
    <definedName name="XRefPaste3" localSheetId="33" hidden="1">#REF!</definedName>
    <definedName name="XRefPaste3Row" localSheetId="33" hidden="1">#REF!</definedName>
    <definedName name="底稿目录" localSheetId="33" hidden="1">#REF!</definedName>
    <definedName name="去" localSheetId="33" hidden="1">#REF!</definedName>
    <definedName name="新目录" localSheetId="33" hidden="1">#REF!</definedName>
    <definedName name="_xlnm.Print_Area" localSheetId="33">'境外销售收入检查D4-26'!$A$1:$S$33</definedName>
    <definedName name="AFV" localSheetId="34" hidden="1">#REF!</definedName>
    <definedName name="CCD" localSheetId="34" hidden="1">#REF!</definedName>
    <definedName name="CDE" localSheetId="34" hidden="1">#REF!</definedName>
    <definedName name="DEX" localSheetId="34" hidden="1">#REF!</definedName>
    <definedName name="EDC" localSheetId="34" hidden="1">#REF!</definedName>
    <definedName name="FASD" localSheetId="34" hidden="1">#REF!</definedName>
    <definedName name="RDES" localSheetId="34" hidden="1">#REF!</definedName>
    <definedName name="VFE" localSheetId="34" hidden="1">#REF!</definedName>
    <definedName name="XAP" localSheetId="34" hidden="1">#REF!</definedName>
    <definedName name="XAQ" localSheetId="34" hidden="1">#REF!</definedName>
    <definedName name="XCD" localSheetId="34" hidden="1">#REF!</definedName>
    <definedName name="XREF_COLUMN_1" localSheetId="34" hidden="1">#REF!</definedName>
    <definedName name="XREF_COLUMN_3" localSheetId="34" hidden="1">#REF!</definedName>
    <definedName name="XRefActiveRow" localSheetId="34" hidden="1">#REF!</definedName>
    <definedName name="XRefCopy1" localSheetId="34" hidden="1">#REF!</definedName>
    <definedName name="XRefCopy1Row" localSheetId="34" hidden="1">#REF!</definedName>
    <definedName name="XRefCopy2Row" localSheetId="34" hidden="1">#REF!</definedName>
    <definedName name="XRefPaste1" localSheetId="34" hidden="1">#REF!</definedName>
    <definedName name="XRefPaste1Row" localSheetId="34" hidden="1">#REF!</definedName>
    <definedName name="XRefPaste2" localSheetId="34" hidden="1">#REF!</definedName>
    <definedName name="XRefPaste2Row" localSheetId="34" hidden="1">#REF!</definedName>
    <definedName name="XRefPaste3" localSheetId="34" hidden="1">#REF!</definedName>
    <definedName name="XRefPaste3Row" localSheetId="34" hidden="1">#REF!</definedName>
    <definedName name="底稿目录" localSheetId="34" hidden="1">#REF!</definedName>
    <definedName name="去" localSheetId="34" hidden="1">#REF!</definedName>
    <definedName name="新目录" localSheetId="34" hidden="1">#REF!</definedName>
    <definedName name="_xlnm.Print_Area" localSheetId="34">'识别未披露的关联方D4-27'!$A$1:$R$37</definedName>
    <definedName name="AFV" localSheetId="35" hidden="1">#REF!</definedName>
    <definedName name="bs" localSheetId="35" hidden="1">{#N/A,#N/A,FALSE,"BBPREP"}</definedName>
    <definedName name="bs_1" localSheetId="35" hidden="1">{#N/A,#N/A,FALSE,"BBPREP"}</definedName>
    <definedName name="CCD" localSheetId="35" hidden="1">#REF!</definedName>
    <definedName name="CDE" localSheetId="35" hidden="1">#REF!</definedName>
    <definedName name="DEX" localSheetId="35" hidden="1">#REF!</definedName>
    <definedName name="EDC" localSheetId="35" hidden="1">#REF!</definedName>
    <definedName name="FASD" localSheetId="35" hidden="1">#REF!</definedName>
    <definedName name="L" localSheetId="35" hidden="1">{#N/A,#N/A,FALSE,"BBPREP"}</definedName>
    <definedName name="RDES" localSheetId="35" hidden="1">#REF!</definedName>
    <definedName name="s" localSheetId="35" hidden="1">{#N/A,#N/A,FALSE,"BBPREP"}</definedName>
    <definedName name="t" localSheetId="35" hidden="1">{#N/A,#N/A,FALSE,"BBPREP"}</definedName>
    <definedName name="VFE" localSheetId="35" hidden="1">#REF!</definedName>
    <definedName name="XAP" localSheetId="35" hidden="1">#REF!</definedName>
    <definedName name="XAQ" localSheetId="35" hidden="1">#REF!</definedName>
    <definedName name="XCD" localSheetId="35" hidden="1">#REF!</definedName>
    <definedName name="XREF_COLUMN_1" localSheetId="35" hidden="1">#REF!</definedName>
    <definedName name="XREF_COLUMN_3" localSheetId="35" hidden="1">#REF!</definedName>
    <definedName name="XRefActiveRow" localSheetId="35" hidden="1">#REF!</definedName>
    <definedName name="XRefCopy1" localSheetId="35" hidden="1">#REF!</definedName>
    <definedName name="XRefCopy1Row" localSheetId="35" hidden="1">#REF!</definedName>
    <definedName name="XRefCopy2Row" localSheetId="35" hidden="1">#REF!</definedName>
    <definedName name="XRefPaste1" localSheetId="35" hidden="1">#REF!</definedName>
    <definedName name="XRefPaste1Row" localSheetId="35" hidden="1">#REF!</definedName>
    <definedName name="XRefPaste2" localSheetId="35" hidden="1">#REF!</definedName>
    <definedName name="XRefPaste2Row" localSheetId="35" hidden="1">#REF!</definedName>
    <definedName name="XRefPaste3" localSheetId="35" hidden="1">#REF!</definedName>
    <definedName name="XRefPaste3Row" localSheetId="35" hidden="1">#REF!</definedName>
    <definedName name="底稿目录" localSheetId="35" hidden="1">#REF!</definedName>
    <definedName name="去" localSheetId="35" hidden="1">#REF!</definedName>
    <definedName name="新目录" localSheetId="35" hidden="1">#REF!</definedName>
    <definedName name="_xlnm.Print_Area" localSheetId="35">'客户信息核查清单D4-28'!$A$1:$O$30</definedName>
    <definedName name="AFV" localSheetId="36" hidden="1">#REF!</definedName>
    <definedName name="CCD" localSheetId="36" hidden="1">#REF!</definedName>
    <definedName name="CDE" localSheetId="36" hidden="1">#REF!</definedName>
    <definedName name="DEX" localSheetId="36" hidden="1">#REF!</definedName>
    <definedName name="EDC" localSheetId="36" hidden="1">#REF!</definedName>
    <definedName name="FASD" localSheetId="36" hidden="1">#REF!</definedName>
    <definedName name="RDES" localSheetId="36" hidden="1">#REF!</definedName>
    <definedName name="VFE" localSheetId="36" hidden="1">#REF!</definedName>
    <definedName name="XAP" localSheetId="36" hidden="1">#REF!</definedName>
    <definedName name="XAQ" localSheetId="36" hidden="1">#REF!</definedName>
    <definedName name="XCD" localSheetId="36" hidden="1">#REF!</definedName>
    <definedName name="XREF_COLUMN_1" localSheetId="36" hidden="1">#REF!</definedName>
    <definedName name="XREF_COLUMN_3" localSheetId="36" hidden="1">#REF!</definedName>
    <definedName name="XRefActiveRow" localSheetId="36" hidden="1">#REF!</definedName>
    <definedName name="XRefCopy1" localSheetId="36" hidden="1">#REF!</definedName>
    <definedName name="XRefCopy1Row" localSheetId="36" hidden="1">#REF!</definedName>
    <definedName name="XRefCopy2Row" localSheetId="36" hidden="1">#REF!</definedName>
    <definedName name="XRefPaste1" localSheetId="36" hidden="1">#REF!</definedName>
    <definedName name="XRefPaste1Row" localSheetId="36" hidden="1">#REF!</definedName>
    <definedName name="XRefPaste2" localSheetId="36" hidden="1">#REF!</definedName>
    <definedName name="XRefPaste2Row" localSheetId="36" hidden="1">#REF!</definedName>
    <definedName name="XRefPaste3" localSheetId="36" hidden="1">#REF!</definedName>
    <definedName name="XRefPaste3Row" localSheetId="36" hidden="1">#REF!</definedName>
    <definedName name="底稿目录" localSheetId="36" hidden="1">#REF!</definedName>
    <definedName name="去" localSheetId="36" hidden="1">#REF!</definedName>
    <definedName name="新目录" localSheetId="36" hidden="1">#REF!</definedName>
    <definedName name="_xlnm.Print_Area" localSheetId="36">'客户信息检查表D4-29'!$A$1:$M$47</definedName>
    <definedName name="AFV" localSheetId="37" hidden="1">#REF!</definedName>
    <definedName name="bs" localSheetId="37" hidden="1">{#N/A,#N/A,FALSE,"BBPREP"}</definedName>
    <definedName name="bs_1" localSheetId="37" hidden="1">{#N/A,#N/A,FALSE,"BBPREP"}</definedName>
    <definedName name="CCD" localSheetId="37" hidden="1">#REF!</definedName>
    <definedName name="CDE" localSheetId="37" hidden="1">#REF!</definedName>
    <definedName name="DEX" localSheetId="37" hidden="1">#REF!</definedName>
    <definedName name="EDC" localSheetId="37" hidden="1">#REF!</definedName>
    <definedName name="FASD" localSheetId="37" hidden="1">#REF!</definedName>
    <definedName name="L" localSheetId="37" hidden="1">{#N/A,#N/A,FALSE,"BBPREP"}</definedName>
    <definedName name="RDES" localSheetId="37" hidden="1">#REF!</definedName>
    <definedName name="s" localSheetId="37" hidden="1">{#N/A,#N/A,FALSE,"BBPREP"}</definedName>
    <definedName name="t" localSheetId="37" hidden="1">{#N/A,#N/A,FALSE,"BBPREP"}</definedName>
    <definedName name="VFE" localSheetId="37" hidden="1">#REF!</definedName>
    <definedName name="XAP" localSheetId="37" hidden="1">#REF!</definedName>
    <definedName name="XAQ" localSheetId="37" hidden="1">#REF!</definedName>
    <definedName name="XCD" localSheetId="37" hidden="1">#REF!</definedName>
    <definedName name="XREF_COLUMN_1" localSheetId="37" hidden="1">#REF!</definedName>
    <definedName name="XREF_COLUMN_3" localSheetId="37" hidden="1">#REF!</definedName>
    <definedName name="XRefActiveRow" localSheetId="37" hidden="1">#REF!</definedName>
    <definedName name="XRefCopy1" localSheetId="37" hidden="1">#REF!</definedName>
    <definedName name="XRefCopy1Row" localSheetId="37" hidden="1">#REF!</definedName>
    <definedName name="XRefCopy2Row" localSheetId="37" hidden="1">#REF!</definedName>
    <definedName name="XRefPaste1" localSheetId="37" hidden="1">#REF!</definedName>
    <definedName name="XRefPaste1Row" localSheetId="37" hidden="1">#REF!</definedName>
    <definedName name="XRefPaste2" localSheetId="37" hidden="1">#REF!</definedName>
    <definedName name="XRefPaste2Row" localSheetId="37" hidden="1">#REF!</definedName>
    <definedName name="XRefPaste3" localSheetId="37" hidden="1">#REF!</definedName>
    <definedName name="XRefPaste3Row" localSheetId="37" hidden="1">#REF!</definedName>
    <definedName name="底稿目录" localSheetId="37" hidden="1">#REF!</definedName>
    <definedName name="去" localSheetId="37" hidden="1">#REF!</definedName>
    <definedName name="新目录" localSheetId="37" hidden="1">#REF!</definedName>
    <definedName name="_xlnm.Print_Area" localSheetId="37">'客户访谈记录汇总表D4-30'!$A$1:$G$22</definedName>
    <definedName name="AFV" localSheetId="38" hidden="1">#REF!</definedName>
    <definedName name="CCD" localSheetId="38" hidden="1">#REF!</definedName>
    <definedName name="CDE" localSheetId="38" hidden="1">#REF!</definedName>
    <definedName name="DEX" localSheetId="38" hidden="1">#REF!</definedName>
    <definedName name="EDC" localSheetId="38" hidden="1">#REF!</definedName>
    <definedName name="FASD" localSheetId="38" hidden="1">#REF!</definedName>
    <definedName name="RDES" localSheetId="38" hidden="1">#REF!</definedName>
    <definedName name="VFE" localSheetId="38" hidden="1">#REF!</definedName>
    <definedName name="XAP" localSheetId="38" hidden="1">#REF!</definedName>
    <definedName name="XAQ" localSheetId="38" hidden="1">#REF!</definedName>
    <definedName name="XCD" localSheetId="38" hidden="1">#REF!</definedName>
    <definedName name="XREF_COLUMN_1" localSheetId="38" hidden="1">#REF!</definedName>
    <definedName name="XREF_COLUMN_3" localSheetId="38" hidden="1">#REF!</definedName>
    <definedName name="XRefActiveRow" localSheetId="38" hidden="1">#REF!</definedName>
    <definedName name="XRefCopy1" localSheetId="38" hidden="1">#REF!</definedName>
    <definedName name="XRefCopy1Row" localSheetId="38" hidden="1">#REF!</definedName>
    <definedName name="XRefCopy2Row" localSheetId="38" hidden="1">#REF!</definedName>
    <definedName name="XRefPaste1" localSheetId="38" hidden="1">#REF!</definedName>
    <definedName name="XRefPaste1Row" localSheetId="38" hidden="1">#REF!</definedName>
    <definedName name="XRefPaste2" localSheetId="38" hidden="1">#REF!</definedName>
    <definedName name="XRefPaste2Row" localSheetId="38" hidden="1">#REF!</definedName>
    <definedName name="XRefPaste3" localSheetId="38" hidden="1">#REF!</definedName>
    <definedName name="XRefPaste3Row" localSheetId="38" hidden="1">#REF!</definedName>
    <definedName name="底稿目录" localSheetId="38" hidden="1">#REF!</definedName>
    <definedName name="去" localSheetId="38" hidden="1">#REF!</definedName>
    <definedName name="新目录" localSheetId="38" hidden="1">#REF!</definedName>
    <definedName name="_xlnm.Print_Area" localSheetId="38">'客户访谈记录 D4-31'!$A$1:$G$54</definedName>
    <definedName name="AFV" localSheetId="39" hidden="1">#REF!</definedName>
    <definedName name="bs" localSheetId="39" hidden="1">{#N/A,#N/A,FALSE,"BBPREP"}</definedName>
    <definedName name="bs_1" localSheetId="39" hidden="1">{#N/A,#N/A,FALSE,"BBPREP"}</definedName>
    <definedName name="CCD" localSheetId="39" hidden="1">#REF!</definedName>
    <definedName name="CDE" localSheetId="39" hidden="1">#REF!</definedName>
    <definedName name="DEX" localSheetId="39" hidden="1">#REF!</definedName>
    <definedName name="EDC" localSheetId="39" hidden="1">#REF!</definedName>
    <definedName name="FASD" localSheetId="39" hidden="1">#REF!</definedName>
    <definedName name="L" localSheetId="39" hidden="1">{#N/A,#N/A,FALSE,"BBPREP"}</definedName>
    <definedName name="RDES" localSheetId="39" hidden="1">#REF!</definedName>
    <definedName name="s" localSheetId="39" hidden="1">{#N/A,#N/A,FALSE,"BBPREP"}</definedName>
    <definedName name="t" localSheetId="39" hidden="1">{#N/A,#N/A,FALSE,"BBPREP"}</definedName>
    <definedName name="VFE" localSheetId="39" hidden="1">#REF!</definedName>
    <definedName name="XAP" localSheetId="39" hidden="1">#REF!</definedName>
    <definedName name="XAQ" localSheetId="39" hidden="1">#REF!</definedName>
    <definedName name="XCD" localSheetId="39" hidden="1">#REF!</definedName>
    <definedName name="XREF_COLUMN_1" localSheetId="39" hidden="1">#REF!</definedName>
    <definedName name="XREF_COLUMN_3" localSheetId="39" hidden="1">#REF!</definedName>
    <definedName name="XRefActiveRow" localSheetId="39" hidden="1">#REF!</definedName>
    <definedName name="XRefCopy1" localSheetId="39" hidden="1">#REF!</definedName>
    <definedName name="XRefCopy1Row" localSheetId="39" hidden="1">#REF!</definedName>
    <definedName name="XRefCopy2Row" localSheetId="39" hidden="1">#REF!</definedName>
    <definedName name="XRefPaste1" localSheetId="39" hidden="1">#REF!</definedName>
    <definedName name="XRefPaste1Row" localSheetId="39" hidden="1">#REF!</definedName>
    <definedName name="XRefPaste2" localSheetId="39" hidden="1">#REF!</definedName>
    <definedName name="XRefPaste2Row" localSheetId="39" hidden="1">#REF!</definedName>
    <definedName name="XRefPaste3" localSheetId="39" hidden="1">#REF!</definedName>
    <definedName name="XRefPaste3Row" localSheetId="39" hidden="1">#REF!</definedName>
    <definedName name="Z_47D4C474_81EA_4562_A03B_66488F80C527_.wvu.FilterData" localSheetId="39" hidden="1">#REF!</definedName>
    <definedName name="Z_85E7D15F_9559_4B54_A2EE_DCCECE011EC4_.wvu.Cols" localSheetId="39" hidden="1">#REF!</definedName>
    <definedName name="底稿目录" localSheetId="39" hidden="1">#REF!</definedName>
    <definedName name="去" localSheetId="39" hidden="1">#REF!</definedName>
    <definedName name="新目录" localSheetId="39" hidden="1">#REF!</definedName>
    <definedName name="_xlnm.Print_Area" localSheetId="39">'访谈记录与核对示例'!$A$1:$I$67</definedName>
    <definedName name="AFV" localSheetId="40" hidden="1">#REF!</definedName>
    <definedName name="bs" localSheetId="40" hidden="1">{#N/A,#N/A,FALSE,"BBPREP"}</definedName>
    <definedName name="bs_1" localSheetId="40" hidden="1">{#N/A,#N/A,FALSE,"BBPREP"}</definedName>
    <definedName name="CCD" localSheetId="40" hidden="1">#REF!</definedName>
    <definedName name="CDE" localSheetId="40" hidden="1">#REF!</definedName>
    <definedName name="DEX" localSheetId="40" hidden="1">#REF!</definedName>
    <definedName name="EDC" localSheetId="40" hidden="1">#REF!</definedName>
    <definedName name="FASD" localSheetId="40" hidden="1">#REF!</definedName>
    <definedName name="L" localSheetId="40" hidden="1">{#N/A,#N/A,FALSE,"BBPREP"}</definedName>
    <definedName name="RDES" localSheetId="40" hidden="1">#REF!</definedName>
    <definedName name="s" localSheetId="40" hidden="1">{#N/A,#N/A,FALSE,"BBPREP"}</definedName>
    <definedName name="t" localSheetId="40" hidden="1">{#N/A,#N/A,FALSE,"BBPREP"}</definedName>
    <definedName name="VFE" localSheetId="40" hidden="1">#REF!</definedName>
    <definedName name="XAP" localSheetId="40" hidden="1">#REF!</definedName>
    <definedName name="XAQ" localSheetId="40" hidden="1">#REF!</definedName>
    <definedName name="XCD" localSheetId="40" hidden="1">#REF!</definedName>
    <definedName name="XREF_COLUMN_1" localSheetId="40" hidden="1">#REF!</definedName>
    <definedName name="XREF_COLUMN_3" localSheetId="40" hidden="1">#REF!</definedName>
    <definedName name="XRefActiveRow" localSheetId="40" hidden="1">#REF!</definedName>
    <definedName name="XRefCopy1" localSheetId="40" hidden="1">#REF!</definedName>
    <definedName name="XRefCopy1Row" localSheetId="40" hidden="1">#REF!</definedName>
    <definedName name="XRefCopy2Row" localSheetId="40" hidden="1">#REF!</definedName>
    <definedName name="XRefPaste1" localSheetId="40" hidden="1">#REF!</definedName>
    <definedName name="XRefPaste1Row" localSheetId="40" hidden="1">#REF!</definedName>
    <definedName name="XRefPaste2" localSheetId="40" hidden="1">#REF!</definedName>
    <definedName name="XRefPaste2Row" localSheetId="40" hidden="1">#REF!</definedName>
    <definedName name="XRefPaste3" localSheetId="40" hidden="1">#REF!</definedName>
    <definedName name="XRefPaste3Row" localSheetId="40" hidden="1">#REF!</definedName>
    <definedName name="底稿目录" localSheetId="40" hidden="1">#REF!</definedName>
    <definedName name="去" localSheetId="40" hidden="1">#REF!</definedName>
    <definedName name="新目录" localSheetId="40" hidden="1">#REF!</definedName>
    <definedName name="_xlnm.Print_Titles" localSheetId="40">'客户、供应商等资金流水检查D4-32'!$11:$11</definedName>
    <definedName name="_xlnm.Print_Area" localSheetId="40">'客户、供应商等资金流水检查D4-32'!$A$1:$I$53</definedName>
    <definedName name="AFV" localSheetId="41" hidden="1">#REF!</definedName>
    <definedName name="CCD" localSheetId="41" hidden="1">#REF!</definedName>
    <definedName name="CDE" localSheetId="41" hidden="1">#REF!</definedName>
    <definedName name="DEX" localSheetId="41" hidden="1">#REF!</definedName>
    <definedName name="EDC" localSheetId="41" hidden="1">#REF!</definedName>
    <definedName name="FASD" localSheetId="41" hidden="1">#REF!</definedName>
    <definedName name="RDES" localSheetId="41" hidden="1">#REF!</definedName>
    <definedName name="VFE" localSheetId="41" hidden="1">#REF!</definedName>
    <definedName name="XAP" localSheetId="41" hidden="1">#REF!</definedName>
    <definedName name="XAQ" localSheetId="41" hidden="1">#REF!</definedName>
    <definedName name="XCD" localSheetId="41" hidden="1">#REF!</definedName>
    <definedName name="XREF_COLUMN_1" localSheetId="41" hidden="1">#REF!</definedName>
    <definedName name="XREF_COLUMN_3" localSheetId="41" hidden="1">#REF!</definedName>
    <definedName name="XRefActiveRow" localSheetId="41" hidden="1">#REF!</definedName>
    <definedName name="XRefCopy1" localSheetId="41" hidden="1">#REF!</definedName>
    <definedName name="XRefCopy1Row" localSheetId="41" hidden="1">#REF!</definedName>
    <definedName name="XRefCopy2Row" localSheetId="41" hidden="1">#REF!</definedName>
    <definedName name="XRefPaste1" localSheetId="41" hidden="1">#REF!</definedName>
    <definedName name="XRefPaste1Row" localSheetId="41" hidden="1">#REF!</definedName>
    <definedName name="XRefPaste2" localSheetId="41" hidden="1">#REF!</definedName>
    <definedName name="XRefPaste2Row" localSheetId="41" hidden="1">#REF!</definedName>
    <definedName name="XRefPaste3" localSheetId="41" hidden="1">#REF!</definedName>
    <definedName name="XRefPaste3Row" localSheetId="41" hidden="1">#REF!</definedName>
    <definedName name="底稿目录" localSheetId="41" hidden="1">#REF!</definedName>
    <definedName name="去" localSheetId="41" hidden="1">#REF!</definedName>
    <definedName name="新目录" localSheetId="41" hidden="1">#REF!</definedName>
    <definedName name="AFV" localSheetId="42" hidden="1">#REF!</definedName>
    <definedName name="CCD" localSheetId="42" hidden="1">#REF!</definedName>
    <definedName name="CDE" localSheetId="42" hidden="1">#REF!</definedName>
    <definedName name="DEX" localSheetId="42" hidden="1">#REF!</definedName>
    <definedName name="EDC" localSheetId="42" hidden="1">#REF!</definedName>
    <definedName name="FASD" localSheetId="42" hidden="1">#REF!</definedName>
    <definedName name="RDES" localSheetId="42" hidden="1">#REF!</definedName>
    <definedName name="VFE" localSheetId="42" hidden="1">#REF!</definedName>
    <definedName name="XAP" localSheetId="42" hidden="1">#REF!</definedName>
    <definedName name="XAQ" localSheetId="42" hidden="1">#REF!</definedName>
    <definedName name="XCD" localSheetId="42" hidden="1">#REF!</definedName>
    <definedName name="XREF_COLUMN_1" localSheetId="42" hidden="1">#REF!</definedName>
    <definedName name="XREF_COLUMN_3" localSheetId="42" hidden="1">#REF!</definedName>
    <definedName name="XRefActiveRow" localSheetId="42" hidden="1">#REF!</definedName>
    <definedName name="XRefCopy1" localSheetId="42" hidden="1">#REF!</definedName>
    <definedName name="XRefCopy1Row" localSheetId="42" hidden="1">#REF!</definedName>
    <definedName name="XRefCopy2Row" localSheetId="42" hidden="1">#REF!</definedName>
    <definedName name="XRefPaste1" localSheetId="42" hidden="1">#REF!</definedName>
    <definedName name="XRefPaste1Row" localSheetId="42" hidden="1">#REF!</definedName>
    <definedName name="XRefPaste2" localSheetId="42" hidden="1">#REF!</definedName>
    <definedName name="XRefPaste2Row" localSheetId="42" hidden="1">#REF!</definedName>
    <definedName name="XRefPaste3" localSheetId="42" hidden="1">#REF!</definedName>
    <definedName name="XRefPaste3Row" localSheetId="42" hidden="1">#REF!</definedName>
    <definedName name="底稿目录" localSheetId="42" hidden="1">#REF!</definedName>
    <definedName name="去" localSheetId="42" hidden="1">#REF!</definedName>
    <definedName name="新目录" localSheetId="42" hidden="1">#REF!</definedName>
    <definedName name="_xlnm.Print_Area" localSheetId="42">'其他业务毛利率分析表D4-33'!$A$1:$M$31</definedName>
    <definedName name="AFV" localSheetId="43" hidden="1">#REF!</definedName>
    <definedName name="CCD" localSheetId="43" hidden="1">#REF!</definedName>
    <definedName name="CDE" localSheetId="43" hidden="1">#REF!</definedName>
    <definedName name="DEX" localSheetId="43" hidden="1">#REF!</definedName>
    <definedName name="EDC" localSheetId="43" hidden="1">#REF!</definedName>
    <definedName name="FASD" localSheetId="43" hidden="1">#REF!</definedName>
    <definedName name="RDES" localSheetId="43" hidden="1">#REF!</definedName>
    <definedName name="VFE" localSheetId="43" hidden="1">#REF!</definedName>
    <definedName name="XAP" localSheetId="43" hidden="1">#REF!</definedName>
    <definedName name="XAQ" localSheetId="43" hidden="1">#REF!</definedName>
    <definedName name="XCD" localSheetId="43" hidden="1">#REF!</definedName>
    <definedName name="XREF_COLUMN_1" localSheetId="43" hidden="1">#REF!</definedName>
    <definedName name="XREF_COLUMN_3" localSheetId="43" hidden="1">#REF!</definedName>
    <definedName name="XRefActiveRow" localSheetId="43" hidden="1">#REF!</definedName>
    <definedName name="XRefCopy1" localSheetId="43" hidden="1">#REF!</definedName>
    <definedName name="XRefCopy1Row" localSheetId="43" hidden="1">#REF!</definedName>
    <definedName name="XRefCopy2Row" localSheetId="43" hidden="1">#REF!</definedName>
    <definedName name="XRefPaste1" localSheetId="43" hidden="1">#REF!</definedName>
    <definedName name="XRefPaste1Row" localSheetId="43" hidden="1">#REF!</definedName>
    <definedName name="XRefPaste2" localSheetId="43" hidden="1">#REF!</definedName>
    <definedName name="XRefPaste2Row" localSheetId="43" hidden="1">#REF!</definedName>
    <definedName name="XRefPaste3" localSheetId="43" hidden="1">#REF!</definedName>
    <definedName name="XRefPaste3Row" localSheetId="43" hidden="1">#REF!</definedName>
    <definedName name="底稿目录" localSheetId="43" hidden="1">#REF!</definedName>
    <definedName name="去" localSheetId="43" hidden="1">#REF!</definedName>
    <definedName name="新目录" localSheetId="43" hidden="1">#REF!</definedName>
    <definedName name="_xlnm.Print_Area" localSheetId="43">'其他业务收入合同测算表D4-34'!$A$1:$K$29</definedName>
    <definedName name="AFV" localSheetId="44" hidden="1">#REF!</definedName>
    <definedName name="CCD" localSheetId="44" hidden="1">#REF!</definedName>
    <definedName name="CDE" localSheetId="44" hidden="1">#REF!</definedName>
    <definedName name="DEX" localSheetId="44" hidden="1">#REF!</definedName>
    <definedName name="EDC" localSheetId="44" hidden="1">#REF!</definedName>
    <definedName name="FASD" localSheetId="44" hidden="1">#REF!</definedName>
    <definedName name="RDES" localSheetId="44" hidden="1">#REF!</definedName>
    <definedName name="VFE" localSheetId="44" hidden="1">#REF!</definedName>
    <definedName name="XAP" localSheetId="44" hidden="1">#REF!</definedName>
    <definedName name="XAQ" localSheetId="44" hidden="1">#REF!</definedName>
    <definedName name="XCD" localSheetId="44" hidden="1">#REF!</definedName>
    <definedName name="XREF_COLUMN_1" localSheetId="44" hidden="1">#REF!</definedName>
    <definedName name="XREF_COLUMN_3" localSheetId="44" hidden="1">#REF!</definedName>
    <definedName name="XRefActiveRow" localSheetId="44" hidden="1">#REF!</definedName>
    <definedName name="XRefCopy1" localSheetId="44" hidden="1">#REF!</definedName>
    <definedName name="XRefCopy1Row" localSheetId="44" hidden="1">#REF!</definedName>
    <definedName name="XRefCopy2Row" localSheetId="44" hidden="1">#REF!</definedName>
    <definedName name="XRefPaste1" localSheetId="44" hidden="1">#REF!</definedName>
    <definedName name="XRefPaste1Row" localSheetId="44" hidden="1">#REF!</definedName>
    <definedName name="XRefPaste2" localSheetId="44" hidden="1">#REF!</definedName>
    <definedName name="XRefPaste2Row" localSheetId="44" hidden="1">#REF!</definedName>
    <definedName name="XRefPaste3" localSheetId="44" hidden="1">#REF!</definedName>
    <definedName name="XRefPaste3Row" localSheetId="44" hidden="1">#REF!</definedName>
    <definedName name="底稿目录" localSheetId="44" hidden="1">#REF!</definedName>
    <definedName name="去" localSheetId="44" hidden="1">#REF!</definedName>
    <definedName name="新目录" localSheetId="44" hidden="1">#REF!</definedName>
    <definedName name="_xlnm.Print_Area" localSheetId="44">'其他业务收入检查表D4-35'!$A$1:$Q$34</definedName>
    <definedName name="AFV" localSheetId="45" hidden="1">#REF!</definedName>
    <definedName name="CCD" localSheetId="45" hidden="1">#REF!</definedName>
    <definedName name="CDE" localSheetId="45" hidden="1">#REF!</definedName>
    <definedName name="DEX" localSheetId="45" hidden="1">#REF!</definedName>
    <definedName name="EDC" localSheetId="45" hidden="1">#REF!</definedName>
    <definedName name="FASD" localSheetId="45" hidden="1">#REF!</definedName>
    <definedName name="RDES" localSheetId="45" hidden="1">#REF!</definedName>
    <definedName name="VFE" localSheetId="45" hidden="1">#REF!</definedName>
    <definedName name="XAP" localSheetId="45" hidden="1">#REF!</definedName>
    <definedName name="XAQ" localSheetId="45" hidden="1">#REF!</definedName>
    <definedName name="XCD" localSheetId="45" hidden="1">#REF!</definedName>
    <definedName name="XREF_COLUMN_1" localSheetId="45" hidden="1">#REF!</definedName>
    <definedName name="XREF_COLUMN_3" localSheetId="45" hidden="1">#REF!</definedName>
    <definedName name="XRefActiveRow" localSheetId="45" hidden="1">#REF!</definedName>
    <definedName name="XRefCopy1" localSheetId="45" hidden="1">#REF!</definedName>
    <definedName name="XRefCopy1Row" localSheetId="45" hidden="1">#REF!</definedName>
    <definedName name="XRefCopy2Row" localSheetId="45" hidden="1">#REF!</definedName>
    <definedName name="XRefPaste1" localSheetId="45" hidden="1">#REF!</definedName>
    <definedName name="XRefPaste1Row" localSheetId="45" hidden="1">#REF!</definedName>
    <definedName name="XRefPaste2" localSheetId="45" hidden="1">#REF!</definedName>
    <definedName name="XRefPaste2Row" localSheetId="45" hidden="1">#REF!</definedName>
    <definedName name="XRefPaste3" localSheetId="45" hidden="1">#REF!</definedName>
    <definedName name="XRefPaste3Row" localSheetId="45" hidden="1">#REF!</definedName>
    <definedName name="底稿目录" localSheetId="45" hidden="1">#REF!</definedName>
    <definedName name="去" localSheetId="45" hidden="1">#REF!</definedName>
    <definedName name="新目录" localSheetId="45" hidden="1">#REF!</definedName>
    <definedName name="_xlnm.Print_Area" localSheetId="45">'其他业务收入截止性测试D4-36'!$A$1:$K$57</definedName>
  </definedNames>
  <calcPr calcId="191029" fullCalcOnLoad="1"/>
</workbook>
</file>

<file path=xl/styles.xml><?xml version="1.0" encoding="utf-8"?>
<styleSheet xmlns="http://schemas.openxmlformats.org/spreadsheetml/2006/main">
  <numFmts count="8">
    <numFmt numFmtId="164" formatCode="_([$€-2]* #,##0.00_);_([$€-2]* \(#,##0.00\);_([$€-2]* &quot;-&quot;??_)"/>
    <numFmt numFmtId="165" formatCode="_ * #,##0.00_ ;_ * \-#,##0.00_ ;_ * &quot;-&quot;??_ ;_ @_ "/>
    <numFmt numFmtId="166" formatCode="#,##0.00_ "/>
    <numFmt numFmtId="167" formatCode="#,##0_ "/>
    <numFmt numFmtId="168" formatCode="#,##0.00_);[Red]\(#,##0.00\)"/>
    <numFmt numFmtId="169" formatCode="0_);[Red]\(0\)"/>
    <numFmt numFmtId="170" formatCode="#,##0.000_ "/>
    <numFmt numFmtId="171" formatCode="0.00_);[Red]\(0.00\)"/>
  </numFmts>
  <fonts count="104">
    <font>
      <name val="宋体"/>
      <charset val="134"/>
      <color theme="1"/>
      <sz val="11"/>
      <scheme val="minor"/>
    </font>
    <font>
      <name val="宋体"/>
      <charset val="134"/>
      <sz val="10"/>
    </font>
    <font>
      <name val="宋体"/>
      <charset val="134"/>
      <b val="1"/>
      <sz val="12"/>
    </font>
    <font>
      <name val="宋体"/>
      <charset val="134"/>
      <b val="1"/>
      <sz val="10"/>
    </font>
    <font>
      <name val="宋体"/>
      <charset val="134"/>
      <b val="1"/>
      <sz val="14"/>
    </font>
    <font>
      <name val="Arial Narrow"/>
      <charset val="134"/>
      <color rgb="FF0000FF"/>
      <sz val="10"/>
    </font>
    <font>
      <name val="宋体"/>
      <charset val="134"/>
      <color rgb="FFFF0000"/>
      <sz val="10"/>
    </font>
    <font>
      <name val="宋体"/>
      <charset val="134"/>
      <color rgb="FF000000"/>
      <sz val="10"/>
    </font>
    <font>
      <name val="宋体"/>
      <charset val="134"/>
      <color rgb="FF0000FF"/>
      <sz val="10"/>
    </font>
    <font>
      <name val="宋体"/>
      <charset val="134"/>
      <b val="1"/>
      <color rgb="FFFF0000"/>
      <sz val="10"/>
    </font>
    <font>
      <name val="Arial Narrow"/>
      <charset val="134"/>
      <b val="1"/>
      <sz val="10"/>
    </font>
    <font>
      <name val="Arial Narrow"/>
      <charset val="134"/>
      <sz val="10"/>
    </font>
    <font>
      <name val="宋体"/>
      <charset val="134"/>
      <color rgb="FF0000CC"/>
      <sz val="10"/>
    </font>
    <font>
      <name val="宋体"/>
      <charset val="134"/>
      <b val="1"/>
      <color rgb="FF000000"/>
      <sz val="10"/>
    </font>
    <font>
      <name val="宋体"/>
      <charset val="134"/>
      <b val="1"/>
      <color rgb="FF0000FF"/>
      <sz val="10"/>
    </font>
    <font>
      <name val="宋体"/>
      <charset val="134"/>
      <sz val="12"/>
    </font>
    <font>
      <name val="宋体"/>
      <charset val="134"/>
      <sz val="12"/>
    </font>
    <font>
      <name val="宋体"/>
      <charset val="134"/>
      <sz val="9"/>
    </font>
    <font>
      <name val="宋体"/>
      <charset val="134"/>
      <b val="1"/>
      <sz val="9"/>
    </font>
    <font>
      <name val="Arial"/>
      <charset val="134"/>
      <sz val="9"/>
    </font>
    <font>
      <name val="宋体"/>
      <charset val="134"/>
      <color rgb="FFFF0000"/>
      <sz val="9"/>
    </font>
    <font>
      <name val="Arial Narrow"/>
      <charset val="134"/>
      <color rgb="FF333399"/>
      <sz val="10"/>
    </font>
    <font>
      <name val="宋体"/>
      <charset val="134"/>
      <color rgb="FF0000FF"/>
      <sz val="10"/>
      <u val="single"/>
    </font>
    <font>
      <name val="Arial Narrow"/>
      <charset val="134"/>
      <b val="1"/>
      <sz val="12"/>
    </font>
    <font>
      <name val="Arial Narrow"/>
      <charset val="134"/>
      <sz val="12"/>
    </font>
    <font>
      <name val="宋体"/>
      <charset val="134"/>
      <b val="1"/>
      <color rgb="FFFF0000"/>
      <sz val="10"/>
      <u val="single"/>
    </font>
    <font>
      <name val="Arial Narrow"/>
      <charset val="134"/>
      <color rgb="FF000000"/>
      <sz val="10"/>
    </font>
    <font>
      <name val="宋体"/>
      <charset val="134"/>
      <b val="1"/>
      <color rgb="FF000000"/>
      <sz val="12"/>
    </font>
    <font>
      <name val="宋体"/>
      <charset val="134"/>
      <b val="1"/>
      <color rgb="FF000000"/>
      <sz val="14"/>
    </font>
    <font>
      <name val="Arial Narrow"/>
      <charset val="134"/>
      <b val="1"/>
      <color rgb="FF000000"/>
      <sz val="10"/>
    </font>
    <font>
      <name val="Arial Narrow"/>
      <charset val="134"/>
      <color rgb="FFFF0000"/>
      <sz val="10"/>
    </font>
    <font>
      <name val="Arial Narrow"/>
      <charset val="134"/>
      <b val="1"/>
      <color rgb="FFFF0000"/>
      <sz val="10"/>
    </font>
    <font>
      <name val="Arial Narrow"/>
      <charset val="134"/>
      <color rgb="FF0000CC"/>
      <sz val="10"/>
    </font>
    <font>
      <name val="等线"/>
      <charset val="134"/>
      <color rgb="FF0000FF"/>
      <sz val="11"/>
    </font>
    <font>
      <name val="宋体"/>
      <charset val="134"/>
      <color rgb="FF0000FF"/>
      <sz val="11"/>
    </font>
    <font>
      <name val="宋体"/>
      <charset val="134"/>
      <b val="1"/>
      <color rgb="FF000000"/>
      <sz val="18"/>
    </font>
    <font>
      <name val="等线"/>
      <charset val="134"/>
      <color theme="1"/>
      <sz val="11"/>
    </font>
    <font>
      <name val="宋体"/>
      <charset val="134"/>
      <color rgb="FF000000"/>
      <sz val="11"/>
    </font>
    <font>
      <name val="宋体"/>
      <charset val="134"/>
      <sz val="14"/>
    </font>
    <font>
      <name val="宋体"/>
      <charset val="134"/>
      <color rgb="FFFF0000"/>
      <sz val="12"/>
    </font>
    <font>
      <name val="等线"/>
      <charset val="134"/>
      <sz val="10"/>
    </font>
    <font>
      <name val="宋体"/>
      <charset val="134"/>
      <color rgb="FF0000FF"/>
      <sz val="11"/>
      <u val="single"/>
    </font>
    <font>
      <name val="宋体"/>
      <charset val="134"/>
      <sz val="11"/>
    </font>
    <font>
      <name val="等线"/>
      <charset val="134"/>
      <color rgb="FF0000FF"/>
      <sz val="11"/>
      <u val="single"/>
    </font>
    <font>
      <name val="宋体"/>
      <charset val="134"/>
      <i val="1"/>
      <color rgb="FF0000FF"/>
      <sz val="10"/>
    </font>
    <font>
      <name val="宋体"/>
      <charset val="134"/>
      <color rgb="FF3333FF"/>
      <sz val="10"/>
    </font>
    <font>
      <name val="等线"/>
      <charset val="134"/>
      <color rgb="FF0563C1"/>
      <sz val="11"/>
      <u val="single"/>
    </font>
    <font>
      <name val="等线"/>
      <charset val="134"/>
      <color rgb="FF000000"/>
      <sz val="11"/>
    </font>
    <font>
      <name val="Arial Narrow"/>
      <charset val="134"/>
      <color rgb="FF0000FF"/>
      <sz val="10"/>
      <u val="single"/>
    </font>
    <font>
      <name val="宋体"/>
      <charset val="134"/>
      <color rgb="FF333399"/>
      <sz val="10"/>
    </font>
    <font>
      <name val="宋体"/>
      <charset val="134"/>
      <color rgb="FF0563C1"/>
      <sz val="10"/>
      <u val="single"/>
    </font>
    <font>
      <name val="宋体"/>
      <charset val="134"/>
      <b val="1"/>
      <color rgb="FFE92841"/>
      <sz val="10"/>
    </font>
    <font>
      <name val="宋体"/>
      <charset val="134"/>
      <color rgb="FF0070C0"/>
      <sz val="10"/>
    </font>
    <font>
      <name val="仿宋_GB2312"/>
      <charset val="134"/>
      <sz val="10"/>
    </font>
    <font>
      <name val="宋体"/>
      <charset val="134"/>
      <b val="1"/>
      <color rgb="FF0000FF"/>
      <sz val="10"/>
      <u val="single"/>
    </font>
    <font>
      <name val="仿宋_GB2312"/>
      <charset val="134"/>
      <sz val="12"/>
    </font>
    <font>
      <name val="仿宋_GB2312"/>
      <charset val="134"/>
      <b val="1"/>
      <sz val="10.5"/>
    </font>
    <font>
      <name val="仿宋_GB2312"/>
      <charset val="134"/>
      <sz val="10.5"/>
    </font>
    <font>
      <name val="仿宋_GB2312"/>
      <charset val="134"/>
      <color rgb="FF0000FF"/>
      <sz val="12"/>
    </font>
    <font>
      <name val="仿宋_GB2312"/>
      <charset val="134"/>
      <b val="1"/>
      <color rgb="FF000000"/>
      <sz val="10.5"/>
    </font>
    <font>
      <name val="仿宋_GB2312"/>
      <charset val="134"/>
      <color rgb="FFFF0000"/>
      <sz val="10.5"/>
    </font>
    <font>
      <name val="仿宋_GB2312"/>
      <charset val="134"/>
      <b val="1"/>
      <color rgb="FF000000"/>
      <sz val="12"/>
    </font>
    <font>
      <name val="仿宋_GB2312"/>
      <charset val="134"/>
      <b val="1"/>
      <color rgb="FFFF0000"/>
      <sz val="12"/>
    </font>
    <font>
      <name val="宋体"/>
      <charset val="134"/>
      <b val="1"/>
      <color rgb="FFFF0000"/>
      <sz val="11"/>
    </font>
    <font>
      <name val="仿宋_GB2312"/>
      <charset val="134"/>
      <b val="1"/>
      <sz val="12"/>
    </font>
    <font>
      <name val="仿宋_GB2312"/>
      <charset val="134"/>
      <b val="1"/>
      <color rgb="FF0000FF"/>
      <sz val="12"/>
    </font>
    <font>
      <name val="仿宋_GB2312"/>
      <charset val="134"/>
      <b val="1"/>
      <color rgb="FF0000FF"/>
      <sz val="10.5"/>
    </font>
    <font>
      <name val="Times New Roman"/>
      <charset val="134"/>
      <sz val="12"/>
    </font>
    <font>
      <name val="Arial Narrow"/>
      <charset val="134"/>
      <color rgb="FF0000FF"/>
      <sz val="12"/>
      <u val="single"/>
    </font>
    <font>
      <name val="Arial Narrow"/>
      <charset val="134"/>
      <color rgb="FF0000FF"/>
      <sz val="12"/>
    </font>
    <font>
      <name val="仿宋_GB2312"/>
      <charset val="134"/>
      <color rgb="FFFF0000"/>
      <sz val="12"/>
    </font>
    <font>
      <name val="Arial Narrow"/>
      <charset val="134"/>
      <color rgb="FFFF0000"/>
      <sz val="12"/>
    </font>
    <font>
      <name val="微软雅黑"/>
      <charset val="134"/>
      <color rgb="FF0000FF"/>
      <sz val="12"/>
    </font>
    <font>
      <name val="微软雅黑"/>
      <charset val="134"/>
      <b val="1"/>
      <color rgb="FF0000FF"/>
      <sz val="12"/>
    </font>
    <font>
      <name val="Arial Narrow"/>
      <charset val="134"/>
      <b val="1"/>
      <color rgb="FF0000FF"/>
      <sz val="12"/>
    </font>
    <font>
      <name val="微软雅黑"/>
      <charset val="134"/>
      <sz val="12"/>
    </font>
    <font>
      <name val="宋体"/>
      <charset val="134"/>
      <i val="1"/>
      <color rgb="FF0000FF"/>
      <sz val="10"/>
      <u val="single"/>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charset val="134"/>
      <sz val="10"/>
    </font>
    <font>
      <name val="楷体"/>
      <charset val="134"/>
      <sz val="12"/>
    </font>
    <font>
      <name val="等线"/>
      <charset val="134"/>
      <color rgb="FF000000"/>
      <sz val="10"/>
    </font>
    <font>
      <name val="宋体"/>
      <charset val="134"/>
      <color rgb="FF000000"/>
      <sz val="12"/>
    </font>
    <font>
      <name val="Arial"/>
      <charset val="134"/>
      <color rgb="FF000000"/>
      <sz val="10"/>
    </font>
    <font>
      <name val="Times New Roman"/>
      <charset val="134"/>
      <color rgb="FF000000"/>
      <sz val="10"/>
    </font>
    <font>
      <name val="宋体"/>
      <charset val="134"/>
      <b val="1"/>
      <sz val="9"/>
    </font>
    <font>
      <name val="宋体"/>
      <charset val="134"/>
      <sz val="9"/>
    </font>
  </fonts>
  <fills count="42">
    <fill>
      <patternFill/>
    </fill>
    <fill>
      <patternFill patternType="gray125"/>
    </fill>
    <fill>
      <patternFill patternType="solid">
        <fgColor rgb="FFE4DFEC"/>
        <bgColor indexed="64"/>
      </patternFill>
    </fill>
    <fill>
      <patternFill patternType="solid">
        <fgColor rgb="FFE4DFEC"/>
        <bgColor rgb="FFB7DEE8"/>
      </patternFill>
    </fill>
    <fill>
      <patternFill patternType="solid">
        <fgColor rgb="FFFF00FF"/>
        <bgColor indexed="64"/>
      </patternFill>
    </fill>
    <fill>
      <patternFill patternType="solid">
        <fgColor rgb="FFFFFFFF"/>
        <bgColor indexed="64"/>
      </patternFill>
    </fill>
    <fill>
      <patternFill patternType="solid">
        <fgColor rgb="FFBFBFBF"/>
        <bgColor indexed="64"/>
      </patternFill>
    </fill>
    <fill>
      <patternFill patternType="solid">
        <fgColor rgb="FFFFFF00"/>
        <bgColor indexed="64"/>
      </patternFill>
    </fill>
    <fill>
      <patternFill patternType="solid">
        <fgColor rgb="FFD9D9D9"/>
        <bgColor indexed="64"/>
      </patternFill>
    </fill>
    <fill>
      <patternFill patternType="solid">
        <fgColor rgb="FFDCD5E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hair">
        <color auto="1"/>
      </top>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style="hair">
        <color auto="1"/>
      </right>
      <top/>
      <bottom/>
      <diagonal/>
    </border>
    <border>
      <left/>
      <right/>
      <top style="thin">
        <color auto="1"/>
      </top>
      <bottom/>
      <diagonal/>
    </border>
    <border>
      <left style="hair">
        <color auto="1"/>
      </left>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medium">
        <color rgb="FF000000"/>
      </top>
      <bottom style="medium">
        <color rgb="FF000000"/>
      </bottom>
      <diagonal/>
    </border>
    <border>
      <left/>
      <right/>
      <top style="medium">
        <color auto="1"/>
      </top>
      <bottom style="medium">
        <color rgb="FF000000"/>
      </bottom>
      <diagonal/>
    </border>
    <border>
      <left/>
      <right/>
      <top/>
      <bottom style="medium">
        <color rgb="FF000000"/>
      </bottom>
      <diagonal/>
    </border>
    <border>
      <left style="hair">
        <color rgb="FF000000"/>
      </left>
      <right style="hair">
        <color rgb="FF000000"/>
      </right>
      <top style="hair">
        <color rgb="FF000000"/>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hair">
        <color auto="1"/>
      </right>
      <top style="hair">
        <color auto="1"/>
      </top>
      <bottom/>
      <diagonal/>
    </border>
    <border>
      <left/>
      <right/>
      <top style="hair">
        <color rgb="FF000000"/>
      </top>
      <bottom/>
      <diagonal/>
    </border>
    <border>
      <left/>
      <right style="hair">
        <color rgb="FF000000"/>
      </right>
      <top style="hair">
        <color rgb="FF000000"/>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hair">
        <color auto="1"/>
      </right>
      <top/>
      <bottom/>
      <diagonal/>
    </border>
  </borders>
  <cellStyleXfs count="11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7" fillId="0" borderId="0" applyAlignment="1">
      <alignment vertical="center"/>
    </xf>
    <xf numFmtId="0" fontId="78" fillId="0" borderId="0" applyAlignment="1">
      <alignment vertical="center"/>
    </xf>
    <xf numFmtId="0" fontId="0" fillId="11" borderId="23" applyAlignment="1">
      <alignment vertical="center"/>
    </xf>
    <xf numFmtId="0" fontId="79" fillId="0" borderId="0" applyAlignment="1">
      <alignment vertical="center"/>
    </xf>
    <xf numFmtId="0" fontId="80" fillId="0" borderId="0" applyAlignment="1">
      <alignment vertical="center"/>
    </xf>
    <xf numFmtId="0" fontId="81" fillId="0" borderId="0" applyAlignment="1">
      <alignment vertical="center"/>
    </xf>
    <xf numFmtId="0" fontId="82" fillId="0" borderId="24" applyAlignment="1">
      <alignment vertical="center"/>
    </xf>
    <xf numFmtId="0" fontId="83" fillId="0" borderId="24" applyAlignment="1">
      <alignment vertical="center"/>
    </xf>
    <xf numFmtId="0" fontId="84" fillId="0" borderId="25" applyAlignment="1">
      <alignment vertical="center"/>
    </xf>
    <xf numFmtId="0" fontId="84" fillId="0" borderId="0" applyAlignment="1">
      <alignment vertical="center"/>
    </xf>
    <xf numFmtId="0" fontId="85" fillId="12" borderId="26" applyAlignment="1">
      <alignment vertical="center"/>
    </xf>
    <xf numFmtId="0" fontId="86" fillId="13" borderId="27" applyAlignment="1">
      <alignment vertical="center"/>
    </xf>
    <xf numFmtId="0" fontId="87" fillId="13" borderId="26" applyAlignment="1">
      <alignment vertical="center"/>
    </xf>
    <xf numFmtId="0" fontId="88" fillId="14" borderId="28" applyAlignment="1">
      <alignment vertical="center"/>
    </xf>
    <xf numFmtId="0" fontId="89" fillId="0" borderId="29" applyAlignment="1">
      <alignment vertical="center"/>
    </xf>
    <xf numFmtId="0" fontId="90" fillId="0" borderId="30" applyAlignment="1">
      <alignment vertical="center"/>
    </xf>
    <xf numFmtId="0" fontId="91" fillId="15" borderId="0" applyAlignment="1">
      <alignment vertical="center"/>
    </xf>
    <xf numFmtId="0" fontId="92" fillId="16" borderId="0" applyAlignment="1">
      <alignment vertical="center"/>
    </xf>
    <xf numFmtId="0" fontId="93" fillId="17" borderId="0" applyAlignment="1">
      <alignment vertical="center"/>
    </xf>
    <xf numFmtId="0" fontId="94" fillId="18" borderId="0" applyAlignment="1">
      <alignment vertical="center"/>
    </xf>
    <xf numFmtId="0" fontId="95" fillId="19" borderId="0" applyAlignment="1">
      <alignment vertical="center"/>
    </xf>
    <xf numFmtId="0" fontId="95" fillId="20" borderId="0" applyAlignment="1">
      <alignment vertical="center"/>
    </xf>
    <xf numFmtId="0" fontId="94" fillId="21" borderId="0" applyAlignment="1">
      <alignment vertical="center"/>
    </xf>
    <xf numFmtId="0" fontId="94" fillId="22" borderId="0" applyAlignment="1">
      <alignment vertical="center"/>
    </xf>
    <xf numFmtId="0" fontId="95" fillId="23" borderId="0" applyAlignment="1">
      <alignment vertical="center"/>
    </xf>
    <xf numFmtId="0" fontId="95" fillId="24" borderId="0" applyAlignment="1">
      <alignment vertical="center"/>
    </xf>
    <xf numFmtId="0" fontId="94" fillId="25" borderId="0" applyAlignment="1">
      <alignment vertical="center"/>
    </xf>
    <xf numFmtId="0" fontId="94" fillId="26" borderId="0" applyAlignment="1">
      <alignment vertical="center"/>
    </xf>
    <xf numFmtId="0" fontId="95" fillId="27" borderId="0" applyAlignment="1">
      <alignment vertical="center"/>
    </xf>
    <xf numFmtId="0" fontId="95" fillId="28" borderId="0" applyAlignment="1">
      <alignment vertical="center"/>
    </xf>
    <xf numFmtId="0" fontId="94" fillId="29" borderId="0" applyAlignment="1">
      <alignment vertical="center"/>
    </xf>
    <xf numFmtId="0" fontId="94" fillId="30" borderId="0" applyAlignment="1">
      <alignment vertical="center"/>
    </xf>
    <xf numFmtId="0" fontId="95" fillId="31" borderId="0" applyAlignment="1">
      <alignment vertical="center"/>
    </xf>
    <xf numFmtId="0" fontId="95" fillId="32" borderId="0" applyAlignment="1">
      <alignment vertical="center"/>
    </xf>
    <xf numFmtId="0" fontId="94" fillId="33" borderId="0" applyAlignment="1">
      <alignment vertical="center"/>
    </xf>
    <xf numFmtId="0" fontId="94" fillId="34" borderId="0" applyAlignment="1">
      <alignment vertical="center"/>
    </xf>
    <xf numFmtId="0" fontId="95" fillId="35" borderId="0" applyAlignment="1">
      <alignment vertical="center"/>
    </xf>
    <xf numFmtId="0" fontId="95" fillId="36" borderId="0" applyAlignment="1">
      <alignment vertical="center"/>
    </xf>
    <xf numFmtId="0" fontId="94" fillId="37" borderId="0" applyAlignment="1">
      <alignment vertical="center"/>
    </xf>
    <xf numFmtId="0" fontId="94" fillId="38" borderId="0" applyAlignment="1">
      <alignment vertical="center"/>
    </xf>
    <xf numFmtId="0" fontId="95" fillId="39" borderId="0" applyAlignment="1">
      <alignment vertical="center"/>
    </xf>
    <xf numFmtId="0" fontId="95" fillId="40" borderId="0" applyAlignment="1">
      <alignment vertical="center"/>
    </xf>
    <xf numFmtId="0" fontId="94" fillId="41" borderId="0" applyAlignment="1">
      <alignment vertical="center"/>
    </xf>
    <xf numFmtId="164" fontId="16" fillId="0" borderId="0" applyProtection="1">
      <protection locked="0" hidden="0"/>
    </xf>
    <xf numFmtId="164" fontId="16" fillId="0" borderId="0" applyAlignment="1">
      <alignment vertical="center"/>
    </xf>
    <xf numFmtId="164" fontId="16" fillId="0" borderId="0" applyAlignment="1" applyProtection="1">
      <alignment vertical="center"/>
      <protection locked="0" hidden="0"/>
    </xf>
    <xf numFmtId="164" fontId="16" fillId="0" borderId="0" applyAlignment="1">
      <alignment vertical="center"/>
    </xf>
    <xf numFmtId="164" fontId="16" fillId="0" borderId="0" applyAlignment="1">
      <alignment vertical="center"/>
    </xf>
    <xf numFmtId="164" fontId="37" fillId="0" borderId="0" applyAlignment="1">
      <alignment vertical="center"/>
    </xf>
    <xf numFmtId="164" fontId="37" fillId="0" borderId="0" applyAlignment="1">
      <alignment vertical="center"/>
    </xf>
    <xf numFmtId="164" fontId="1" fillId="0" borderId="0" applyAlignment="1">
      <alignment vertical="center"/>
    </xf>
    <xf numFmtId="164" fontId="16" fillId="0" borderId="0" applyProtection="1">
      <protection locked="0" hidden="0"/>
    </xf>
    <xf numFmtId="164" fontId="16" fillId="0" borderId="0"/>
    <xf numFmtId="43" fontId="16" fillId="0" borderId="0"/>
    <xf numFmtId="43" fontId="16" fillId="0" borderId="0"/>
    <xf numFmtId="164" fontId="67" fillId="0" borderId="0"/>
    <xf numFmtId="164" fontId="16" fillId="0" borderId="0" applyAlignment="1">
      <alignment vertical="center"/>
    </xf>
    <xf numFmtId="0" fontId="16" fillId="0" borderId="0"/>
    <xf numFmtId="164" fontId="16" fillId="0" borderId="0" applyProtection="1">
      <protection locked="0" hidden="0"/>
    </xf>
    <xf numFmtId="43" fontId="1" fillId="0" borderId="0" applyAlignment="1">
      <alignment vertical="center"/>
    </xf>
    <xf numFmtId="164" fontId="22" fillId="0" borderId="0" applyAlignment="1" applyProtection="1">
      <alignment vertical="top"/>
      <protection locked="0" hidden="0"/>
    </xf>
    <xf numFmtId="164" fontId="16" fillId="0" borderId="0" applyAlignment="1">
      <alignment vertical="center"/>
    </xf>
    <xf numFmtId="9" fontId="16" fillId="0" borderId="0"/>
    <xf numFmtId="164" fontId="96" fillId="0" borderId="0"/>
    <xf numFmtId="164" fontId="16" fillId="0" borderId="0"/>
    <xf numFmtId="164" fontId="16" fillId="0" borderId="0" applyAlignment="1">
      <alignment vertical="center"/>
    </xf>
    <xf numFmtId="164" fontId="16" fillId="0" borderId="0" applyProtection="1">
      <protection locked="0" hidden="0"/>
    </xf>
    <xf numFmtId="164" fontId="16" fillId="0" borderId="0" applyAlignment="1">
      <alignment vertical="center"/>
    </xf>
    <xf numFmtId="9" fontId="16" fillId="0" borderId="0"/>
    <xf numFmtId="164" fontId="16" fillId="0" borderId="0"/>
    <xf numFmtId="164" fontId="37" fillId="0" borderId="0"/>
    <xf numFmtId="164" fontId="16" fillId="0" borderId="0"/>
    <xf numFmtId="0" fontId="16" fillId="0" borderId="0" applyProtection="1">
      <protection locked="0" hidden="0"/>
    </xf>
    <xf numFmtId="164" fontId="16" fillId="0" borderId="0"/>
    <xf numFmtId="164" fontId="16" fillId="0" borderId="0" applyProtection="1">
      <protection locked="0" hidden="0"/>
    </xf>
    <xf numFmtId="164" fontId="16" fillId="0" borderId="0" applyProtection="1">
      <protection locked="0" hidden="0"/>
    </xf>
    <xf numFmtId="164" fontId="16" fillId="0" borderId="0"/>
    <xf numFmtId="0" fontId="16" fillId="0" borderId="0" applyProtection="1">
      <protection locked="0" hidden="0"/>
    </xf>
    <xf numFmtId="0" fontId="97" fillId="0" borderId="0" applyAlignment="1">
      <alignment horizontal="centerContinuous"/>
    </xf>
    <xf numFmtId="0" fontId="97" fillId="0" borderId="0"/>
    <xf numFmtId="0" fontId="16" fillId="0" borderId="0"/>
    <xf numFmtId="9" fontId="16" fillId="0" borderId="0"/>
    <xf numFmtId="164" fontId="97" fillId="0" borderId="0"/>
    <xf numFmtId="0" fontId="16" fillId="0" borderId="0" applyAlignment="1">
      <alignment vertical="center"/>
    </xf>
    <xf numFmtId="0" fontId="16" fillId="0" borderId="0" applyProtection="1">
      <protection locked="0" hidden="0"/>
    </xf>
    <xf numFmtId="164" fontId="47" fillId="0" borderId="0"/>
    <xf numFmtId="43" fontId="16" fillId="0" borderId="0"/>
    <xf numFmtId="164" fontId="46" fillId="0" borderId="0"/>
    <xf numFmtId="164" fontId="16" fillId="0" borderId="0"/>
    <xf numFmtId="164" fontId="16" fillId="0" borderId="0" applyProtection="1">
      <protection locked="0" hidden="0"/>
    </xf>
    <xf numFmtId="164" fontId="16" fillId="0" borderId="0" applyProtection="1">
      <protection locked="0" hidden="0"/>
    </xf>
    <xf numFmtId="164" fontId="16" fillId="0" borderId="0"/>
    <xf numFmtId="164" fontId="47" fillId="0" borderId="0" applyAlignment="1">
      <alignment vertical="center"/>
    </xf>
    <xf numFmtId="164" fontId="16" fillId="0" borderId="0" applyProtection="1">
      <protection locked="0" hidden="0"/>
    </xf>
    <xf numFmtId="164" fontId="67" fillId="0" borderId="0"/>
    <xf numFmtId="164" fontId="16" fillId="0" borderId="0" applyAlignment="1">
      <alignment vertical="center"/>
    </xf>
    <xf numFmtId="164" fontId="98" fillId="0" borderId="0" applyAlignment="1">
      <alignment vertical="center"/>
    </xf>
    <xf numFmtId="9" fontId="16" fillId="0" borderId="0" applyAlignment="1">
      <alignment vertical="center"/>
    </xf>
    <xf numFmtId="0" fontId="16" fillId="0" borderId="0"/>
    <xf numFmtId="164" fontId="47" fillId="0" borderId="0"/>
    <xf numFmtId="43" fontId="16" fillId="0" borderId="0"/>
    <xf numFmtId="164" fontId="47" fillId="0" borderId="0" applyAlignment="1">
      <alignment vertical="center"/>
    </xf>
    <xf numFmtId="164" fontId="99" fillId="0" borderId="0" applyAlignment="1">
      <alignment vertical="center"/>
    </xf>
    <xf numFmtId="164" fontId="16" fillId="0" borderId="0" applyAlignment="1">
      <alignment vertical="center"/>
    </xf>
    <xf numFmtId="164" fontId="16" fillId="0" borderId="0" applyProtection="1">
      <protection locked="0" hidden="0"/>
    </xf>
    <xf numFmtId="164" fontId="100" fillId="0" borderId="0" applyAlignment="1" applyProtection="1">
      <alignment vertical="top"/>
      <protection locked="0" hidden="0"/>
    </xf>
    <xf numFmtId="164" fontId="37" fillId="0" borderId="0" applyAlignment="1">
      <alignment vertical="center"/>
    </xf>
    <xf numFmtId="164" fontId="101" fillId="0" borderId="0" applyAlignment="1" applyProtection="1">
      <alignment vertical="center"/>
      <protection locked="0" hidden="0"/>
    </xf>
    <xf numFmtId="0" fontId="16" fillId="0" borderId="0"/>
    <xf numFmtId="0" fontId="16" fillId="0" borderId="0"/>
    <xf numFmtId="0" fontId="16" fillId="0" borderId="0" applyProtection="1">
      <protection locked="0" hidden="0"/>
    </xf>
    <xf numFmtId="0" fontId="96" fillId="0" borderId="0"/>
    <xf numFmtId="164" fontId="16" fillId="0" borderId="0" applyProtection="1">
      <protection locked="0" hidden="0"/>
    </xf>
  </cellStyleXfs>
  <cellXfs count="1918">
    <xf numFmtId="0" fontId="0" fillId="0" borderId="0" applyAlignment="1" pivotButton="0" quotePrefix="0" xfId="0">
      <alignment vertical="center"/>
    </xf>
    <xf numFmtId="0" fontId="1" fillId="0" borderId="0" applyAlignment="1" applyProtection="1" pivotButton="0" quotePrefix="0" xfId="0">
      <alignment vertical="center"/>
      <protection locked="0" hidden="0"/>
    </xf>
    <xf numFmtId="0" fontId="1" fillId="0" borderId="0" applyAlignment="1" applyProtection="1" pivotButton="0" quotePrefix="0" xfId="0">
      <alignment vertical="center"/>
      <protection locked="0" hidden="0"/>
    </xf>
    <xf numFmtId="0" fontId="2" fillId="0" borderId="0" applyAlignment="1" pivotButton="0" quotePrefix="0" xfId="67">
      <alignment horizontal="center" vertical="center"/>
    </xf>
    <xf numFmtId="0" fontId="3" fillId="0" borderId="0" applyAlignment="1" pivotButton="0" quotePrefix="0" xfId="67">
      <alignment horizontal="center" vertical="center"/>
    </xf>
    <xf numFmtId="0" fontId="4" fillId="0" borderId="0" applyAlignment="1" pivotButton="0" quotePrefix="0" xfId="67">
      <alignment horizontal="center" vertical="center"/>
    </xf>
    <xf numFmtId="0" fontId="1" fillId="0" borderId="0" applyAlignment="1" pivotButton="0" quotePrefix="0" xfId="114">
      <alignment vertical="center"/>
    </xf>
    <xf numFmtId="0" fontId="1" fillId="0" borderId="0" applyAlignment="1" pivotButton="0" quotePrefix="0" xfId="114">
      <alignment horizontal="right" vertical="center"/>
    </xf>
    <xf numFmtId="0" fontId="1" fillId="0" borderId="0" applyAlignment="1" applyProtection="1" pivotButton="0" quotePrefix="0" xfId="0">
      <alignment vertical="center"/>
      <protection locked="0" hidden="0"/>
    </xf>
    <xf numFmtId="0" fontId="5" fillId="0" borderId="0" applyAlignment="1" pivotButton="0" quotePrefix="0" xfId="6">
      <alignment horizontal="left" vertical="center"/>
    </xf>
    <xf numFmtId="0" fontId="1" fillId="0" borderId="0" applyAlignment="1" pivotButton="0" quotePrefix="0" xfId="114">
      <alignment horizontal="center" vertical="center"/>
    </xf>
    <xf numFmtId="0" fontId="3" fillId="0" borderId="0" applyAlignment="1" pivotButton="0" quotePrefix="0" xfId="79">
      <alignment horizontal="left" vertical="center"/>
    </xf>
    <xf numFmtId="0" fontId="3" fillId="0" borderId="0" applyAlignment="1" pivotButton="0" quotePrefix="0" xfId="79">
      <alignment vertical="center"/>
    </xf>
    <xf numFmtId="0" fontId="1" fillId="0" borderId="0" applyAlignment="1" applyProtection="1" pivotButton="0" quotePrefix="0" xfId="0">
      <alignment vertical="center"/>
      <protection locked="0" hidden="0"/>
    </xf>
    <xf numFmtId="0" fontId="1" fillId="0" borderId="0" applyAlignment="1" pivotButton="0" quotePrefix="0" xfId="79">
      <alignment vertical="center"/>
    </xf>
    <xf numFmtId="0" fontId="1" fillId="0" borderId="0" applyAlignment="1" applyProtection="1" pivotButton="0" quotePrefix="0" xfId="79">
      <alignment vertical="center"/>
      <protection locked="0" hidden="0"/>
    </xf>
    <xf numFmtId="0" fontId="6" fillId="0" borderId="0" applyAlignment="1" pivotButton="0" quotePrefix="0" xfId="79">
      <alignment horizontal="left" vertical="center"/>
    </xf>
    <xf numFmtId="0" fontId="1" fillId="0" borderId="0" applyAlignment="1" pivotButton="0" quotePrefix="0" xfId="79">
      <alignment vertical="center" wrapText="1"/>
    </xf>
    <xf numFmtId="0" fontId="7" fillId="0" borderId="0" applyAlignment="1" pivotButton="0" quotePrefix="0" xfId="0">
      <alignment vertical="center"/>
    </xf>
    <xf numFmtId="0" fontId="8" fillId="0" borderId="0" applyAlignment="1" pivotButton="0" quotePrefix="0" xfId="79">
      <alignment horizontal="left" vertical="center" wrapText="1"/>
    </xf>
    <xf numFmtId="0" fontId="3" fillId="0" borderId="0" applyAlignment="1" pivotButton="0" quotePrefix="0" xfId="79">
      <alignment horizontal="left" vertical="center"/>
    </xf>
    <xf numFmtId="0" fontId="1" fillId="0" borderId="0" applyAlignment="1" pivotButton="0" quotePrefix="0" xfId="79">
      <alignment vertical="center"/>
    </xf>
    <xf numFmtId="0" fontId="3" fillId="0" borderId="0" applyAlignment="1" pivotButton="0" quotePrefix="0" xfId="79">
      <alignment vertical="center"/>
    </xf>
    <xf numFmtId="0" fontId="3" fillId="2" borderId="1" applyAlignment="1" applyProtection="1" pivotButton="0" quotePrefix="0" xfId="0">
      <alignment horizontal="center" vertical="center"/>
      <protection locked="0" hidden="0"/>
    </xf>
    <xf numFmtId="0" fontId="3" fillId="2" borderId="2" applyAlignment="1" applyProtection="1" pivotButton="0" quotePrefix="0" xfId="0">
      <alignment horizontal="center" vertical="center"/>
      <protection locked="0" hidden="0"/>
    </xf>
    <xf numFmtId="0" fontId="3" fillId="2" borderId="3" applyAlignment="1" applyProtection="1" pivotButton="0" quotePrefix="0" xfId="0">
      <alignment horizontal="center" vertical="center"/>
      <protection locked="0" hidden="0"/>
    </xf>
    <xf numFmtId="0" fontId="9" fillId="2" borderId="4" applyAlignment="1" applyProtection="1" pivotButton="0" quotePrefix="0" xfId="0">
      <alignment horizontal="center" vertical="center"/>
      <protection locked="0" hidden="0"/>
    </xf>
    <xf numFmtId="0" fontId="9" fillId="2" borderId="5" applyAlignment="1" applyProtection="1" pivotButton="0" quotePrefix="0" xfId="0">
      <alignment horizontal="center" vertical="center"/>
      <protection locked="0" hidden="0"/>
    </xf>
    <xf numFmtId="0" fontId="9" fillId="2" borderId="6" applyAlignment="1" applyProtection="1" pivotButton="0" quotePrefix="0" xfId="0">
      <alignment horizontal="center" vertical="center"/>
      <protection locked="0" hidden="0"/>
    </xf>
    <xf numFmtId="0" fontId="3" fillId="2" borderId="7" applyAlignment="1" applyProtection="1" pivotButton="0" quotePrefix="0" xfId="0">
      <alignment horizontal="center" vertical="center" wrapText="1"/>
      <protection locked="0" hidden="0"/>
    </xf>
    <xf numFmtId="164" fontId="3" fillId="2" borderId="8" applyAlignment="1" pivotButton="0" quotePrefix="0" xfId="85">
      <alignment horizontal="center" vertical="center"/>
    </xf>
    <xf numFmtId="0" fontId="3" fillId="2" borderId="8" applyAlignment="1" pivotButton="0" quotePrefix="0" xfId="85">
      <alignment horizontal="center" vertical="center"/>
    </xf>
    <xf numFmtId="0" fontId="3" fillId="2" borderId="9" applyAlignment="1" applyProtection="1" pivotButton="0" quotePrefix="0" xfId="0">
      <alignment horizontal="center" vertical="center" wrapText="1"/>
      <protection locked="0" hidden="0"/>
    </xf>
    <xf numFmtId="0" fontId="1" fillId="0" borderId="8" applyAlignment="1" pivotButton="0" quotePrefix="0" xfId="0">
      <alignment vertical="center"/>
    </xf>
    <xf numFmtId="0" fontId="1" fillId="0" borderId="8" applyAlignment="1" pivotButton="0" quotePrefix="0" xfId="0">
      <alignment horizontal="center" vertical="center" wrapText="1"/>
    </xf>
    <xf numFmtId="165" fontId="1" fillId="0" borderId="8" applyAlignment="1" pivotButton="0" quotePrefix="0" xfId="1">
      <alignment horizontal="center" vertical="center" wrapText="1"/>
    </xf>
    <xf numFmtId="0" fontId="1" fillId="0" borderId="8" applyAlignment="1" pivotButton="0" quotePrefix="0" xfId="1">
      <alignment vertical="center"/>
    </xf>
    <xf numFmtId="165" fontId="1" fillId="0" borderId="8" applyAlignment="1" pivotButton="0" quotePrefix="0" xfId="1">
      <alignment vertical="center"/>
    </xf>
    <xf numFmtId="14" fontId="10" fillId="0" borderId="1" applyAlignment="1" applyProtection="1" pivotButton="0" quotePrefix="0" xfId="90">
      <alignment horizontal="centerContinuous" vertical="center"/>
      <protection locked="0" hidden="0"/>
    </xf>
    <xf numFmtId="164" fontId="3" fillId="0" borderId="0" applyAlignment="1" pivotButton="0" quotePrefix="0" xfId="79">
      <alignment horizontal="left" vertical="center"/>
    </xf>
    <xf numFmtId="0" fontId="1" fillId="0" borderId="0" applyAlignment="1" pivotButton="0" quotePrefix="0" xfId="0">
      <alignment horizontal="center" vertical="center" wrapText="1"/>
    </xf>
    <xf numFmtId="165" fontId="1" fillId="0" borderId="0" applyAlignment="1" pivotButton="0" quotePrefix="0" xfId="1">
      <alignment horizontal="center" vertical="center" wrapText="1"/>
    </xf>
    <xf numFmtId="165" fontId="1" fillId="0" borderId="0" applyAlignment="1" pivotButton="0" quotePrefix="0" xfId="1">
      <alignment vertical="center"/>
    </xf>
    <xf numFmtId="0" fontId="9" fillId="2" borderId="8" applyAlignment="1" applyProtection="1" pivotButton="0" quotePrefix="0" xfId="0">
      <alignment horizontal="center" vertical="center"/>
      <protection locked="0" hidden="0"/>
    </xf>
    <xf numFmtId="0" fontId="3" fillId="2" borderId="8" applyAlignment="1" pivotButton="0" quotePrefix="0" xfId="85">
      <alignment horizontal="center" vertical="center" wrapText="1"/>
    </xf>
    <xf numFmtId="0" fontId="3" fillId="2" borderId="8" applyAlignment="1" applyProtection="1" pivotButton="0" quotePrefix="0" xfId="90">
      <alignment horizontal="center" vertical="center" wrapText="1"/>
      <protection locked="0" hidden="0"/>
    </xf>
    <xf numFmtId="14" fontId="11" fillId="0" borderId="8" applyAlignment="1" pivotButton="0" quotePrefix="0" xfId="85">
      <alignment horizontal="center" vertical="center" wrapText="1"/>
    </xf>
    <xf numFmtId="0" fontId="11" fillId="0" borderId="8" applyAlignment="1" pivotButton="0" quotePrefix="0" xfId="85">
      <alignment horizontal="center" vertical="center" wrapText="1"/>
    </xf>
    <xf numFmtId="0" fontId="1" fillId="0" borderId="8" applyAlignment="1" pivotButton="0" quotePrefix="0" xfId="85">
      <alignment horizontal="center" vertical="center" wrapText="1"/>
    </xf>
    <xf numFmtId="165" fontId="11" fillId="0" borderId="8" applyAlignment="1" pivotButton="0" quotePrefix="0" xfId="59">
      <alignment horizontal="center" vertical="center" wrapText="1"/>
    </xf>
    <xf numFmtId="0" fontId="11" fillId="0" borderId="8" applyAlignment="1" pivotButton="0" quotePrefix="0" xfId="85">
      <alignment vertical="center" wrapText="1"/>
    </xf>
    <xf numFmtId="14" fontId="10" fillId="0" borderId="8" applyAlignment="1" applyProtection="1" pivotButton="0" quotePrefix="0" xfId="90">
      <alignment horizontal="centerContinuous" vertical="center"/>
      <protection locked="0" hidden="0"/>
    </xf>
    <xf numFmtId="0" fontId="10" fillId="0" borderId="8" applyAlignment="1" applyProtection="1" pivotButton="0" quotePrefix="0" xfId="90">
      <alignment horizontal="centerContinuous" vertical="center"/>
      <protection locked="0" hidden="0"/>
    </xf>
    <xf numFmtId="0" fontId="3" fillId="0" borderId="8" applyAlignment="1" applyProtection="1" pivotButton="0" quotePrefix="0" xfId="90">
      <alignment horizontal="centerContinuous" vertical="center"/>
      <protection locked="0" hidden="0"/>
    </xf>
    <xf numFmtId="0" fontId="11" fillId="0" borderId="8" applyAlignment="1" pivotButton="0" quotePrefix="0" xfId="85">
      <alignment horizontal="centerContinuous" vertical="center"/>
    </xf>
    <xf numFmtId="0" fontId="3" fillId="0" borderId="10" applyAlignment="1" applyProtection="1" pivotButton="0" quotePrefix="0" xfId="0">
      <alignment vertical="center"/>
      <protection locked="0" hidden="0"/>
    </xf>
    <xf numFmtId="0" fontId="1" fillId="0" borderId="10" applyAlignment="1" pivotButton="0" quotePrefix="0" xfId="0">
      <alignment vertical="center"/>
    </xf>
    <xf numFmtId="0" fontId="3" fillId="0" borderId="0" applyAlignment="1" pivotButton="0" quotePrefix="0" xfId="1">
      <alignment vertical="center"/>
    </xf>
    <xf numFmtId="0" fontId="1" fillId="0" borderId="0" applyAlignment="1" pivotButton="0" quotePrefix="0" xfId="0">
      <alignment vertical="center"/>
    </xf>
    <xf numFmtId="0" fontId="3" fillId="0" borderId="0" applyAlignment="1" applyProtection="1" pivotButton="0" quotePrefix="0" xfId="0">
      <alignment vertical="center"/>
      <protection locked="0" hidden="0"/>
    </xf>
    <xf numFmtId="0" fontId="12" fillId="0" borderId="0" applyAlignment="1" pivotButton="0" quotePrefix="0" xfId="85">
      <alignment vertical="center"/>
    </xf>
    <xf numFmtId="0" fontId="3" fillId="0" borderId="0" applyAlignment="1" applyProtection="1" pivotButton="0" quotePrefix="0" xfId="0">
      <alignment vertical="center"/>
      <protection locked="0" hidden="0"/>
    </xf>
    <xf numFmtId="0" fontId="1" fillId="0" borderId="0" applyAlignment="1" applyProtection="1" pivotButton="0" quotePrefix="0" xfId="97">
      <alignment vertical="center"/>
      <protection locked="0" hidden="0"/>
    </xf>
    <xf numFmtId="0" fontId="3" fillId="2" borderId="0" applyAlignment="1" applyProtection="1" pivotButton="0" quotePrefix="0" xfId="0">
      <alignment vertical="center"/>
      <protection locked="0" hidden="0"/>
    </xf>
    <xf numFmtId="0" fontId="2" fillId="0" borderId="0"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0" fontId="5" fillId="0" borderId="0" applyAlignment="1" applyProtection="1" pivotButton="0" quotePrefix="0" xfId="6">
      <alignment horizontal="left" vertical="center"/>
      <protection locked="0" hidden="0"/>
    </xf>
    <xf numFmtId="0" fontId="13" fillId="0" borderId="0" applyAlignment="1" pivotButton="0" quotePrefix="0" xfId="0">
      <alignment vertical="center"/>
    </xf>
    <xf numFmtId="0" fontId="3" fillId="0" borderId="0" applyAlignment="1" pivotButton="0" quotePrefix="0" xfId="97">
      <alignment horizontal="left" vertical="center"/>
    </xf>
    <xf numFmtId="0" fontId="1" fillId="0" borderId="0" applyAlignment="1" pivotButton="0" quotePrefix="0" xfId="97">
      <alignment vertical="center"/>
    </xf>
    <xf numFmtId="164" fontId="1" fillId="0" borderId="0" applyAlignment="1" pivotButton="0" quotePrefix="0" xfId="79">
      <alignment horizontal="left" vertical="center"/>
    </xf>
    <xf numFmtId="164" fontId="8" fillId="0" borderId="0" applyAlignment="1" pivotButton="0" quotePrefix="0" xfId="79">
      <alignment horizontal="left" vertical="center"/>
    </xf>
    <xf numFmtId="0" fontId="1" fillId="0" borderId="0" applyAlignment="1" applyProtection="1" pivotButton="0" quotePrefix="0" xfId="0">
      <alignment vertical="center"/>
      <protection locked="0" hidden="0"/>
    </xf>
    <xf numFmtId="0" fontId="3" fillId="0" borderId="0" applyAlignment="1" pivotButton="0" quotePrefix="0" xfId="97">
      <alignment vertical="center"/>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97">
      <alignment horizontal="center" vertical="center"/>
      <protection locked="1" hidden="1"/>
    </xf>
    <xf numFmtId="0" fontId="1" fillId="0" borderId="0" applyAlignment="1" applyProtection="1" pivotButton="0" quotePrefix="0" xfId="97">
      <alignment horizontal="left" vertical="center"/>
      <protection locked="1" hidden="1"/>
    </xf>
    <xf numFmtId="0" fontId="8" fillId="0" borderId="0" applyAlignment="1" applyProtection="1" pivotButton="0" quotePrefix="0" xfId="97">
      <alignment horizontal="left" vertical="center"/>
      <protection locked="0" hidden="0"/>
    </xf>
    <xf numFmtId="0" fontId="3" fillId="2" borderId="8" applyAlignment="1" applyProtection="1" pivotButton="0" quotePrefix="0" xfId="0">
      <alignment horizontal="center" vertical="center"/>
      <protection locked="0" hidden="0"/>
    </xf>
    <xf numFmtId="0" fontId="3" fillId="2" borderId="8" applyAlignment="1" applyProtection="1" pivotButton="0" quotePrefix="0" xfId="0">
      <alignment horizontal="center" vertical="center" wrapText="1"/>
      <protection locked="0" hidden="0"/>
    </xf>
    <xf numFmtId="0" fontId="3" fillId="2" borderId="8" applyAlignment="1" applyProtection="1" pivotButton="0" quotePrefix="0" xfId="81">
      <alignment horizontal="center" vertical="center" wrapText="1"/>
      <protection locked="0" hidden="0"/>
    </xf>
    <xf numFmtId="0" fontId="3" fillId="3" borderId="8" applyAlignment="1" pivotButton="0" quotePrefix="0" xfId="81">
      <alignment horizontal="center" vertical="center" wrapText="1"/>
    </xf>
    <xf numFmtId="0" fontId="3" fillId="2" borderId="8" applyAlignment="1" applyProtection="1" pivotButton="0" quotePrefix="0" xfId="81">
      <alignment horizontal="center" vertical="center"/>
      <protection locked="0" hidden="0"/>
    </xf>
    <xf numFmtId="14" fontId="1" fillId="0" borderId="8" applyAlignment="1" applyProtection="1" pivotButton="0" quotePrefix="0" xfId="0">
      <alignment horizontal="left" vertical="center"/>
      <protection locked="0" hidden="0"/>
    </xf>
    <xf numFmtId="0" fontId="1" fillId="0" borderId="8" applyAlignment="1" applyProtection="1" pivotButton="0" quotePrefix="0" xfId="0">
      <alignment horizontal="left" vertical="center"/>
      <protection locked="0" hidden="0"/>
    </xf>
    <xf numFmtId="0" fontId="1" fillId="0" borderId="8" applyAlignment="1" applyProtection="1" pivotButton="0" quotePrefix="0" xfId="0">
      <alignment vertical="center" wrapText="1"/>
      <protection locked="0" hidden="0"/>
    </xf>
    <xf numFmtId="165" fontId="11" fillId="0" borderId="8" applyAlignment="1" applyProtection="1" pivotButton="0" quotePrefix="0" xfId="1">
      <alignment horizontal="left" vertical="center"/>
      <protection locked="0" hidden="0"/>
    </xf>
    <xf numFmtId="165" fontId="1" fillId="0" borderId="8" applyAlignment="1" applyProtection="1" pivotButton="0" quotePrefix="0" xfId="0">
      <alignment horizontal="left" vertical="center"/>
      <protection locked="0" hidden="0"/>
    </xf>
    <xf numFmtId="165" fontId="1" fillId="0" borderId="8" applyAlignment="1" pivotButton="0" quotePrefix="0" xfId="1">
      <alignment vertical="center" wrapText="1"/>
    </xf>
    <xf numFmtId="0" fontId="1" fillId="0" borderId="8" applyAlignment="1" applyProtection="1" pivotButton="0" quotePrefix="0" xfId="0">
      <alignment horizontal="center" vertical="center"/>
      <protection locked="0" hidden="0"/>
    </xf>
    <xf numFmtId="164" fontId="1" fillId="0" borderId="0" applyAlignment="1" applyProtection="1" pivotButton="0" quotePrefix="0" xfId="118">
      <alignment vertical="center"/>
      <protection locked="0" hidden="0"/>
    </xf>
    <xf numFmtId="14" fontId="3" fillId="2" borderId="8" applyAlignment="1" applyProtection="1" pivotButton="0" quotePrefix="0" xfId="76">
      <alignment horizontal="center" vertical="center"/>
      <protection locked="0" hidden="0"/>
    </xf>
    <xf numFmtId="0" fontId="3" fillId="2" borderId="8" applyAlignment="1" applyProtection="1" pivotButton="0" quotePrefix="0" xfId="0">
      <alignment horizontal="left" vertical="center"/>
      <protection locked="0" hidden="0"/>
    </xf>
    <xf numFmtId="165" fontId="10" fillId="2" borderId="8" applyAlignment="1" applyProtection="1" pivotButton="0" quotePrefix="0" xfId="1">
      <alignment horizontal="left" vertical="center"/>
      <protection locked="0" hidden="0"/>
    </xf>
    <xf numFmtId="165" fontId="3" fillId="2" borderId="8" applyAlignment="1" applyProtection="1" pivotButton="0" quotePrefix="0" xfId="0">
      <alignment horizontal="left" vertical="center"/>
      <protection locked="0" hidden="0"/>
    </xf>
    <xf numFmtId="165" fontId="3" fillId="2" borderId="8" applyAlignment="1" pivotButton="0" quotePrefix="0" xfId="1">
      <alignment vertical="center" wrapText="1"/>
    </xf>
    <xf numFmtId="0" fontId="3" fillId="2" borderId="8" applyAlignment="1" applyProtection="1" pivotButton="0" quotePrefix="0" xfId="0">
      <alignment vertical="center" wrapText="1"/>
      <protection locked="0" hidden="0"/>
    </xf>
    <xf numFmtId="0" fontId="14" fillId="2" borderId="0" applyAlignment="1" applyProtection="1" pivotButton="0" quotePrefix="0" xfId="97">
      <alignment horizontal="center" vertical="center"/>
      <protection locked="1" hidden="1"/>
    </xf>
    <xf numFmtId="0" fontId="3" fillId="2" borderId="0" applyAlignment="1" applyProtection="1" pivotButton="0" quotePrefix="0" xfId="97">
      <alignment horizontal="left" vertical="center"/>
      <protection locked="1" hidden="1"/>
    </xf>
    <xf numFmtId="0" fontId="14" fillId="2" borderId="0" applyAlignment="1" applyProtection="1" pivotButton="0" quotePrefix="0" xfId="97">
      <alignment horizontal="left" vertical="center"/>
      <protection locked="0" hidden="0"/>
    </xf>
    <xf numFmtId="0" fontId="13" fillId="2" borderId="0" applyAlignment="1" pivotButton="0" quotePrefix="0" xfId="0">
      <alignment vertical="center"/>
    </xf>
    <xf numFmtId="0" fontId="3" fillId="2" borderId="0" applyAlignment="1" applyProtection="1" pivotButton="0" quotePrefix="0" xfId="97">
      <alignment vertical="center"/>
      <protection locked="0" hidden="0"/>
    </xf>
    <xf numFmtId="10" fontId="10" fillId="2" borderId="8" applyAlignment="1" applyProtection="1" pivotButton="0" quotePrefix="0" xfId="3">
      <alignment horizontal="right" vertical="center"/>
      <protection locked="0" hidden="0"/>
    </xf>
    <xf numFmtId="0" fontId="1" fillId="0" borderId="0" applyAlignment="1" applyProtection="1" pivotButton="0" quotePrefix="0" xfId="0">
      <alignment horizontal="center" vertical="center"/>
      <protection locked="0" hidden="0"/>
    </xf>
    <xf numFmtId="0" fontId="1" fillId="0" borderId="0" applyProtection="1" pivotButton="0" quotePrefix="0" xfId="0">
      <protection locked="0" hidden="0"/>
    </xf>
    <xf numFmtId="0" fontId="15" fillId="0" borderId="0" applyAlignment="1" applyProtection="1" pivotButton="0" quotePrefix="0" xfId="0">
      <alignment vertical="center"/>
      <protection locked="0" hidden="0"/>
    </xf>
    <xf numFmtId="0" fontId="16" fillId="0" borderId="0" applyProtection="1" pivotButton="0" quotePrefix="0" xfId="0">
      <protection locked="0" hidden="0"/>
    </xf>
    <xf numFmtId="0" fontId="1" fillId="0" borderId="0" applyAlignment="1" pivotButton="0" quotePrefix="0" xfId="114">
      <alignment vertical="center"/>
    </xf>
    <xf numFmtId="0" fontId="1" fillId="0" borderId="0" applyAlignment="1" pivotButton="0" quotePrefix="0" xfId="114">
      <alignment horizontal="center" vertical="center"/>
    </xf>
    <xf numFmtId="0" fontId="1" fillId="0" borderId="0" applyProtection="1" pivotButton="0" quotePrefix="0" xfId="0">
      <protection locked="0" hidden="0"/>
    </xf>
    <xf numFmtId="0" fontId="1" fillId="0" borderId="0" applyAlignment="1" pivotButton="0" quotePrefix="0" xfId="114">
      <alignment horizontal="right" vertical="center"/>
    </xf>
    <xf numFmtId="0" fontId="13" fillId="0" borderId="0" applyAlignment="1" pivotButton="0" quotePrefix="0" xfId="0">
      <alignment vertical="center"/>
    </xf>
    <xf numFmtId="0" fontId="3" fillId="0" borderId="0" applyAlignment="1" pivotButton="0" quotePrefix="0" xfId="97">
      <alignment horizontal="left" vertical="center"/>
    </xf>
    <xf numFmtId="0" fontId="11" fillId="0" borderId="0" applyAlignment="1" pivotButton="0" quotePrefix="0" xfId="97">
      <alignment vertical="center"/>
    </xf>
    <xf numFmtId="0" fontId="1" fillId="0" borderId="0" applyAlignment="1" pivotButton="0" quotePrefix="0" xfId="97">
      <alignment vertical="center"/>
    </xf>
    <xf numFmtId="0" fontId="11" fillId="0" borderId="0" applyAlignment="1" pivotButton="0" quotePrefix="0" xfId="97">
      <alignment vertical="center"/>
    </xf>
    <xf numFmtId="0" fontId="13" fillId="0" borderId="0" applyAlignment="1" pivotButton="0" quotePrefix="0" xfId="0">
      <alignment vertical="center"/>
    </xf>
    <xf numFmtId="0" fontId="17" fillId="0" borderId="0" applyAlignment="1" pivotButton="0" quotePrefix="0" xfId="0">
      <alignment vertical="center"/>
    </xf>
    <xf numFmtId="0" fontId="18" fillId="2" borderId="8" applyAlignment="1" pivotButton="0" quotePrefix="0" xfId="0">
      <alignment horizontal="center" vertical="center"/>
    </xf>
    <xf numFmtId="0" fontId="18" fillId="2" borderId="8" applyAlignment="1" pivotButton="0" quotePrefix="0" xfId="0">
      <alignment horizontal="center" vertical="center" wrapText="1"/>
    </xf>
    <xf numFmtId="0" fontId="17" fillId="0" borderId="8" applyAlignment="1" pivotButton="0" quotePrefix="0" xfId="0">
      <alignment horizontal="center" vertical="center"/>
    </xf>
    <xf numFmtId="0" fontId="17" fillId="0" borderId="8" applyAlignment="1" pivotButton="0" quotePrefix="0" xfId="0">
      <alignment vertical="center"/>
    </xf>
    <xf numFmtId="0" fontId="19" fillId="0" borderId="8" applyAlignment="1" pivotButton="0" quotePrefix="0" xfId="0">
      <alignment horizontal="center" vertical="center"/>
    </xf>
    <xf numFmtId="166" fontId="19" fillId="0" borderId="8" applyAlignment="1" pivotButton="0" quotePrefix="0" xfId="0">
      <alignment horizontal="right" vertical="center"/>
    </xf>
    <xf numFmtId="165" fontId="19" fillId="0" borderId="8" applyAlignment="1" pivotButton="0" quotePrefix="0" xfId="117">
      <alignment horizontal="right" vertical="center" shrinkToFit="1"/>
    </xf>
    <xf numFmtId="0" fontId="20" fillId="0" borderId="0" applyAlignment="1" pivotButton="0" quotePrefix="0" xfId="0">
      <alignment vertical="center"/>
    </xf>
    <xf numFmtId="0" fontId="17" fillId="0" borderId="8" applyAlignment="1" pivotButton="0" quotePrefix="0" xfId="0">
      <alignment horizontal="left" vertical="center"/>
    </xf>
    <xf numFmtId="166" fontId="19" fillId="0" borderId="8" applyAlignment="1" pivotButton="0" quotePrefix="0" xfId="0">
      <alignment horizontal="center" vertical="center"/>
    </xf>
    <xf numFmtId="0" fontId="3" fillId="0" borderId="10" applyAlignment="1" pivotButton="0" quotePrefix="0" xfId="115">
      <alignment horizontal="left" vertical="center"/>
    </xf>
    <xf numFmtId="0" fontId="15" fillId="0" borderId="10" applyAlignment="1" applyProtection="1" pivotButton="0" quotePrefix="0" xfId="0">
      <alignment vertical="center"/>
      <protection locked="0" hidden="0"/>
    </xf>
    <xf numFmtId="0" fontId="1" fillId="0" borderId="0" applyAlignment="1" pivotButton="0" quotePrefix="0" xfId="115">
      <alignment horizontal="left" vertical="center"/>
    </xf>
    <xf numFmtId="0" fontId="3" fillId="0" borderId="0" applyAlignment="1" pivotButton="0" quotePrefix="0" xfId="115">
      <alignment horizontal="left" vertical="center"/>
    </xf>
    <xf numFmtId="0" fontId="2" fillId="0" borderId="0" applyAlignment="1" pivotButton="0" quotePrefix="0" xfId="67">
      <alignment horizontal="center" vertical="center"/>
    </xf>
    <xf numFmtId="0" fontId="4" fillId="0" borderId="0" applyAlignment="1" pivotButton="0" quotePrefix="0" xfId="67">
      <alignment horizontal="center" vertical="center"/>
    </xf>
    <xf numFmtId="0" fontId="1" fillId="0" borderId="0" applyAlignment="1" pivotButton="0" quotePrefix="0" xfId="115">
      <alignment horizontal="center" vertical="center"/>
    </xf>
    <xf numFmtId="0" fontId="1" fillId="0" borderId="0" applyAlignment="1" pivotButton="0" quotePrefix="0" xfId="115">
      <alignment vertical="center"/>
    </xf>
    <xf numFmtId="0" fontId="1" fillId="0" borderId="0" applyAlignment="1" pivotButton="0" quotePrefix="0" xfId="114">
      <alignment horizontal="left" vertical="center"/>
    </xf>
    <xf numFmtId="0" fontId="1" fillId="0" borderId="0" applyAlignment="1" applyProtection="1" pivotButton="0" quotePrefix="0" xfId="97">
      <alignment vertical="center"/>
      <protection locked="0" hidden="0"/>
    </xf>
    <xf numFmtId="0" fontId="3" fillId="2" borderId="8" applyAlignment="1" applyProtection="1" pivotButton="0" quotePrefix="0" xfId="116">
      <alignment horizontal="center" vertical="center"/>
      <protection locked="0" hidden="0"/>
    </xf>
    <xf numFmtId="0" fontId="9" fillId="2" borderId="8" applyAlignment="1" applyProtection="1" pivotButton="0" quotePrefix="0" xfId="116">
      <alignment horizontal="center" vertical="center"/>
      <protection locked="0" hidden="0"/>
    </xf>
    <xf numFmtId="0" fontId="1" fillId="2" borderId="8" applyAlignment="1" pivotButton="0" quotePrefix="0" xfId="1">
      <alignment horizontal="center" vertical="center"/>
    </xf>
    <xf numFmtId="0" fontId="11" fillId="2" borderId="8" applyAlignment="1" pivotButton="0" quotePrefix="0" xfId="1">
      <alignment horizontal="center" vertical="center" wrapText="1"/>
    </xf>
    <xf numFmtId="165" fontId="11" fillId="2" borderId="8" applyAlignment="1" pivotButton="0" quotePrefix="0" xfId="1">
      <alignment vertical="center"/>
    </xf>
    <xf numFmtId="10" fontId="11" fillId="2" borderId="8" applyAlignment="1" pivotButton="0" quotePrefix="0" xfId="1">
      <alignment vertical="center"/>
    </xf>
    <xf numFmtId="165" fontId="11" fillId="0" borderId="8" applyAlignment="1" pivotButton="0" quotePrefix="0" xfId="1">
      <alignment horizontal="justify" vertical="top" wrapText="1"/>
    </xf>
    <xf numFmtId="165" fontId="11" fillId="0" borderId="8" applyAlignment="1" pivotButton="0" quotePrefix="0" xfId="0">
      <alignment vertical="center"/>
    </xf>
    <xf numFmtId="0" fontId="1" fillId="2" borderId="8" applyAlignment="1" pivotButton="0" quotePrefix="0" xfId="1">
      <alignment horizontal="center" vertical="center" wrapText="1"/>
    </xf>
    <xf numFmtId="0" fontId="1" fillId="2" borderId="8" applyAlignment="1" pivotButton="0" quotePrefix="0" xfId="1">
      <alignment horizontal="left" vertical="center"/>
    </xf>
    <xf numFmtId="165" fontId="11" fillId="0" borderId="8" applyAlignment="1" pivotButton="0" quotePrefix="0" xfId="1">
      <alignment horizontal="left" vertical="center"/>
    </xf>
    <xf numFmtId="0" fontId="1" fillId="2" borderId="8" applyAlignment="1" pivotButton="0" quotePrefix="0" xfId="1">
      <alignment vertical="center"/>
    </xf>
    <xf numFmtId="164" fontId="3" fillId="0" borderId="0" applyAlignment="1" applyProtection="1" pivotButton="0" quotePrefix="0" xfId="49">
      <alignment vertical="center"/>
      <protection locked="0" hidden="0"/>
    </xf>
    <xf numFmtId="164" fontId="1" fillId="0" borderId="0" applyAlignment="1" applyProtection="1" pivotButton="0" quotePrefix="0" xfId="49">
      <alignment vertical="center"/>
      <protection locked="0" hidden="0"/>
    </xf>
    <xf numFmtId="164" fontId="1" fillId="4" borderId="0" applyAlignment="1" applyProtection="1" pivotButton="0" quotePrefix="0" xfId="49">
      <alignment horizontal="justify" vertical="center" wrapText="1"/>
      <protection locked="0" hidden="0"/>
    </xf>
    <xf numFmtId="164" fontId="1" fillId="0" borderId="0" applyAlignment="1" applyProtection="1" pivotButton="0" quotePrefix="0" xfId="49">
      <alignment horizontal="justify" wrapText="1"/>
      <protection locked="0" hidden="0"/>
    </xf>
    <xf numFmtId="164" fontId="3" fillId="0" borderId="0" applyAlignment="1" applyProtection="1" pivotButton="0" quotePrefix="0" xfId="49">
      <alignment horizontal="center" vertical="center"/>
      <protection locked="0" hidden="0"/>
    </xf>
    <xf numFmtId="0" fontId="11" fillId="4" borderId="0" applyAlignment="1" applyProtection="1" pivotButton="0" quotePrefix="0" xfId="0">
      <alignment horizontal="justify" vertical="center" wrapText="1"/>
      <protection locked="0" hidden="0"/>
    </xf>
    <xf numFmtId="167" fontId="21" fillId="0" borderId="11" applyAlignment="1" applyProtection="1" pivotButton="0" quotePrefix="0" xfId="49">
      <alignment horizontal="center" vertical="center" wrapText="1"/>
      <protection locked="0" hidden="0"/>
    </xf>
    <xf numFmtId="164" fontId="22" fillId="0" borderId="11" applyAlignment="1" applyProtection="1" pivotButton="0" quotePrefix="0" xfId="6">
      <alignment vertical="center"/>
      <protection locked="0" hidden="0"/>
    </xf>
    <xf numFmtId="164" fontId="11" fillId="0" borderId="11" applyAlignment="1" applyProtection="1" pivotButton="0" quotePrefix="0" xfId="6">
      <alignment horizontal="center" vertical="center"/>
      <protection locked="0" hidden="0"/>
    </xf>
    <xf numFmtId="164" fontId="1" fillId="0" borderId="0" applyProtection="1" pivotButton="0" quotePrefix="0" xfId="49">
      <protection locked="0" hidden="0"/>
    </xf>
    <xf numFmtId="0" fontId="1" fillId="4" borderId="0" applyAlignment="1" applyProtection="1" pivotButton="0" quotePrefix="0" xfId="0">
      <alignment horizontal="justify" vertical="center" wrapText="1"/>
      <protection locked="0" hidden="0"/>
    </xf>
    <xf numFmtId="0" fontId="3" fillId="0" borderId="0" applyAlignment="1" applyProtection="1" pivotButton="0" quotePrefix="0" xfId="0">
      <alignment horizontal="justify" vertical="center"/>
      <protection locked="0" hidden="0"/>
    </xf>
    <xf numFmtId="0" fontId="23" fillId="0" borderId="0" applyAlignment="1" applyProtection="1" pivotButton="0" quotePrefix="0" xfId="0">
      <alignment horizontal="left" vertical="center" wrapText="1"/>
      <protection locked="0" hidden="0"/>
    </xf>
    <xf numFmtId="0" fontId="24" fillId="0" borderId="0" applyAlignment="1" applyProtection="1" pivotButton="0" quotePrefix="0" xfId="0">
      <alignment horizontal="left" vertical="center" wrapText="1"/>
      <protection locked="0" hidden="0"/>
    </xf>
    <xf numFmtId="0" fontId="1" fillId="0" borderId="0" applyAlignment="1" pivotButton="0" quotePrefix="0" xfId="89">
      <alignment vertical="center"/>
    </xf>
    <xf numFmtId="0" fontId="1" fillId="0" borderId="0" applyAlignment="1" applyProtection="1" pivotButton="0" quotePrefix="0" xfId="90">
      <alignment horizontal="center" vertical="center"/>
      <protection locked="0" hidden="0"/>
    </xf>
    <xf numFmtId="0" fontId="1" fillId="0" borderId="0" applyAlignment="1" applyProtection="1" pivotButton="0" quotePrefix="0" xfId="90">
      <alignment vertical="center"/>
      <protection locked="0" hidden="0"/>
    </xf>
    <xf numFmtId="0" fontId="2" fillId="0" borderId="0" applyAlignment="1" pivotButton="0" quotePrefix="0" xfId="89">
      <alignment horizontal="center" vertical="center"/>
    </xf>
    <xf numFmtId="0" fontId="4" fillId="0" borderId="0" applyAlignment="1" pivotButton="0" quotePrefix="0" xfId="89">
      <alignment horizontal="center" vertical="center"/>
    </xf>
    <xf numFmtId="0" fontId="1" fillId="0" borderId="0" applyAlignment="1" pivotButton="0" quotePrefix="0" xfId="58">
      <alignment vertical="center"/>
    </xf>
    <xf numFmtId="0" fontId="1" fillId="0" borderId="0" applyAlignment="1" pivotButton="0" quotePrefix="0" xfId="58">
      <alignment horizontal="left" vertical="center"/>
    </xf>
    <xf numFmtId="0" fontId="1" fillId="0" borderId="0" applyAlignment="1" applyProtection="1" pivotButton="0" quotePrefix="0" xfId="90">
      <alignment horizontal="right" vertical="center"/>
      <protection locked="0" hidden="0"/>
    </xf>
    <xf numFmtId="0" fontId="5" fillId="0" borderId="0" applyAlignment="1" applyProtection="1" pivotButton="0" quotePrefix="0" xfId="6">
      <alignment vertical="center"/>
      <protection locked="0" hidden="0"/>
    </xf>
    <xf numFmtId="0" fontId="7" fillId="0" borderId="0" applyAlignment="1" pivotButton="0" quotePrefix="0" xfId="59">
      <alignment vertical="center"/>
    </xf>
    <xf numFmtId="0" fontId="1" fillId="0" borderId="0" applyAlignment="1" pivotButton="0" quotePrefix="0" xfId="90">
      <alignment vertical="center"/>
    </xf>
    <xf numFmtId="0" fontId="1" fillId="0" borderId="0" applyAlignment="1" applyProtection="1" pivotButton="0" quotePrefix="0" xfId="90">
      <alignment horizontal="left" vertical="center"/>
      <protection locked="0" hidden="0"/>
    </xf>
    <xf numFmtId="0" fontId="25" fillId="0" borderId="0" applyAlignment="1" pivotButton="0" quotePrefix="0" xfId="90">
      <alignment horizontal="center" vertical="center"/>
    </xf>
    <xf numFmtId="0" fontId="6" fillId="0" borderId="0" applyAlignment="1" applyProtection="1" pivotButton="0" quotePrefix="0" xfId="90">
      <alignment horizontal="left" vertical="center" wrapText="1"/>
      <protection locked="0" hidden="0"/>
    </xf>
    <xf numFmtId="0" fontId="6" fillId="0" borderId="0" applyAlignment="1" applyProtection="1" pivotButton="0" quotePrefix="0" xfId="90">
      <alignment horizontal="left" vertical="center"/>
      <protection locked="0" hidden="0"/>
    </xf>
    <xf numFmtId="0" fontId="1" fillId="0" borderId="0" applyAlignment="1" pivotButton="0" quotePrefix="0" xfId="79">
      <alignment horizontal="center" vertical="center"/>
    </xf>
    <xf numFmtId="0" fontId="3" fillId="2" borderId="7" applyAlignment="1" applyProtection="1" pivotButton="0" quotePrefix="0" xfId="90">
      <alignment horizontal="center" vertical="center"/>
      <protection locked="0" hidden="0"/>
    </xf>
    <xf numFmtId="0" fontId="13" fillId="2" borderId="7" applyAlignment="1" pivotButton="0" quotePrefix="0" xfId="90">
      <alignment horizontal="center" vertical="center" wrapText="1"/>
    </xf>
    <xf numFmtId="0" fontId="13" fillId="2" borderId="7" applyAlignment="1" pivotButton="0" quotePrefix="0" xfId="90">
      <alignment horizontal="center" vertical="center"/>
    </xf>
    <xf numFmtId="0" fontId="1" fillId="0" borderId="8" applyAlignment="1" applyProtection="1" pivotButton="0" quotePrefix="0" xfId="90">
      <alignment vertical="center"/>
      <protection locked="0" hidden="0"/>
    </xf>
    <xf numFmtId="165" fontId="13" fillId="0" borderId="7" applyAlignment="1" pivotButton="0" quotePrefix="0" xfId="90">
      <alignment horizontal="center" vertical="center" wrapText="1"/>
    </xf>
    <xf numFmtId="0" fontId="13" fillId="0" borderId="7" applyAlignment="1" pivotButton="0" quotePrefix="0" xfId="90">
      <alignment horizontal="center" vertical="center" wrapText="1"/>
    </xf>
    <xf numFmtId="0" fontId="13" fillId="0" borderId="7" applyAlignment="1" pivotButton="0" quotePrefix="0" xfId="90">
      <alignment vertical="center"/>
    </xf>
    <xf numFmtId="0" fontId="11" fillId="0" borderId="8" applyAlignment="1" applyProtection="1" pivotButton="0" quotePrefix="0" xfId="90">
      <alignment horizontal="center" vertical="center"/>
      <protection locked="0" hidden="0"/>
    </xf>
    <xf numFmtId="165" fontId="1" fillId="0" borderId="8" applyAlignment="1" applyProtection="1" pivotButton="0" quotePrefix="0" xfId="59">
      <alignment vertical="center"/>
      <protection locked="0" hidden="0"/>
    </xf>
    <xf numFmtId="0" fontId="9" fillId="0" borderId="0" applyAlignment="1" pivotButton="0" quotePrefix="0" xfId="85">
      <alignment horizontal="center" vertical="center" wrapText="1"/>
    </xf>
    <xf numFmtId="0" fontId="1" fillId="0" borderId="0" applyAlignment="1" applyProtection="1" pivotButton="0" quotePrefix="0" xfId="59">
      <alignment vertical="center"/>
      <protection locked="0" hidden="0"/>
    </xf>
    <xf numFmtId="0" fontId="3" fillId="0" borderId="0" applyAlignment="1" applyProtection="1" pivotButton="0" quotePrefix="0" xfId="90">
      <alignment vertical="center"/>
      <protection locked="0" hidden="0"/>
    </xf>
    <xf numFmtId="0" fontId="8" fillId="0" borderId="0" applyAlignment="1" applyProtection="1" pivotButton="0" quotePrefix="0" xfId="90">
      <alignment vertical="center"/>
      <protection locked="0" hidden="0"/>
    </xf>
    <xf numFmtId="164" fontId="26" fillId="5" borderId="0" applyAlignment="1" applyProtection="1" pivotButton="0" quotePrefix="0" xfId="111">
      <alignment vertical="top"/>
      <protection locked="0" hidden="0"/>
    </xf>
    <xf numFmtId="164" fontId="26" fillId="5" borderId="0" applyAlignment="1" applyProtection="1" pivotButton="0" quotePrefix="0" xfId="111">
      <alignment vertical="center"/>
      <protection locked="0" hidden="0"/>
    </xf>
    <xf numFmtId="164" fontId="15" fillId="0" borderId="0" applyAlignment="1" pivotButton="0" quotePrefix="0" xfId="109">
      <alignment vertical="center"/>
    </xf>
    <xf numFmtId="164" fontId="27" fillId="5" borderId="0" applyAlignment="1" applyProtection="1" pivotButton="0" quotePrefix="0" xfId="111">
      <alignment horizontal="center" vertical="center"/>
      <protection locked="0" hidden="0"/>
    </xf>
    <xf numFmtId="164" fontId="28" fillId="5" borderId="0" applyAlignment="1" applyProtection="1" pivotButton="0" quotePrefix="0" xfId="111">
      <alignment horizontal="center" vertical="center"/>
      <protection locked="0" hidden="0"/>
    </xf>
    <xf numFmtId="164" fontId="9" fillId="5" borderId="0" applyAlignment="1" applyProtection="1" pivotButton="0" quotePrefix="0" xfId="111">
      <alignment vertical="top"/>
      <protection locked="0" hidden="0"/>
    </xf>
    <xf numFmtId="164" fontId="26" fillId="5" borderId="0" applyAlignment="1" applyProtection="1" pivotButton="0" quotePrefix="0" xfId="111">
      <alignment vertical="center"/>
      <protection locked="0" hidden="0"/>
    </xf>
    <xf numFmtId="164" fontId="7" fillId="5" borderId="0" applyAlignment="1" applyProtection="1" pivotButton="0" quotePrefix="0" xfId="111">
      <alignment vertical="center"/>
      <protection locked="0" hidden="0"/>
    </xf>
    <xf numFmtId="164" fontId="29" fillId="0" borderId="0" applyAlignment="1" applyProtection="1" pivotButton="0" quotePrefix="0" xfId="111">
      <alignment vertical="center"/>
      <protection locked="0" hidden="0"/>
    </xf>
    <xf numFmtId="164" fontId="26" fillId="0" borderId="0" applyAlignment="1" applyProtection="1" pivotButton="0" quotePrefix="0" xfId="111">
      <alignment vertical="center"/>
      <protection locked="0" hidden="0"/>
    </xf>
    <xf numFmtId="164" fontId="30" fillId="5" borderId="0" applyAlignment="1" applyProtection="1" pivotButton="0" quotePrefix="0" xfId="111">
      <alignment horizontal="left" vertical="center"/>
      <protection locked="0" hidden="0"/>
    </xf>
    <xf numFmtId="164" fontId="31" fillId="5" borderId="0" applyAlignment="1" applyProtection="1" pivotButton="0" quotePrefix="0" xfId="111">
      <alignment horizontal="center" vertical="center"/>
      <protection locked="0" hidden="0"/>
    </xf>
    <xf numFmtId="164" fontId="11" fillId="5" borderId="0" applyAlignment="1" applyProtection="1" pivotButton="0" quotePrefix="0" xfId="111">
      <alignment horizontal="center" vertical="center"/>
      <protection locked="0" hidden="0"/>
    </xf>
    <xf numFmtId="164" fontId="26" fillId="5" borderId="0" applyAlignment="1" applyProtection="1" pivotButton="0" quotePrefix="0" xfId="111">
      <alignment horizontal="center" vertical="center"/>
      <protection locked="0" hidden="0"/>
    </xf>
    <xf numFmtId="164" fontId="7" fillId="5" borderId="0" applyAlignment="1" applyProtection="1" pivotButton="0" quotePrefix="0" xfId="111">
      <alignment vertical="center"/>
      <protection locked="0" hidden="0"/>
    </xf>
    <xf numFmtId="164" fontId="30" fillId="5" borderId="0" applyAlignment="1" applyProtection="1" pivotButton="0" quotePrefix="0" xfId="113">
      <alignment horizontal="left" vertical="center" wrapText="1"/>
      <protection locked="0" hidden="0"/>
    </xf>
    <xf numFmtId="164" fontId="30" fillId="5" borderId="0" applyAlignment="1" applyProtection="1" pivotButton="0" quotePrefix="0" xfId="111">
      <alignment vertical="center"/>
      <protection locked="0" hidden="0"/>
    </xf>
    <xf numFmtId="164" fontId="30" fillId="5" borderId="0" applyAlignment="1" applyProtection="1" pivotButton="0" quotePrefix="0" xfId="111">
      <alignment horizontal="left" vertical="center" wrapText="1"/>
      <protection locked="0" hidden="0"/>
    </xf>
    <xf numFmtId="0" fontId="30" fillId="5" borderId="0" applyAlignment="1" applyProtection="1" pivotButton="0" quotePrefix="0" xfId="78">
      <alignment horizontal="left" vertical="center" wrapText="1"/>
      <protection locked="0" hidden="0"/>
    </xf>
    <xf numFmtId="164" fontId="31" fillId="5" borderId="0" applyAlignment="1" applyProtection="1" pivotButton="0" quotePrefix="0" xfId="113">
      <alignment horizontal="center" vertical="center" wrapText="1"/>
      <protection locked="0" hidden="0"/>
    </xf>
    <xf numFmtId="164" fontId="30" fillId="5" borderId="0" applyAlignment="1" applyProtection="1" pivotButton="0" quotePrefix="0" xfId="111">
      <alignment vertical="center" wrapText="1"/>
      <protection locked="0" hidden="0"/>
    </xf>
    <xf numFmtId="164" fontId="29" fillId="5" borderId="0" applyAlignment="1" applyProtection="1" pivotButton="0" quotePrefix="0" xfId="111">
      <alignment vertical="center"/>
      <protection locked="0" hidden="0"/>
    </xf>
    <xf numFmtId="165" fontId="1" fillId="5" borderId="0" applyAlignment="1" pivotButton="0" quotePrefix="0" xfId="58">
      <alignment vertical="center"/>
    </xf>
    <xf numFmtId="164" fontId="7" fillId="5" borderId="0" applyAlignment="1" pivotButton="0" quotePrefix="0" xfId="112">
      <alignment vertical="center"/>
    </xf>
    <xf numFmtId="164" fontId="1" fillId="5" borderId="0" applyAlignment="1" pivotButton="0" quotePrefix="0" xfId="109">
      <alignment vertical="center"/>
    </xf>
    <xf numFmtId="164" fontId="27" fillId="5" borderId="0" applyAlignment="1" pivotButton="0" quotePrefix="0" xfId="112">
      <alignment horizontal="center" vertical="center"/>
    </xf>
    <xf numFmtId="164" fontId="28" fillId="5" borderId="0" applyAlignment="1" pivotButton="0" quotePrefix="0" xfId="112">
      <alignment horizontal="center" vertical="center"/>
    </xf>
    <xf numFmtId="164" fontId="7" fillId="5" borderId="0" applyAlignment="1" pivotButton="0" quotePrefix="0" xfId="112">
      <alignment vertical="center"/>
    </xf>
    <xf numFmtId="164" fontId="7" fillId="5" borderId="0" applyAlignment="1" pivotButton="0" quotePrefix="0" xfId="112">
      <alignment horizontal="right" vertical="center"/>
    </xf>
    <xf numFmtId="165" fontId="32" fillId="5" borderId="0" applyAlignment="1" pivotButton="0" quotePrefix="0" xfId="6">
      <alignment vertical="center"/>
    </xf>
    <xf numFmtId="164" fontId="13" fillId="5" borderId="0" applyAlignment="1" pivotButton="0" quotePrefix="0" xfId="112">
      <alignment vertical="center"/>
    </xf>
    <xf numFmtId="164" fontId="13" fillId="5" borderId="0" applyAlignment="1" pivotButton="0" quotePrefix="0" xfId="0">
      <alignment vertical="center"/>
    </xf>
    <xf numFmtId="164" fontId="8" fillId="5" borderId="0" applyAlignment="1" pivotButton="0" quotePrefix="0" xfId="0">
      <alignment vertical="center"/>
    </xf>
    <xf numFmtId="164" fontId="7" fillId="5" borderId="0" applyAlignment="1" pivotButton="0" quotePrefix="0" xfId="112">
      <alignment horizontal="left" vertical="center" wrapText="1"/>
    </xf>
    <xf numFmtId="164" fontId="7" fillId="5" borderId="0" applyAlignment="1" pivotButton="0" quotePrefix="0" xfId="112">
      <alignment vertical="center" wrapText="1"/>
    </xf>
    <xf numFmtId="164" fontId="6" fillId="5" borderId="0" applyAlignment="1" pivotButton="0" quotePrefix="0" xfId="112">
      <alignment vertical="center" wrapText="1"/>
    </xf>
    <xf numFmtId="164" fontId="13" fillId="5" borderId="0" applyAlignment="1" pivotButton="0" quotePrefix="0" xfId="112">
      <alignment vertical="center" wrapText="1"/>
    </xf>
    <xf numFmtId="164" fontId="7" fillId="0" borderId="0" applyAlignment="1" pivotButton="0" quotePrefix="0" xfId="0">
      <alignment vertical="center"/>
    </xf>
    <xf numFmtId="164" fontId="6" fillId="0" borderId="0" applyAlignment="1" pivotButton="0" quotePrefix="0" xfId="0">
      <alignment vertical="center"/>
    </xf>
    <xf numFmtId="164" fontId="13" fillId="0" borderId="0" applyAlignment="1" pivotButton="0" quotePrefix="0" xfId="0">
      <alignment vertical="center"/>
    </xf>
    <xf numFmtId="164" fontId="7" fillId="0" borderId="0" applyAlignment="1" pivotButton="0" quotePrefix="0" xfId="0">
      <alignment vertical="center"/>
    </xf>
    <xf numFmtId="164" fontId="8" fillId="0" borderId="0" applyAlignment="1" pivotButton="0" quotePrefix="0" xfId="0">
      <alignment vertical="center"/>
    </xf>
    <xf numFmtId="164" fontId="7" fillId="0" borderId="0" pivotButton="0" quotePrefix="0" xfId="0"/>
    <xf numFmtId="164" fontId="6" fillId="0" borderId="0" applyAlignment="1" pivotButton="0" quotePrefix="0" xfId="0">
      <alignment vertical="center"/>
    </xf>
    <xf numFmtId="164" fontId="7" fillId="0" borderId="0" applyAlignment="1" pivotButton="0" quotePrefix="0" xfId="0">
      <alignment horizontal="right" vertical="center"/>
    </xf>
    <xf numFmtId="164" fontId="33" fillId="0" borderId="0" applyAlignment="1" pivotButton="0" quotePrefix="0" xfId="0">
      <alignment vertical="center"/>
    </xf>
    <xf numFmtId="164" fontId="34" fillId="0" borderId="0" applyAlignment="1" pivotButton="0" quotePrefix="0" xfId="0">
      <alignment vertical="center"/>
    </xf>
    <xf numFmtId="164" fontId="7" fillId="5" borderId="0" applyAlignment="1" applyProtection="1" pivotButton="0" quotePrefix="0" xfId="111">
      <alignment vertical="top"/>
      <protection locked="0" hidden="0"/>
    </xf>
    <xf numFmtId="164" fontId="7" fillId="5" borderId="0" applyAlignment="1" applyProtection="1" pivotButton="0" quotePrefix="0" xfId="111">
      <alignment vertical="center"/>
      <protection locked="0" hidden="0"/>
    </xf>
    <xf numFmtId="164" fontId="1" fillId="0" borderId="0" applyAlignment="1" pivotButton="0" quotePrefix="0" xfId="109">
      <alignment vertical="center"/>
    </xf>
    <xf numFmtId="164" fontId="27" fillId="5" borderId="0" applyAlignment="1" applyProtection="1" pivotButton="0" quotePrefix="0" xfId="111">
      <alignment horizontal="center" vertical="center"/>
      <protection locked="0" hidden="0"/>
    </xf>
    <xf numFmtId="164" fontId="28" fillId="5" borderId="0" applyAlignment="1" applyProtection="1" pivotButton="0" quotePrefix="0" xfId="111">
      <alignment horizontal="center" vertical="center"/>
      <protection locked="0" hidden="0"/>
    </xf>
    <xf numFmtId="164" fontId="7" fillId="5" borderId="0" applyAlignment="1" applyProtection="1" pivotButton="0" quotePrefix="0" xfId="111">
      <alignment vertical="center"/>
      <protection locked="0" hidden="0"/>
    </xf>
    <xf numFmtId="164" fontId="7" fillId="5" borderId="0" applyAlignment="1" applyProtection="1" pivotButton="0" quotePrefix="0" xfId="111">
      <alignment horizontal="right" vertical="center"/>
      <protection locked="0" hidden="0"/>
    </xf>
    <xf numFmtId="164" fontId="5" fillId="5" borderId="0" applyAlignment="1" applyProtection="1" pivotButton="0" quotePrefix="0" xfId="6">
      <alignment horizontal="left" vertical="center"/>
      <protection locked="0" hidden="0"/>
    </xf>
    <xf numFmtId="164" fontId="3" fillId="2" borderId="8" applyAlignment="1" applyProtection="1" pivotButton="0" quotePrefix="0" xfId="111">
      <alignment horizontal="center" vertical="center"/>
      <protection locked="0" hidden="0"/>
    </xf>
    <xf numFmtId="164" fontId="7" fillId="2" borderId="8" applyAlignment="1" applyProtection="1" pivotButton="0" quotePrefix="0" xfId="111">
      <alignment vertical="center"/>
      <protection locked="0" hidden="0"/>
    </xf>
    <xf numFmtId="0" fontId="6" fillId="5" borderId="8" applyAlignment="1" applyProtection="1" pivotButton="0" quotePrefix="0" xfId="111">
      <alignment horizontal="left" vertical="center"/>
      <protection locked="0" hidden="0"/>
    </xf>
    <xf numFmtId="0" fontId="7" fillId="5" borderId="8" applyAlignment="1" applyProtection="1" pivotButton="0" quotePrefix="0" xfId="111">
      <alignment vertical="center"/>
      <protection locked="0" hidden="0"/>
    </xf>
    <xf numFmtId="164" fontId="7" fillId="5" borderId="8" applyAlignment="1" applyProtection="1" pivotButton="0" quotePrefix="0" xfId="111">
      <alignment vertical="center"/>
      <protection locked="0" hidden="0"/>
    </xf>
    <xf numFmtId="164" fontId="5" fillId="0" borderId="0" applyAlignment="1" pivotButton="0" quotePrefix="0" xfId="0">
      <alignment vertical="center"/>
    </xf>
    <xf numFmtId="164" fontId="3" fillId="0" borderId="0" applyAlignment="1" applyProtection="1" pivotButton="0" quotePrefix="0" xfId="90">
      <alignment vertical="center"/>
      <protection locked="0" hidden="0"/>
    </xf>
    <xf numFmtId="0" fontId="1" fillId="0" borderId="0" applyAlignment="1" applyProtection="1" pivotButton="0" quotePrefix="0" xfId="79">
      <alignment vertical="center"/>
      <protection locked="0" hidden="0"/>
    </xf>
    <xf numFmtId="164" fontId="1" fillId="6" borderId="0" applyAlignment="1" pivotButton="0" quotePrefix="0" xfId="0">
      <alignment vertical="center"/>
    </xf>
    <xf numFmtId="164" fontId="1" fillId="0" borderId="0" applyAlignment="1" applyProtection="1" pivotButton="0" quotePrefix="0" xfId="79">
      <alignment vertical="center"/>
      <protection locked="0" hidden="0"/>
    </xf>
    <xf numFmtId="164" fontId="1" fillId="0" borderId="0" applyAlignment="1" applyProtection="1" pivotButton="0" quotePrefix="0" xfId="90">
      <alignment vertical="center"/>
      <protection locked="0" hidden="0"/>
    </xf>
    <xf numFmtId="164" fontId="2" fillId="0" borderId="0" applyAlignment="1" applyProtection="1" pivotButton="0" quotePrefix="0" xfId="90">
      <alignment horizontal="center" vertical="center"/>
      <protection locked="0" hidden="0"/>
    </xf>
    <xf numFmtId="164" fontId="4" fillId="0" borderId="0" applyAlignment="1" applyProtection="1" pivotButton="0" quotePrefix="0" xfId="90">
      <alignment horizontal="center" vertical="center"/>
      <protection locked="0" hidden="0"/>
    </xf>
    <xf numFmtId="165" fontId="1" fillId="0" borderId="0" applyAlignment="1" pivotButton="0" quotePrefix="0" xfId="58">
      <alignment vertical="center"/>
    </xf>
    <xf numFmtId="165" fontId="1" fillId="0" borderId="0" applyAlignment="1" pivotButton="0" quotePrefix="0" xfId="58">
      <alignment horizontal="left" vertical="center"/>
    </xf>
    <xf numFmtId="164" fontId="1" fillId="0" borderId="0" applyAlignment="1" applyProtection="1" pivotButton="0" quotePrefix="0" xfId="90">
      <alignment horizontal="right" vertical="center"/>
      <protection locked="0" hidden="0"/>
    </xf>
    <xf numFmtId="164" fontId="5" fillId="0" borderId="0" applyAlignment="1" applyProtection="1" pivotButton="0" quotePrefix="0" xfId="6">
      <alignment vertical="center"/>
      <protection locked="0" hidden="0"/>
    </xf>
    <xf numFmtId="0" fontId="6" fillId="0" borderId="0" applyAlignment="1" pivotButton="0" quotePrefix="0" xfId="79">
      <alignment horizontal="left" vertical="center"/>
    </xf>
    <xf numFmtId="164" fontId="13" fillId="2" borderId="8" applyAlignment="1" pivotButton="0" quotePrefix="0" xfId="0">
      <alignment horizontal="center" vertical="center"/>
    </xf>
    <xf numFmtId="164" fontId="9" fillId="2" borderId="8" applyAlignment="1" pivotButton="0" quotePrefix="0" xfId="0">
      <alignment horizontal="center" vertical="center"/>
    </xf>
    <xf numFmtId="164" fontId="13" fillId="2" borderId="8" applyAlignment="1" pivotButton="0" quotePrefix="0" xfId="0">
      <alignment horizontal="left" vertical="center"/>
    </xf>
    <xf numFmtId="0" fontId="1" fillId="5" borderId="8" applyAlignment="1" pivotButton="0" quotePrefix="0" xfId="0">
      <alignment vertical="center"/>
    </xf>
    <xf numFmtId="164" fontId="13" fillId="2" borderId="8" applyAlignment="1" pivotButton="0" quotePrefix="0" xfId="0">
      <alignment horizontal="center" vertical="center" wrapText="1"/>
    </xf>
    <xf numFmtId="164" fontId="13" fillId="2" borderId="8" applyAlignment="1" pivotButton="0" quotePrefix="0" xfId="0">
      <alignment vertical="center"/>
    </xf>
    <xf numFmtId="164" fontId="13" fillId="2" borderId="1" applyAlignment="1" pivotButton="0" quotePrefix="0" xfId="0">
      <alignment horizontal="left" vertical="center"/>
    </xf>
    <xf numFmtId="164" fontId="13" fillId="2" borderId="3" applyAlignment="1" pivotButton="0" quotePrefix="0" xfId="0">
      <alignment horizontal="left" vertical="center"/>
    </xf>
    <xf numFmtId="164" fontId="13" fillId="2" borderId="8" applyAlignment="1" pivotButton="0" quotePrefix="0" xfId="0">
      <alignment horizontal="left" vertical="center" wrapText="1"/>
    </xf>
    <xf numFmtId="164" fontId="13" fillId="2" borderId="8" applyAlignment="1" pivotButton="0" quotePrefix="0" xfId="110">
      <alignment horizontal="left" vertical="center"/>
    </xf>
    <xf numFmtId="164" fontId="13" fillId="2" borderId="3" applyAlignment="1" pivotButton="0" quotePrefix="0" xfId="0">
      <alignment horizontal="left" vertical="center" wrapText="1"/>
    </xf>
    <xf numFmtId="164" fontId="13" fillId="2" borderId="1" applyAlignment="1" pivotButton="0" quotePrefix="0" xfId="0">
      <alignment horizontal="left" vertical="center" wrapText="1"/>
    </xf>
    <xf numFmtId="164" fontId="3" fillId="2" borderId="8" applyAlignment="1" applyProtection="1" pivotButton="0" quotePrefix="0" xfId="79">
      <alignment horizontal="left" vertical="center"/>
      <protection locked="0" hidden="0"/>
    </xf>
    <xf numFmtId="164" fontId="3" fillId="2" borderId="8" applyAlignment="1" pivotButton="0" quotePrefix="0" xfId="79">
      <alignment horizontal="center" vertical="center"/>
    </xf>
    <xf numFmtId="0" fontId="1" fillId="0" borderId="8" applyAlignment="1" applyProtection="1" pivotButton="0" quotePrefix="0" xfId="79">
      <alignment vertical="center"/>
      <protection locked="0" hidden="0"/>
    </xf>
    <xf numFmtId="0" fontId="3" fillId="0" borderId="0" applyAlignment="1" applyProtection="1" pivotButton="0" quotePrefix="0" xfId="90">
      <alignment vertical="center" wrapText="1"/>
      <protection locked="0" hidden="0"/>
    </xf>
    <xf numFmtId="0" fontId="1" fillId="0" borderId="0" applyAlignment="1" applyProtection="1" pivotButton="0" quotePrefix="0" xfId="90">
      <alignment vertical="center" wrapText="1"/>
      <protection locked="0" hidden="0"/>
    </xf>
    <xf numFmtId="0" fontId="3" fillId="0" borderId="0" applyAlignment="1" applyProtection="1" pivotButton="0" quotePrefix="0" xfId="90">
      <alignment horizontal="left" vertical="center"/>
      <protection locked="0" hidden="0"/>
    </xf>
    <xf numFmtId="164" fontId="14" fillId="0" borderId="0" applyAlignment="1" applyProtection="1" pivotButton="0" quotePrefix="0" xfId="80">
      <alignment vertical="center"/>
      <protection locked="0" hidden="0"/>
    </xf>
    <xf numFmtId="164" fontId="8" fillId="0" borderId="0" applyAlignment="1" applyProtection="1" pivotButton="0" quotePrefix="0" xfId="90">
      <alignment vertical="center"/>
      <protection locked="0" hidden="0"/>
    </xf>
    <xf numFmtId="164" fontId="5" fillId="0" borderId="0" applyAlignment="1" applyProtection="1" pivotButton="0" quotePrefix="0" xfId="80">
      <alignment vertical="center"/>
      <protection locked="0" hidden="0"/>
    </xf>
    <xf numFmtId="164" fontId="5" fillId="0" borderId="0" applyAlignment="1" applyProtection="1" pivotButton="0" quotePrefix="0" xfId="80">
      <alignment horizontal="left"/>
      <protection locked="0" hidden="0"/>
    </xf>
    <xf numFmtId="164" fontId="5" fillId="0" borderId="0" applyAlignment="1" applyProtection="1" pivotButton="0" quotePrefix="0" xfId="80">
      <alignment horizontal="left" vertical="center"/>
      <protection locked="0" hidden="0"/>
    </xf>
    <xf numFmtId="49" fontId="5" fillId="0" borderId="0" applyAlignment="1" applyProtection="1" pivotButton="0" quotePrefix="0" xfId="80">
      <alignment horizontal="left" vertical="center"/>
      <protection locked="0" hidden="0"/>
    </xf>
    <xf numFmtId="164" fontId="35" fillId="0" borderId="0" applyAlignment="1" pivotButton="0" quotePrefix="0" xfId="0">
      <alignment horizontal="left" vertical="center"/>
    </xf>
    <xf numFmtId="164" fontId="36" fillId="0" borderId="0" pivotButton="0" quotePrefix="0" xfId="0"/>
    <xf numFmtId="164" fontId="37" fillId="0" borderId="0" applyAlignment="1" pivotButton="0" quotePrefix="0" xfId="0">
      <alignment horizontal="center" vertical="center"/>
    </xf>
    <xf numFmtId="164" fontId="1" fillId="0" borderId="0" applyAlignment="1" applyProtection="1" pivotButton="0" quotePrefix="0" xfId="90">
      <alignment vertical="center" wrapText="1"/>
      <protection locked="0" hidden="0"/>
    </xf>
    <xf numFmtId="0" fontId="1" fillId="0" borderId="0" applyAlignment="1" pivotButton="0" quotePrefix="0" xfId="109">
      <alignment horizontal="center" vertical="center"/>
    </xf>
    <xf numFmtId="0" fontId="1" fillId="0" borderId="0" applyAlignment="1" pivotButton="0" quotePrefix="0" xfId="109">
      <alignment vertical="center"/>
    </xf>
    <xf numFmtId="0" fontId="2" fillId="0" borderId="0" applyAlignment="1" pivotButton="0" quotePrefix="0" xfId="61">
      <alignment horizontal="center" vertical="center"/>
    </xf>
    <xf numFmtId="0" fontId="3" fillId="0" borderId="0" applyAlignment="1" pivotButton="0" quotePrefix="0" xfId="61">
      <alignment vertical="center"/>
    </xf>
    <xf numFmtId="0" fontId="4" fillId="0" borderId="0" applyAlignment="1" pivotButton="0" quotePrefix="0" xfId="61">
      <alignment horizontal="center" vertical="center"/>
    </xf>
    <xf numFmtId="0" fontId="3" fillId="0" borderId="0" applyAlignment="1" pivotButton="0" quotePrefix="0" xfId="58">
      <alignment vertical="center"/>
    </xf>
    <xf numFmtId="0" fontId="1" fillId="0" borderId="0" applyAlignment="1" pivotButton="0" quotePrefix="0" xfId="58">
      <alignment horizontal="right" vertical="center"/>
    </xf>
    <xf numFmtId="0" fontId="5" fillId="0" borderId="0" applyAlignment="1" pivotButton="0" quotePrefix="0" xfId="6">
      <alignment horizontal="left" vertical="center"/>
    </xf>
    <xf numFmtId="0" fontId="3" fillId="2" borderId="8" applyAlignment="1" pivotButton="0" quotePrefix="0" xfId="109">
      <alignment horizontal="center" vertical="center" wrapText="1"/>
    </xf>
    <xf numFmtId="0" fontId="3" fillId="2" borderId="8" applyAlignment="1" pivotButton="0" quotePrefix="0" xfId="109">
      <alignment horizontal="center" vertical="center"/>
    </xf>
    <xf numFmtId="0" fontId="1" fillId="0" borderId="8" applyAlignment="1" pivotButton="0" quotePrefix="0" xfId="109">
      <alignment horizontal="center" vertical="center"/>
    </xf>
    <xf numFmtId="0" fontId="1" fillId="0" borderId="8" applyAlignment="1" pivotButton="0" quotePrefix="0" xfId="109">
      <alignment horizontal="left" vertical="center"/>
    </xf>
    <xf numFmtId="0" fontId="6" fillId="0" borderId="8" applyAlignment="1" pivotButton="0" quotePrefix="0" xfId="109">
      <alignment vertical="center"/>
    </xf>
    <xf numFmtId="165" fontId="30" fillId="0" borderId="8" applyAlignment="1" pivotButton="0" quotePrefix="0" xfId="59">
      <alignment vertical="center"/>
    </xf>
    <xf numFmtId="0" fontId="30" fillId="0" borderId="8" applyAlignment="1" pivotButton="0" quotePrefix="0" xfId="68">
      <alignment vertical="center"/>
    </xf>
    <xf numFmtId="165" fontId="30" fillId="0" borderId="8" applyAlignment="1" pivotButton="0" quotePrefix="0" xfId="68">
      <alignment vertical="center"/>
    </xf>
    <xf numFmtId="0" fontId="11" fillId="0" borderId="8" applyAlignment="1" pivotButton="0" quotePrefix="0" xfId="68">
      <alignment vertical="center"/>
    </xf>
    <xf numFmtId="0" fontId="1" fillId="0" borderId="8" applyAlignment="1" pivotButton="0" quotePrefix="0" xfId="109">
      <alignment vertical="center"/>
    </xf>
    <xf numFmtId="0" fontId="11" fillId="0" borderId="8" applyAlignment="1" pivotButton="0" quotePrefix="0" xfId="109">
      <alignment vertical="center"/>
    </xf>
    <xf numFmtId="165" fontId="11" fillId="0" borderId="8" applyAlignment="1" pivotButton="0" quotePrefix="0" xfId="59">
      <alignment vertical="center"/>
    </xf>
    <xf numFmtId="165" fontId="11" fillId="0" borderId="8" applyAlignment="1" pivotButton="0" quotePrefix="0" xfId="68">
      <alignment vertical="center"/>
    </xf>
    <xf numFmtId="165" fontId="11" fillId="0" borderId="8" applyAlignment="1" pivotButton="0" quotePrefix="0" xfId="109">
      <alignment vertical="center"/>
    </xf>
    <xf numFmtId="0" fontId="3" fillId="0" borderId="0" applyAlignment="1" pivotButton="0" quotePrefix="0" xfId="107">
      <alignment vertical="center"/>
    </xf>
    <xf numFmtId="0" fontId="3" fillId="0" borderId="0" applyAlignment="1" pivotButton="0" quotePrefix="0" xfId="107">
      <alignment vertical="center" wrapText="1"/>
    </xf>
    <xf numFmtId="0" fontId="1" fillId="0" borderId="0" applyAlignment="1" pivotButton="0" quotePrefix="0" xfId="107">
      <alignment vertical="center"/>
    </xf>
    <xf numFmtId="0" fontId="1" fillId="0" borderId="0" applyAlignment="1" pivotButton="0" quotePrefix="0" xfId="107">
      <alignment horizontal="center" vertical="center"/>
    </xf>
    <xf numFmtId="0" fontId="1" fillId="0" borderId="0" applyAlignment="1" pivotButton="0" quotePrefix="0" xfId="59">
      <alignment vertical="center"/>
    </xf>
    <xf numFmtId="0" fontId="2" fillId="0" borderId="0" applyAlignment="1" pivotButton="0" quotePrefix="0" xfId="107">
      <alignment horizontal="center" vertical="center"/>
    </xf>
    <xf numFmtId="0" fontId="15" fillId="0" borderId="0" applyAlignment="1" pivotButton="0" quotePrefix="0" xfId="107">
      <alignment vertical="center"/>
    </xf>
    <xf numFmtId="0" fontId="4" fillId="0" borderId="0" applyAlignment="1" pivotButton="0" quotePrefix="0" xfId="107">
      <alignment horizontal="center" vertical="center"/>
    </xf>
    <xf numFmtId="0" fontId="38" fillId="0" borderId="0" applyAlignment="1" pivotButton="0" quotePrefix="0" xfId="107">
      <alignment horizontal="center" vertical="center"/>
    </xf>
    <xf numFmtId="0" fontId="1" fillId="0" borderId="0" applyAlignment="1" pivotButton="0" quotePrefix="0" xfId="107">
      <alignment horizontal="left" vertical="center"/>
    </xf>
    <xf numFmtId="0" fontId="7" fillId="0" borderId="0" applyAlignment="1" pivotButton="0" quotePrefix="0" xfId="108">
      <alignment horizontal="right" vertical="center"/>
    </xf>
    <xf numFmtId="0" fontId="5" fillId="0" borderId="0" applyAlignment="1" pivotButton="0" quotePrefix="0" xfId="6">
      <alignment vertical="center"/>
    </xf>
    <xf numFmtId="0" fontId="1" fillId="0" borderId="0" applyAlignment="1" pivotButton="0" quotePrefix="0" xfId="105">
      <alignment vertical="center"/>
    </xf>
    <xf numFmtId="0" fontId="3" fillId="0" borderId="0" applyAlignment="1" pivotButton="0" quotePrefix="0" xfId="107">
      <alignment horizontal="center" vertical="center"/>
    </xf>
    <xf numFmtId="0" fontId="3" fillId="0" borderId="0" applyAlignment="1" pivotButton="0" quotePrefix="0" xfId="59">
      <alignment vertical="center"/>
    </xf>
    <xf numFmtId="0" fontId="6" fillId="0" borderId="0" applyAlignment="1" pivotButton="0" quotePrefix="0" xfId="107">
      <alignment vertical="center"/>
    </xf>
    <xf numFmtId="0" fontId="1" fillId="0" borderId="0" applyAlignment="1" pivotButton="0" quotePrefix="0" xfId="107">
      <alignment vertical="center" wrapText="1"/>
    </xf>
    <xf numFmtId="0" fontId="6" fillId="0" borderId="0" applyAlignment="1" pivotButton="0" quotePrefix="0" xfId="107">
      <alignment horizontal="left" vertical="center" wrapText="1"/>
    </xf>
    <xf numFmtId="0" fontId="3" fillId="7" borderId="0" applyAlignment="1" pivotButton="0" quotePrefix="0" xfId="107">
      <alignment vertical="center"/>
    </xf>
    <xf numFmtId="0" fontId="3" fillId="2" borderId="8" applyAlignment="1" pivotButton="0" quotePrefix="0" xfId="107">
      <alignment horizontal="center" vertical="center" wrapText="1"/>
    </xf>
    <xf numFmtId="0" fontId="3" fillId="2" borderId="8" applyAlignment="1" pivotButton="0" quotePrefix="0" xfId="59">
      <alignment horizontal="center" vertical="center" wrapText="1"/>
    </xf>
    <xf numFmtId="0" fontId="1" fillId="0" borderId="8" applyAlignment="1" pivotButton="0" quotePrefix="0" xfId="107">
      <alignment horizontal="center" vertical="center"/>
    </xf>
    <xf numFmtId="0" fontId="6" fillId="0" borderId="8" applyAlignment="1" pivotButton="0" quotePrefix="0" xfId="107">
      <alignment vertical="center"/>
    </xf>
    <xf numFmtId="0" fontId="6" fillId="0" borderId="8" applyAlignment="1" pivotButton="0" quotePrefix="0" xfId="107">
      <alignment horizontal="center" vertical="center"/>
    </xf>
    <xf numFmtId="165" fontId="6" fillId="0" borderId="8" applyAlignment="1" pivotButton="0" quotePrefix="0" xfId="59">
      <alignment vertical="center"/>
    </xf>
    <xf numFmtId="0" fontId="6" fillId="0" borderId="8" applyAlignment="1" pivotButton="0" quotePrefix="0" xfId="107">
      <alignment vertical="center" wrapText="1"/>
    </xf>
    <xf numFmtId="0" fontId="1" fillId="0" borderId="8" applyAlignment="1" pivotButton="0" quotePrefix="0" xfId="107">
      <alignment vertical="center"/>
    </xf>
    <xf numFmtId="165" fontId="1" fillId="0" borderId="8" applyAlignment="1" pivotButton="0" quotePrefix="0" xfId="59">
      <alignment vertical="center"/>
    </xf>
    <xf numFmtId="0" fontId="1" fillId="0" borderId="8" applyAlignment="1" pivotButton="0" quotePrefix="0" xfId="107">
      <alignment vertical="center" wrapText="1"/>
    </xf>
    <xf numFmtId="0" fontId="1" fillId="0" borderId="0" applyAlignment="1" pivotButton="0" quotePrefix="0" xfId="59">
      <alignment vertical="center"/>
    </xf>
    <xf numFmtId="0" fontId="30" fillId="0" borderId="0" applyAlignment="1" pivotButton="0" quotePrefix="0" xfId="105">
      <alignment vertical="center"/>
    </xf>
    <xf numFmtId="0" fontId="1" fillId="0" borderId="0" applyAlignment="1" pivotButton="0" quotePrefix="0" xfId="107">
      <alignment horizontal="left" vertical="center" wrapText="1"/>
    </xf>
    <xf numFmtId="0" fontId="14" fillId="0" borderId="0" applyAlignment="1" pivotButton="0" quotePrefix="0" xfId="107">
      <alignment vertical="center"/>
    </xf>
    <xf numFmtId="0" fontId="8" fillId="0" borderId="0" applyAlignment="1" pivotButton="0" quotePrefix="0" xfId="107">
      <alignment vertical="center"/>
    </xf>
    <xf numFmtId="0" fontId="11" fillId="0" borderId="0" applyAlignment="1" applyProtection="1" pivotButton="0" quotePrefix="0" xfId="90">
      <alignment vertical="center"/>
      <protection locked="0" hidden="0"/>
    </xf>
    <xf numFmtId="164" fontId="11" fillId="0" borderId="0" applyAlignment="1" applyProtection="1" pivotButton="0" quotePrefix="0" xfId="90">
      <alignment horizontal="center" vertical="center"/>
      <protection locked="0" hidden="0"/>
    </xf>
    <xf numFmtId="164" fontId="11" fillId="0" borderId="0" applyAlignment="1" applyProtection="1" pivotButton="0" quotePrefix="0" xfId="90">
      <alignment vertical="center"/>
      <protection locked="0" hidden="0"/>
    </xf>
    <xf numFmtId="0" fontId="7" fillId="0" borderId="0" applyAlignment="1" pivotButton="0" quotePrefix="0" xfId="0">
      <alignment vertical="center"/>
    </xf>
    <xf numFmtId="0" fontId="32" fillId="0" borderId="0" applyAlignment="1" applyProtection="1" pivotButton="0" quotePrefix="0" xfId="6">
      <alignment vertical="center"/>
      <protection locked="0" hidden="0"/>
    </xf>
    <xf numFmtId="0" fontId="10" fillId="0" borderId="0" applyAlignment="1" pivotButton="0" quotePrefix="0" xfId="79">
      <alignment horizontal="left" vertical="center"/>
    </xf>
    <xf numFmtId="0" fontId="11" fillId="0" borderId="0" applyAlignment="1" pivotButton="0" quotePrefix="0" xfId="90">
      <alignment horizontal="center" vertical="center"/>
    </xf>
    <xf numFmtId="0" fontId="26" fillId="0" borderId="0" applyAlignment="1" pivotButton="0" quotePrefix="0" xfId="59">
      <alignment vertical="center"/>
    </xf>
    <xf numFmtId="0" fontId="11" fillId="0" borderId="0" applyAlignment="1" pivotButton="0" quotePrefix="0" xfId="90">
      <alignment vertical="center"/>
    </xf>
    <xf numFmtId="0" fontId="11" fillId="0" borderId="0" applyAlignment="1" applyProtection="1" pivotButton="0" quotePrefix="0" xfId="90">
      <alignment horizontal="left" vertical="center"/>
      <protection locked="0" hidden="0"/>
    </xf>
    <xf numFmtId="164" fontId="3" fillId="2" borderId="8" applyAlignment="1" applyProtection="1" pivotButton="0" quotePrefix="0" xfId="90">
      <alignment horizontal="center" vertical="center" wrapText="1"/>
      <protection locked="0" hidden="0"/>
    </xf>
    <xf numFmtId="164" fontId="13" fillId="2" borderId="8" applyAlignment="1" pivotButton="0" quotePrefix="0" xfId="90">
      <alignment horizontal="center" vertical="center" wrapText="1"/>
    </xf>
    <xf numFmtId="164" fontId="29" fillId="2" borderId="8" applyAlignment="1" pivotButton="0" quotePrefix="0" xfId="90">
      <alignment horizontal="center" vertical="center" wrapText="1"/>
    </xf>
    <xf numFmtId="0" fontId="11" fillId="0" borderId="8" applyAlignment="1" applyProtection="1" pivotButton="0" quotePrefix="0" xfId="90">
      <alignment vertical="center"/>
      <protection locked="0" hidden="0"/>
    </xf>
    <xf numFmtId="0" fontId="11" fillId="0" borderId="8" applyAlignment="1" applyProtection="1" pivotButton="0" quotePrefix="0" xfId="59">
      <alignment vertical="center"/>
      <protection locked="0" hidden="0"/>
    </xf>
    <xf numFmtId="165" fontId="11" fillId="0" borderId="8" applyAlignment="1" applyProtection="1" pivotButton="0" quotePrefix="0" xfId="59">
      <alignment vertical="center"/>
      <protection locked="0" hidden="0"/>
    </xf>
    <xf numFmtId="10" fontId="11" fillId="0" borderId="8" applyAlignment="1" applyProtection="1" pivotButton="0" quotePrefix="0" xfId="90">
      <alignment vertical="center"/>
      <protection locked="0" hidden="0"/>
    </xf>
    <xf numFmtId="165" fontId="11" fillId="0" borderId="0" applyAlignment="1" applyProtection="1" pivotButton="0" quotePrefix="0" xfId="59">
      <alignment vertical="center"/>
      <protection locked="0" hidden="0"/>
    </xf>
    <xf numFmtId="0" fontId="10" fillId="0" borderId="0" applyAlignment="1" applyProtection="1" pivotButton="0" quotePrefix="0" xfId="90">
      <alignment vertical="center"/>
      <protection locked="0" hidden="0"/>
    </xf>
    <xf numFmtId="0" fontId="3" fillId="0" borderId="0" applyAlignment="1" pivotButton="0" quotePrefix="0" xfId="89">
      <alignment vertical="center"/>
    </xf>
    <xf numFmtId="0" fontId="3" fillId="2" borderId="7" applyAlignment="1" applyProtection="1" pivotButton="0" quotePrefix="0" xfId="90">
      <alignment horizontal="center" vertical="center" wrapText="1"/>
      <protection locked="0" hidden="0"/>
    </xf>
    <xf numFmtId="0" fontId="3" fillId="2" borderId="7" applyAlignment="1" pivotButton="0" quotePrefix="0" xfId="90">
      <alignment horizontal="center" vertical="center" wrapText="1"/>
    </xf>
    <xf numFmtId="165" fontId="11" fillId="0" borderId="8" applyAlignment="1" applyProtection="1" pivotButton="0" quotePrefix="0" xfId="90">
      <alignment vertical="center"/>
      <protection locked="0" hidden="0"/>
    </xf>
    <xf numFmtId="0" fontId="11" fillId="0" borderId="0" applyAlignment="1" applyProtection="1" pivotButton="0" quotePrefix="0" xfId="90">
      <alignment horizontal="center" vertical="center"/>
      <protection locked="0" hidden="0"/>
    </xf>
    <xf numFmtId="0" fontId="11" fillId="0" borderId="0" applyAlignment="1" applyProtection="1" pivotButton="0" quotePrefix="0" xfId="59">
      <alignment vertical="center"/>
      <protection locked="0" hidden="0"/>
    </xf>
    <xf numFmtId="164" fontId="1" fillId="0" borderId="0" applyAlignment="1" applyProtection="1" pivotButton="0" quotePrefix="0" xfId="81">
      <alignment vertical="center"/>
      <protection locked="0" hidden="0"/>
    </xf>
    <xf numFmtId="164" fontId="1" fillId="0" borderId="0" applyAlignment="1" pivotButton="0" quotePrefix="0" xfId="53">
      <alignment vertical="center"/>
    </xf>
    <xf numFmtId="0" fontId="3" fillId="2" borderId="8" applyAlignment="1" applyProtection="1" pivotButton="0" quotePrefix="0" xfId="90">
      <alignment horizontal="center" vertical="center"/>
      <protection locked="0" hidden="0"/>
    </xf>
    <xf numFmtId="0" fontId="13" fillId="2" borderId="8" applyAlignment="1" pivotButton="0" quotePrefix="0" xfId="90">
      <alignment horizontal="center" vertical="center" wrapText="1"/>
    </xf>
    <xf numFmtId="165" fontId="1" fillId="0" borderId="8" applyAlignment="1" applyProtection="1" pivotButton="0" quotePrefix="0" xfId="90">
      <alignment vertical="center"/>
      <protection locked="0" hidden="0"/>
    </xf>
    <xf numFmtId="0" fontId="1" fillId="0" borderId="8" applyAlignment="1" applyProtection="1" pivotButton="0" quotePrefix="0" xfId="59">
      <alignment vertical="center"/>
      <protection locked="0" hidden="0"/>
    </xf>
    <xf numFmtId="0" fontId="6" fillId="0" borderId="0" applyAlignment="1" applyProtection="1" pivotButton="0" quotePrefix="0" xfId="90">
      <alignment vertical="center"/>
      <protection locked="0" hidden="0"/>
    </xf>
    <xf numFmtId="164" fontId="1" fillId="0" borderId="0" applyAlignment="1" applyProtection="1" pivotButton="0" quotePrefix="0" xfId="101">
      <alignment vertical="center"/>
      <protection locked="0" hidden="0"/>
    </xf>
    <xf numFmtId="0" fontId="15" fillId="0" borderId="0" applyAlignment="1" applyProtection="1" pivotButton="0" quotePrefix="0" xfId="101">
      <alignment vertical="center"/>
      <protection locked="0" hidden="0"/>
    </xf>
    <xf numFmtId="164" fontId="15" fillId="0" borderId="0" applyAlignment="1" applyProtection="1" pivotButton="0" quotePrefix="0" xfId="101">
      <alignment vertical="center"/>
      <protection locked="0" hidden="0"/>
    </xf>
    <xf numFmtId="164" fontId="2" fillId="0" borderId="0" applyAlignment="1" pivotButton="0" quotePrefix="0" xfId="67">
      <alignment horizontal="center" vertical="center"/>
    </xf>
    <xf numFmtId="164" fontId="3" fillId="0" borderId="0" applyAlignment="1" pivotButton="0" quotePrefix="0" xfId="67">
      <alignment vertical="center"/>
    </xf>
    <xf numFmtId="164" fontId="4" fillId="0" borderId="0" applyAlignment="1" pivotButton="0" quotePrefix="0" xfId="67">
      <alignment horizontal="center" vertical="center"/>
    </xf>
    <xf numFmtId="164" fontId="2" fillId="0" borderId="0" applyAlignment="1" pivotButton="0" quotePrefix="0" xfId="67">
      <alignment vertical="center"/>
    </xf>
    <xf numFmtId="164" fontId="1" fillId="0" borderId="0" applyAlignment="1" applyProtection="1" pivotButton="0" quotePrefix="0" xfId="101">
      <alignment horizontal="justify" vertical="center" wrapText="1"/>
      <protection locked="0" hidden="0"/>
    </xf>
    <xf numFmtId="164" fontId="1" fillId="0" borderId="0" applyAlignment="1" applyProtection="1" pivotButton="0" quotePrefix="0" xfId="101">
      <alignment horizontal="right" vertical="center"/>
      <protection locked="0" hidden="0"/>
    </xf>
    <xf numFmtId="164" fontId="32" fillId="0" borderId="0" applyAlignment="1" applyProtection="1" pivotButton="0" quotePrefix="0" xfId="6">
      <alignment vertical="center"/>
      <protection locked="0" hidden="0"/>
    </xf>
    <xf numFmtId="0" fontId="3" fillId="0" borderId="0" applyAlignment="1" pivotButton="0" quotePrefix="0" xfId="97">
      <alignment vertical="center"/>
    </xf>
    <xf numFmtId="0" fontId="1" fillId="0" borderId="0" applyAlignment="1" applyProtection="1" pivotButton="0" quotePrefix="0" xfId="101">
      <alignment vertical="center"/>
      <protection locked="0" hidden="0"/>
    </xf>
    <xf numFmtId="0" fontId="1" fillId="0" borderId="0" applyAlignment="1" applyProtection="1" pivotButton="0" quotePrefix="0" xfId="101">
      <alignment horizontal="justify" vertical="center" wrapText="1"/>
      <protection locked="0" hidden="0"/>
    </xf>
    <xf numFmtId="0" fontId="1" fillId="0" borderId="0" applyAlignment="1" applyProtection="1" pivotButton="0" quotePrefix="0" xfId="101">
      <alignment horizontal="left" vertical="center"/>
      <protection locked="0" hidden="0"/>
    </xf>
    <xf numFmtId="0" fontId="3" fillId="0" borderId="0" applyAlignment="1" applyProtection="1" pivotButton="0" quotePrefix="0" xfId="97">
      <alignment vertical="center"/>
      <protection locked="0" hidden="0"/>
    </xf>
    <xf numFmtId="0" fontId="6" fillId="0" borderId="0" applyAlignment="1" applyProtection="1" pivotButton="0" quotePrefix="0" xfId="101">
      <alignment vertical="center"/>
      <protection locked="0" hidden="0"/>
    </xf>
    <xf numFmtId="0" fontId="39" fillId="0" borderId="0" applyAlignment="1" applyProtection="1" pivotButton="0" quotePrefix="0" xfId="101">
      <alignment vertical="center"/>
      <protection locked="0" hidden="0"/>
    </xf>
    <xf numFmtId="0" fontId="6" fillId="0" borderId="0" applyAlignment="1" applyProtection="1" pivotButton="0" quotePrefix="0" xfId="101">
      <alignment vertical="center" wrapText="1"/>
      <protection locked="0" hidden="0"/>
    </xf>
    <xf numFmtId="49" fontId="3" fillId="2" borderId="8" applyAlignment="1" pivotButton="0" quotePrefix="0" xfId="105">
      <alignment horizontal="center" vertical="center"/>
    </xf>
    <xf numFmtId="164" fontId="3" fillId="2" borderId="8" applyAlignment="1" pivotButton="0" quotePrefix="0" xfId="105">
      <alignment horizontal="center" vertical="center"/>
    </xf>
    <xf numFmtId="49" fontId="3" fillId="2" borderId="8" applyAlignment="1" pivotButton="0" quotePrefix="0" xfId="105">
      <alignment horizontal="center" vertical="center" wrapText="1"/>
    </xf>
    <xf numFmtId="164" fontId="1" fillId="2" borderId="8" applyAlignment="1" pivotButton="0" quotePrefix="0" xfId="105">
      <alignment horizontal="center" vertical="center"/>
    </xf>
    <xf numFmtId="165" fontId="11" fillId="0" borderId="8" applyAlignment="1" pivotButton="0" quotePrefix="0" xfId="105">
      <alignment horizontal="right" vertical="center"/>
    </xf>
    <xf numFmtId="165" fontId="11" fillId="2" borderId="8" applyAlignment="1" pivotButton="0" quotePrefix="0" xfId="106">
      <alignment horizontal="right" vertical="center"/>
    </xf>
    <xf numFmtId="165" fontId="10" fillId="2" borderId="8" applyAlignment="1" pivotButton="0" quotePrefix="0" xfId="106">
      <alignment horizontal="right" vertical="center"/>
    </xf>
    <xf numFmtId="165" fontId="10" fillId="2" borderId="8" applyAlignment="1" pivotButton="0" quotePrefix="0" xfId="105">
      <alignment horizontal="right" vertical="center"/>
    </xf>
    <xf numFmtId="0" fontId="3" fillId="0" borderId="0" applyAlignment="1" applyProtection="1" pivotButton="0" quotePrefix="0" xfId="101">
      <alignment vertical="center"/>
      <protection locked="0" hidden="0"/>
    </xf>
    <xf numFmtId="164" fontId="3" fillId="0" borderId="0" applyAlignment="1" applyProtection="1" pivotButton="0" quotePrefix="0" xfId="101">
      <alignment vertical="center"/>
      <protection locked="0" hidden="0"/>
    </xf>
    <xf numFmtId="164" fontId="2" fillId="0" borderId="0" applyAlignment="1" pivotButton="0" quotePrefix="0" xfId="50">
      <alignment horizontal="center" vertical="center"/>
    </xf>
    <xf numFmtId="164" fontId="4" fillId="0" borderId="0" applyAlignment="1" pivotButton="0" quotePrefix="0" xfId="50">
      <alignment horizontal="center" vertical="center"/>
    </xf>
    <xf numFmtId="164" fontId="1" fillId="0" borderId="0" applyAlignment="1" applyProtection="1" pivotButton="0" quotePrefix="0" xfId="81">
      <alignment horizontal="right" vertical="center"/>
      <protection locked="0" hidden="0"/>
    </xf>
    <xf numFmtId="0" fontId="13" fillId="0" borderId="0" applyAlignment="1" pivotButton="0" quotePrefix="0" xfId="81">
      <alignment vertical="center"/>
    </xf>
    <xf numFmtId="0" fontId="7" fillId="0" borderId="0" applyAlignment="1" pivotButton="0" quotePrefix="0" xfId="81">
      <alignment vertical="center"/>
    </xf>
    <xf numFmtId="0" fontId="1" fillId="0" borderId="0" applyAlignment="1" pivotButton="0" quotePrefix="0" xfId="53">
      <alignment vertical="center"/>
    </xf>
    <xf numFmtId="0" fontId="1" fillId="0" borderId="0" applyAlignment="1" applyProtection="1" pivotButton="0" quotePrefix="0" xfId="81">
      <alignment vertical="center"/>
      <protection locked="0" hidden="0"/>
    </xf>
    <xf numFmtId="0" fontId="1" fillId="0" borderId="0" applyAlignment="1" applyProtection="1" pivotButton="0" quotePrefix="0" xfId="81">
      <alignment horizontal="right" vertical="center"/>
      <protection locked="0" hidden="0"/>
    </xf>
    <xf numFmtId="0" fontId="1" fillId="0" borderId="0" applyAlignment="1" pivotButton="0" quotePrefix="0" xfId="82">
      <alignment vertical="center"/>
    </xf>
    <xf numFmtId="0" fontId="3" fillId="0" borderId="0" applyAlignment="1" pivotButton="0" quotePrefix="0" xfId="81">
      <alignment vertical="center"/>
    </xf>
    <xf numFmtId="0" fontId="6" fillId="0" borderId="0" applyAlignment="1" pivotButton="0" quotePrefix="0" xfId="82">
      <alignment vertical="center"/>
    </xf>
    <xf numFmtId="164" fontId="3" fillId="2" borderId="8" applyAlignment="1" applyProtection="1" pivotButton="0" quotePrefix="0" xfId="81">
      <alignment horizontal="center" vertical="center"/>
      <protection locked="0" hidden="0"/>
    </xf>
    <xf numFmtId="164" fontId="3" fillId="2" borderId="8" applyAlignment="1" applyProtection="1" pivotButton="0" quotePrefix="0" xfId="81">
      <alignment horizontal="center" vertical="center" wrapText="1"/>
      <protection locked="0" hidden="0"/>
    </xf>
    <xf numFmtId="164" fontId="3" fillId="2" borderId="8" applyAlignment="1" pivotButton="0" quotePrefix="0" xfId="59">
      <alignment horizontal="center" vertical="center" wrapText="1"/>
    </xf>
    <xf numFmtId="164" fontId="7" fillId="0" borderId="8" applyAlignment="1" pivotButton="0" quotePrefix="0" xfId="0">
      <alignment vertical="center"/>
    </xf>
    <xf numFmtId="165" fontId="26" fillId="0" borderId="8" applyAlignment="1" pivotButton="0" quotePrefix="0" xfId="0">
      <alignment vertical="center"/>
    </xf>
    <xf numFmtId="164" fontId="26" fillId="0" borderId="8" applyAlignment="1" pivotButton="0" quotePrefix="0" xfId="0">
      <alignment vertical="center"/>
    </xf>
    <xf numFmtId="164" fontId="7" fillId="0" borderId="8" applyAlignment="1" pivotButton="0" quotePrefix="0" xfId="0">
      <alignment vertical="center" wrapText="1"/>
    </xf>
    <xf numFmtId="0" fontId="13" fillId="0" borderId="0" applyAlignment="1" pivotButton="0" quotePrefix="0" xfId="76">
      <alignment vertical="center"/>
    </xf>
    <xf numFmtId="0" fontId="7" fillId="0" borderId="0" applyAlignment="1" pivotButton="0" quotePrefix="0" xfId="76">
      <alignment vertical="center"/>
    </xf>
    <xf numFmtId="0" fontId="6" fillId="0" borderId="0" applyAlignment="1" pivotButton="0" quotePrefix="0" xfId="76">
      <alignment vertical="center"/>
    </xf>
    <xf numFmtId="164" fontId="7" fillId="0" borderId="0" applyAlignment="1" pivotButton="0" quotePrefix="0" xfId="76">
      <alignment vertical="center"/>
    </xf>
    <xf numFmtId="0" fontId="1" fillId="0" borderId="0" applyAlignment="1" pivotButton="0" quotePrefix="0" xfId="50">
      <alignment vertical="center"/>
    </xf>
    <xf numFmtId="0" fontId="1" fillId="0" borderId="0" applyAlignment="1" applyProtection="1" pivotButton="0" quotePrefix="0" xfId="51">
      <alignment vertical="center"/>
      <protection locked="0" hidden="0"/>
    </xf>
    <xf numFmtId="164" fontId="40" fillId="0" borderId="0" applyAlignment="1" pivotButton="0" quotePrefix="0" xfId="52">
      <alignment vertical="center"/>
    </xf>
    <xf numFmtId="0" fontId="3" fillId="0" borderId="0" applyAlignment="1" pivotButton="0" quotePrefix="0" xfId="52">
      <alignment horizontal="left" vertical="center"/>
    </xf>
    <xf numFmtId="0" fontId="3" fillId="0" borderId="0" applyAlignment="1" pivotButton="0" quotePrefix="0" xfId="52">
      <alignment horizontal="left" vertical="center" wrapText="1"/>
    </xf>
    <xf numFmtId="0" fontId="1" fillId="0" borderId="0" applyAlignment="1" pivotButton="0" quotePrefix="0" xfId="52">
      <alignment vertical="center"/>
    </xf>
    <xf numFmtId="0" fontId="2" fillId="0" borderId="0" applyAlignment="1" pivotButton="0" quotePrefix="0" xfId="50">
      <alignment horizontal="center" vertical="center"/>
    </xf>
    <xf numFmtId="0" fontId="4" fillId="0" borderId="0" applyAlignment="1" pivotButton="0" quotePrefix="0" xfId="50">
      <alignment horizontal="center" vertical="center"/>
    </xf>
    <xf numFmtId="0" fontId="1" fillId="0" borderId="0" applyAlignment="1" applyProtection="1" pivotButton="0" quotePrefix="0" xfId="51">
      <alignment horizontal="left" vertical="center"/>
      <protection locked="0" hidden="0"/>
    </xf>
    <xf numFmtId="0" fontId="3" fillId="0" borderId="0" applyAlignment="1" applyProtection="1" pivotButton="0" quotePrefix="0" xfId="51">
      <alignment horizontal="left" vertical="center"/>
      <protection locked="0" hidden="0"/>
    </xf>
    <xf numFmtId="0" fontId="1" fillId="0" borderId="0" applyAlignment="1" applyProtection="1" pivotButton="0" quotePrefix="0" xfId="51">
      <alignment horizontal="left" vertical="center" wrapText="1"/>
      <protection locked="0" hidden="0"/>
    </xf>
    <xf numFmtId="0" fontId="3" fillId="0" borderId="0" applyAlignment="1" applyProtection="1" pivotButton="0" quotePrefix="0" xfId="51">
      <alignment horizontal="left" vertical="center" wrapText="1"/>
      <protection locked="0" hidden="0"/>
    </xf>
    <xf numFmtId="0" fontId="3" fillId="0" borderId="0" applyAlignment="1" applyProtection="1" pivotButton="0" quotePrefix="0" xfId="51">
      <alignment horizontal="justify" vertical="center"/>
      <protection locked="0" hidden="0"/>
    </xf>
    <xf numFmtId="0" fontId="3" fillId="2" borderId="8" applyAlignment="1" applyProtection="1" pivotButton="0" quotePrefix="0" xfId="51">
      <alignment horizontal="center" vertical="center" wrapText="1"/>
      <protection locked="0" hidden="0"/>
    </xf>
    <xf numFmtId="0" fontId="3" fillId="2" borderId="8" applyAlignment="1" applyProtection="1" pivotButton="0" quotePrefix="0" xfId="51">
      <alignment horizontal="center" vertical="center"/>
      <protection locked="0" hidden="0"/>
    </xf>
    <xf numFmtId="0" fontId="1" fillId="0" borderId="8" applyAlignment="1" applyProtection="1" pivotButton="0" quotePrefix="0" xfId="51">
      <alignment horizontal="left" vertical="center" wrapText="1"/>
      <protection locked="0" hidden="0"/>
    </xf>
    <xf numFmtId="0" fontId="1" fillId="0" borderId="8" applyAlignment="1" applyProtection="1" pivotButton="0" quotePrefix="0" xfId="51">
      <alignment horizontal="center" vertical="center" wrapText="1"/>
      <protection locked="0" hidden="0"/>
    </xf>
    <xf numFmtId="0" fontId="3" fillId="2" borderId="8" applyAlignment="1" applyProtection="1" pivotButton="0" quotePrefix="0" xfId="0">
      <alignment horizontal="center" vertical="center"/>
      <protection locked="0" hidden="0"/>
    </xf>
    <xf numFmtId="0" fontId="3" fillId="2" borderId="8" applyAlignment="1" applyProtection="1" pivotButton="0" quotePrefix="0" xfId="0">
      <alignment horizontal="center" vertical="center" wrapText="1"/>
      <protection locked="0" hidden="0"/>
    </xf>
    <xf numFmtId="164" fontId="3" fillId="2" borderId="8" applyAlignment="1" applyProtection="1" pivotButton="0" quotePrefix="0" xfId="55">
      <alignment horizontal="center" vertical="center" wrapText="1"/>
      <protection locked="0" hidden="0"/>
    </xf>
    <xf numFmtId="164" fontId="10" fillId="2" borderId="8" applyAlignment="1" applyProtection="1" pivotButton="0" quotePrefix="0" xfId="55">
      <alignment horizontal="center" vertical="center" wrapText="1"/>
      <protection locked="0" hidden="0"/>
    </xf>
    <xf numFmtId="164" fontId="8" fillId="0" borderId="0" applyAlignment="1" pivotButton="0" quotePrefix="0" xfId="56">
      <alignment horizontal="left" vertical="center"/>
    </xf>
    <xf numFmtId="0" fontId="11" fillId="0" borderId="8" applyAlignment="1" pivotButton="0" quotePrefix="0" xfId="53">
      <alignment horizontal="center" vertical="center"/>
    </xf>
    <xf numFmtId="0" fontId="3" fillId="0" borderId="8" applyAlignment="1" pivotButton="0" quotePrefix="0" xfId="52">
      <alignment horizontal="left" vertical="center" wrapText="1"/>
    </xf>
    <xf numFmtId="0" fontId="1" fillId="0" borderId="8" applyAlignment="1" pivotButton="0" quotePrefix="0" xfId="52">
      <alignment vertical="center" wrapText="1"/>
    </xf>
    <xf numFmtId="0" fontId="7" fillId="0" borderId="8" applyAlignment="1" pivotButton="0" quotePrefix="0" xfId="55">
      <alignment horizontal="center" vertical="center" wrapText="1"/>
    </xf>
    <xf numFmtId="0" fontId="11" fillId="0" borderId="8" applyAlignment="1" applyProtection="1" pivotButton="0" quotePrefix="0" xfId="0">
      <alignment horizontal="center" vertical="center" wrapText="1"/>
      <protection locked="0" hidden="0"/>
    </xf>
    <xf numFmtId="0" fontId="10" fillId="0" borderId="8" applyAlignment="1" applyProtection="1" pivotButton="0" quotePrefix="0" xfId="0">
      <alignment horizontal="center" vertical="center" wrapText="1"/>
      <protection locked="0" hidden="0"/>
    </xf>
    <xf numFmtId="0" fontId="1" fillId="0" borderId="8" applyAlignment="1" pivotButton="0" quotePrefix="0" xfId="52">
      <alignment vertical="center"/>
    </xf>
    <xf numFmtId="49" fontId="1" fillId="0" borderId="8" applyAlignment="1" pivotButton="0" quotePrefix="0" xfId="52">
      <alignment vertical="center" wrapText="1"/>
    </xf>
    <xf numFmtId="0" fontId="11" fillId="0" borderId="8" applyAlignment="1" applyProtection="1" pivotButton="0" quotePrefix="0" xfId="51">
      <alignment horizontal="center" vertical="center" wrapText="1"/>
      <protection locked="0" hidden="0"/>
    </xf>
    <xf numFmtId="0" fontId="1" fillId="8" borderId="0" applyAlignment="1" applyProtection="1" pivotButton="0" quotePrefix="0" xfId="55">
      <alignment horizontal="left" vertical="center"/>
      <protection locked="0" hidden="0"/>
    </xf>
    <xf numFmtId="164" fontId="11" fillId="0" borderId="8" applyAlignment="1" applyProtection="1" pivotButton="0" quotePrefix="0" xfId="0">
      <alignment horizontal="center" vertical="center" wrapText="1"/>
      <protection locked="0" hidden="0"/>
    </xf>
    <xf numFmtId="164" fontId="7" fillId="0" borderId="8" applyAlignment="1" pivotButton="0" quotePrefix="0" xfId="55">
      <alignment horizontal="center" vertical="center" wrapText="1"/>
    </xf>
    <xf numFmtId="164" fontId="10" fillId="0" borderId="8" applyAlignment="1" applyProtection="1" pivotButton="0" quotePrefix="0" xfId="0">
      <alignment horizontal="center" vertical="center" wrapText="1"/>
      <protection locked="0" hidden="0"/>
    </xf>
    <xf numFmtId="49" fontId="11" fillId="0" borderId="8" applyAlignment="1" pivotButton="0" quotePrefix="0" xfId="52">
      <alignment vertical="center" wrapText="1"/>
    </xf>
    <xf numFmtId="0" fontId="30" fillId="0" borderId="8" applyAlignment="1" applyProtection="1" pivotButton="0" quotePrefix="0" xfId="0">
      <alignment horizontal="center" vertical="center" wrapText="1"/>
      <protection locked="0" hidden="0"/>
    </xf>
    <xf numFmtId="164" fontId="7" fillId="0" borderId="8" applyAlignment="1" pivotButton="0" quotePrefix="0" xfId="72">
      <alignment vertical="center" wrapText="1"/>
    </xf>
    <xf numFmtId="164" fontId="26" fillId="0" borderId="8" applyAlignment="1" pivotButton="0" quotePrefix="0" xfId="55">
      <alignment horizontal="center" vertical="center" wrapText="1"/>
    </xf>
    <xf numFmtId="164" fontId="29" fillId="0" borderId="8" applyAlignment="1" pivotButton="0" quotePrefix="0" xfId="55">
      <alignment horizontal="center" vertical="center" wrapText="1"/>
    </xf>
    <xf numFmtId="164" fontId="26" fillId="0" borderId="8" applyAlignment="1" pivotButton="0" quotePrefix="0" xfId="72">
      <alignment vertical="center" wrapText="1"/>
    </xf>
    <xf numFmtId="0" fontId="8" fillId="0" borderId="0" applyAlignment="1" pivotButton="0" quotePrefix="0" xfId="53">
      <alignment horizontal="left" vertical="center" wrapText="1"/>
    </xf>
    <xf numFmtId="0" fontId="1" fillId="0" borderId="0" applyAlignment="1" pivotButton="0" quotePrefix="0" xfId="52">
      <alignment vertical="center" wrapText="1"/>
    </xf>
    <xf numFmtId="0" fontId="3" fillId="0" borderId="0" applyAlignment="1" applyProtection="1" pivotButton="0" quotePrefix="0" xfId="49">
      <alignment vertical="center"/>
      <protection locked="0" hidden="0"/>
    </xf>
    <xf numFmtId="0" fontId="1" fillId="0" borderId="0" applyAlignment="1" applyProtection="1" pivotButton="0" quotePrefix="0" xfId="49">
      <alignment vertical="center"/>
      <protection locked="0" hidden="0"/>
    </xf>
    <xf numFmtId="0" fontId="1" fillId="4" borderId="0" applyAlignment="1" applyProtection="1" pivotButton="0" quotePrefix="0" xfId="49">
      <alignment horizontal="justify" vertical="center"/>
      <protection locked="0" hidden="0"/>
    </xf>
    <xf numFmtId="0" fontId="1" fillId="0" borderId="0" applyAlignment="1" applyProtection="1" pivotButton="0" quotePrefix="0" xfId="49">
      <alignment horizontal="justify" vertical="center" wrapText="1"/>
      <protection locked="0" hidden="0"/>
    </xf>
    <xf numFmtId="0" fontId="3" fillId="0" borderId="0" applyAlignment="1" applyProtection="1" pivotButton="0" quotePrefix="0" xfId="49">
      <alignment horizontal="center" vertical="center"/>
      <protection locked="0" hidden="0"/>
    </xf>
    <xf numFmtId="164" fontId="11" fillId="4" borderId="0" applyAlignment="1" applyProtection="1" pivotButton="0" quotePrefix="0" xfId="0">
      <alignment horizontal="justify" vertical="center" wrapText="1"/>
      <protection locked="0" hidden="0"/>
    </xf>
    <xf numFmtId="0" fontId="1" fillId="0" borderId="11" applyAlignment="1" applyProtection="1" pivotButton="0" quotePrefix="0" xfId="95">
      <alignment horizontal="center" vertical="center" wrapText="1"/>
      <protection locked="0" hidden="0"/>
    </xf>
    <xf numFmtId="0" fontId="41" fillId="0" borderId="11" applyAlignment="1" applyProtection="1" pivotButton="0" quotePrefix="0" xfId="6">
      <alignment vertical="center"/>
      <protection locked="0" hidden="0"/>
    </xf>
    <xf numFmtId="0" fontId="11" fillId="0" borderId="11" applyAlignment="1" applyProtection="1" pivotButton="0" quotePrefix="0" xfId="6">
      <alignment horizontal="center" vertical="center"/>
      <protection locked="0" hidden="0"/>
    </xf>
    <xf numFmtId="0" fontId="1" fillId="4" borderId="0" applyAlignment="1" applyProtection="1" pivotButton="0" quotePrefix="0" xfId="0">
      <alignment horizontal="justify" vertical="center"/>
      <protection locked="0" hidden="0"/>
    </xf>
    <xf numFmtId="0" fontId="42" fillId="0" borderId="11" applyAlignment="1" applyProtection="1" pivotButton="0" quotePrefix="0" xfId="6">
      <alignment vertical="center"/>
      <protection locked="0" hidden="0"/>
    </xf>
    <xf numFmtId="0" fontId="1" fillId="0" borderId="0" applyAlignment="1" applyProtection="1" pivotButton="0" quotePrefix="0" xfId="0">
      <alignment vertical="center"/>
      <protection locked="0" hidden="0"/>
    </xf>
    <xf numFmtId="164" fontId="4" fillId="0" borderId="0" applyAlignment="1" applyProtection="1" pivotButton="0" quotePrefix="0" xfId="0">
      <alignment horizontal="center" vertical="center"/>
      <protection locked="0" hidden="0"/>
    </xf>
    <xf numFmtId="164" fontId="23" fillId="0" borderId="0" applyAlignment="1" applyProtection="1" pivotButton="0" quotePrefix="0" xfId="0">
      <alignment horizontal="left" vertical="center" wrapText="1"/>
      <protection locked="0" hidden="0"/>
    </xf>
    <xf numFmtId="164" fontId="24" fillId="0" borderId="0" applyAlignment="1" applyProtection="1" pivotButton="0" quotePrefix="0" xfId="0">
      <alignment horizontal="left" vertical="center" wrapText="1"/>
      <protection locked="0" hidden="0"/>
    </xf>
    <xf numFmtId="0" fontId="43" fillId="0" borderId="11" applyAlignment="1" applyProtection="1" pivotButton="0" quotePrefix="0" xfId="6">
      <alignment vertical="center"/>
      <protection locked="0" hidden="0"/>
    </xf>
    <xf numFmtId="0" fontId="1" fillId="0" borderId="0" applyAlignment="1" applyProtection="1" pivotButton="0" quotePrefix="0" xfId="80">
      <alignment horizontal="center" vertical="center"/>
      <protection locked="0" hidden="0"/>
    </xf>
    <xf numFmtId="0" fontId="1" fillId="0" borderId="0" applyAlignment="1" applyProtection="1" pivotButton="0" quotePrefix="0" xfId="80">
      <alignment vertical="center"/>
      <protection locked="0" hidden="0"/>
    </xf>
    <xf numFmtId="0" fontId="3" fillId="0" borderId="0" applyAlignment="1" pivotButton="0" quotePrefix="0" xfId="50">
      <alignment vertical="center"/>
    </xf>
    <xf numFmtId="0" fontId="5" fillId="0" borderId="0" applyAlignment="1" applyProtection="1" pivotButton="0" quotePrefix="0" xfId="80">
      <alignment horizontal="left" vertical="center"/>
      <protection locked="0" hidden="0"/>
    </xf>
    <xf numFmtId="0" fontId="1" fillId="0" borderId="0" applyAlignment="1" pivotButton="0" quotePrefix="0" xfId="80">
      <alignment vertical="center"/>
    </xf>
    <xf numFmtId="0" fontId="1" fillId="0" borderId="0" applyAlignment="1" pivotButton="0" quotePrefix="0" xfId="79">
      <alignment horizontal="left" vertical="center"/>
    </xf>
    <xf numFmtId="0" fontId="25" fillId="0" borderId="0" applyAlignment="1" pivotButton="0" quotePrefix="0" xfId="80">
      <alignment horizontal="center" vertical="center"/>
    </xf>
    <xf numFmtId="0" fontId="6" fillId="0" borderId="0" applyAlignment="1" applyProtection="1" pivotButton="0" quotePrefix="0" xfId="90">
      <alignment horizontal="left" vertical="center"/>
      <protection locked="0" hidden="0"/>
    </xf>
    <xf numFmtId="0" fontId="6" fillId="0" borderId="0" applyAlignment="1" applyProtection="1" pivotButton="0" quotePrefix="0" xfId="80">
      <alignment horizontal="left" vertical="center"/>
      <protection locked="0" hidden="0"/>
    </xf>
    <xf numFmtId="0" fontId="1" fillId="0" borderId="0" applyAlignment="1" applyProtection="1" pivotButton="0" quotePrefix="0" xfId="80">
      <alignment horizontal="left" vertical="center"/>
      <protection locked="0" hidden="0"/>
    </xf>
    <xf numFmtId="0" fontId="3" fillId="2" borderId="8" applyAlignment="1" applyProtection="1" pivotButton="0" quotePrefix="0" xfId="80">
      <alignment horizontal="center" vertical="center"/>
      <protection locked="0" hidden="0"/>
    </xf>
    <xf numFmtId="0" fontId="13" fillId="2" borderId="8" applyAlignment="1" pivotButton="0" quotePrefix="0" xfId="80">
      <alignment horizontal="center" vertical="center"/>
    </xf>
    <xf numFmtId="0" fontId="13" fillId="2" borderId="8" applyAlignment="1" pivotButton="0" quotePrefix="0" xfId="80">
      <alignment horizontal="center" vertical="center" wrapText="1"/>
    </xf>
    <xf numFmtId="0" fontId="6" fillId="0" borderId="8" applyAlignment="1" applyProtection="1" pivotButton="0" quotePrefix="0" xfId="80">
      <alignment vertical="center"/>
      <protection locked="0" hidden="0"/>
    </xf>
    <xf numFmtId="10" fontId="11" fillId="0" borderId="8" applyAlignment="1" applyProtection="1" pivotButton="0" quotePrefix="0" xfId="80">
      <alignment vertical="center"/>
      <protection locked="0" hidden="0"/>
    </xf>
    <xf numFmtId="165" fontId="11" fillId="0" borderId="8" applyAlignment="1" applyProtection="1" pivotButton="0" quotePrefix="0" xfId="80">
      <alignment vertical="center"/>
      <protection locked="0" hidden="0"/>
    </xf>
    <xf numFmtId="0" fontId="11" fillId="2" borderId="8" applyAlignment="1" applyProtection="1" pivotButton="0" quotePrefix="0" xfId="59">
      <alignment vertical="center"/>
      <protection locked="0" hidden="0"/>
    </xf>
    <xf numFmtId="165" fontId="11" fillId="0" borderId="8" applyAlignment="1" applyProtection="1" pivotButton="0" quotePrefix="0" xfId="59">
      <alignment vertical="center"/>
      <protection locked="0" hidden="0"/>
    </xf>
    <xf numFmtId="0" fontId="1" fillId="0" borderId="8" applyAlignment="1" applyProtection="1" pivotButton="0" quotePrefix="0" xfId="80">
      <alignment vertical="center"/>
      <protection locked="0" hidden="0"/>
    </xf>
    <xf numFmtId="0" fontId="8" fillId="0" borderId="0" applyAlignment="1" applyProtection="1" pivotButton="0" quotePrefix="0" xfId="0">
      <alignment vertical="center"/>
      <protection locked="0" hidden="0"/>
    </xf>
    <xf numFmtId="0" fontId="1" fillId="0" borderId="0" applyAlignment="1" applyProtection="1" pivotButton="0" quotePrefix="0" xfId="57">
      <alignment vertical="center" wrapText="1"/>
      <protection locked="0" hidden="0"/>
    </xf>
    <xf numFmtId="0" fontId="1" fillId="0" borderId="0" applyAlignment="1" applyProtection="1" pivotButton="0" quotePrefix="0" xfId="57">
      <alignment vertical="center"/>
      <protection locked="0" hidden="0"/>
    </xf>
    <xf numFmtId="0" fontId="3" fillId="0" borderId="0" applyAlignment="1" applyProtection="1" pivotButton="0" quotePrefix="0" xfId="80">
      <alignment vertical="center"/>
      <protection locked="0" hidden="0"/>
    </xf>
    <xf numFmtId="0" fontId="11" fillId="0" borderId="0" applyAlignment="1" pivotButton="0" quotePrefix="0" xfId="104">
      <alignment horizontal="center" vertical="center"/>
    </xf>
    <xf numFmtId="0" fontId="11" fillId="0" borderId="0" applyAlignment="1" pivotButton="0" quotePrefix="0" xfId="90">
      <alignment vertical="center"/>
    </xf>
    <xf numFmtId="0" fontId="15" fillId="0" borderId="0" applyProtection="1" pivotButton="0" quotePrefix="0" xfId="64">
      <protection locked="0" hidden="0"/>
    </xf>
    <xf numFmtId="0" fontId="1" fillId="0" borderId="0" applyAlignment="1" applyProtection="1" pivotButton="0" quotePrefix="0" xfId="90">
      <alignment horizontal="left" vertical="center"/>
      <protection locked="0" hidden="0"/>
    </xf>
    <xf numFmtId="0" fontId="11" fillId="0" borderId="0" applyAlignment="1" applyProtection="1" pivotButton="0" quotePrefix="0" xfId="90">
      <alignment horizontal="center" vertical="center"/>
      <protection locked="0" hidden="0"/>
    </xf>
    <xf numFmtId="0" fontId="11" fillId="0" borderId="0" applyAlignment="1" applyProtection="1" pivotButton="0" quotePrefix="0" xfId="90">
      <alignment horizontal="left" vertical="center"/>
      <protection locked="0" hidden="0"/>
    </xf>
    <xf numFmtId="0" fontId="7" fillId="0" borderId="0" applyAlignment="1" pivotButton="0" quotePrefix="0" xfId="102">
      <alignment vertical="center"/>
    </xf>
    <xf numFmtId="164" fontId="7" fillId="0" borderId="0" applyAlignment="1" pivotButton="0" quotePrefix="0" xfId="102">
      <alignment vertical="center"/>
    </xf>
    <xf numFmtId="164" fontId="2" fillId="0" borderId="0" applyAlignment="1" pivotButton="0" quotePrefix="0" xfId="89">
      <alignment horizontal="center" vertical="center"/>
    </xf>
    <xf numFmtId="164" fontId="4" fillId="0" borderId="0" applyAlignment="1" pivotButton="0" quotePrefix="0" xfId="89">
      <alignment horizontal="center" vertical="center"/>
    </xf>
    <xf numFmtId="14" fontId="1" fillId="0" borderId="0" applyAlignment="1" pivotButton="0" quotePrefix="0" xfId="58">
      <alignment vertical="center"/>
    </xf>
    <xf numFmtId="164" fontId="1" fillId="0" borderId="0" applyAlignment="1" applyProtection="1" pivotButton="0" quotePrefix="0" xfId="76">
      <alignment horizontal="right" vertical="center"/>
      <protection locked="0" hidden="0"/>
    </xf>
    <xf numFmtId="164" fontId="32" fillId="0" borderId="0" applyAlignment="1" pivotButton="0" quotePrefix="0" xfId="6">
      <alignment vertical="center"/>
    </xf>
    <xf numFmtId="0" fontId="25" fillId="0" borderId="0" applyAlignment="1" pivotButton="0" quotePrefix="0" xfId="76">
      <alignment horizontal="center"/>
    </xf>
    <xf numFmtId="0" fontId="1" fillId="0" borderId="0" applyAlignment="1" applyProtection="1" pivotButton="0" quotePrefix="0" xfId="76">
      <alignment vertical="center"/>
      <protection locked="0" hidden="0"/>
    </xf>
    <xf numFmtId="0" fontId="1" fillId="0" borderId="0" applyAlignment="1" applyProtection="1" pivotButton="0" quotePrefix="0" xfId="76">
      <alignment vertical="center" wrapText="1"/>
      <protection locked="0" hidden="0"/>
    </xf>
    <xf numFmtId="0" fontId="1" fillId="0" borderId="0" applyAlignment="1" applyProtection="1" pivotButton="0" quotePrefix="0" xfId="76">
      <alignment horizontal="right" vertical="center" wrapText="1"/>
      <protection locked="0" hidden="0"/>
    </xf>
    <xf numFmtId="0" fontId="3" fillId="0" borderId="0" applyAlignment="1" pivotButton="0" quotePrefix="0" xfId="79">
      <alignment horizontal="left" vertical="center" wrapText="1"/>
    </xf>
    <xf numFmtId="0" fontId="3" fillId="0" borderId="0" applyAlignment="1" pivotButton="0" quotePrefix="0" xfId="76">
      <alignment horizontal="left" vertical="center"/>
    </xf>
    <xf numFmtId="0" fontId="1" fillId="0" borderId="0" applyAlignment="1" pivotButton="0" quotePrefix="0" xfId="76">
      <alignment vertical="center"/>
    </xf>
    <xf numFmtId="0" fontId="6" fillId="0" borderId="0" applyAlignment="1" pivotButton="0" quotePrefix="0" xfId="76">
      <alignment horizontal="left" vertical="center"/>
    </xf>
    <xf numFmtId="164" fontId="3" fillId="2" borderId="8" applyAlignment="1" pivotButton="0" quotePrefix="0" xfId="76">
      <alignment horizontal="center" vertical="center"/>
    </xf>
    <xf numFmtId="164" fontId="3" fillId="2" borderId="8" applyAlignment="1" pivotButton="0" quotePrefix="0" xfId="102">
      <alignment horizontal="center" vertical="center"/>
    </xf>
    <xf numFmtId="164" fontId="6" fillId="0" borderId="8" applyAlignment="1" pivotButton="0" quotePrefix="0" xfId="76">
      <alignment horizontal="left" vertical="center"/>
    </xf>
    <xf numFmtId="165" fontId="11" fillId="0" borderId="8" applyAlignment="1" pivotButton="0" quotePrefix="0" xfId="102">
      <alignment vertical="center"/>
    </xf>
    <xf numFmtId="165" fontId="11" fillId="0" borderId="8" applyAlignment="1" pivotButton="0" quotePrefix="0" xfId="76">
      <alignment vertical="center"/>
    </xf>
    <xf numFmtId="10" fontId="11" fillId="2" borderId="8" applyAlignment="1" pivotButton="0" quotePrefix="0" xfId="76">
      <alignment vertical="center"/>
    </xf>
    <xf numFmtId="164" fontId="3" fillId="2" borderId="8" applyAlignment="1" pivotButton="0" quotePrefix="0" xfId="76">
      <alignment horizontal="left" vertical="center"/>
    </xf>
    <xf numFmtId="165" fontId="11" fillId="2" borderId="8" applyAlignment="1" pivotButton="0" quotePrefix="0" xfId="76">
      <alignment vertical="center"/>
    </xf>
    <xf numFmtId="0" fontId="9" fillId="0" borderId="0" applyAlignment="1" pivotButton="0" quotePrefix="0" xfId="76">
      <alignment horizontal="left" vertical="center"/>
    </xf>
    <xf numFmtId="164" fontId="7" fillId="0" borderId="8" applyAlignment="1" pivotButton="0" quotePrefix="0" xfId="102">
      <alignment vertical="center"/>
    </xf>
    <xf numFmtId="10" fontId="11" fillId="0" borderId="8" applyAlignment="1" pivotButton="0" quotePrefix="0" xfId="76">
      <alignment vertical="center"/>
    </xf>
    <xf numFmtId="165" fontId="26" fillId="2" borderId="8" applyAlignment="1" pivotButton="0" quotePrefix="0" xfId="59">
      <alignment horizontal="right" vertical="center"/>
    </xf>
    <xf numFmtId="165" fontId="11" fillId="0" borderId="8" applyAlignment="1" pivotButton="0" quotePrefix="0" xfId="1">
      <alignment horizontal="right" vertical="center"/>
    </xf>
    <xf numFmtId="164" fontId="1" fillId="0" borderId="8" applyAlignment="1" pivotButton="0" quotePrefix="0" xfId="76">
      <alignment vertical="center"/>
    </xf>
    <xf numFmtId="164" fontId="3" fillId="0" borderId="0" applyAlignment="1" pivotButton="0" quotePrefix="0" xfId="76">
      <alignment horizontal="center" vertical="center"/>
    </xf>
    <xf numFmtId="165" fontId="13" fillId="0" borderId="0" applyAlignment="1" pivotButton="0" quotePrefix="0" xfId="59">
      <alignment horizontal="right" vertical="center"/>
    </xf>
    <xf numFmtId="164" fontId="3" fillId="0" borderId="0" applyAlignment="1" pivotButton="0" quotePrefix="0" xfId="76">
      <alignment vertical="center"/>
    </xf>
    <xf numFmtId="164" fontId="3" fillId="0" borderId="0" applyAlignment="1" pivotButton="0" quotePrefix="0" xfId="76">
      <alignment horizontal="left" vertical="center"/>
    </xf>
    <xf numFmtId="164" fontId="1" fillId="0" borderId="0" applyAlignment="1" pivotButton="0" quotePrefix="0" xfId="76">
      <alignment vertical="center"/>
    </xf>
    <xf numFmtId="164" fontId="3" fillId="9" borderId="1" applyAlignment="1" pivotButton="0" quotePrefix="0" xfId="101">
      <alignment horizontal="center" vertical="center"/>
    </xf>
    <xf numFmtId="164" fontId="3" fillId="9" borderId="2" applyAlignment="1" pivotButton="0" quotePrefix="0" xfId="101">
      <alignment horizontal="center" vertical="center"/>
    </xf>
    <xf numFmtId="164" fontId="3" fillId="9" borderId="3" applyAlignment="1" pivotButton="0" quotePrefix="0" xfId="101">
      <alignment horizontal="center" vertical="center"/>
    </xf>
    <xf numFmtId="164" fontId="3" fillId="9" borderId="7" applyAlignment="1" pivotButton="0" quotePrefix="0" xfId="101">
      <alignment horizontal="center" vertical="center" wrapText="1"/>
    </xf>
    <xf numFmtId="164" fontId="3" fillId="9" borderId="7" applyAlignment="1" applyProtection="1" pivotButton="0" quotePrefix="0" xfId="90">
      <alignment horizontal="center" vertical="center"/>
      <protection locked="0" hidden="0"/>
    </xf>
    <xf numFmtId="164" fontId="3" fillId="9" borderId="8" applyAlignment="1" pivotButton="0" quotePrefix="0" xfId="101">
      <alignment horizontal="center" vertical="center" wrapText="1"/>
    </xf>
    <xf numFmtId="164" fontId="3" fillId="9" borderId="8" applyAlignment="1" pivotButton="0" quotePrefix="0" xfId="101">
      <alignment horizontal="center" vertical="center"/>
    </xf>
    <xf numFmtId="9" fontId="3" fillId="9" borderId="8" applyAlignment="1" pivotButton="0" quotePrefix="0" xfId="103">
      <alignment horizontal="center" vertical="center"/>
    </xf>
    <xf numFmtId="164" fontId="3" fillId="9" borderId="9" applyAlignment="1" pivotButton="0" quotePrefix="0" xfId="101">
      <alignment horizontal="center" vertical="center" wrapText="1"/>
    </xf>
    <xf numFmtId="164" fontId="3" fillId="9" borderId="9" applyAlignment="1" applyProtection="1" pivotButton="0" quotePrefix="0" xfId="90">
      <alignment horizontal="center" vertical="center"/>
      <protection locked="0" hidden="0"/>
    </xf>
    <xf numFmtId="14" fontId="1" fillId="0" borderId="8" applyAlignment="1" pivotButton="0" quotePrefix="0" xfId="101">
      <alignment horizontal="center" vertical="center"/>
    </xf>
    <xf numFmtId="164" fontId="1" fillId="0" borderId="8" applyAlignment="1" pivotButton="0" quotePrefix="0" xfId="101">
      <alignment horizontal="center" vertical="center"/>
    </xf>
    <xf numFmtId="164" fontId="1" fillId="0" borderId="8" applyAlignment="1" pivotButton="0" quotePrefix="0" xfId="101">
      <alignment horizontal="left" vertical="center" wrapText="1"/>
    </xf>
    <xf numFmtId="164" fontId="1" fillId="0" borderId="8" applyAlignment="1" pivotButton="0" quotePrefix="0" xfId="101">
      <alignment horizontal="left" vertical="center"/>
    </xf>
    <xf numFmtId="166" fontId="1" fillId="0" borderId="8" applyAlignment="1" pivotButton="0" quotePrefix="0" xfId="101">
      <alignment horizontal="right" vertical="center"/>
    </xf>
    <xf numFmtId="164" fontId="1" fillId="0" borderId="8" applyProtection="1" pivotButton="0" quotePrefix="0" xfId="90">
      <protection locked="0" hidden="0"/>
    </xf>
    <xf numFmtId="14" fontId="3" fillId="0" borderId="8" applyAlignment="1" pivotButton="0" quotePrefix="0" xfId="76">
      <alignment horizontal="center" vertical="center"/>
    </xf>
    <xf numFmtId="164" fontId="3" fillId="0" borderId="8" applyAlignment="1" pivotButton="0" quotePrefix="0" xfId="76">
      <alignment horizontal="center" vertical="center"/>
    </xf>
    <xf numFmtId="165" fontId="3" fillId="0" borderId="8" applyAlignment="1" pivotButton="0" quotePrefix="0" xfId="59">
      <alignment horizontal="center" vertical="center"/>
    </xf>
    <xf numFmtId="165" fontId="26" fillId="0" borderId="8" applyAlignment="1" pivotButton="0" quotePrefix="0" xfId="1">
      <alignment vertical="center"/>
    </xf>
    <xf numFmtId="0" fontId="3" fillId="0" borderId="0" applyAlignment="1" pivotButton="0" quotePrefix="0" xfId="76">
      <alignment horizontal="center" vertical="center"/>
    </xf>
    <xf numFmtId="0" fontId="3" fillId="0" borderId="0" applyAlignment="1" applyProtection="1" pivotButton="0" quotePrefix="0" xfId="76">
      <alignment vertical="center"/>
      <protection locked="0" hidden="0"/>
    </xf>
    <xf numFmtId="164" fontId="44" fillId="0" borderId="0" applyAlignment="1" applyProtection="1" pivotButton="0" quotePrefix="0" xfId="76">
      <alignment vertical="center"/>
      <protection locked="0" hidden="0"/>
    </xf>
    <xf numFmtId="164" fontId="1" fillId="0" borderId="0" applyAlignment="1" applyProtection="1" pivotButton="0" quotePrefix="0" xfId="76">
      <alignment vertical="center"/>
      <protection locked="0" hidden="0"/>
    </xf>
    <xf numFmtId="164" fontId="8" fillId="10" borderId="0" applyProtection="1" pivotButton="0" quotePrefix="0" xfId="76">
      <protection locked="0" hidden="0"/>
    </xf>
    <xf numFmtId="164" fontId="1" fillId="0" borderId="0" applyProtection="1" pivotButton="0" quotePrefix="0" xfId="76">
      <protection locked="0" hidden="0"/>
    </xf>
    <xf numFmtId="164" fontId="8" fillId="0" borderId="0" applyProtection="1" pivotButton="0" quotePrefix="0" xfId="76">
      <protection locked="0" hidden="0"/>
    </xf>
    <xf numFmtId="164" fontId="1" fillId="0" borderId="0" applyAlignment="1" pivotButton="0" quotePrefix="0" xfId="58">
      <alignment vertical="center"/>
    </xf>
    <xf numFmtId="164" fontId="1" fillId="0" borderId="0" applyAlignment="1" pivotButton="0" quotePrefix="0" xfId="58">
      <alignment horizontal="left" vertical="center"/>
    </xf>
    <xf numFmtId="164" fontId="1" fillId="0" borderId="0" applyAlignment="1" pivotButton="0" quotePrefix="0" xfId="58">
      <alignment horizontal="right" vertical="center"/>
    </xf>
    <xf numFmtId="0" fontId="7" fillId="0" borderId="0" applyAlignment="1" applyProtection="1" pivotButton="0" quotePrefix="0" xfId="90">
      <alignment vertical="center"/>
      <protection locked="0" hidden="0"/>
    </xf>
    <xf numFmtId="164" fontId="3" fillId="2" borderId="8" applyAlignment="1" pivotButton="0" quotePrefix="0" xfId="90">
      <alignment horizontal="center" vertical="center"/>
    </xf>
    <xf numFmtId="164" fontId="3" fillId="2" borderId="8" applyAlignment="1" pivotButton="0" quotePrefix="0" xfId="90">
      <alignment horizontal="center" vertical="center" wrapText="1"/>
    </xf>
    <xf numFmtId="164" fontId="1" fillId="0" borderId="8" applyAlignment="1" pivotButton="0" quotePrefix="0" xfId="90">
      <alignment horizontal="left" vertical="center"/>
    </xf>
    <xf numFmtId="164" fontId="1" fillId="0" borderId="8" applyAlignment="1" pivotButton="0" quotePrefix="0" xfId="90">
      <alignment horizontal="center" vertical="center"/>
    </xf>
    <xf numFmtId="165" fontId="11" fillId="0" borderId="8" applyAlignment="1" pivotButton="0" quotePrefix="0" xfId="1">
      <alignment vertical="center"/>
    </xf>
    <xf numFmtId="10" fontId="11" fillId="0" borderId="8" applyAlignment="1" pivotButton="0" quotePrefix="0" xfId="3">
      <alignment horizontal="center" vertical="center"/>
    </xf>
    <xf numFmtId="14" fontId="11" fillId="0" borderId="8" applyAlignment="1" pivotButton="0" quotePrefix="0" xfId="90">
      <alignment horizontal="center" vertical="center"/>
    </xf>
    <xf numFmtId="164" fontId="11" fillId="0" borderId="8" applyAlignment="1" pivotButton="0" quotePrefix="0" xfId="90">
      <alignment horizontal="center" vertical="center"/>
    </xf>
    <xf numFmtId="165" fontId="11" fillId="0" borderId="8" applyAlignment="1" pivotButton="0" quotePrefix="0" xfId="1">
      <alignment horizontal="right" vertical="center"/>
    </xf>
    <xf numFmtId="164" fontId="1" fillId="0" borderId="8" applyAlignment="1" pivotButton="0" quotePrefix="0" xfId="59">
      <alignment horizontal="right" vertical="center"/>
    </xf>
    <xf numFmtId="165" fontId="11" fillId="0" borderId="8" applyAlignment="1" applyProtection="1" pivotButton="0" quotePrefix="0" xfId="1">
      <alignment vertical="center"/>
      <protection locked="0" hidden="0"/>
    </xf>
    <xf numFmtId="0" fontId="1" fillId="0" borderId="0" applyAlignment="1" pivotButton="0" quotePrefix="0" xfId="90">
      <alignment horizontal="center" vertical="center"/>
    </xf>
    <xf numFmtId="0" fontId="1" fillId="0" borderId="0" applyAlignment="1" pivotButton="0" quotePrefix="0" xfId="90">
      <alignment horizontal="left" vertical="center"/>
    </xf>
    <xf numFmtId="0" fontId="1" fillId="0" borderId="0" applyAlignment="1" pivotButton="0" quotePrefix="0" xfId="90">
      <alignment horizontal="right" vertical="center"/>
    </xf>
    <xf numFmtId="0" fontId="3" fillId="0" borderId="0" applyAlignment="1" pivotButton="0" quotePrefix="0" xfId="101">
      <alignment vertical="center"/>
    </xf>
    <xf numFmtId="0" fontId="1" fillId="0" borderId="0" applyAlignment="1" pivotButton="0" quotePrefix="0" xfId="101">
      <alignment vertical="center" wrapText="1"/>
    </xf>
    <xf numFmtId="0" fontId="1" fillId="0" borderId="0" applyAlignment="1" pivotButton="0" quotePrefix="0" xfId="101">
      <alignment horizontal="center" vertical="center"/>
    </xf>
    <xf numFmtId="0" fontId="1" fillId="0" borderId="0" applyAlignment="1" pivotButton="0" quotePrefix="0" xfId="101">
      <alignment vertical="center"/>
    </xf>
    <xf numFmtId="0" fontId="3" fillId="0" borderId="0" applyAlignment="1" pivotButton="0" quotePrefix="0" xfId="101">
      <alignment horizontal="center" vertical="center"/>
    </xf>
    <xf numFmtId="164" fontId="12" fillId="0" borderId="0" applyAlignment="1" pivotButton="0" quotePrefix="0" xfId="0">
      <alignment horizontal="left" vertical="center" wrapText="1"/>
    </xf>
    <xf numFmtId="164" fontId="12" fillId="0" borderId="0" applyAlignment="1" pivotButton="0" quotePrefix="0" xfId="0">
      <alignment horizontal="left" vertical="center"/>
    </xf>
    <xf numFmtId="164" fontId="12" fillId="0" borderId="0" applyAlignment="1" pivotButton="0" quotePrefix="0" xfId="101">
      <alignment vertical="center"/>
    </xf>
    <xf numFmtId="164" fontId="12" fillId="0" borderId="0" applyAlignment="1" applyProtection="1" pivotButton="0" quotePrefix="0" xfId="90">
      <alignment vertical="center"/>
      <protection locked="0" hidden="0"/>
    </xf>
    <xf numFmtId="164" fontId="7" fillId="0" borderId="0" applyAlignment="1" pivotButton="0" quotePrefix="0" xfId="0">
      <alignment horizontal="left" vertical="center"/>
    </xf>
    <xf numFmtId="164" fontId="1" fillId="0" borderId="0" applyAlignment="1" pivotButton="0" quotePrefix="0" xfId="85">
      <alignment vertical="center"/>
    </xf>
    <xf numFmtId="164" fontId="3" fillId="0" borderId="0" applyAlignment="1" pivotButton="0" quotePrefix="0" xfId="85">
      <alignment horizontal="center" vertical="center"/>
    </xf>
    <xf numFmtId="0" fontId="3" fillId="0" borderId="0" applyAlignment="1" pivotButton="0" quotePrefix="0" xfId="85">
      <alignment vertical="center"/>
    </xf>
    <xf numFmtId="164" fontId="3" fillId="0" borderId="0" applyAlignment="1" pivotButton="0" quotePrefix="0" xfId="85">
      <alignment vertical="center"/>
    </xf>
    <xf numFmtId="164" fontId="2" fillId="0" borderId="0" applyAlignment="1" pivotButton="0" quotePrefix="0" xfId="61">
      <alignment horizontal="center" vertical="center"/>
    </xf>
    <xf numFmtId="164" fontId="4" fillId="0" borderId="0" applyAlignment="1" pivotButton="0" quotePrefix="0" xfId="100">
      <alignment horizontal="center" vertical="center"/>
    </xf>
    <xf numFmtId="164" fontId="1" fillId="0" borderId="0" applyAlignment="1" pivotButton="0" quotePrefix="0" xfId="85">
      <alignment horizontal="right" vertical="center"/>
    </xf>
    <xf numFmtId="0" fontId="6" fillId="0" borderId="0" applyAlignment="1" pivotButton="0" quotePrefix="0" xfId="79">
      <alignment horizontal="left" vertical="center" wrapText="1"/>
    </xf>
    <xf numFmtId="0" fontId="8" fillId="0" borderId="5" applyAlignment="1" pivotButton="0" quotePrefix="0" xfId="79">
      <alignment horizontal="left" vertical="center" wrapText="1"/>
    </xf>
    <xf numFmtId="164" fontId="9" fillId="2" borderId="1" applyAlignment="1" pivotButton="0" quotePrefix="0" xfId="85">
      <alignment horizontal="center" vertical="center"/>
    </xf>
    <xf numFmtId="164" fontId="9" fillId="2" borderId="2" applyAlignment="1" pivotButton="0" quotePrefix="0" xfId="85">
      <alignment horizontal="center" vertical="center"/>
    </xf>
    <xf numFmtId="164" fontId="9" fillId="2" borderId="3" applyAlignment="1" pivotButton="0" quotePrefix="0" xfId="85">
      <alignment horizontal="center" vertical="center"/>
    </xf>
    <xf numFmtId="164" fontId="3" fillId="2" borderId="1" applyAlignment="1" pivotButton="0" quotePrefix="0" xfId="85">
      <alignment horizontal="center" vertical="center"/>
    </xf>
    <xf numFmtId="164" fontId="3" fillId="2" borderId="2" applyAlignment="1" pivotButton="0" quotePrefix="0" xfId="85">
      <alignment horizontal="center" vertical="center"/>
    </xf>
    <xf numFmtId="164" fontId="3" fillId="2" borderId="8" applyAlignment="1" pivotButton="0" quotePrefix="0" xfId="85">
      <alignment horizontal="center" vertical="center" wrapText="1"/>
    </xf>
    <xf numFmtId="164" fontId="11" fillId="0" borderId="8" applyAlignment="1" pivotButton="0" quotePrefix="0" xfId="85">
      <alignment horizontal="center" vertical="center" wrapText="1"/>
    </xf>
    <xf numFmtId="164" fontId="1" fillId="0" borderId="8" applyAlignment="1" pivotButton="0" quotePrefix="0" xfId="85">
      <alignment horizontal="center" vertical="center" wrapText="1"/>
    </xf>
    <xf numFmtId="164" fontId="11" fillId="0" borderId="8" applyAlignment="1" pivotButton="0" quotePrefix="0" xfId="85">
      <alignment vertical="center" wrapText="1"/>
    </xf>
    <xf numFmtId="14" fontId="11" fillId="0" borderId="7" applyAlignment="1" pivotButton="0" quotePrefix="0" xfId="85">
      <alignment horizontal="center" vertical="center" wrapText="1"/>
    </xf>
    <xf numFmtId="164" fontId="11" fillId="0" borderId="3" applyAlignment="1" pivotButton="0" quotePrefix="0" xfId="85">
      <alignment horizontal="center" vertical="center" wrapText="1"/>
    </xf>
    <xf numFmtId="164" fontId="10" fillId="0" borderId="2" applyAlignment="1" applyProtection="1" pivotButton="0" quotePrefix="0" xfId="90">
      <alignment horizontal="centerContinuous" vertical="center"/>
      <protection locked="0" hidden="0"/>
    </xf>
    <xf numFmtId="164" fontId="3" fillId="0" borderId="2" applyAlignment="1" applyProtection="1" pivotButton="0" quotePrefix="0" xfId="90">
      <alignment horizontal="centerContinuous" vertical="center"/>
      <protection locked="0" hidden="0"/>
    </xf>
    <xf numFmtId="14" fontId="10" fillId="0" borderId="2" applyAlignment="1" applyProtection="1" pivotButton="0" quotePrefix="0" xfId="90">
      <alignment horizontal="centerContinuous" vertical="center"/>
      <protection locked="0" hidden="0"/>
    </xf>
    <xf numFmtId="164" fontId="10" fillId="0" borderId="3" applyAlignment="1" applyProtection="1" pivotButton="0" quotePrefix="0" xfId="90">
      <alignment horizontal="centerContinuous" vertical="center"/>
      <protection locked="0" hidden="0"/>
    </xf>
    <xf numFmtId="164" fontId="11" fillId="0" borderId="8" applyAlignment="1" pivotButton="0" quotePrefix="0" xfId="85">
      <alignment horizontal="centerContinuous" vertical="center"/>
    </xf>
    <xf numFmtId="14" fontId="11" fillId="0" borderId="9" applyAlignment="1" pivotButton="0" quotePrefix="0" xfId="85">
      <alignment horizontal="center" vertical="center" wrapText="1"/>
    </xf>
    <xf numFmtId="0" fontId="3" fillId="0" borderId="10" applyAlignment="1" pivotButton="0" quotePrefix="0" xfId="85">
      <alignment vertical="center"/>
    </xf>
    <xf numFmtId="0" fontId="1" fillId="0" borderId="10" applyAlignment="1" pivotButton="0" quotePrefix="0" xfId="85">
      <alignment vertical="center"/>
    </xf>
    <xf numFmtId="0" fontId="1" fillId="0" borderId="0" applyAlignment="1" pivotButton="0" quotePrefix="0" xfId="85">
      <alignment vertical="center"/>
    </xf>
    <xf numFmtId="164" fontId="12" fillId="0" borderId="0" applyAlignment="1" pivotButton="0" quotePrefix="0" xfId="85">
      <alignment vertical="center"/>
    </xf>
    <xf numFmtId="164" fontId="12" fillId="0" borderId="0" applyAlignment="1" applyProtection="1" pivotButton="0" quotePrefix="0" xfId="79">
      <alignment vertical="center"/>
      <protection locked="0" hidden="0"/>
    </xf>
    <xf numFmtId="164" fontId="2" fillId="0" borderId="0" applyAlignment="1" pivotButton="0" quotePrefix="0" xfId="61">
      <alignment horizontal="center" vertical="center"/>
    </xf>
    <xf numFmtId="164" fontId="4" fillId="0" borderId="0" applyAlignment="1" pivotButton="0" quotePrefix="0" xfId="100">
      <alignment horizontal="center" vertical="center"/>
    </xf>
    <xf numFmtId="165" fontId="1" fillId="0" borderId="0" applyAlignment="1" pivotButton="0" quotePrefix="0" xfId="58">
      <alignment horizontal="right" vertical="center"/>
    </xf>
    <xf numFmtId="49" fontId="1" fillId="0" borderId="0" applyAlignment="1" pivotButton="0" quotePrefix="0" xfId="58">
      <alignment vertical="center"/>
    </xf>
    <xf numFmtId="164" fontId="3" fillId="2" borderId="3" applyAlignment="1" pivotButton="0" quotePrefix="0" xfId="85">
      <alignment horizontal="center" vertical="center"/>
    </xf>
    <xf numFmtId="165" fontId="11" fillId="0" borderId="8" applyAlignment="1" pivotButton="0" quotePrefix="0" xfId="85">
      <alignment vertical="center" wrapText="1"/>
    </xf>
    <xf numFmtId="164" fontId="1" fillId="0" borderId="8" applyAlignment="1" pivotButton="0" quotePrefix="0" xfId="85">
      <alignment vertical="center" wrapText="1"/>
    </xf>
    <xf numFmtId="164" fontId="11" fillId="0" borderId="7" applyAlignment="1" pivotButton="0" quotePrefix="0" xfId="85">
      <alignment horizontal="center" vertical="center" wrapText="1"/>
    </xf>
    <xf numFmtId="14" fontId="11" fillId="0" borderId="3" applyAlignment="1" pivotButton="0" quotePrefix="0" xfId="85">
      <alignment horizontal="center" vertical="center" wrapText="1"/>
    </xf>
    <xf numFmtId="164" fontId="10" fillId="0" borderId="1" applyAlignment="1" applyProtection="1" pivotButton="0" quotePrefix="0" xfId="90">
      <alignment horizontal="centerContinuous" vertical="center"/>
      <protection locked="0" hidden="0"/>
    </xf>
    <xf numFmtId="164" fontId="3" fillId="0" borderId="3" applyAlignment="1" applyProtection="1" pivotButton="0" quotePrefix="0" xfId="90">
      <alignment horizontal="centerContinuous" vertical="center"/>
      <protection locked="0" hidden="0"/>
    </xf>
    <xf numFmtId="164" fontId="1" fillId="0" borderId="8" applyAlignment="1" pivotButton="0" quotePrefix="0" xfId="85">
      <alignment horizontal="centerContinuous" vertical="center"/>
    </xf>
    <xf numFmtId="164" fontId="11" fillId="0" borderId="9" applyAlignment="1" pivotButton="0" quotePrefix="0" xfId="85">
      <alignment horizontal="center" vertical="center" wrapText="1"/>
    </xf>
    <xf numFmtId="164" fontId="1" fillId="0" borderId="0" applyAlignment="1" pivotButton="0" quotePrefix="0" xfId="89">
      <alignment vertical="center"/>
    </xf>
    <xf numFmtId="164" fontId="3" fillId="2" borderId="7" applyAlignment="1" applyProtection="1" pivotButton="0" quotePrefix="0" xfId="90">
      <alignment horizontal="center" vertical="center"/>
      <protection locked="0" hidden="0"/>
    </xf>
    <xf numFmtId="164" fontId="3" fillId="2" borderId="9" applyAlignment="1" applyProtection="1" pivotButton="0" quotePrefix="0" xfId="90">
      <alignment horizontal="center" vertical="center"/>
      <protection locked="0" hidden="0"/>
    </xf>
    <xf numFmtId="164" fontId="13" fillId="2" borderId="8" applyAlignment="1" pivotButton="0" quotePrefix="0" xfId="99">
      <alignment horizontal="center" vertical="center"/>
    </xf>
    <xf numFmtId="0" fontId="26" fillId="0" borderId="8" applyAlignment="1" pivotButton="0" quotePrefix="0" xfId="0">
      <alignment vertical="center"/>
    </xf>
    <xf numFmtId="0" fontId="26" fillId="0" borderId="8" applyAlignment="1" pivotButton="0" quotePrefix="0" xfId="99">
      <alignment vertical="center"/>
    </xf>
    <xf numFmtId="165" fontId="26" fillId="2" borderId="8" applyAlignment="1" pivotButton="0" quotePrefix="0" xfId="1">
      <alignment vertical="center"/>
    </xf>
    <xf numFmtId="0" fontId="7" fillId="0" borderId="8" applyAlignment="1" pivotButton="0" quotePrefix="0" xfId="99">
      <alignment vertical="center"/>
    </xf>
    <xf numFmtId="0" fontId="11" fillId="0" borderId="8" applyAlignment="1" applyProtection="1" pivotButton="0" quotePrefix="0" xfId="99">
      <alignment vertical="center"/>
      <protection locked="0" hidden="0"/>
    </xf>
    <xf numFmtId="0" fontId="1" fillId="0" borderId="8" applyAlignment="1" applyProtection="1" pivotButton="0" quotePrefix="0" xfId="99">
      <alignment vertical="center"/>
      <protection locked="0" hidden="0"/>
    </xf>
    <xf numFmtId="164" fontId="1" fillId="0" borderId="0" applyProtection="1" pivotButton="0" quotePrefix="0" xfId="99">
      <protection locked="0" hidden="0"/>
    </xf>
    <xf numFmtId="0" fontId="1" fillId="0" borderId="0" applyProtection="1" pivotButton="0" quotePrefix="0" xfId="99">
      <protection locked="0" hidden="0"/>
    </xf>
    <xf numFmtId="0" fontId="7" fillId="0" borderId="0" applyAlignment="1" pivotButton="0" quotePrefix="0" xfId="99">
      <alignment vertical="center"/>
    </xf>
    <xf numFmtId="0" fontId="1" fillId="0" borderId="0" applyProtection="1" pivotButton="0" quotePrefix="0" xfId="87">
      <protection locked="0" hidden="0"/>
    </xf>
    <xf numFmtId="0" fontId="7" fillId="0" borderId="0" pivotButton="0" quotePrefix="0" xfId="0"/>
    <xf numFmtId="164" fontId="1" fillId="0" borderId="0" applyAlignment="1" applyProtection="1" pivotButton="0" quotePrefix="0" xfId="79">
      <alignment vertical="center"/>
      <protection locked="0" hidden="0"/>
    </xf>
    <xf numFmtId="164" fontId="3" fillId="0" borderId="0" applyAlignment="1" pivotButton="0" quotePrefix="0" xfId="79">
      <alignment horizontal="left" vertical="center"/>
    </xf>
    <xf numFmtId="164" fontId="1" fillId="0" borderId="0" applyAlignment="1" pivotButton="0" quotePrefix="0" xfId="79">
      <alignment vertical="center"/>
    </xf>
    <xf numFmtId="164" fontId="6" fillId="0" borderId="0" applyAlignment="1" pivotButton="0" quotePrefix="0" xfId="79">
      <alignment vertical="center"/>
    </xf>
    <xf numFmtId="164" fontId="1" fillId="0" borderId="0" applyAlignment="1" applyProtection="1" pivotButton="0" quotePrefix="0" xfId="79">
      <alignment horizontal="right" vertical="center"/>
      <protection locked="0" hidden="0"/>
    </xf>
    <xf numFmtId="164" fontId="9" fillId="2" borderId="8" applyAlignment="1" applyProtection="1" pivotButton="0" quotePrefix="0" xfId="90">
      <alignment horizontal="center" vertical="center" wrapText="1"/>
      <protection locked="0" hidden="0"/>
    </xf>
    <xf numFmtId="168" fontId="11" fillId="0" borderId="8" applyAlignment="1" applyProtection="1" pivotButton="0" quotePrefix="0" xfId="90">
      <alignment horizontal="left" vertical="center"/>
      <protection locked="0" hidden="0"/>
    </xf>
    <xf numFmtId="14" fontId="11" fillId="0" borderId="8" applyAlignment="1" applyProtection="1" pivotButton="0" quotePrefix="0" xfId="90">
      <alignment horizontal="left" vertical="center"/>
      <protection locked="0" hidden="0"/>
    </xf>
    <xf numFmtId="169" fontId="11" fillId="0" borderId="8" applyAlignment="1" applyProtection="1" pivotButton="0" quotePrefix="0" xfId="90">
      <alignment vertical="center" wrapText="1"/>
      <protection locked="0" hidden="0"/>
    </xf>
    <xf numFmtId="168" fontId="1" fillId="0" borderId="8" applyAlignment="1" applyProtection="1" pivotButton="0" quotePrefix="0" xfId="90">
      <alignment vertical="center"/>
      <protection locked="0" hidden="0"/>
    </xf>
    <xf numFmtId="169" fontId="11" fillId="0" borderId="8" applyAlignment="1" applyProtection="1" pivotButton="0" quotePrefix="0" xfId="90">
      <alignment horizontal="left" vertical="center"/>
      <protection locked="0" hidden="0"/>
    </xf>
    <xf numFmtId="168" fontId="11" fillId="0" borderId="8" applyAlignment="1" applyProtection="1" pivotButton="0" quotePrefix="0" xfId="90">
      <alignment horizontal="center" vertical="center"/>
      <protection locked="0" hidden="0"/>
    </xf>
    <xf numFmtId="168" fontId="11" fillId="0" borderId="8" applyAlignment="1" applyProtection="1" pivotButton="0" quotePrefix="0" xfId="59">
      <alignment horizontal="center" vertical="center"/>
      <protection locked="0" hidden="0"/>
    </xf>
    <xf numFmtId="169" fontId="11" fillId="0" borderId="8" applyAlignment="1" applyProtection="1" pivotButton="0" quotePrefix="0" xfId="90">
      <alignment horizontal="center" vertical="center"/>
      <protection locked="0" hidden="0"/>
    </xf>
    <xf numFmtId="168" fontId="11" fillId="0" borderId="8" applyAlignment="1" applyProtection="1" pivotButton="0" quotePrefix="0" xfId="98">
      <alignment horizontal="justify" vertical="center"/>
      <protection locked="0" hidden="0"/>
    </xf>
    <xf numFmtId="168" fontId="11" fillId="0" borderId="8" applyAlignment="1" applyProtection="1" pivotButton="0" quotePrefix="0" xfId="90">
      <alignment vertical="center" wrapText="1"/>
      <protection locked="0" hidden="0"/>
    </xf>
    <xf numFmtId="14" fontId="11" fillId="0" borderId="8" applyAlignment="1" applyProtection="1" pivotButton="0" quotePrefix="0" xfId="90">
      <alignment vertical="center" wrapText="1"/>
      <protection locked="0" hidden="0"/>
    </xf>
    <xf numFmtId="168" fontId="1" fillId="0" borderId="8" applyAlignment="1" applyProtection="1" pivotButton="0" quotePrefix="0" xfId="90">
      <alignment vertical="center" wrapText="1"/>
      <protection locked="0" hidden="0"/>
    </xf>
    <xf numFmtId="168" fontId="11" fillId="0" borderId="8" applyAlignment="1" applyProtection="1" pivotButton="0" quotePrefix="0" xfId="59">
      <alignment vertical="center" wrapText="1"/>
      <protection locked="0" hidden="0"/>
    </xf>
    <xf numFmtId="0" fontId="3" fillId="0" borderId="10" applyAlignment="1" applyProtection="1" pivotButton="0" quotePrefix="0" xfId="90">
      <alignment horizontal="left" vertical="center"/>
      <protection locked="0" hidden="0"/>
    </xf>
    <xf numFmtId="0" fontId="3" fillId="0" borderId="10" applyAlignment="1" applyProtection="1" pivotButton="0" quotePrefix="0" xfId="90">
      <alignment vertical="center" wrapText="1"/>
      <protection locked="0" hidden="0"/>
    </xf>
    <xf numFmtId="0" fontId="1" fillId="0" borderId="0" applyAlignment="1" applyProtection="1" pivotButton="0" quotePrefix="0" xfId="90">
      <alignment vertical="center" wrapText="1"/>
      <protection locked="0" hidden="0"/>
    </xf>
    <xf numFmtId="0" fontId="3" fillId="0" borderId="0" applyAlignment="1" applyProtection="1" pivotButton="0" quotePrefix="0" xfId="90">
      <alignment horizontal="left" vertical="center"/>
      <protection locked="0" hidden="0"/>
    </xf>
    <xf numFmtId="0" fontId="1" fillId="0" borderId="0" applyAlignment="1" applyProtection="1" pivotButton="0" quotePrefix="0" xfId="90">
      <alignment horizontal="left" vertical="center" wrapText="1"/>
      <protection locked="0" hidden="0"/>
    </xf>
    <xf numFmtId="164" fontId="3" fillId="0" borderId="0" applyAlignment="1" applyProtection="1" pivotButton="0" quotePrefix="0" xfId="90">
      <alignment horizontal="left" vertical="center" wrapText="1"/>
      <protection locked="0" hidden="0"/>
    </xf>
    <xf numFmtId="164" fontId="1" fillId="0" borderId="0" applyAlignment="1" applyProtection="1" pivotButton="0" quotePrefix="0" xfId="90">
      <alignment horizontal="left" vertical="center"/>
      <protection locked="0" hidden="0"/>
    </xf>
    <xf numFmtId="164" fontId="1" fillId="0" borderId="0" applyAlignment="1" applyProtection="1" pivotButton="0" quotePrefix="0" xfId="90">
      <alignment horizontal="center" vertical="center"/>
      <protection locked="0" hidden="0"/>
    </xf>
    <xf numFmtId="164" fontId="7" fillId="0" borderId="0" applyAlignment="1" applyProtection="1" pivotButton="0" quotePrefix="0" xfId="0">
      <alignment vertical="center"/>
      <protection locked="0" hidden="0"/>
    </xf>
    <xf numFmtId="164" fontId="3" fillId="2" borderId="0" applyAlignment="1" applyProtection="1" pivotButton="0" quotePrefix="0" xfId="90">
      <alignment vertical="center"/>
      <protection locked="0" hidden="0"/>
    </xf>
    <xf numFmtId="164" fontId="17" fillId="0" borderId="0" applyAlignment="1" applyProtection="1" pivotButton="0" quotePrefix="0" xfId="90">
      <alignment vertical="center"/>
      <protection locked="0" hidden="0"/>
    </xf>
    <xf numFmtId="164" fontId="3" fillId="0" borderId="0" applyAlignment="1" pivotButton="0" quotePrefix="0" xfId="79">
      <alignment vertical="center" wrapText="1"/>
    </xf>
    <xf numFmtId="164" fontId="3" fillId="0" borderId="0" applyAlignment="1" pivotButton="0" quotePrefix="0" xfId="97">
      <alignment horizontal="left" vertical="center"/>
    </xf>
    <xf numFmtId="164" fontId="1" fillId="0" borderId="0" applyAlignment="1" pivotButton="0" quotePrefix="0" xfId="97">
      <alignment horizontal="left" vertical="center"/>
    </xf>
    <xf numFmtId="164" fontId="8" fillId="0" borderId="0" applyAlignment="1" pivotButton="0" quotePrefix="0" xfId="97">
      <alignment horizontal="left" vertical="center"/>
    </xf>
    <xf numFmtId="164" fontId="36" fillId="0" borderId="0" applyProtection="1" pivotButton="0" quotePrefix="0" xfId="0">
      <protection locked="0" hidden="0"/>
    </xf>
    <xf numFmtId="164" fontId="7" fillId="0" borderId="0" applyAlignment="1" pivotButton="0" quotePrefix="0" xfId="76">
      <alignment horizontal="center" vertical="center"/>
    </xf>
    <xf numFmtId="164" fontId="3" fillId="0" borderId="0" applyAlignment="1" pivotButton="0" quotePrefix="0" xfId="97">
      <alignment vertical="center"/>
    </xf>
    <xf numFmtId="164" fontId="3" fillId="0" borderId="0" applyAlignment="1" pivotButton="0" quotePrefix="0" xfId="79">
      <alignment vertical="center"/>
    </xf>
    <xf numFmtId="164" fontId="6" fillId="0" borderId="0" applyAlignment="1" applyProtection="1" pivotButton="0" quotePrefix="0" xfId="79">
      <alignment horizontal="left" vertical="center"/>
      <protection locked="1" hidden="1"/>
    </xf>
    <xf numFmtId="164" fontId="8" fillId="0" borderId="0" applyAlignment="1" applyProtection="1" pivotButton="0" quotePrefix="0" xfId="79">
      <alignment horizontal="center" vertical="center"/>
      <protection locked="1" hidden="1"/>
    </xf>
    <xf numFmtId="164" fontId="1" fillId="0" borderId="0" applyAlignment="1" applyProtection="1" pivotButton="0" quotePrefix="0" xfId="79">
      <alignment horizontal="left" vertical="center"/>
      <protection locked="1" hidden="1"/>
    </xf>
    <xf numFmtId="164" fontId="8" fillId="0" borderId="0" applyAlignment="1" applyProtection="1" pivotButton="0" quotePrefix="0" xfId="79">
      <alignment horizontal="left" vertical="center"/>
      <protection locked="0" hidden="0"/>
    </xf>
    <xf numFmtId="164" fontId="3" fillId="2" borderId="1" applyAlignment="1" applyProtection="1" pivotButton="0" quotePrefix="0" xfId="90">
      <alignment horizontal="center" vertical="center" wrapText="1"/>
      <protection locked="0" hidden="0"/>
    </xf>
    <xf numFmtId="164" fontId="3" fillId="2" borderId="2" applyAlignment="1" applyProtection="1" pivotButton="0" quotePrefix="0" xfId="90">
      <alignment horizontal="center" vertical="center" wrapText="1"/>
      <protection locked="0" hidden="0"/>
    </xf>
    <xf numFmtId="164" fontId="3" fillId="2" borderId="3" applyAlignment="1" applyProtection="1" pivotButton="0" quotePrefix="0" xfId="90">
      <alignment horizontal="center" vertical="center" wrapText="1"/>
      <protection locked="0" hidden="0"/>
    </xf>
    <xf numFmtId="164" fontId="9" fillId="2" borderId="7" applyAlignment="1" applyProtection="1" pivotButton="0" quotePrefix="0" xfId="90">
      <alignment horizontal="center" vertical="center" wrapText="1"/>
      <protection locked="0" hidden="0"/>
    </xf>
    <xf numFmtId="164" fontId="3" fillId="3" borderId="8" applyAlignment="1" pivotButton="0" quotePrefix="0" xfId="96">
      <alignment horizontal="center" vertical="center" wrapText="1"/>
    </xf>
    <xf numFmtId="164" fontId="9" fillId="2" borderId="9" applyAlignment="1" applyProtection="1" pivotButton="0" quotePrefix="0" xfId="90">
      <alignment horizontal="center" vertical="center" wrapText="1"/>
      <protection locked="0" hidden="0"/>
    </xf>
    <xf numFmtId="164" fontId="11" fillId="0" borderId="8" applyAlignment="1" applyProtection="1" pivotButton="0" quotePrefix="0" xfId="90">
      <alignment horizontal="left" vertical="center"/>
      <protection locked="0" hidden="0"/>
    </xf>
    <xf numFmtId="164" fontId="11" fillId="0" borderId="8" applyAlignment="1" applyProtection="1" pivotButton="0" quotePrefix="0" xfId="90">
      <alignment vertical="center" wrapText="1"/>
      <protection locked="0" hidden="0"/>
    </xf>
    <xf numFmtId="164" fontId="1" fillId="0" borderId="8" applyAlignment="1" applyProtection="1" pivotButton="0" quotePrefix="0" xfId="90">
      <alignment vertical="center"/>
      <protection locked="0" hidden="0"/>
    </xf>
    <xf numFmtId="165" fontId="11" fillId="0" borderId="8" applyAlignment="1" applyProtection="1" pivotButton="0" quotePrefix="0" xfId="90">
      <alignment horizontal="center" vertical="center"/>
      <protection locked="0" hidden="0"/>
    </xf>
    <xf numFmtId="164" fontId="11" fillId="0" borderId="8" applyAlignment="1" applyProtection="1" pivotButton="0" quotePrefix="0" xfId="90">
      <alignment horizontal="center" vertical="center"/>
      <protection locked="0" hidden="0"/>
    </xf>
    <xf numFmtId="164" fontId="1" fillId="0" borderId="8" applyAlignment="1" applyProtection="1" pivotButton="0" quotePrefix="0" xfId="90">
      <alignment horizontal="center" vertical="center"/>
      <protection locked="0" hidden="0"/>
    </xf>
    <xf numFmtId="164" fontId="1" fillId="0" borderId="8" applyAlignment="1" applyProtection="1" pivotButton="0" quotePrefix="0" xfId="98">
      <alignment horizontal="justify" vertical="center"/>
      <protection locked="0" hidden="0"/>
    </xf>
    <xf numFmtId="164" fontId="1" fillId="0" borderId="8" applyAlignment="1" applyProtection="1" pivotButton="0" quotePrefix="0" xfId="90">
      <alignment horizontal="left" vertical="center"/>
      <protection locked="0" hidden="0"/>
    </xf>
    <xf numFmtId="164" fontId="3" fillId="2" borderId="8" applyAlignment="1" applyProtection="1" pivotButton="0" quotePrefix="0" xfId="90">
      <alignment horizontal="left" vertical="center"/>
      <protection locked="0" hidden="0"/>
    </xf>
    <xf numFmtId="165" fontId="10" fillId="2" borderId="8" applyAlignment="1" applyProtection="1" pivotButton="0" quotePrefix="0" xfId="90">
      <alignment horizontal="center" vertical="center"/>
      <protection locked="0" hidden="0"/>
    </xf>
    <xf numFmtId="165" fontId="10" fillId="2" borderId="8" applyAlignment="1" applyProtection="1" pivotButton="0" quotePrefix="0" xfId="1">
      <alignment horizontal="center" vertical="center"/>
      <protection locked="0" hidden="0"/>
    </xf>
    <xf numFmtId="14" fontId="10" fillId="2" borderId="8" applyAlignment="1" applyProtection="1" pivotButton="0" quotePrefix="0" xfId="90">
      <alignment horizontal="left" vertical="center"/>
      <protection locked="0" hidden="0"/>
    </xf>
    <xf numFmtId="164" fontId="10" fillId="2" borderId="8" applyAlignment="1" applyProtection="1" pivotButton="0" quotePrefix="0" xfId="90">
      <alignment horizontal="left" vertical="center"/>
      <protection locked="0" hidden="0"/>
    </xf>
    <xf numFmtId="164" fontId="10" fillId="2" borderId="8" applyAlignment="1" applyProtection="1" pivotButton="0" quotePrefix="0" xfId="90">
      <alignment horizontal="center" vertical="center"/>
      <protection locked="0" hidden="0"/>
    </xf>
    <xf numFmtId="164" fontId="3" fillId="2" borderId="8" applyAlignment="1" applyProtection="1" pivotButton="0" quotePrefix="0" xfId="90">
      <alignment horizontal="center" vertical="center"/>
      <protection locked="0" hidden="0"/>
    </xf>
    <xf numFmtId="164" fontId="3" fillId="2" borderId="8" applyAlignment="1" applyProtection="1" pivotButton="0" quotePrefix="0" xfId="98">
      <alignment horizontal="justify" vertical="center"/>
      <protection locked="0" hidden="0"/>
    </xf>
    <xf numFmtId="164" fontId="3" fillId="2" borderId="8" applyAlignment="1" applyProtection="1" pivotButton="0" quotePrefix="0" xfId="90">
      <alignment vertical="center"/>
      <protection locked="0" hidden="0"/>
    </xf>
    <xf numFmtId="164" fontId="3" fillId="2" borderId="8" applyAlignment="1" applyProtection="1" pivotButton="0" quotePrefix="0" xfId="90">
      <alignment vertical="center" wrapText="1"/>
      <protection locked="0" hidden="0"/>
    </xf>
    <xf numFmtId="165" fontId="10" fillId="2" borderId="8" applyAlignment="1" applyProtection="1" pivotButton="0" quotePrefix="0" xfId="90">
      <alignment vertical="center" wrapText="1"/>
      <protection locked="0" hidden="0"/>
    </xf>
    <xf numFmtId="14" fontId="10" fillId="2" borderId="8" applyAlignment="1" applyProtection="1" pivotButton="0" quotePrefix="0" xfId="90">
      <alignment vertical="center" wrapText="1"/>
      <protection locked="0" hidden="0"/>
    </xf>
    <xf numFmtId="164" fontId="10" fillId="2" borderId="8" applyAlignment="1" applyProtection="1" pivotButton="0" quotePrefix="0" xfId="90">
      <alignment vertical="center" wrapText="1"/>
      <protection locked="0" hidden="0"/>
    </xf>
    <xf numFmtId="10" fontId="10" fillId="2" borderId="8" applyAlignment="1" applyProtection="1" pivotButton="0" quotePrefix="0" xfId="3">
      <alignment horizontal="right" vertical="center" wrapText="1"/>
      <protection locked="0" hidden="0"/>
    </xf>
    <xf numFmtId="0" fontId="3" fillId="0" borderId="0" applyAlignment="1" applyProtection="1" pivotButton="0" quotePrefix="0" xfId="90">
      <alignment vertical="center"/>
      <protection locked="0" hidden="0"/>
    </xf>
    <xf numFmtId="0" fontId="1" fillId="0" borderId="0" applyAlignment="1" applyProtection="1" pivotButton="0" quotePrefix="0" xfId="90">
      <alignment vertical="center"/>
      <protection locked="0" hidden="0"/>
    </xf>
    <xf numFmtId="0" fontId="1" fillId="0" borderId="0" applyAlignment="1" pivotButton="0" quotePrefix="0" xfId="79">
      <alignment horizontal="center" vertical="center"/>
    </xf>
    <xf numFmtId="0" fontId="6" fillId="0" borderId="0" applyAlignment="1" applyProtection="1" pivotButton="0" quotePrefix="0" xfId="96">
      <alignment vertical="center"/>
      <protection locked="0" hidden="0"/>
    </xf>
    <xf numFmtId="164" fontId="1" fillId="0" borderId="0" applyAlignment="1" applyProtection="1" pivotButton="0" quotePrefix="0" xfId="76">
      <alignment vertical="center"/>
      <protection locked="0" hidden="0"/>
    </xf>
    <xf numFmtId="164" fontId="2" fillId="0" borderId="0" applyAlignment="1" pivotButton="0" quotePrefix="0" xfId="58">
      <alignment horizontal="center" vertical="center"/>
    </xf>
    <xf numFmtId="164" fontId="4" fillId="0" borderId="0" applyAlignment="1" pivotButton="0" quotePrefix="0" xfId="58">
      <alignment horizontal="center" vertical="center"/>
    </xf>
    <xf numFmtId="164" fontId="3" fillId="0" borderId="0" applyAlignment="1" applyProtection="1" pivotButton="0" quotePrefix="0" xfId="96">
      <alignment vertical="center"/>
      <protection locked="0" hidden="0"/>
    </xf>
    <xf numFmtId="0" fontId="3" fillId="0" borderId="0" applyAlignment="1" applyProtection="1" pivotButton="0" quotePrefix="0" xfId="96">
      <alignment vertical="center"/>
      <protection locked="0" hidden="0"/>
    </xf>
    <xf numFmtId="164" fontId="45" fillId="0" borderId="12" applyAlignment="1" applyProtection="1" pivotButton="0" quotePrefix="0" xfId="76">
      <alignment horizontal="left" vertical="center"/>
      <protection locked="0" hidden="0"/>
    </xf>
    <xf numFmtId="164" fontId="3" fillId="0" borderId="0" applyAlignment="1" applyProtection="1" pivotButton="0" quotePrefix="0" xfId="49">
      <alignment vertical="center"/>
      <protection locked="0" hidden="0"/>
    </xf>
    <xf numFmtId="164" fontId="1" fillId="0" borderId="0" applyAlignment="1" applyProtection="1" pivotButton="0" quotePrefix="0" xfId="49">
      <alignment vertical="center"/>
      <protection locked="0" hidden="0"/>
    </xf>
    <xf numFmtId="164" fontId="1" fillId="4" borderId="0" applyAlignment="1" applyProtection="1" pivotButton="0" quotePrefix="0" xfId="49">
      <alignment horizontal="justify" vertical="center"/>
      <protection locked="0" hidden="0"/>
    </xf>
    <xf numFmtId="164" fontId="1" fillId="0" borderId="0" applyAlignment="1" applyProtection="1" pivotButton="0" quotePrefix="0" xfId="49">
      <alignment horizontal="justify" wrapText="1"/>
      <protection locked="0" hidden="0"/>
    </xf>
    <xf numFmtId="164" fontId="3" fillId="0" borderId="0" applyAlignment="1" applyProtection="1" pivotButton="0" quotePrefix="0" xfId="49">
      <alignment horizontal="center" vertical="center"/>
      <protection locked="0" hidden="0"/>
    </xf>
    <xf numFmtId="0" fontId="11" fillId="0" borderId="11" applyAlignment="1" applyProtection="1" pivotButton="0" quotePrefix="0" xfId="95">
      <alignment horizontal="center" vertical="center" wrapText="1"/>
      <protection locked="0" hidden="0"/>
    </xf>
    <xf numFmtId="164" fontId="46" fillId="0" borderId="11" applyAlignment="1" applyProtection="1" pivotButton="0" quotePrefix="0" xfId="6">
      <alignment vertical="center"/>
      <protection locked="0" hidden="0"/>
    </xf>
    <xf numFmtId="164" fontId="11" fillId="0" borderId="11" applyAlignment="1" applyProtection="1" pivotButton="0" quotePrefix="0" xfId="6">
      <alignment horizontal="center" vertical="center"/>
      <protection locked="0" hidden="0"/>
    </xf>
    <xf numFmtId="164" fontId="1" fillId="0" borderId="0" applyProtection="1" pivotButton="0" quotePrefix="0" xfId="49">
      <protection locked="0" hidden="0"/>
    </xf>
    <xf numFmtId="164" fontId="1" fillId="4" borderId="0" applyAlignment="1" applyProtection="1" pivotButton="0" quotePrefix="0" xfId="0">
      <alignment horizontal="justify" vertical="center"/>
      <protection locked="0" hidden="0"/>
    </xf>
    <xf numFmtId="164" fontId="46" fillId="0" borderId="11" applyAlignment="1" applyProtection="1" pivotButton="0" quotePrefix="0" xfId="6">
      <alignment vertical="center"/>
      <protection locked="0" hidden="0"/>
    </xf>
    <xf numFmtId="164" fontId="3" fillId="0" borderId="0" applyAlignment="1" applyProtection="1" pivotButton="0" quotePrefix="0" xfId="0">
      <alignment horizontal="justify"/>
      <protection locked="0" hidden="0"/>
    </xf>
    <xf numFmtId="164" fontId="3" fillId="0" borderId="0" applyAlignment="1" applyProtection="1" pivotButton="0" quotePrefix="0" xfId="80">
      <alignment vertical="center"/>
      <protection locked="0" hidden="0"/>
    </xf>
    <xf numFmtId="164" fontId="1" fillId="0" borderId="0" applyAlignment="1" pivotButton="0" quotePrefix="0" xfId="94">
      <alignment vertical="center"/>
    </xf>
    <xf numFmtId="0" fontId="1" fillId="0" borderId="0" applyAlignment="1" pivotButton="0" quotePrefix="0" xfId="94">
      <alignment vertical="center"/>
    </xf>
    <xf numFmtId="0" fontId="1" fillId="0" borderId="0" applyAlignment="1" pivotButton="0" quotePrefix="0" xfId="94">
      <alignment vertical="center" wrapText="1"/>
    </xf>
    <xf numFmtId="164" fontId="1" fillId="0" borderId="0" applyAlignment="1" pivotButton="0" quotePrefix="0" xfId="94">
      <alignment horizontal="center" vertical="center" wrapText="1"/>
    </xf>
    <xf numFmtId="164" fontId="1" fillId="0" borderId="0" applyAlignment="1" pivotButton="0" quotePrefix="0" xfId="94">
      <alignment vertical="center" wrapText="1"/>
    </xf>
    <xf numFmtId="170" fontId="1" fillId="0" borderId="0" applyAlignment="1" pivotButton="0" quotePrefix="0" xfId="94">
      <alignment vertical="center" wrapText="1"/>
    </xf>
    <xf numFmtId="164" fontId="2" fillId="0" borderId="0" applyAlignment="1" applyProtection="1" pivotButton="0" quotePrefix="0" xfId="80">
      <alignment horizontal="center" vertical="center"/>
      <protection locked="0" hidden="0"/>
    </xf>
    <xf numFmtId="164" fontId="4" fillId="0" borderId="0" applyAlignment="1" pivotButton="0" quotePrefix="0" xfId="94">
      <alignment horizontal="center" vertical="center" wrapText="1"/>
    </xf>
    <xf numFmtId="0" fontId="1" fillId="0" borderId="0" applyAlignment="1" applyProtection="1" pivotButton="0" quotePrefix="0" xfId="78">
      <alignment vertical="center"/>
      <protection locked="0" hidden="0"/>
    </xf>
    <xf numFmtId="164" fontId="5" fillId="0" borderId="0" applyAlignment="1" pivotButton="0" quotePrefix="0" xfId="94">
      <alignment horizontal="center" vertical="center"/>
    </xf>
    <xf numFmtId="164" fontId="1" fillId="0" borderId="0" applyAlignment="1" pivotButton="0" quotePrefix="0" xfId="94">
      <alignment horizontal="right" vertical="center"/>
    </xf>
    <xf numFmtId="164" fontId="5" fillId="0" borderId="0" applyAlignment="1" pivotButton="0" quotePrefix="0" xfId="94">
      <alignment horizontal="left" vertical="center"/>
    </xf>
    <xf numFmtId="0" fontId="1" fillId="0" borderId="0" applyAlignment="1" applyProtection="1" pivotButton="0" quotePrefix="0" xfId="80">
      <alignment vertical="center" wrapText="1"/>
      <protection locked="0" hidden="0"/>
    </xf>
    <xf numFmtId="0" fontId="6" fillId="0" borderId="0" applyAlignment="1" pivotButton="0" quotePrefix="0" xfId="58">
      <alignment vertical="center"/>
    </xf>
    <xf numFmtId="0" fontId="6" fillId="0" borderId="0" applyAlignment="1" pivotButton="0" quotePrefix="0" xfId="58">
      <alignment horizontal="left" vertical="center"/>
    </xf>
    <xf numFmtId="164" fontId="1" fillId="2" borderId="8" applyAlignment="1" pivotButton="0" quotePrefix="0" xfId="94">
      <alignment horizontal="left" vertical="center" wrapText="1"/>
    </xf>
    <xf numFmtId="49" fontId="30" fillId="0" borderId="8" applyAlignment="1" pivotButton="0" quotePrefix="0" xfId="94">
      <alignment horizontal="center" vertical="center" wrapText="1"/>
    </xf>
    <xf numFmtId="0" fontId="11" fillId="0" borderId="8" applyAlignment="1" pivotButton="0" quotePrefix="0" xfId="94">
      <alignment horizontal="center" vertical="center" wrapText="1"/>
    </xf>
    <xf numFmtId="0" fontId="1" fillId="0" borderId="8" applyAlignment="1" pivotButton="0" quotePrefix="0" xfId="94">
      <alignment horizontal="center" vertical="center" wrapText="1"/>
    </xf>
    <xf numFmtId="14" fontId="11" fillId="0" borderId="8" applyAlignment="1" pivotButton="0" quotePrefix="0" xfId="94">
      <alignment horizontal="center" vertical="center" wrapText="1"/>
    </xf>
    <xf numFmtId="165" fontId="11" fillId="0" borderId="8" applyAlignment="1" pivotButton="0" quotePrefix="0" xfId="1">
      <alignment horizontal="center" vertical="center" wrapText="1"/>
    </xf>
    <xf numFmtId="165" fontId="11" fillId="0" borderId="8" applyAlignment="1" pivotButton="0" quotePrefix="0" xfId="1">
      <alignment horizontal="center" vertical="center" wrapText="1"/>
    </xf>
    <xf numFmtId="0" fontId="3" fillId="0" borderId="0" applyAlignment="1" pivotButton="0" quotePrefix="0" xfId="94">
      <alignment horizontal="left" vertical="center" wrapText="1"/>
    </xf>
    <xf numFmtId="0" fontId="1" fillId="0" borderId="0" applyAlignment="1" pivotButton="0" quotePrefix="0" xfId="94">
      <alignment horizontal="left" vertical="center" wrapText="1"/>
    </xf>
    <xf numFmtId="0" fontId="1" fillId="0" borderId="0" applyAlignment="1" pivotButton="0" quotePrefix="0" xfId="94">
      <alignment horizontal="right" vertical="center" wrapText="1"/>
    </xf>
    <xf numFmtId="0" fontId="1" fillId="0" borderId="0" applyAlignment="1" pivotButton="0" quotePrefix="0" xfId="94">
      <alignment horizontal="center" vertical="center" wrapText="1"/>
    </xf>
    <xf numFmtId="49" fontId="8" fillId="0" borderId="0" applyAlignment="1" pivotButton="0" quotePrefix="0" xfId="94">
      <alignment horizontal="left" vertical="center"/>
    </xf>
    <xf numFmtId="49" fontId="1" fillId="0" borderId="0" applyAlignment="1" pivotButton="0" quotePrefix="0" xfId="94">
      <alignment horizontal="left" vertical="center" wrapText="1"/>
    </xf>
    <xf numFmtId="164" fontId="1" fillId="0" borderId="0" applyAlignment="1" pivotButton="0" quotePrefix="0" xfId="94">
      <alignment horizontal="left" vertical="center" wrapText="1"/>
    </xf>
    <xf numFmtId="170" fontId="1" fillId="0" borderId="0" applyAlignment="1" pivotButton="0" quotePrefix="0" xfId="94">
      <alignment horizontal="right" vertical="center" wrapText="1"/>
    </xf>
    <xf numFmtId="166" fontId="1" fillId="0" borderId="0" applyAlignment="1" pivotButton="0" quotePrefix="0" xfId="94">
      <alignment horizontal="right" vertical="center" wrapText="1"/>
    </xf>
    <xf numFmtId="0" fontId="1" fillId="0" borderId="0" applyAlignment="1" pivotButton="0" quotePrefix="0" xfId="89">
      <alignment vertical="center"/>
    </xf>
    <xf numFmtId="0" fontId="1" fillId="0" borderId="0" applyAlignment="1" applyProtection="1" pivotButton="0" quotePrefix="0" xfId="90">
      <alignment vertical="center"/>
      <protection locked="0" hidden="0"/>
    </xf>
    <xf numFmtId="0" fontId="1" fillId="0" borderId="0" applyAlignment="1" applyProtection="1" pivotButton="0" quotePrefix="0" xfId="83">
      <alignment vertical="center"/>
      <protection locked="0" hidden="0"/>
    </xf>
    <xf numFmtId="0" fontId="7" fillId="0" borderId="0" pivotButton="0" quotePrefix="0" xfId="0"/>
    <xf numFmtId="0" fontId="2" fillId="0" borderId="0" applyAlignment="1" pivotButton="0" quotePrefix="0" xfId="89">
      <alignment horizontal="center" vertical="center"/>
    </xf>
    <xf numFmtId="0" fontId="4" fillId="0" borderId="0" applyAlignment="1" pivotButton="0" quotePrefix="0" xfId="89">
      <alignment horizontal="center" vertical="center"/>
    </xf>
    <xf numFmtId="0" fontId="1" fillId="0" borderId="0" applyAlignment="1" applyProtection="1" pivotButton="0" quotePrefix="0" xfId="90">
      <alignment horizontal="right" vertical="center"/>
      <protection locked="0" hidden="0"/>
    </xf>
    <xf numFmtId="0" fontId="5" fillId="0" borderId="0" applyAlignment="1" applyProtection="1" pivotButton="0" quotePrefix="0" xfId="6">
      <alignment horizontal="left" vertical="center"/>
      <protection locked="0" hidden="0"/>
    </xf>
    <xf numFmtId="0" fontId="13" fillId="0" borderId="0" applyAlignment="1" pivotButton="0" quotePrefix="0" xfId="83">
      <alignment vertical="center"/>
    </xf>
    <xf numFmtId="0" fontId="7" fillId="0" borderId="0" applyAlignment="1" pivotButton="0" quotePrefix="0" xfId="83">
      <alignment vertical="center"/>
    </xf>
    <xf numFmtId="0" fontId="6" fillId="0" borderId="0" applyAlignment="1" pivotButton="0" quotePrefix="0" xfId="83">
      <alignment vertical="center"/>
    </xf>
    <xf numFmtId="0" fontId="1" fillId="0" borderId="0" applyAlignment="1" pivotButton="0" quotePrefix="0" xfId="83">
      <alignment vertical="center"/>
    </xf>
    <xf numFmtId="0" fontId="13" fillId="2" borderId="8" applyAlignment="1" pivotButton="0" quotePrefix="0" xfId="83">
      <alignment horizontal="center" vertical="center"/>
    </xf>
    <xf numFmtId="0" fontId="13" fillId="2" borderId="8" applyAlignment="1" pivotButton="0" quotePrefix="0" xfId="83">
      <alignment horizontal="center" vertical="center" wrapText="1"/>
    </xf>
    <xf numFmtId="0" fontId="11" fillId="0" borderId="8" applyAlignment="1" pivotButton="0" quotePrefix="0" xfId="83">
      <alignment horizontal="center" vertical="center"/>
    </xf>
    <xf numFmtId="0" fontId="1" fillId="0" borderId="8" applyAlignment="1" pivotButton="0" quotePrefix="0" xfId="92">
      <alignment vertical="center"/>
    </xf>
    <xf numFmtId="0" fontId="1" fillId="0" borderId="8" applyAlignment="1" pivotButton="0" quotePrefix="0" xfId="83">
      <alignment horizontal="center" vertical="center"/>
    </xf>
    <xf numFmtId="165" fontId="11" fillId="0" borderId="8" applyAlignment="1" pivotButton="0" quotePrefix="0" xfId="92">
      <alignment horizontal="center" vertical="center"/>
    </xf>
    <xf numFmtId="171" fontId="11" fillId="0" borderId="8" applyAlignment="1" pivotButton="0" quotePrefix="0" xfId="83">
      <alignment horizontal="center" vertical="center"/>
    </xf>
    <xf numFmtId="14" fontId="1" fillId="0" borderId="8" applyAlignment="1" pivotButton="0" quotePrefix="0" xfId="83">
      <alignment horizontal="center" vertical="center"/>
    </xf>
    <xf numFmtId="165" fontId="26" fillId="2" borderId="8" applyAlignment="1" pivotButton="0" quotePrefix="0" xfId="92">
      <alignment vertical="center" shrinkToFit="1"/>
    </xf>
    <xf numFmtId="165" fontId="7" fillId="0" borderId="8" applyAlignment="1" pivotButton="0" quotePrefix="0" xfId="92">
      <alignment vertical="center" shrinkToFit="1"/>
    </xf>
    <xf numFmtId="165" fontId="1" fillId="0" borderId="8" applyAlignment="1" pivotButton="0" quotePrefix="0" xfId="83">
      <alignment horizontal="center" vertical="center"/>
    </xf>
    <xf numFmtId="0" fontId="6" fillId="0" borderId="0" applyAlignment="1" pivotButton="0" quotePrefix="0" xfId="92">
      <alignment vertical="center"/>
    </xf>
    <xf numFmtId="0" fontId="7" fillId="0" borderId="0" applyAlignment="1" pivotButton="0" quotePrefix="0" xfId="83">
      <alignment horizontal="center" vertical="center"/>
    </xf>
    <xf numFmtId="0" fontId="7" fillId="0" borderId="0" applyAlignment="1" pivotButton="0" quotePrefix="0" xfId="92">
      <alignment vertical="center"/>
    </xf>
    <xf numFmtId="0" fontId="29" fillId="0" borderId="0" applyAlignment="1" pivotButton="0" quotePrefix="0" xfId="83">
      <alignment horizontal="center" vertical="center"/>
    </xf>
    <xf numFmtId="0" fontId="7" fillId="0" borderId="0" applyAlignment="1" pivotButton="0" quotePrefix="0" xfId="81">
      <alignment horizontal="center" vertical="center"/>
    </xf>
    <xf numFmtId="0" fontId="8" fillId="0" borderId="0" pivotButton="0" quotePrefix="0" xfId="0"/>
    <xf numFmtId="0" fontId="36" fillId="0" borderId="0" pivotButton="0" quotePrefix="0" xfId="0"/>
    <xf numFmtId="0" fontId="36" fillId="0" borderId="0" pivotButton="0" quotePrefix="0" xfId="0"/>
    <xf numFmtId="164" fontId="47" fillId="0" borderId="0" pivotButton="0" quotePrefix="0" xfId="91"/>
    <xf numFmtId="164" fontId="48" fillId="0" borderId="0" applyAlignment="1" applyProtection="1" pivotButton="0" quotePrefix="0" xfId="93">
      <alignment vertical="center"/>
      <protection locked="0" hidden="0"/>
    </xf>
    <xf numFmtId="164" fontId="5" fillId="0" borderId="0" applyAlignment="1" applyProtection="1" pivotButton="0" quotePrefix="0" xfId="6">
      <alignment vertical="center"/>
      <protection locked="0" hidden="0"/>
    </xf>
    <xf numFmtId="0" fontId="26" fillId="0" borderId="0" applyAlignment="1" pivotButton="0" quotePrefix="0" xfId="83">
      <alignment vertical="center"/>
    </xf>
    <xf numFmtId="0" fontId="29" fillId="2" borderId="8" applyAlignment="1" pivotButton="0" quotePrefix="0" xfId="83">
      <alignment horizontal="center" vertical="center"/>
    </xf>
    <xf numFmtId="0" fontId="29" fillId="2" borderId="8" applyAlignment="1" pivotButton="0" quotePrefix="0" xfId="83">
      <alignment horizontal="center" vertical="center" wrapText="1"/>
    </xf>
    <xf numFmtId="0" fontId="26" fillId="0" borderId="0" applyAlignment="1" pivotButton="0" quotePrefix="0" xfId="83">
      <alignment vertical="center"/>
    </xf>
    <xf numFmtId="0" fontId="26" fillId="0" borderId="8" applyAlignment="1" pivotButton="0" quotePrefix="0" xfId="83">
      <alignment horizontal="center" vertical="center"/>
    </xf>
    <xf numFmtId="0" fontId="6" fillId="0" borderId="8" applyAlignment="1" pivotButton="0" quotePrefix="0" xfId="83">
      <alignment vertical="center"/>
    </xf>
    <xf numFmtId="0" fontId="26" fillId="0" borderId="8" applyAlignment="1" pivotButton="0" quotePrefix="0" xfId="83">
      <alignment vertical="center"/>
    </xf>
    <xf numFmtId="165" fontId="26" fillId="0" borderId="8" applyAlignment="1" pivotButton="0" quotePrefix="0" xfId="92">
      <alignment vertical="center"/>
    </xf>
    <xf numFmtId="10" fontId="26" fillId="2" borderId="8" applyAlignment="1" pivotButton="0" quotePrefix="0" xfId="68">
      <alignment vertical="center" shrinkToFit="1"/>
    </xf>
    <xf numFmtId="171" fontId="26" fillId="0" borderId="8" applyAlignment="1" pivotButton="0" quotePrefix="0" xfId="92">
      <alignment vertical="center"/>
    </xf>
    <xf numFmtId="165" fontId="26" fillId="2" borderId="8" applyAlignment="1" pivotButton="0" quotePrefix="0" xfId="92">
      <alignment vertical="center" shrinkToFit="1"/>
    </xf>
    <xf numFmtId="165" fontId="26" fillId="0" borderId="8" applyAlignment="1" pivotButton="0" quotePrefix="0" xfId="92">
      <alignment vertical="center" shrinkToFit="1"/>
    </xf>
    <xf numFmtId="10" fontId="26" fillId="2" borderId="8" applyAlignment="1" pivotButton="0" quotePrefix="0" xfId="68">
      <alignment vertical="center"/>
    </xf>
    <xf numFmtId="0" fontId="26" fillId="0" borderId="8" applyAlignment="1" pivotButton="0" quotePrefix="0" xfId="92">
      <alignment vertical="center" shrinkToFit="1"/>
    </xf>
    <xf numFmtId="0" fontId="30" fillId="0" borderId="8" applyAlignment="1" pivotButton="0" quotePrefix="0" xfId="83">
      <alignment vertical="center"/>
    </xf>
    <xf numFmtId="0" fontId="29" fillId="0" borderId="8" applyAlignment="1" pivotButton="0" quotePrefix="0" xfId="83">
      <alignment horizontal="center" vertical="center"/>
    </xf>
    <xf numFmtId="0" fontId="26" fillId="0" borderId="8" applyAlignment="1" pivotButton="0" quotePrefix="0" xfId="83">
      <alignment horizontal="right" vertical="center"/>
    </xf>
    <xf numFmtId="0" fontId="26" fillId="0" borderId="0" applyAlignment="1" pivotButton="0" quotePrefix="0" xfId="83">
      <alignment horizontal="right" vertical="center"/>
    </xf>
    <xf numFmtId="0" fontId="26" fillId="0" borderId="0" applyAlignment="1" pivotButton="0" quotePrefix="0" xfId="92">
      <alignment vertical="center" shrinkToFit="1"/>
    </xf>
    <xf numFmtId="0" fontId="6" fillId="0" borderId="0" applyAlignment="1" pivotButton="0" quotePrefix="0" xfId="81">
      <alignment vertical="center"/>
    </xf>
    <xf numFmtId="0" fontId="8" fillId="0" borderId="0" applyAlignment="1" pivotButton="0" quotePrefix="0" xfId="0">
      <alignment vertical="center"/>
    </xf>
    <xf numFmtId="164" fontId="7" fillId="0" borderId="0" applyAlignment="1" pivotButton="0" quotePrefix="0" xfId="81">
      <alignment horizontal="center" vertical="center"/>
    </xf>
    <xf numFmtId="164" fontId="6" fillId="0" borderId="0" applyAlignment="1" pivotButton="0" quotePrefix="0" xfId="81">
      <alignment vertical="center"/>
    </xf>
    <xf numFmtId="164" fontId="7" fillId="0" borderId="0" applyAlignment="1" pivotButton="0" quotePrefix="0" xfId="81">
      <alignment vertical="center"/>
    </xf>
    <xf numFmtId="164" fontId="13" fillId="0" borderId="0" applyAlignment="1" pivotButton="0" quotePrefix="0" xfId="81">
      <alignment vertical="center"/>
    </xf>
    <xf numFmtId="0" fontId="3" fillId="0" borderId="0" applyAlignment="1" pivotButton="0" quotePrefix="0" xfId="83">
      <alignment vertical="center"/>
    </xf>
    <xf numFmtId="0" fontId="13" fillId="2" borderId="8" applyAlignment="1" pivotButton="0" quotePrefix="0" xfId="83">
      <alignment horizontal="center" vertical="center"/>
    </xf>
    <xf numFmtId="0" fontId="13" fillId="2" borderId="8" applyAlignment="1" pivotButton="0" quotePrefix="0" xfId="83">
      <alignment horizontal="center" vertical="center" wrapText="1"/>
    </xf>
    <xf numFmtId="0" fontId="26" fillId="0" borderId="8" applyAlignment="1" pivotButton="0" quotePrefix="0" xfId="83">
      <alignment horizontal="center" vertical="center"/>
    </xf>
    <xf numFmtId="0" fontId="7" fillId="0" borderId="8" applyAlignment="1" pivotButton="0" quotePrefix="0" xfId="83">
      <alignment vertical="center"/>
    </xf>
    <xf numFmtId="165" fontId="26" fillId="0" borderId="8" applyAlignment="1" pivotButton="0" quotePrefix="0" xfId="59">
      <alignment vertical="center"/>
    </xf>
    <xf numFmtId="0" fontId="26" fillId="0" borderId="8" applyAlignment="1" pivotButton="0" quotePrefix="0" xfId="83">
      <alignment vertical="center"/>
    </xf>
    <xf numFmtId="165" fontId="29" fillId="2" borderId="8" applyAlignment="1" pivotButton="0" quotePrefix="0" xfId="59">
      <alignment vertical="center" shrinkToFit="1"/>
    </xf>
    <xf numFmtId="10" fontId="29" fillId="2" borderId="8" applyAlignment="1" pivotButton="0" quotePrefix="0" xfId="68">
      <alignment vertical="center" shrinkToFit="1"/>
    </xf>
    <xf numFmtId="165" fontId="29" fillId="2" borderId="8" applyAlignment="1" pivotButton="0" quotePrefix="0" xfId="59">
      <alignment vertical="center"/>
    </xf>
    <xf numFmtId="0" fontId="26" fillId="2" borderId="8" applyAlignment="1" pivotButton="0" quotePrefix="0" xfId="83">
      <alignment vertical="center"/>
    </xf>
    <xf numFmtId="0" fontId="13" fillId="0" borderId="0" applyAlignment="1" pivotButton="0" quotePrefix="0" xfId="83">
      <alignment horizontal="center" vertical="center"/>
    </xf>
    <xf numFmtId="165" fontId="7" fillId="2" borderId="0" applyAlignment="1" pivotButton="0" quotePrefix="0" xfId="68">
      <alignment horizontal="right" vertical="center" shrinkToFit="1"/>
    </xf>
    <xf numFmtId="0" fontId="7" fillId="0" borderId="0" applyAlignment="1" pivotButton="0" quotePrefix="0" xfId="68">
      <alignment horizontal="right" vertical="center" shrinkToFit="1"/>
    </xf>
    <xf numFmtId="165" fontId="26" fillId="2" borderId="0" applyAlignment="1" pivotButton="0" quotePrefix="0" xfId="68">
      <alignment horizontal="right" vertical="center" shrinkToFit="1"/>
    </xf>
    <xf numFmtId="0" fontId="7" fillId="0" borderId="0" applyAlignment="1" pivotButton="0" quotePrefix="0" xfId="83">
      <alignment vertical="center"/>
    </xf>
    <xf numFmtId="0" fontId="7" fillId="0" borderId="8" applyAlignment="1" pivotButton="0" quotePrefix="0" xfId="83">
      <alignment horizontal="center" vertical="center"/>
    </xf>
    <xf numFmtId="165" fontId="7" fillId="0" borderId="8" applyAlignment="1" pivotButton="0" quotePrefix="0" xfId="59">
      <alignment vertical="center"/>
    </xf>
    <xf numFmtId="10" fontId="7" fillId="2" borderId="8" applyAlignment="1" pivotButton="0" quotePrefix="0" xfId="68">
      <alignment vertical="center" shrinkToFit="1"/>
    </xf>
    <xf numFmtId="0" fontId="7" fillId="2" borderId="8" applyAlignment="1" pivotButton="0" quotePrefix="0" xfId="83">
      <alignment vertical="center"/>
    </xf>
    <xf numFmtId="0" fontId="13" fillId="0" borderId="8" applyAlignment="1" pivotButton="0" quotePrefix="0" xfId="83">
      <alignment horizontal="center" vertical="center"/>
    </xf>
    <xf numFmtId="0" fontId="26" fillId="2" borderId="8" applyAlignment="1" pivotButton="0" quotePrefix="0" xfId="68">
      <alignment horizontal="right" vertical="center" shrinkToFit="1"/>
    </xf>
    <xf numFmtId="0" fontId="7" fillId="0" borderId="8" applyAlignment="1" pivotButton="0" quotePrefix="0" xfId="68">
      <alignment horizontal="right" vertical="center" shrinkToFit="1"/>
    </xf>
    <xf numFmtId="0" fontId="5" fillId="0" borderId="0" applyAlignment="1" pivotButton="0" quotePrefix="0" xfId="83">
      <alignment vertical="center"/>
    </xf>
    <xf numFmtId="0" fontId="7" fillId="0" borderId="0" applyAlignment="1" pivotButton="0" quotePrefix="0" xfId="90">
      <alignment vertical="center"/>
    </xf>
    <xf numFmtId="0" fontId="7" fillId="0" borderId="0" applyAlignment="1" pivotButton="0" quotePrefix="0" xfId="68">
      <alignment vertical="center"/>
    </xf>
    <xf numFmtId="164" fontId="1" fillId="0" borderId="0" applyAlignment="1" pivotButton="0" quotePrefix="0" xfId="50">
      <alignment vertical="center"/>
    </xf>
    <xf numFmtId="164" fontId="15" fillId="0" borderId="0" applyAlignment="1" pivotButton="0" quotePrefix="0" xfId="50">
      <alignment vertical="center"/>
    </xf>
    <xf numFmtId="164" fontId="1" fillId="0" borderId="0" applyAlignment="1" applyProtection="1" pivotButton="0" quotePrefix="0" xfId="81">
      <alignment vertical="center"/>
      <protection locked="0" hidden="0"/>
    </xf>
    <xf numFmtId="164" fontId="2" fillId="0" borderId="0" applyAlignment="1" pivotButton="0" quotePrefix="0" xfId="50">
      <alignment horizontal="center" vertical="center"/>
    </xf>
    <xf numFmtId="164" fontId="4" fillId="0" borderId="0" applyAlignment="1" pivotButton="0" quotePrefix="0" xfId="50">
      <alignment horizontal="center" vertical="center"/>
    </xf>
    <xf numFmtId="164" fontId="1" fillId="0" borderId="0" applyAlignment="1" pivotButton="0" quotePrefix="0" xfId="53">
      <alignment vertical="center"/>
    </xf>
    <xf numFmtId="164" fontId="1" fillId="0" borderId="0" applyAlignment="1" applyProtection="1" pivotButton="0" quotePrefix="0" xfId="81">
      <alignment horizontal="right" vertical="center"/>
      <protection locked="0" hidden="0"/>
    </xf>
    <xf numFmtId="0" fontId="6" fillId="0" borderId="0" applyAlignment="1" applyProtection="1" pivotButton="0" quotePrefix="0" xfId="81">
      <alignment vertical="center"/>
      <protection locked="0" hidden="0"/>
    </xf>
    <xf numFmtId="0" fontId="1" fillId="0" borderId="0" applyAlignment="1" pivotButton="0" quotePrefix="0" xfId="82">
      <alignment horizontal="left" vertical="center" indent="1"/>
    </xf>
    <xf numFmtId="0" fontId="3" fillId="0" borderId="0" applyAlignment="1" applyProtection="1" pivotButton="0" quotePrefix="0" xfId="81">
      <alignment vertical="center"/>
      <protection locked="0" hidden="0"/>
    </xf>
    <xf numFmtId="164" fontId="3" fillId="2" borderId="8" applyAlignment="1" applyProtection="1" pivotButton="0" quotePrefix="0" xfId="81">
      <alignment horizontal="center" vertical="center"/>
      <protection locked="0" hidden="0"/>
    </xf>
    <xf numFmtId="164" fontId="3" fillId="2" borderId="1" applyAlignment="1" applyProtection="1" pivotButton="0" quotePrefix="0" xfId="81">
      <alignment horizontal="center" vertical="center"/>
      <protection locked="0" hidden="0"/>
    </xf>
    <xf numFmtId="164" fontId="3" fillId="2" borderId="2" applyAlignment="1" applyProtection="1" pivotButton="0" quotePrefix="0" xfId="81">
      <alignment horizontal="center" vertical="center"/>
      <protection locked="0" hidden="0"/>
    </xf>
    <xf numFmtId="164" fontId="3" fillId="2" borderId="3" applyAlignment="1" applyProtection="1" pivotButton="0" quotePrefix="0" xfId="81">
      <alignment horizontal="center" vertical="center"/>
      <protection locked="0" hidden="0"/>
    </xf>
    <xf numFmtId="0" fontId="3" fillId="2" borderId="7" applyAlignment="1" applyProtection="1" pivotButton="0" quotePrefix="0" xfId="83">
      <alignment horizontal="center" vertical="center"/>
      <protection locked="0" hidden="0"/>
    </xf>
    <xf numFmtId="164" fontId="3" fillId="2" borderId="8" applyAlignment="1" applyProtection="1" pivotButton="0" quotePrefix="0" xfId="81">
      <alignment horizontal="center" vertical="center" wrapText="1"/>
      <protection locked="0" hidden="0"/>
    </xf>
    <xf numFmtId="164" fontId="3" fillId="2" borderId="8" applyAlignment="1" pivotButton="0" quotePrefix="0" xfId="88">
      <alignment horizontal="center" vertical="center" wrapText="1"/>
    </xf>
    <xf numFmtId="0" fontId="3" fillId="2" borderId="7" applyAlignment="1" pivotButton="0" quotePrefix="0" xfId="84">
      <alignment horizontal="center" vertical="center"/>
    </xf>
    <xf numFmtId="0" fontId="3" fillId="2" borderId="7" applyAlignment="1" pivotButton="0" quotePrefix="0" xfId="85">
      <alignment horizontal="center" vertical="center" wrapText="1"/>
    </xf>
    <xf numFmtId="0" fontId="3" fillId="2" borderId="7" applyAlignment="1" pivotButton="0" quotePrefix="0" xfId="85">
      <alignment horizontal="center" vertical="center" wrapText="1"/>
    </xf>
    <xf numFmtId="0" fontId="3" fillId="2" borderId="7" applyAlignment="1" pivotButton="0" quotePrefix="0" xfId="85">
      <alignment horizontal="center" vertical="center"/>
    </xf>
    <xf numFmtId="0" fontId="3" fillId="2" borderId="13" applyAlignment="1" applyProtection="1" pivotButton="0" quotePrefix="0" xfId="83">
      <alignment horizontal="center" vertical="center"/>
      <protection locked="0" hidden="0"/>
    </xf>
    <xf numFmtId="0" fontId="3" fillId="2" borderId="9" applyAlignment="1" pivotButton="0" quotePrefix="0" xfId="84">
      <alignment horizontal="center" vertical="center"/>
    </xf>
    <xf numFmtId="0" fontId="3" fillId="2" borderId="9" applyAlignment="1" pivotButton="0" quotePrefix="0" xfId="85">
      <alignment horizontal="center" vertical="center" wrapText="1"/>
    </xf>
    <xf numFmtId="0" fontId="3" fillId="2" borderId="9" applyAlignment="1" pivotButton="0" quotePrefix="0" xfId="85">
      <alignment horizontal="center" vertical="center" wrapText="1"/>
    </xf>
    <xf numFmtId="0" fontId="3" fillId="2" borderId="9" applyAlignment="1" pivotButton="0" quotePrefix="0" xfId="85">
      <alignment horizontal="center" vertical="center"/>
    </xf>
    <xf numFmtId="0" fontId="3" fillId="2" borderId="9" applyAlignment="1" applyProtection="1" pivotButton="0" quotePrefix="0" xfId="83">
      <alignment horizontal="center" vertical="center"/>
      <protection locked="0" hidden="0"/>
    </xf>
    <xf numFmtId="0" fontId="11" fillId="0" borderId="8" applyAlignment="1" pivotButton="0" quotePrefix="0" xfId="88">
      <alignment horizontal="center" vertical="center" wrapText="1"/>
    </xf>
    <xf numFmtId="165" fontId="11" fillId="0" borderId="8" applyAlignment="1" pivotButton="0" quotePrefix="0" xfId="88">
      <alignment horizontal="center" vertical="center" wrapText="1"/>
    </xf>
    <xf numFmtId="165" fontId="11" fillId="0" borderId="8" applyAlignment="1" pivotButton="0" quotePrefix="0" xfId="59">
      <alignment vertical="center" wrapText="1"/>
    </xf>
    <xf numFmtId="165" fontId="11" fillId="2" borderId="8" applyAlignment="1" pivotButton="0" quotePrefix="0" xfId="59">
      <alignment vertical="center" wrapText="1"/>
    </xf>
    <xf numFmtId="10" fontId="11" fillId="2" borderId="8" applyAlignment="1" pivotButton="0" quotePrefix="0" xfId="68">
      <alignment horizontal="right" vertical="center" wrapText="1"/>
    </xf>
    <xf numFmtId="0" fontId="11" fillId="2" borderId="8" applyAlignment="1" pivotButton="0" quotePrefix="0" xfId="68">
      <alignment horizontal="right" vertical="center" wrapText="1"/>
    </xf>
    <xf numFmtId="0" fontId="11" fillId="2" borderId="8" applyAlignment="1" pivotButton="0" quotePrefix="0" xfId="59">
      <alignment horizontal="right" vertical="center"/>
    </xf>
    <xf numFmtId="10" fontId="11" fillId="2" borderId="8" applyAlignment="1" pivotButton="0" quotePrefix="0" xfId="68">
      <alignment horizontal="right" vertical="center"/>
    </xf>
    <xf numFmtId="0" fontId="11" fillId="0" borderId="8" applyAlignment="1" pivotButton="0" quotePrefix="0" xfId="59">
      <alignment horizontal="center" vertical="center" wrapText="1"/>
    </xf>
    <xf numFmtId="0" fontId="10" fillId="0" borderId="8" applyAlignment="1" pivotButton="0" quotePrefix="0" xfId="59">
      <alignment horizontal="center" vertical="center" wrapText="1"/>
    </xf>
    <xf numFmtId="165" fontId="10" fillId="2" borderId="8" applyAlignment="1" pivotButton="0" quotePrefix="0" xfId="59">
      <alignment horizontal="center" vertical="center" wrapText="1"/>
    </xf>
    <xf numFmtId="10" fontId="10" fillId="2" borderId="8" applyAlignment="1" pivotButton="0" quotePrefix="0" xfId="68">
      <alignment horizontal="right" vertical="center" wrapText="1"/>
    </xf>
    <xf numFmtId="0" fontId="11" fillId="0" borderId="8" applyAlignment="1" applyProtection="1" pivotButton="0" quotePrefix="0" xfId="83">
      <alignment vertical="center"/>
      <protection locked="0" hidden="0"/>
    </xf>
    <xf numFmtId="164" fontId="3" fillId="0" borderId="8" applyAlignment="1" applyProtection="1" pivotButton="0" quotePrefix="0" xfId="81">
      <alignment horizontal="left" vertical="center"/>
      <protection locked="0" hidden="0"/>
    </xf>
    <xf numFmtId="165" fontId="10" fillId="0" borderId="8" applyAlignment="1" applyProtection="1" pivotButton="0" quotePrefix="0" xfId="81">
      <alignment horizontal="center" vertical="center" wrapText="1"/>
      <protection locked="0" hidden="0"/>
    </xf>
    <xf numFmtId="165" fontId="11" fillId="0" borderId="8" applyAlignment="1" applyProtection="1" pivotButton="0" quotePrefix="0" xfId="81">
      <alignment vertical="center"/>
      <protection locked="0" hidden="0"/>
    </xf>
    <xf numFmtId="165" fontId="10" fillId="0" borderId="8" applyAlignment="1" applyProtection="1" pivotButton="0" quotePrefix="0" xfId="81">
      <alignment horizontal="center" vertical="center"/>
      <protection locked="0" hidden="0"/>
    </xf>
    <xf numFmtId="0" fontId="9" fillId="0" borderId="0" applyAlignment="1" applyProtection="1" pivotButton="0" quotePrefix="0" xfId="81">
      <alignment vertical="center"/>
      <protection locked="0" hidden="0"/>
    </xf>
    <xf numFmtId="0" fontId="1" fillId="0" borderId="0" applyAlignment="1" pivotButton="0" quotePrefix="0" xfId="67">
      <alignment vertical="center"/>
    </xf>
    <xf numFmtId="0" fontId="6" fillId="0" borderId="0" applyAlignment="1" applyProtection="1" pivotButton="0" quotePrefix="0" xfId="83">
      <alignment vertical="center"/>
      <protection locked="0" hidden="0"/>
    </xf>
    <xf numFmtId="0" fontId="3" fillId="0" borderId="0" applyAlignment="1" applyProtection="1" pivotButton="0" quotePrefix="0" xfId="83">
      <alignment vertical="center"/>
      <protection locked="0" hidden="0"/>
    </xf>
    <xf numFmtId="0" fontId="1" fillId="0" borderId="0" applyAlignment="1" applyProtection="1" pivotButton="0" quotePrefix="0" xfId="83">
      <alignment horizontal="right" vertical="center"/>
      <protection locked="0" hidden="0"/>
    </xf>
    <xf numFmtId="0" fontId="6" fillId="0" borderId="0" applyAlignment="1" pivotButton="0" quotePrefix="0" xfId="70">
      <alignment vertical="center"/>
    </xf>
    <xf numFmtId="0" fontId="1" fillId="0" borderId="0" applyAlignment="1" pivotButton="0" quotePrefix="0" xfId="70">
      <alignment horizontal="left" vertical="center" indent="1"/>
    </xf>
    <xf numFmtId="0" fontId="1" fillId="0" borderId="0" applyAlignment="1" applyProtection="1" pivotButton="0" quotePrefix="0" xfId="83">
      <alignment vertical="center" wrapText="1"/>
      <protection locked="0" hidden="0"/>
    </xf>
    <xf numFmtId="0" fontId="1" fillId="0" borderId="0" applyAlignment="1" pivotButton="0" quotePrefix="0" xfId="70">
      <alignment vertical="center"/>
    </xf>
    <xf numFmtId="0" fontId="3" fillId="2" borderId="8" applyAlignment="1" pivotButton="0" quotePrefix="0" xfId="84">
      <alignment horizontal="center" vertical="center"/>
    </xf>
    <xf numFmtId="0" fontId="10" fillId="2" borderId="8" applyAlignment="1" pivotButton="0" quotePrefix="0" xfId="84">
      <alignment horizontal="center" vertical="center"/>
    </xf>
    <xf numFmtId="0" fontId="1" fillId="0" borderId="8" applyAlignment="1" pivotButton="0" quotePrefix="0" xfId="70">
      <alignment vertical="center"/>
    </xf>
    <xf numFmtId="0" fontId="11" fillId="0" borderId="8" applyAlignment="1" pivotButton="0" quotePrefix="0" xfId="70">
      <alignment horizontal="left" vertical="center" indent="1"/>
    </xf>
    <xf numFmtId="0" fontId="11" fillId="0" borderId="8" applyAlignment="1" applyProtection="1" pivotButton="0" quotePrefix="0" xfId="83">
      <alignment vertical="center"/>
      <protection locked="0" hidden="0"/>
    </xf>
    <xf numFmtId="0" fontId="11" fillId="0" borderId="8" applyAlignment="1" applyProtection="1" pivotButton="0" quotePrefix="0" xfId="83">
      <alignment vertical="center" wrapText="1"/>
      <protection locked="0" hidden="0"/>
    </xf>
    <xf numFmtId="165" fontId="11" fillId="2" borderId="8" applyAlignment="1" pivotButton="0" quotePrefix="0" xfId="85">
      <alignment horizontal="right" vertical="center" wrapText="1"/>
    </xf>
    <xf numFmtId="10" fontId="11" fillId="2" borderId="8" applyAlignment="1" pivotButton="0" quotePrefix="0" xfId="3">
      <alignment horizontal="right" vertical="center" wrapText="1"/>
    </xf>
    <xf numFmtId="0" fontId="11" fillId="2" borderId="8" applyAlignment="1" pivotButton="0" quotePrefix="0" xfId="85">
      <alignment horizontal="right" vertical="center" wrapText="1"/>
    </xf>
    <xf numFmtId="0" fontId="3" fillId="2" borderId="1" applyAlignment="1" pivotButton="0" quotePrefix="0" xfId="85">
      <alignment horizontal="center" vertical="center"/>
    </xf>
    <xf numFmtId="0" fontId="3" fillId="2" borderId="2" applyAlignment="1" pivotButton="0" quotePrefix="0" xfId="85">
      <alignment horizontal="center" vertical="center"/>
    </xf>
    <xf numFmtId="0" fontId="3" fillId="2" borderId="3" applyAlignment="1" pivotButton="0" quotePrefix="0" xfId="85">
      <alignment horizontal="center" vertical="center"/>
    </xf>
    <xf numFmtId="0" fontId="3" fillId="2" borderId="8" applyAlignment="1" pivotButton="0" quotePrefix="0" xfId="86">
      <alignment horizontal="center" vertical="center"/>
    </xf>
    <xf numFmtId="0" fontId="6" fillId="0" borderId="7" applyAlignment="1" pivotButton="0" quotePrefix="0" xfId="85">
      <alignment horizontal="center" vertical="center" wrapText="1"/>
    </xf>
    <xf numFmtId="165" fontId="11" fillId="0" borderId="7" applyAlignment="1" pivotButton="0" quotePrefix="0" xfId="85">
      <alignment horizontal="right" vertical="center" wrapText="1"/>
    </xf>
    <xf numFmtId="165" fontId="11" fillId="2" borderId="7" applyAlignment="1" pivotButton="0" quotePrefix="0" xfId="85">
      <alignment horizontal="right" vertical="center" wrapText="1"/>
    </xf>
    <xf numFmtId="165" fontId="11" fillId="0" borderId="8" applyAlignment="1" pivotButton="0" quotePrefix="0" xfId="59">
      <alignment horizontal="right" vertical="center" wrapText="1"/>
    </xf>
    <xf numFmtId="10" fontId="11" fillId="2" borderId="8" applyAlignment="1" pivotButton="0" quotePrefix="0" xfId="59">
      <alignment horizontal="right" vertical="center" wrapText="1"/>
    </xf>
    <xf numFmtId="165" fontId="11" fillId="2" borderId="8" applyAlignment="1" pivotButton="0" quotePrefix="0" xfId="59">
      <alignment horizontal="right" vertical="center" wrapText="1"/>
    </xf>
    <xf numFmtId="0" fontId="1" fillId="0" borderId="8" applyAlignment="1" pivotButton="0" quotePrefix="0" xfId="87">
      <alignment vertical="center" wrapText="1"/>
    </xf>
    <xf numFmtId="0" fontId="6" fillId="0" borderId="8" applyAlignment="1" pivotButton="0" quotePrefix="0" xfId="85">
      <alignment horizontal="center" vertical="center" wrapText="1"/>
    </xf>
    <xf numFmtId="0" fontId="6" fillId="0" borderId="9" applyAlignment="1" pivotButton="0" quotePrefix="0" xfId="85">
      <alignment horizontal="center" vertical="center" wrapText="1"/>
    </xf>
    <xf numFmtId="165" fontId="10" fillId="2" borderId="8" applyAlignment="1" pivotButton="0" quotePrefix="0" xfId="59">
      <alignment horizontal="right" vertical="center" wrapText="1"/>
    </xf>
    <xf numFmtId="165" fontId="10" fillId="2" borderId="8" applyAlignment="1" pivotButton="0" quotePrefix="0" xfId="85">
      <alignment horizontal="right" vertical="center" wrapText="1"/>
    </xf>
    <xf numFmtId="10" fontId="10" fillId="2" borderId="8" applyAlignment="1" pivotButton="0" quotePrefix="0" xfId="59">
      <alignment horizontal="right" vertical="center" wrapText="1"/>
    </xf>
    <xf numFmtId="10" fontId="10" fillId="2" borderId="8" applyAlignment="1" pivotButton="0" quotePrefix="0" xfId="3">
      <alignment horizontal="right" vertical="center" wrapText="1"/>
    </xf>
    <xf numFmtId="0" fontId="3" fillId="2" borderId="8" applyAlignment="1" pivotButton="0" quotePrefix="0" xfId="87">
      <alignment vertical="center" wrapText="1"/>
    </xf>
    <xf numFmtId="0" fontId="8" fillId="0" borderId="0" applyAlignment="1" pivotButton="0" quotePrefix="0" xfId="70">
      <alignment vertical="center"/>
    </xf>
    <xf numFmtId="0" fontId="8" fillId="0" borderId="0" applyAlignment="1" pivotButton="0" quotePrefix="0" xfId="70">
      <alignment horizontal="left" vertical="center"/>
    </xf>
    <xf numFmtId="164" fontId="3" fillId="0" borderId="0" applyAlignment="1" applyProtection="1" pivotButton="0" quotePrefix="0" xfId="81">
      <alignment horizontal="center" vertical="center"/>
      <protection locked="0" hidden="0"/>
    </xf>
    <xf numFmtId="164" fontId="32" fillId="0" borderId="0" applyAlignment="1" applyProtection="1" pivotButton="0" quotePrefix="0" xfId="6">
      <alignment horizontal="left" vertical="center"/>
      <protection locked="0" hidden="0"/>
    </xf>
    <xf numFmtId="0" fontId="1" fillId="0" borderId="0" applyAlignment="1" applyProtection="1" pivotButton="0" quotePrefix="0" xfId="81">
      <alignment horizontal="left" vertical="center" indent="1"/>
      <protection locked="0" hidden="0"/>
    </xf>
    <xf numFmtId="164" fontId="3" fillId="2" borderId="7" applyAlignment="1" applyProtection="1" pivotButton="0" quotePrefix="0" xfId="81">
      <alignment horizontal="center" vertical="center"/>
      <protection locked="0" hidden="0"/>
    </xf>
    <xf numFmtId="165" fontId="3" fillId="2" borderId="8" applyAlignment="1" pivotButton="0" quotePrefix="0" xfId="59">
      <alignment horizontal="center" vertical="center" wrapText="1"/>
    </xf>
    <xf numFmtId="164" fontId="6" fillId="0" borderId="0" applyAlignment="1" pivotButton="0" quotePrefix="0" xfId="82">
      <alignment vertical="center"/>
    </xf>
    <xf numFmtId="164" fontId="3" fillId="2" borderId="9" applyAlignment="1" applyProtection="1" pivotButton="0" quotePrefix="0" xfId="81">
      <alignment horizontal="center" vertical="center"/>
      <protection locked="0" hidden="0"/>
    </xf>
    <xf numFmtId="164" fontId="1" fillId="0" borderId="7" applyAlignment="1" applyProtection="1" pivotButton="0" quotePrefix="0" xfId="81">
      <alignment vertical="center"/>
      <protection locked="0" hidden="0"/>
    </xf>
    <xf numFmtId="165" fontId="11" fillId="0" borderId="8" applyAlignment="1" pivotButton="0" quotePrefix="0" xfId="59">
      <alignment horizontal="right" vertical="center"/>
    </xf>
    <xf numFmtId="165" fontId="11" fillId="2" borderId="8" applyAlignment="1" pivotButton="0" quotePrefix="0" xfId="59">
      <alignment horizontal="right" vertical="center"/>
    </xf>
    <xf numFmtId="165" fontId="1" fillId="0" borderId="8" applyAlignment="1" pivotButton="0" quotePrefix="0" xfId="59">
      <alignment horizontal="right" vertical="center"/>
    </xf>
    <xf numFmtId="164" fontId="1" fillId="0" borderId="8" applyAlignment="1" applyProtection="1" pivotButton="0" quotePrefix="0" xfId="81">
      <alignment vertical="center"/>
      <protection locked="0" hidden="0"/>
    </xf>
    <xf numFmtId="164" fontId="1" fillId="0" borderId="9" applyAlignment="1" applyProtection="1" pivotButton="0" quotePrefix="0" xfId="81">
      <alignment vertical="center"/>
      <protection locked="0" hidden="0"/>
    </xf>
    <xf numFmtId="0" fontId="3" fillId="0" borderId="0" applyAlignment="1" applyProtection="1" pivotButton="0" quotePrefix="0" xfId="49">
      <alignment vertical="center"/>
      <protection locked="0" hidden="0"/>
    </xf>
    <xf numFmtId="0" fontId="1" fillId="0" borderId="0" applyAlignment="1" applyProtection="1" pivotButton="0" quotePrefix="0" xfId="49">
      <alignment vertical="center"/>
      <protection locked="0" hidden="0"/>
    </xf>
    <xf numFmtId="0" fontId="1" fillId="4" borderId="0" applyAlignment="1" applyProtection="1" pivotButton="0" quotePrefix="0" xfId="49">
      <alignment horizontal="justify" vertical="center" wrapText="1"/>
      <protection locked="0" hidden="0"/>
    </xf>
    <xf numFmtId="0" fontId="1" fillId="0" borderId="0" applyAlignment="1" applyProtection="1" pivotButton="0" quotePrefix="0" xfId="49">
      <alignment horizontal="justify" wrapText="1"/>
      <protection locked="0" hidden="0"/>
    </xf>
    <xf numFmtId="0" fontId="3" fillId="0" borderId="0" applyAlignment="1" applyProtection="1" pivotButton="0" quotePrefix="0" xfId="49">
      <alignment horizontal="center" vertical="center"/>
      <protection locked="0" hidden="0"/>
    </xf>
    <xf numFmtId="0" fontId="1" fillId="0" borderId="11" applyAlignment="1" applyProtection="1" pivotButton="0" quotePrefix="0" xfId="49">
      <alignment horizontal="center" vertical="center" wrapText="1"/>
      <protection locked="0" hidden="0"/>
    </xf>
    <xf numFmtId="0" fontId="46" fillId="0" borderId="11" applyAlignment="1" applyProtection="1" pivotButton="0" quotePrefix="0" xfId="6">
      <alignment vertical="center"/>
      <protection locked="0" hidden="0"/>
    </xf>
    <xf numFmtId="0" fontId="26" fillId="0" borderId="11" applyAlignment="1" applyProtection="1" pivotButton="0" quotePrefix="0" xfId="6">
      <alignment horizontal="center" vertical="center"/>
      <protection locked="0" hidden="0"/>
    </xf>
    <xf numFmtId="0" fontId="1" fillId="0" borderId="0" applyAlignment="1" applyProtection="1" pivotButton="0" quotePrefix="0" xfId="49">
      <alignment horizontal="justify"/>
      <protection locked="0" hidden="0"/>
    </xf>
    <xf numFmtId="0" fontId="1" fillId="0" borderId="0" applyProtection="1" pivotButton="0" quotePrefix="0" xfId="49">
      <protection locked="0" hidden="0"/>
    </xf>
    <xf numFmtId="0" fontId="1" fillId="4" borderId="0" applyAlignment="1" applyProtection="1" pivotButton="0" quotePrefix="0" xfId="0">
      <alignment horizontal="justify" vertical="center" wrapText="1"/>
      <protection locked="0" hidden="0"/>
    </xf>
    <xf numFmtId="0" fontId="3" fillId="0" borderId="0" applyAlignment="1" applyProtection="1" pivotButton="0" quotePrefix="0" xfId="0">
      <alignment horizontal="justify"/>
      <protection locked="0" hidden="0"/>
    </xf>
    <xf numFmtId="0" fontId="4" fillId="0" borderId="0" applyAlignment="1" applyProtection="1" pivotButton="0" quotePrefix="0" xfId="0">
      <alignment horizontal="center" vertical="center"/>
      <protection locked="0" hidden="0"/>
    </xf>
    <xf numFmtId="0" fontId="49" fillId="0" borderId="14" applyAlignment="1" applyProtection="1" pivotButton="0" quotePrefix="0" xfId="49">
      <alignment horizontal="center" vertical="center" wrapText="1"/>
      <protection locked="0" hidden="0"/>
    </xf>
    <xf numFmtId="0" fontId="50" fillId="0" borderId="14" applyAlignment="1" applyProtection="1" pivotButton="0" quotePrefix="0" xfId="6">
      <alignment vertical="center"/>
      <protection locked="0" hidden="0"/>
    </xf>
    <xf numFmtId="0" fontId="1" fillId="0" borderId="14" applyAlignment="1" applyProtection="1" pivotButton="0" quotePrefix="0" xfId="6">
      <alignment horizontal="center" vertical="center"/>
      <protection locked="0" hidden="0"/>
    </xf>
    <xf numFmtId="0" fontId="23" fillId="0" borderId="0" applyAlignment="1" applyProtection="1" pivotButton="0" quotePrefix="0" xfId="0">
      <alignment horizontal="left" vertical="center" wrapText="1"/>
      <protection locked="0" hidden="0"/>
    </xf>
    <xf numFmtId="0" fontId="49" fillId="0" borderId="0" applyAlignment="1" applyProtection="1" pivotButton="0" quotePrefix="0" xfId="49">
      <alignment horizontal="center" vertical="center" wrapText="1"/>
      <protection locked="0" hidden="0"/>
    </xf>
    <xf numFmtId="0" fontId="50" fillId="0" borderId="0" applyAlignment="1" applyProtection="1" pivotButton="0" quotePrefix="0" xfId="6">
      <alignment vertical="center"/>
      <protection locked="0" hidden="0"/>
    </xf>
    <xf numFmtId="0" fontId="1" fillId="0" borderId="0" applyAlignment="1" applyProtection="1" pivotButton="0" quotePrefix="0" xfId="6">
      <alignment horizontal="center" vertical="center"/>
      <protection locked="0" hidden="0"/>
    </xf>
    <xf numFmtId="0" fontId="7" fillId="0" borderId="0" pivotButton="0" quotePrefix="0" xfId="0"/>
    <xf numFmtId="0" fontId="24" fillId="0" borderId="0" applyAlignment="1" applyProtection="1" pivotButton="0" quotePrefix="0" xfId="0">
      <alignment horizontal="left" vertical="center" wrapText="1"/>
      <protection locked="0" hidden="0"/>
    </xf>
    <xf numFmtId="0" fontId="7" fillId="0" borderId="0" applyAlignment="1" pivotButton="0" quotePrefix="0" xfId="0">
      <alignment horizontal="center"/>
    </xf>
    <xf numFmtId="165" fontId="8" fillId="5" borderId="0" applyAlignment="1" pivotButton="0" quotePrefix="0" xfId="58">
      <alignment vertical="center"/>
    </xf>
    <xf numFmtId="165" fontId="2" fillId="5" borderId="0" applyAlignment="1" pivotButton="0" quotePrefix="0" xfId="58">
      <alignment horizontal="center" vertical="center"/>
    </xf>
    <xf numFmtId="165" fontId="4" fillId="5" borderId="0" applyAlignment="1" pivotButton="0" quotePrefix="0" xfId="58">
      <alignment horizontal="center" vertical="center"/>
    </xf>
    <xf numFmtId="165" fontId="1" fillId="5" borderId="0" applyAlignment="1" pivotButton="0" quotePrefix="0" xfId="58">
      <alignment horizontal="right" vertical="center"/>
    </xf>
    <xf numFmtId="165" fontId="32" fillId="5" borderId="0" applyAlignment="1" pivotButton="0" quotePrefix="0" xfId="58">
      <alignment horizontal="left" vertical="center"/>
    </xf>
    <xf numFmtId="0" fontId="3" fillId="5" borderId="0" applyAlignment="1" pivotButton="0" quotePrefix="0" xfId="79">
      <alignment vertical="center"/>
    </xf>
    <xf numFmtId="0" fontId="1" fillId="5" borderId="0" applyAlignment="1" pivotButton="0" quotePrefix="0" xfId="58">
      <alignment vertical="center"/>
    </xf>
    <xf numFmtId="0" fontId="1" fillId="5" borderId="0" applyAlignment="1" applyProtection="1" pivotButton="0" quotePrefix="0" xfId="80">
      <alignment vertical="center" wrapText="1"/>
      <protection locked="0" hidden="0"/>
    </xf>
    <xf numFmtId="0" fontId="6" fillId="5" borderId="0" applyAlignment="1" applyProtection="1" pivotButton="0" quotePrefix="0" xfId="80">
      <alignment vertical="center"/>
      <protection locked="0" hidden="0"/>
    </xf>
    <xf numFmtId="0" fontId="1" fillId="5" borderId="0" applyProtection="1" pivotButton="0" quotePrefix="0" xfId="57">
      <protection locked="0" hidden="0"/>
    </xf>
    <xf numFmtId="0" fontId="1" fillId="5" borderId="0" applyAlignment="1" applyProtection="1" pivotButton="0" quotePrefix="0" xfId="80">
      <alignment horizontal="justify" vertical="center" wrapText="1"/>
      <protection locked="0" hidden="0"/>
    </xf>
    <xf numFmtId="0" fontId="1" fillId="5" borderId="0" applyAlignment="1" applyProtection="1" pivotButton="0" quotePrefix="0" xfId="80">
      <alignment vertical="center"/>
      <protection locked="0" hidden="0"/>
    </xf>
    <xf numFmtId="0" fontId="3" fillId="5" borderId="0" applyAlignment="1" applyProtection="1" pivotButton="0" quotePrefix="0" xfId="80">
      <alignment vertical="center"/>
      <protection locked="0" hidden="0"/>
    </xf>
    <xf numFmtId="0" fontId="1" fillId="5" borderId="0" applyAlignment="1" pivotButton="0" quotePrefix="0" xfId="61">
      <alignment vertical="center"/>
    </xf>
    <xf numFmtId="0" fontId="6" fillId="5" borderId="0" applyAlignment="1" applyProtection="1" pivotButton="0" quotePrefix="0" xfId="80">
      <alignment vertical="center" wrapText="1"/>
      <protection locked="0" hidden="0"/>
    </xf>
    <xf numFmtId="0" fontId="6" fillId="5" borderId="0" applyAlignment="1" pivotButton="0" quotePrefix="0" xfId="61">
      <alignment vertical="center"/>
    </xf>
    <xf numFmtId="0" fontId="3" fillId="5" borderId="0" applyAlignment="1" pivotButton="0" quotePrefix="0" xfId="61">
      <alignment vertical="center"/>
    </xf>
    <xf numFmtId="0" fontId="3" fillId="5" borderId="0" applyAlignment="1" pivotButton="0" quotePrefix="0" xfId="79">
      <alignment horizontal="left" vertical="center"/>
    </xf>
    <xf numFmtId="0" fontId="1" fillId="5" borderId="0" applyAlignment="1" applyProtection="1" pivotButton="0" quotePrefix="0" xfId="80">
      <alignment horizontal="center" vertical="center" wrapText="1"/>
      <protection locked="0" hidden="0"/>
    </xf>
    <xf numFmtId="49" fontId="12" fillId="5" borderId="0" applyAlignment="1" pivotButton="0" quotePrefix="0" xfId="58">
      <alignment horizontal="left" vertical="center" wrapText="1"/>
    </xf>
    <xf numFmtId="164" fontId="1" fillId="0" borderId="0" applyAlignment="1" applyProtection="1" pivotButton="0" quotePrefix="0" xfId="0">
      <alignment vertical="center"/>
      <protection locked="0" hidden="0"/>
    </xf>
    <xf numFmtId="164" fontId="5" fillId="0" borderId="0" applyAlignment="1" applyProtection="1" pivotButton="0" quotePrefix="0" xfId="6">
      <alignment horizontal="left" vertical="center"/>
      <protection locked="0" hidden="0"/>
    </xf>
    <xf numFmtId="164" fontId="13" fillId="2" borderId="8" applyAlignment="1" pivotButton="0" quotePrefix="0" xfId="76">
      <alignment horizontal="center" vertical="center"/>
    </xf>
    <xf numFmtId="164" fontId="13" fillId="2" borderId="8" applyAlignment="1" pivotButton="0" quotePrefix="0" xfId="76">
      <alignment horizontal="center" vertical="center" wrapText="1"/>
    </xf>
    <xf numFmtId="164" fontId="3" fillId="2" borderId="8" applyAlignment="1" pivotButton="0" quotePrefix="0" xfId="76">
      <alignment horizontal="center" vertical="center" wrapText="1"/>
    </xf>
    <xf numFmtId="164" fontId="3" fillId="2" borderId="8" applyAlignment="1" applyProtection="1" pivotButton="0" quotePrefix="0" xfId="77">
      <alignment horizontal="center" vertical="center" wrapText="1"/>
      <protection locked="0" hidden="0"/>
    </xf>
    <xf numFmtId="164" fontId="51" fillId="2" borderId="8" applyAlignment="1" applyProtection="1" pivotButton="0" quotePrefix="0" xfId="77">
      <alignment horizontal="center" vertical="center" wrapText="1"/>
      <protection locked="0" hidden="0"/>
    </xf>
    <xf numFmtId="0" fontId="7" fillId="0" borderId="8" applyAlignment="1" pivotButton="0" quotePrefix="0" xfId="76">
      <alignment vertical="center"/>
    </xf>
    <xf numFmtId="165" fontId="26" fillId="0" borderId="8" applyAlignment="1" pivotButton="0" quotePrefix="0" xfId="1">
      <alignment vertical="center"/>
    </xf>
    <xf numFmtId="0" fontId="26" fillId="0" borderId="8" applyAlignment="1" pivotButton="0" quotePrefix="0" xfId="76">
      <alignment vertical="center"/>
    </xf>
    <xf numFmtId="164" fontId="8" fillId="0" borderId="0" applyAlignment="1" applyProtection="1" pivotButton="0" quotePrefix="0" xfId="76">
      <alignment vertical="center"/>
      <protection locked="0" hidden="0"/>
    </xf>
    <xf numFmtId="164" fontId="1" fillId="0" borderId="0" applyAlignment="1" applyProtection="1" pivotButton="0" quotePrefix="0" xfId="76">
      <alignment vertical="center" wrapText="1"/>
      <protection locked="0" hidden="0"/>
    </xf>
    <xf numFmtId="164" fontId="7" fillId="0" borderId="0" applyAlignment="1" applyProtection="1" pivotButton="0" quotePrefix="0" xfId="76">
      <alignment vertical="center"/>
      <protection locked="0" hidden="0"/>
    </xf>
    <xf numFmtId="164" fontId="1" fillId="0" borderId="0" applyAlignment="1" pivotButton="0" quotePrefix="0" xfId="71">
      <alignment vertical="center"/>
    </xf>
    <xf numFmtId="0" fontId="1" fillId="0" borderId="0" applyAlignment="1" applyProtection="1" pivotButton="0" quotePrefix="0" xfId="72">
      <alignment vertical="center"/>
      <protection locked="0" hidden="0"/>
    </xf>
    <xf numFmtId="164" fontId="3" fillId="0" borderId="0" applyAlignment="1" applyProtection="1" pivotButton="0" quotePrefix="0" xfId="72">
      <alignment horizontal="center" vertical="center"/>
      <protection locked="0" hidden="0"/>
    </xf>
    <xf numFmtId="164" fontId="1" fillId="0" borderId="0" applyAlignment="1" applyProtection="1" pivotButton="0" quotePrefix="0" xfId="72">
      <alignment vertical="center"/>
      <protection locked="0" hidden="0"/>
    </xf>
    <xf numFmtId="164" fontId="3" fillId="0" borderId="0" applyAlignment="1" pivotButton="0" quotePrefix="0" xfId="71">
      <alignment horizontal="center" vertical="center"/>
    </xf>
    <xf numFmtId="0" fontId="13" fillId="0" borderId="0" applyAlignment="1" pivotButton="0" quotePrefix="0" xfId="72">
      <alignment vertical="center"/>
    </xf>
    <xf numFmtId="0" fontId="1" fillId="0" borderId="0" applyAlignment="1" pivotButton="0" quotePrefix="0" xfId="70">
      <alignment vertical="center"/>
    </xf>
    <xf numFmtId="0" fontId="1" fillId="0" borderId="0" applyAlignment="1" pivotButton="0" quotePrefix="0" xfId="75">
      <alignment vertical="center"/>
    </xf>
    <xf numFmtId="0" fontId="13" fillId="0" borderId="0" applyAlignment="1" pivotButton="0" quotePrefix="0" xfId="72">
      <alignment horizontal="left" vertical="center"/>
    </xf>
    <xf numFmtId="0" fontId="6" fillId="0" borderId="0" applyAlignment="1" pivotButton="0" quotePrefix="0" xfId="70">
      <alignment vertical="center"/>
    </xf>
    <xf numFmtId="164" fontId="3" fillId="2" borderId="8" applyAlignment="1" applyProtection="1" pivotButton="0" quotePrefix="0" xfId="72">
      <alignment horizontal="center" vertical="center"/>
      <protection locked="0" hidden="0"/>
    </xf>
    <xf numFmtId="164" fontId="3" fillId="2" borderId="1" applyAlignment="1" applyProtection="1" pivotButton="0" quotePrefix="0" xfId="72">
      <alignment horizontal="center" vertical="center"/>
      <protection locked="0" hidden="0"/>
    </xf>
    <xf numFmtId="164" fontId="3" fillId="2" borderId="2" applyAlignment="1" applyProtection="1" pivotButton="0" quotePrefix="0" xfId="72">
      <alignment horizontal="center" vertical="center"/>
      <protection locked="0" hidden="0"/>
    </xf>
    <xf numFmtId="164" fontId="3" fillId="2" borderId="3" applyAlignment="1" applyProtection="1" pivotButton="0" quotePrefix="0" xfId="72">
      <alignment horizontal="center" vertical="center"/>
      <protection locked="0" hidden="0"/>
    </xf>
    <xf numFmtId="164" fontId="3" fillId="2" borderId="8" applyAlignment="1" applyProtection="1" pivotButton="0" quotePrefix="0" xfId="72">
      <alignment horizontal="centerContinuous" vertical="center"/>
      <protection locked="0" hidden="0"/>
    </xf>
    <xf numFmtId="164" fontId="3" fillId="2" borderId="7" applyAlignment="1" applyProtection="1" pivotButton="0" quotePrefix="0" xfId="72">
      <alignment horizontal="center" vertical="center"/>
      <protection locked="0" hidden="0"/>
    </xf>
    <xf numFmtId="164" fontId="3" fillId="2" borderId="9" applyAlignment="1" applyProtection="1" pivotButton="0" quotePrefix="0" xfId="72">
      <alignment horizontal="center" vertical="center"/>
      <protection locked="0" hidden="0"/>
    </xf>
    <xf numFmtId="164" fontId="1" fillId="0" borderId="8" applyAlignment="1" pivotButton="0" quotePrefix="0" xfId="73">
      <alignment horizontal="left" vertical="center" wrapText="1"/>
    </xf>
    <xf numFmtId="165" fontId="11" fillId="0" borderId="8" applyAlignment="1" pivotButton="0" quotePrefix="0" xfId="73">
      <alignment horizontal="left" vertical="center" wrapText="1"/>
    </xf>
    <xf numFmtId="165" fontId="11" fillId="2" borderId="8" applyAlignment="1" pivotButton="0" quotePrefix="0" xfId="60">
      <alignment vertical="center"/>
    </xf>
    <xf numFmtId="10" fontId="11" fillId="2" borderId="8" applyAlignment="1" pivotButton="0" quotePrefix="0" xfId="74">
      <alignment horizontal="right" vertical="center"/>
    </xf>
    <xf numFmtId="165" fontId="11" fillId="2" borderId="8" applyAlignment="1" pivotButton="0" quotePrefix="0" xfId="74">
      <alignment horizontal="right" vertical="center"/>
    </xf>
    <xf numFmtId="164" fontId="1" fillId="0" borderId="8" applyAlignment="1" pivotButton="0" quotePrefix="0" xfId="60">
      <alignment vertical="center"/>
    </xf>
    <xf numFmtId="165" fontId="11" fillId="0" borderId="8" applyAlignment="1" pivotButton="0" quotePrefix="0" xfId="74">
      <alignment horizontal="center" vertical="center"/>
    </xf>
    <xf numFmtId="164" fontId="1" fillId="0" borderId="8" applyAlignment="1" applyProtection="1" pivotButton="0" quotePrefix="0" xfId="72">
      <alignment horizontal="center" vertical="center"/>
      <protection locked="0" hidden="0"/>
    </xf>
    <xf numFmtId="165" fontId="10" fillId="2" borderId="8" applyAlignment="1" pivotButton="0" quotePrefix="0" xfId="60">
      <alignment vertical="center"/>
    </xf>
    <xf numFmtId="10" fontId="10" fillId="2" borderId="8" applyAlignment="1" pivotButton="0" quotePrefix="0" xfId="74">
      <alignment horizontal="right" vertical="center"/>
    </xf>
    <xf numFmtId="165" fontId="10" fillId="2" borderId="8" applyAlignment="1" pivotButton="0" quotePrefix="0" xfId="74">
      <alignment horizontal="right" vertical="center"/>
    </xf>
    <xf numFmtId="164" fontId="3" fillId="0" borderId="8" applyAlignment="1" pivotButton="0" quotePrefix="0" xfId="60">
      <alignment vertical="center"/>
    </xf>
    <xf numFmtId="0" fontId="3" fillId="0" borderId="0" applyAlignment="1" applyProtection="1" pivotButton="0" quotePrefix="0" xfId="72">
      <alignment vertical="center"/>
      <protection locked="0" hidden="0"/>
    </xf>
    <xf numFmtId="164" fontId="8" fillId="0" borderId="0" applyAlignment="1" applyProtection="1" pivotButton="0" quotePrefix="0" xfId="72">
      <alignment vertical="center"/>
      <protection locked="0" hidden="0"/>
    </xf>
    <xf numFmtId="164" fontId="44" fillId="0" borderId="0" applyAlignment="1" applyProtection="1" pivotButton="0" quotePrefix="0" xfId="72">
      <alignment vertical="center"/>
      <protection locked="0" hidden="0"/>
    </xf>
    <xf numFmtId="164" fontId="1" fillId="0" borderId="0" applyAlignment="1" pivotButton="0" quotePrefix="0" xfId="67">
      <alignment vertical="center"/>
    </xf>
    <xf numFmtId="164" fontId="3" fillId="0" borderId="0" applyAlignment="1" applyProtection="1" pivotButton="0" quotePrefix="0" xfId="0">
      <alignment vertical="center"/>
      <protection locked="0" hidden="0"/>
    </xf>
    <xf numFmtId="164" fontId="2" fillId="0" borderId="0" applyAlignment="1" pivotButton="0" quotePrefix="0" xfId="67">
      <alignment horizontal="center" vertical="center"/>
    </xf>
    <xf numFmtId="164" fontId="4" fillId="0" borderId="0" applyAlignment="1" pivotButton="0" quotePrefix="0" xfId="67">
      <alignment horizontal="center" vertical="center"/>
    </xf>
    <xf numFmtId="164" fontId="1" fillId="0" borderId="0" applyAlignment="1" applyProtection="1" pivotButton="0" quotePrefix="0" xfId="0">
      <alignment horizontal="right" vertical="center"/>
      <protection locked="0" hidden="0"/>
    </xf>
    <xf numFmtId="0" fontId="1" fillId="0" borderId="0" applyAlignment="1" pivotButton="0" quotePrefix="0" xfId="69">
      <alignment vertical="center"/>
    </xf>
    <xf numFmtId="0" fontId="1" fillId="0" borderId="0" applyAlignment="1" applyProtection="1" pivotButton="0" quotePrefix="0" xfId="0">
      <alignment horizontal="right" vertical="center"/>
      <protection locked="0" hidden="0"/>
    </xf>
    <xf numFmtId="0" fontId="52" fillId="0" borderId="0" applyAlignment="1" applyProtection="1" pivotButton="0" quotePrefix="0" xfId="0">
      <alignment vertical="center"/>
      <protection locked="0" hidden="0"/>
    </xf>
    <xf numFmtId="0" fontId="52" fillId="0" borderId="0" applyAlignment="1" pivotButton="0" quotePrefix="0" xfId="70">
      <alignment horizontal="left" vertical="center" indent="1"/>
    </xf>
    <xf numFmtId="164" fontId="3" fillId="2" borderId="8" applyAlignment="1" applyProtection="1" pivotButton="0" quotePrefix="0" xfId="0">
      <alignment horizontal="center" vertical="center" wrapText="1"/>
      <protection locked="0" hidden="0"/>
    </xf>
    <xf numFmtId="164" fontId="10" fillId="2" borderId="8" applyAlignment="1" applyProtection="1" pivotButton="0" quotePrefix="0" xfId="0">
      <alignment horizontal="center" vertical="center" wrapText="1"/>
      <protection locked="0" hidden="0"/>
    </xf>
    <xf numFmtId="164" fontId="3" fillId="2" borderId="7" applyAlignment="1" pivotButton="0" quotePrefix="0" xfId="1">
      <alignment horizontal="center" vertical="center" wrapText="1"/>
    </xf>
    <xf numFmtId="164" fontId="3" fillId="2" borderId="7" applyAlignment="1" pivotButton="0" quotePrefix="0" xfId="1">
      <alignment horizontal="center" vertical="center"/>
    </xf>
    <xf numFmtId="164" fontId="3" fillId="2" borderId="7" applyAlignment="1" pivotButton="0" quotePrefix="0" xfId="3">
      <alignment horizontal="center" vertical="center"/>
    </xf>
    <xf numFmtId="164" fontId="3" fillId="2" borderId="7" applyAlignment="1" applyProtection="1" pivotButton="0" quotePrefix="0" xfId="0">
      <alignment horizontal="center" vertical="center"/>
      <protection locked="0" hidden="0"/>
    </xf>
    <xf numFmtId="164" fontId="1" fillId="0" borderId="8" applyAlignment="1" applyProtection="1" pivotButton="0" quotePrefix="0" xfId="0">
      <alignment vertical="center"/>
      <protection locked="0" hidden="0"/>
    </xf>
    <xf numFmtId="165" fontId="10" fillId="0" borderId="8" applyAlignment="1" pivotButton="0" quotePrefix="0" xfId="59">
      <alignment horizontal="right" vertical="center"/>
    </xf>
    <xf numFmtId="165" fontId="10" fillId="2" borderId="8" applyAlignment="1" pivotButton="0" quotePrefix="0" xfId="59">
      <alignment horizontal="right" vertical="center"/>
    </xf>
    <xf numFmtId="164" fontId="1" fillId="0" borderId="8" applyAlignment="1" pivotButton="0" quotePrefix="0" xfId="1">
      <alignment horizontal="center" vertical="center"/>
    </xf>
    <xf numFmtId="164" fontId="1" fillId="0" borderId="8" applyAlignment="1" applyProtection="1" pivotButton="0" quotePrefix="0" xfId="0">
      <alignment horizontal="center" vertical="center"/>
      <protection locked="0" hidden="0"/>
    </xf>
    <xf numFmtId="164" fontId="1" fillId="0" borderId="7" applyAlignment="1" applyProtection="1" pivotButton="0" quotePrefix="0" xfId="0">
      <alignment horizontal="center" vertical="center"/>
      <protection locked="0" hidden="0"/>
    </xf>
    <xf numFmtId="164" fontId="1" fillId="0" borderId="9" applyAlignment="1" applyProtection="1" pivotButton="0" quotePrefix="0" xfId="0">
      <alignment horizontal="center" vertical="center"/>
      <protection locked="0" hidden="0"/>
    </xf>
    <xf numFmtId="164" fontId="3" fillId="2" borderId="8" applyAlignment="1" applyProtection="1" pivotButton="0" quotePrefix="0" xfId="0">
      <alignment horizontal="center" vertical="center"/>
      <protection locked="0" hidden="0"/>
    </xf>
    <xf numFmtId="10" fontId="10" fillId="2" borderId="8" applyAlignment="1" pivotButton="0" quotePrefix="0" xfId="68">
      <alignment horizontal="right" vertical="center"/>
    </xf>
    <xf numFmtId="164" fontId="3" fillId="2" borderId="8" applyAlignment="1" pivotButton="0" quotePrefix="0" xfId="1">
      <alignment horizontal="center" vertical="center"/>
    </xf>
    <xf numFmtId="164" fontId="3" fillId="2" borderId="15" applyAlignment="1" applyProtection="1" pivotButton="0" quotePrefix="0" xfId="0">
      <alignment horizontal="center" vertical="center"/>
      <protection locked="0" hidden="0"/>
    </xf>
    <xf numFmtId="164" fontId="10" fillId="0" borderId="8" applyAlignment="1" pivotButton="0" quotePrefix="0" xfId="68">
      <alignment horizontal="right" vertical="center"/>
    </xf>
    <xf numFmtId="164" fontId="1" fillId="0" borderId="8" applyAlignment="1" pivotButton="0" quotePrefix="0" xfId="3">
      <alignment horizontal="center" vertical="center"/>
    </xf>
    <xf numFmtId="0" fontId="1" fillId="0" borderId="1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164" fontId="8" fillId="0" borderId="0" applyAlignment="1" applyProtection="1" pivotButton="0" quotePrefix="0" xfId="0">
      <alignment vertical="center"/>
      <protection locked="0" hidden="0"/>
    </xf>
    <xf numFmtId="165" fontId="3" fillId="0" borderId="0" applyAlignment="1" pivotButton="0" quotePrefix="0" xfId="56">
      <alignment vertical="center"/>
    </xf>
    <xf numFmtId="165" fontId="53" fillId="0" borderId="0" applyAlignment="1" pivotButton="0" quotePrefix="0" xfId="56">
      <alignment vertical="center"/>
    </xf>
    <xf numFmtId="164" fontId="10" fillId="0" borderId="0" applyAlignment="1" applyProtection="1" pivotButton="0" quotePrefix="0" xfId="64">
      <alignment horizontal="center" vertical="center"/>
      <protection locked="0" hidden="0"/>
    </xf>
    <xf numFmtId="164" fontId="2" fillId="0" borderId="0" applyAlignment="1" applyProtection="1" pivotButton="0" quotePrefix="0" xfId="64">
      <alignment horizontal="center" vertical="center"/>
      <protection locked="0" hidden="0"/>
    </xf>
    <xf numFmtId="164" fontId="23" fillId="0" borderId="0" applyAlignment="1" applyProtection="1" pivotButton="0" quotePrefix="0" xfId="64">
      <alignment horizontal="center" vertical="center"/>
      <protection locked="0" hidden="0"/>
    </xf>
    <xf numFmtId="164" fontId="11" fillId="0" borderId="0" applyAlignment="1" applyProtection="1" pivotButton="0" quotePrefix="0" xfId="64">
      <alignment vertical="center"/>
      <protection locked="0" hidden="0"/>
    </xf>
    <xf numFmtId="164" fontId="1" fillId="0" borderId="0" applyAlignment="1" applyProtection="1" pivotButton="0" quotePrefix="0" xfId="64">
      <alignment horizontal="right" vertical="center"/>
      <protection locked="0" hidden="0"/>
    </xf>
    <xf numFmtId="164" fontId="11" fillId="0" borderId="0" applyAlignment="1" applyProtection="1" pivotButton="0" quotePrefix="0" xfId="64">
      <alignment horizontal="right" vertical="center"/>
      <protection locked="0" hidden="0"/>
    </xf>
    <xf numFmtId="165" fontId="2" fillId="0" borderId="0" applyAlignment="1" pivotButton="0" quotePrefix="0" xfId="56">
      <alignment vertical="center"/>
    </xf>
    <xf numFmtId="165" fontId="54" fillId="0" borderId="0" applyAlignment="1" pivotButton="0" quotePrefix="0" xfId="66">
      <alignment horizontal="center" vertical="center"/>
    </xf>
    <xf numFmtId="165" fontId="55" fillId="0" borderId="0" applyAlignment="1" pivotButton="0" quotePrefix="0" xfId="56">
      <alignment horizontal="justify" vertical="center"/>
    </xf>
    <xf numFmtId="165" fontId="56" fillId="0" borderId="16" applyAlignment="1" pivotButton="0" quotePrefix="0" xfId="56">
      <alignment horizontal="justify" vertical="center" wrapText="1"/>
    </xf>
    <xf numFmtId="165" fontId="56" fillId="0" borderId="17" applyAlignment="1" pivotButton="0" quotePrefix="0" xfId="56">
      <alignment horizontal="center" vertical="center" wrapText="1"/>
    </xf>
    <xf numFmtId="164" fontId="1" fillId="0" borderId="17" pivotButton="0" quotePrefix="0" xfId="56"/>
    <xf numFmtId="164" fontId="1" fillId="0" borderId="18" pivotButton="0" quotePrefix="0" xfId="56"/>
    <xf numFmtId="165" fontId="56" fillId="0" borderId="18" applyAlignment="1" pivotButton="0" quotePrefix="0" xfId="56">
      <alignment horizontal="right" vertical="center" wrapText="1"/>
    </xf>
    <xf numFmtId="165" fontId="57" fillId="0" borderId="0" applyAlignment="1" pivotButton="0" quotePrefix="0" xfId="56">
      <alignment horizontal="justify" vertical="center" wrapText="1"/>
    </xf>
    <xf numFmtId="165" fontId="57" fillId="0" borderId="0" applyAlignment="1" pivotButton="0" quotePrefix="0" xfId="56">
      <alignment horizontal="right" vertical="center" wrapText="1"/>
    </xf>
    <xf numFmtId="165" fontId="56" fillId="0" borderId="19" applyAlignment="1" pivotButton="0" quotePrefix="0" xfId="56">
      <alignment horizontal="justify" vertical="center" wrapText="1"/>
    </xf>
    <xf numFmtId="165" fontId="56" fillId="0" borderId="19" applyAlignment="1" pivotButton="0" quotePrefix="0" xfId="56">
      <alignment horizontal="right" vertical="center" wrapText="1"/>
    </xf>
    <xf numFmtId="165" fontId="58" fillId="0" borderId="0" applyAlignment="1" pivotButton="0" quotePrefix="0" xfId="56">
      <alignment horizontal="left" vertical="center"/>
    </xf>
    <xf numFmtId="165" fontId="55" fillId="0" borderId="0" applyAlignment="1" pivotButton="0" quotePrefix="0" xfId="56">
      <alignment horizontal="left" vertical="center"/>
    </xf>
    <xf numFmtId="165" fontId="56" fillId="0" borderId="16" applyAlignment="1" pivotButton="0" quotePrefix="0" xfId="56">
      <alignment horizontal="justify" vertical="center"/>
    </xf>
    <xf numFmtId="165" fontId="56" fillId="0" borderId="17" applyAlignment="1" pivotButton="0" quotePrefix="0" xfId="56">
      <alignment horizontal="center" vertical="center"/>
    </xf>
    <xf numFmtId="165" fontId="59" fillId="0" borderId="18" applyAlignment="1" pivotButton="0" quotePrefix="0" xfId="56">
      <alignment horizontal="right" vertical="center"/>
    </xf>
    <xf numFmtId="165" fontId="59" fillId="0" borderId="18" applyAlignment="1" pivotButton="0" quotePrefix="0" xfId="56">
      <alignment horizontal="right" vertical="center" wrapText="1"/>
    </xf>
    <xf numFmtId="165" fontId="57" fillId="0" borderId="0" applyAlignment="1" pivotButton="0" quotePrefix="0" xfId="56">
      <alignment horizontal="justify" vertical="center"/>
    </xf>
    <xf numFmtId="165" fontId="57" fillId="0" borderId="0" applyAlignment="1" pivotButton="0" quotePrefix="0" xfId="56">
      <alignment horizontal="right" vertical="center"/>
    </xf>
    <xf numFmtId="165" fontId="57" fillId="0" borderId="0" applyAlignment="1" pivotButton="0" quotePrefix="0" xfId="56">
      <alignment horizontal="right" vertical="center" wrapText="1"/>
    </xf>
    <xf numFmtId="165" fontId="60" fillId="0" borderId="0" applyAlignment="1" pivotButton="0" quotePrefix="0" xfId="56">
      <alignment horizontal="justify" vertical="center"/>
    </xf>
    <xf numFmtId="165" fontId="57" fillId="0" borderId="18" applyAlignment="1" pivotButton="0" quotePrefix="0" xfId="56">
      <alignment horizontal="justify" vertical="center"/>
    </xf>
    <xf numFmtId="165" fontId="57" fillId="0" borderId="18" applyAlignment="1" pivotButton="0" quotePrefix="0" xfId="56">
      <alignment horizontal="right" vertical="center"/>
    </xf>
    <xf numFmtId="165" fontId="56" fillId="0" borderId="18" applyAlignment="1" pivotButton="0" quotePrefix="0" xfId="56">
      <alignment horizontal="justify" vertical="center"/>
    </xf>
    <xf numFmtId="165" fontId="56" fillId="0" borderId="18" applyAlignment="1" pivotButton="0" quotePrefix="0" xfId="56">
      <alignment horizontal="right" vertical="center"/>
    </xf>
    <xf numFmtId="165" fontId="60" fillId="0" borderId="18" applyAlignment="1" pivotButton="0" quotePrefix="0" xfId="56">
      <alignment horizontal="justify" vertical="center"/>
    </xf>
    <xf numFmtId="165" fontId="57" fillId="0" borderId="18" applyAlignment="1" pivotButton="0" quotePrefix="0" xfId="56">
      <alignment horizontal="right" vertical="center" wrapText="1"/>
    </xf>
    <xf numFmtId="164" fontId="2" fillId="0" borderId="20" applyAlignment="1" pivotButton="0" quotePrefix="0" xfId="56">
      <alignment horizontal="left" vertical="center"/>
    </xf>
    <xf numFmtId="164" fontId="61" fillId="0" borderId="17" applyAlignment="1" pivotButton="0" quotePrefix="0" xfId="56">
      <alignment horizontal="center" vertical="center"/>
    </xf>
    <xf numFmtId="164" fontId="2" fillId="0" borderId="21" applyAlignment="1" pivotButton="0" quotePrefix="0" xfId="56">
      <alignment horizontal="left" vertical="center"/>
    </xf>
    <xf numFmtId="164" fontId="62" fillId="0" borderId="0" applyAlignment="1" pivotButton="0" quotePrefix="0" xfId="56">
      <alignment horizontal="center" vertical="center"/>
    </xf>
    <xf numFmtId="164" fontId="63" fillId="0" borderId="0" applyAlignment="1" pivotButton="0" quotePrefix="0" xfId="56">
      <alignment horizontal="center"/>
    </xf>
    <xf numFmtId="164" fontId="1" fillId="0" borderId="21" pivotButton="0" quotePrefix="0" xfId="56"/>
    <xf numFmtId="164" fontId="61" fillId="0" borderId="18" applyAlignment="1" pivotButton="0" quotePrefix="0" xfId="56">
      <alignment horizontal="right" vertical="center"/>
    </xf>
    <xf numFmtId="164" fontId="55" fillId="0" borderId="0" applyAlignment="1" pivotButton="0" quotePrefix="0" xfId="56">
      <alignment horizontal="left" vertical="center"/>
    </xf>
    <xf numFmtId="165" fontId="24" fillId="0" borderId="0" applyAlignment="1" pivotButton="0" quotePrefix="0" xfId="65">
      <alignment horizontal="right" vertical="center"/>
    </xf>
    <xf numFmtId="164" fontId="24" fillId="0" borderId="0" applyAlignment="1" pivotButton="0" quotePrefix="0" xfId="56">
      <alignment horizontal="right" vertical="center"/>
    </xf>
    <xf numFmtId="164" fontId="64" fillId="0" borderId="16" applyAlignment="1" pivotButton="0" quotePrefix="0" xfId="56">
      <alignment horizontal="left" vertical="center"/>
    </xf>
    <xf numFmtId="165" fontId="23" fillId="0" borderId="16" applyAlignment="1" pivotButton="0" quotePrefix="0" xfId="65">
      <alignment horizontal="right" vertical="center"/>
    </xf>
    <xf numFmtId="165" fontId="65" fillId="0" borderId="0" applyAlignment="1" pivotButton="0" quotePrefix="0" xfId="56">
      <alignment horizontal="left" vertical="center"/>
    </xf>
    <xf numFmtId="165" fontId="56" fillId="0" borderId="16" applyAlignment="1" pivotButton="0" quotePrefix="0" xfId="56">
      <alignment horizontal="left" vertical="center"/>
    </xf>
    <xf numFmtId="165" fontId="66" fillId="0" borderId="16" applyAlignment="1" pivotButton="0" quotePrefix="0" xfId="56">
      <alignment horizontal="right" vertical="center"/>
    </xf>
    <xf numFmtId="165" fontId="56" fillId="0" borderId="16" applyAlignment="1" pivotButton="0" quotePrefix="0" xfId="56">
      <alignment horizontal="right" vertical="center"/>
    </xf>
    <xf numFmtId="165" fontId="57" fillId="0" borderId="0" applyAlignment="1" pivotButton="0" quotePrefix="0" xfId="56">
      <alignment horizontal="left" vertical="center"/>
    </xf>
    <xf numFmtId="165" fontId="57" fillId="0" borderId="18" applyAlignment="1" pivotButton="0" quotePrefix="0" xfId="56">
      <alignment horizontal="left" vertical="center"/>
    </xf>
    <xf numFmtId="164" fontId="58" fillId="0" borderId="0" applyAlignment="1" pivotButton="0" quotePrefix="0" xfId="56">
      <alignment horizontal="left" vertical="center"/>
    </xf>
    <xf numFmtId="165" fontId="2" fillId="0" borderId="0" applyAlignment="1" pivotButton="0" quotePrefix="0" xfId="65">
      <alignment horizontal="center" vertical="center"/>
    </xf>
    <xf numFmtId="165" fontId="67" fillId="0" borderId="0" applyAlignment="1" pivotButton="0" quotePrefix="0" xfId="65">
      <alignment vertical="center"/>
    </xf>
    <xf numFmtId="164" fontId="15" fillId="0" borderId="0" applyAlignment="1" pivotButton="0" quotePrefix="0" xfId="56">
      <alignment vertical="center"/>
    </xf>
    <xf numFmtId="164" fontId="16" fillId="0" borderId="0" applyAlignment="1" pivotButton="0" quotePrefix="0" xfId="56">
      <alignment horizontal="left" vertical="center"/>
    </xf>
    <xf numFmtId="164" fontId="16" fillId="0" borderId="0" applyAlignment="1" pivotButton="0" quotePrefix="0" xfId="56">
      <alignment vertical="center"/>
    </xf>
    <xf numFmtId="164" fontId="23" fillId="0" borderId="0" applyAlignment="1" pivotButton="0" quotePrefix="0" xfId="56">
      <alignment horizontal="left" vertical="center"/>
    </xf>
    <xf numFmtId="164" fontId="23" fillId="0" borderId="0" applyAlignment="1" pivotButton="0" quotePrefix="0" xfId="56">
      <alignment vertical="center"/>
    </xf>
    <xf numFmtId="164" fontId="68" fillId="0" borderId="0" applyAlignment="1" pivotButton="0" quotePrefix="0" xfId="66">
      <alignment horizontal="center" vertical="center"/>
    </xf>
    <xf numFmtId="164" fontId="22" fillId="0" borderId="0" applyAlignment="1" pivotButton="0" quotePrefix="0" xfId="66">
      <alignment horizontal="center" vertical="center"/>
    </xf>
    <xf numFmtId="164" fontId="2" fillId="0" borderId="0" applyAlignment="1" pivotButton="0" quotePrefix="0" xfId="56">
      <alignment vertical="center"/>
    </xf>
    <xf numFmtId="164" fontId="24" fillId="0" borderId="0" applyAlignment="1" pivotButton="0" quotePrefix="0" xfId="56">
      <alignment horizontal="left" vertical="center"/>
    </xf>
    <xf numFmtId="164" fontId="64" fillId="0" borderId="16" applyAlignment="1" pivotButton="0" quotePrefix="0" xfId="56">
      <alignment horizontal="left" vertical="center" wrapText="1"/>
    </xf>
    <xf numFmtId="164" fontId="61" fillId="0" borderId="17" applyAlignment="1" pivotButton="0" quotePrefix="0" xfId="56">
      <alignment horizontal="center" vertical="center" wrapText="1"/>
    </xf>
    <xf numFmtId="164" fontId="61" fillId="0" borderId="18" applyAlignment="1" pivotButton="0" quotePrefix="0" xfId="56">
      <alignment horizontal="right" vertical="center" wrapText="1"/>
    </xf>
    <xf numFmtId="164" fontId="2" fillId="0" borderId="0" applyAlignment="1" pivotButton="0" quotePrefix="0" xfId="56">
      <alignment horizontal="center" vertical="center"/>
    </xf>
    <xf numFmtId="164" fontId="55" fillId="0" borderId="0" applyAlignment="1" pivotButton="0" quotePrefix="0" xfId="56">
      <alignment horizontal="left" vertical="center" wrapText="1"/>
    </xf>
    <xf numFmtId="165" fontId="24" fillId="0" borderId="0" applyAlignment="1" pivotButton="0" quotePrefix="0" xfId="56">
      <alignment horizontal="right" vertical="center" wrapText="1"/>
    </xf>
    <xf numFmtId="164" fontId="55" fillId="0" borderId="18" applyAlignment="1" pivotButton="0" quotePrefix="0" xfId="56">
      <alignment horizontal="left" vertical="center" wrapText="1"/>
    </xf>
    <xf numFmtId="165" fontId="24" fillId="0" borderId="18" applyAlignment="1" pivotButton="0" quotePrefix="0" xfId="56">
      <alignment horizontal="right" vertical="center" wrapText="1"/>
    </xf>
    <xf numFmtId="164" fontId="64" fillId="0" borderId="18" applyAlignment="1" pivotButton="0" quotePrefix="0" xfId="56">
      <alignment horizontal="left" vertical="center" wrapText="1"/>
    </xf>
    <xf numFmtId="165" fontId="23" fillId="0" borderId="18" applyAlignment="1" pivotButton="0" quotePrefix="0" xfId="65">
      <alignment horizontal="right" vertical="center" wrapText="1"/>
    </xf>
    <xf numFmtId="164" fontId="69" fillId="0" borderId="0" applyAlignment="1" pivotButton="0" quotePrefix="0" xfId="56">
      <alignment horizontal="left" vertical="center"/>
    </xf>
    <xf numFmtId="164" fontId="64" fillId="0" borderId="17" applyAlignment="1" pivotButton="0" quotePrefix="0" xfId="56">
      <alignment horizontal="center" vertical="center"/>
    </xf>
    <xf numFmtId="164" fontId="24" fillId="0" borderId="0" applyAlignment="1" pivotButton="0" quotePrefix="0" xfId="56">
      <alignment horizontal="right" vertical="center" wrapText="1"/>
    </xf>
    <xf numFmtId="164" fontId="70" fillId="0" borderId="0" applyAlignment="1" pivotButton="0" quotePrefix="0" xfId="56">
      <alignment horizontal="left" vertical="center"/>
    </xf>
    <xf numFmtId="43" fontId="1" fillId="0" borderId="0" applyAlignment="1" pivotButton="0" quotePrefix="0" xfId="65">
      <alignment vertical="center"/>
    </xf>
    <xf numFmtId="164" fontId="71" fillId="0" borderId="0" applyAlignment="1" pivotButton="0" quotePrefix="0" xfId="56">
      <alignment horizontal="left" vertical="center"/>
    </xf>
    <xf numFmtId="164" fontId="55" fillId="0" borderId="18" applyAlignment="1" pivotButton="0" quotePrefix="0" xfId="56">
      <alignment horizontal="left" vertical="center"/>
    </xf>
    <xf numFmtId="165" fontId="24" fillId="0" borderId="18" applyAlignment="1" pivotButton="0" quotePrefix="0" xfId="65">
      <alignment horizontal="right" vertical="center"/>
    </xf>
    <xf numFmtId="164" fontId="64" fillId="0" borderId="18" applyAlignment="1" pivotButton="0" quotePrefix="0" xfId="56">
      <alignment horizontal="left" vertical="center"/>
    </xf>
    <xf numFmtId="165" fontId="23" fillId="0" borderId="18" applyAlignment="1" pivotButton="0" quotePrefix="0" xfId="56">
      <alignment horizontal="right" vertical="center"/>
    </xf>
    <xf numFmtId="164" fontId="71" fillId="0" borderId="18" applyAlignment="1" pivotButton="0" quotePrefix="0" xfId="56">
      <alignment horizontal="left" vertical="center"/>
    </xf>
    <xf numFmtId="164" fontId="24" fillId="0" borderId="18" applyAlignment="1" pivotButton="0" quotePrefix="0" xfId="56">
      <alignment horizontal="right" vertical="center"/>
    </xf>
    <xf numFmtId="164" fontId="24" fillId="0" borderId="18" applyAlignment="1" pivotButton="0" quotePrefix="0" xfId="56">
      <alignment horizontal="right" vertical="center" wrapText="1"/>
    </xf>
    <xf numFmtId="165" fontId="23" fillId="0" borderId="18" applyAlignment="1" pivotButton="0" quotePrefix="0" xfId="65">
      <alignment horizontal="right" vertical="center"/>
    </xf>
    <xf numFmtId="164" fontId="72" fillId="0" borderId="0" applyAlignment="1" pivotButton="0" quotePrefix="0" xfId="56">
      <alignment horizontal="left" vertical="center"/>
    </xf>
    <xf numFmtId="164" fontId="73" fillId="0" borderId="0" applyAlignment="1" pivotButton="0" quotePrefix="0" xfId="56">
      <alignment horizontal="left" vertical="center"/>
    </xf>
    <xf numFmtId="164" fontId="74" fillId="0" borderId="16" applyAlignment="1" pivotButton="0" quotePrefix="0" xfId="56">
      <alignment horizontal="right" vertical="center"/>
    </xf>
    <xf numFmtId="164" fontId="64" fillId="0" borderId="16" applyAlignment="1" pivotButton="0" quotePrefix="0" xfId="56">
      <alignment horizontal="right" vertical="center"/>
    </xf>
    <xf numFmtId="165" fontId="24" fillId="0" borderId="17" applyAlignment="1" pivotButton="0" quotePrefix="0" xfId="65">
      <alignment horizontal="right" vertical="center"/>
    </xf>
    <xf numFmtId="164" fontId="16" fillId="0" borderId="18" applyAlignment="1" pivotButton="0" quotePrefix="0" xfId="56">
      <alignment vertical="center"/>
    </xf>
    <xf numFmtId="164" fontId="75" fillId="0" borderId="17" applyAlignment="1" pivotButton="0" quotePrefix="0" xfId="56">
      <alignment horizontal="center" vertical="center"/>
    </xf>
    <xf numFmtId="164" fontId="27" fillId="0" borderId="17" applyAlignment="1" pivotButton="0" quotePrefix="0" xfId="56">
      <alignment horizontal="center" vertical="center"/>
    </xf>
    <xf numFmtId="164" fontId="15" fillId="0" borderId="18" applyAlignment="1" applyProtection="1" pivotButton="0" quotePrefix="0" xfId="64">
      <alignment horizontal="center" vertical="center"/>
      <protection locked="0" hidden="0"/>
    </xf>
    <xf numFmtId="164" fontId="27" fillId="0" borderId="18" applyAlignment="1" pivotButton="0" quotePrefix="0" xfId="56">
      <alignment horizontal="center" vertical="center"/>
    </xf>
    <xf numFmtId="165" fontId="1" fillId="0" borderId="0" applyAlignment="1" pivotButton="0" quotePrefix="0" xfId="58">
      <alignment vertical="center"/>
    </xf>
    <xf numFmtId="165" fontId="8" fillId="0" borderId="0" applyAlignment="1" pivotButton="0" quotePrefix="0" xfId="58">
      <alignment vertical="center"/>
    </xf>
    <xf numFmtId="165" fontId="2" fillId="0" borderId="0" applyAlignment="1" pivotButton="0" quotePrefix="0" xfId="58">
      <alignment horizontal="center" vertical="center"/>
    </xf>
    <xf numFmtId="165" fontId="4" fillId="0" borderId="0" applyAlignment="1" pivotButton="0" quotePrefix="0" xfId="58">
      <alignment horizontal="center" vertical="center"/>
    </xf>
    <xf numFmtId="165" fontId="5" fillId="0" borderId="0" applyAlignment="1" pivotButton="0" quotePrefix="0" xfId="58">
      <alignment vertical="center"/>
    </xf>
    <xf numFmtId="165" fontId="3" fillId="2" borderId="22" applyAlignment="1" pivotButton="0" quotePrefix="0" xfId="59">
      <alignment horizontal="center" vertical="center"/>
    </xf>
    <xf numFmtId="165" fontId="3" fillId="2" borderId="22" applyAlignment="1" pivotButton="0" quotePrefix="0" xfId="58">
      <alignment horizontal="center" vertical="center"/>
    </xf>
    <xf numFmtId="165" fontId="1" fillId="2" borderId="22" applyAlignment="1" pivotButton="0" quotePrefix="0" xfId="59">
      <alignment vertical="center"/>
    </xf>
    <xf numFmtId="165" fontId="1" fillId="2" borderId="22" applyAlignment="1" pivotButton="0" quotePrefix="0" xfId="59">
      <alignment horizontal="center" vertical="center"/>
    </xf>
    <xf numFmtId="165" fontId="7" fillId="2" borderId="22" applyAlignment="1" pivotButton="0" quotePrefix="0" xfId="60">
      <alignment horizontal="right" vertical="center"/>
    </xf>
    <xf numFmtId="165" fontId="1" fillId="0" borderId="22" applyAlignment="1" pivotButton="0" quotePrefix="0" xfId="59">
      <alignment vertical="center"/>
    </xf>
    <xf numFmtId="165" fontId="11" fillId="0" borderId="22" applyAlignment="1" pivotButton="0" quotePrefix="0" xfId="59">
      <alignment horizontal="center" vertical="center"/>
    </xf>
    <xf numFmtId="165" fontId="26" fillId="2" borderId="22" applyAlignment="1" pivotButton="0" quotePrefix="0" xfId="60">
      <alignment horizontal="right" vertical="center"/>
    </xf>
    <xf numFmtId="165" fontId="1" fillId="0" borderId="22" applyAlignment="1" pivotButton="0" quotePrefix="0" xfId="59">
      <alignment horizontal="left" vertical="center"/>
    </xf>
    <xf numFmtId="165" fontId="13" fillId="2" borderId="22" applyAlignment="1" pivotButton="0" quotePrefix="0" xfId="60">
      <alignment horizontal="center" vertical="center"/>
    </xf>
    <xf numFmtId="165" fontId="29" fillId="2" borderId="22" applyAlignment="1" pivotButton="0" quotePrefix="0" xfId="60">
      <alignment horizontal="right" vertical="center"/>
    </xf>
    <xf numFmtId="165" fontId="11" fillId="2" borderId="22" applyAlignment="1" pivotButton="0" quotePrefix="0" xfId="59">
      <alignment horizontal="center" vertical="center"/>
    </xf>
    <xf numFmtId="165" fontId="3" fillId="0" borderId="0" applyAlignment="1" pivotButton="0" quotePrefix="0" xfId="58">
      <alignment vertical="center"/>
    </xf>
    <xf numFmtId="165" fontId="1" fillId="0" borderId="0" applyAlignment="1" pivotButton="0" quotePrefix="0" xfId="59">
      <alignment horizontal="center" vertical="center"/>
    </xf>
    <xf numFmtId="165" fontId="11" fillId="2" borderId="0" applyAlignment="1" pivotButton="0" quotePrefix="0" xfId="59">
      <alignment horizontal="center" vertical="center"/>
    </xf>
    <xf numFmtId="165" fontId="3" fillId="0" borderId="0" applyAlignment="1" pivotButton="0" quotePrefix="0" xfId="58">
      <alignment horizontal="left" vertical="center"/>
    </xf>
    <xf numFmtId="164" fontId="3" fillId="0" borderId="0" applyAlignment="1" pivotButton="0" quotePrefix="0" xfId="61">
      <alignment vertical="center"/>
    </xf>
    <xf numFmtId="165" fontId="76" fillId="0" borderId="0" applyAlignment="1" pivotButton="0" quotePrefix="0" xfId="6">
      <alignment horizontal="center" vertical="center"/>
    </xf>
    <xf numFmtId="0" fontId="1" fillId="0" borderId="0" applyAlignment="1" pivotButton="0" quotePrefix="0" xfId="61">
      <alignment vertical="center"/>
    </xf>
    <xf numFmtId="0" fontId="1" fillId="0" borderId="0" applyAlignment="1" pivotButton="0" quotePrefix="0" xfId="61">
      <alignment horizontal="left" vertical="center"/>
    </xf>
    <xf numFmtId="0" fontId="6" fillId="0" borderId="0" applyAlignment="1" pivotButton="0" quotePrefix="0" xfId="63">
      <alignment vertical="center"/>
    </xf>
    <xf numFmtId="0" fontId="11" fillId="0" borderId="0" applyAlignment="1" pivotButton="0" quotePrefix="0" xfId="63">
      <alignment vertical="center"/>
    </xf>
    <xf numFmtId="0" fontId="6" fillId="0" borderId="8" applyAlignment="1" pivotButton="0" quotePrefix="0" xfId="63">
      <alignment horizontal="center" vertical="center"/>
    </xf>
    <xf numFmtId="0" fontId="6" fillId="0" borderId="8" applyAlignment="1" pivotButton="0" quotePrefix="0" xfId="63">
      <alignment vertical="center"/>
    </xf>
    <xf numFmtId="0" fontId="30" fillId="0" borderId="1" applyAlignment="1" pivotButton="0" quotePrefix="0" xfId="63">
      <alignment horizontal="left" vertical="center"/>
    </xf>
    <xf numFmtId="0" fontId="30" fillId="0" borderId="3" applyAlignment="1" pivotButton="0" quotePrefix="0" xfId="63">
      <alignment horizontal="left" vertical="center"/>
    </xf>
    <xf numFmtId="0" fontId="30" fillId="0" borderId="1" applyAlignment="1" pivotButton="0" quotePrefix="0" xfId="63">
      <alignment horizontal="center" vertical="center"/>
    </xf>
    <xf numFmtId="0" fontId="30" fillId="0" borderId="3" applyAlignment="1" pivotButton="0" quotePrefix="0" xfId="63">
      <alignment horizontal="center" vertical="center"/>
    </xf>
    <xf numFmtId="0" fontId="30" fillId="0" borderId="8" applyAlignment="1" pivotButton="0" quotePrefix="0" xfId="63">
      <alignment vertical="center"/>
    </xf>
    <xf numFmtId="0" fontId="76" fillId="0" borderId="0" applyAlignment="1" pivotButton="0" quotePrefix="0" xfId="6">
      <alignment horizontal="center" vertical="center"/>
    </xf>
    <xf numFmtId="165" fontId="6" fillId="0" borderId="0" applyAlignment="1" pivotButton="0" quotePrefix="0" xfId="63">
      <alignment horizontal="left" vertical="center"/>
    </xf>
    <xf numFmtId="165" fontId="30" fillId="0" borderId="0" applyAlignment="1" pivotButton="0" quotePrefix="0" xfId="63">
      <alignment horizontal="left" vertical="center"/>
    </xf>
    <xf numFmtId="165" fontId="30" fillId="0" borderId="0" applyAlignment="1" pivotButton="0" quotePrefix="0" xfId="63">
      <alignment horizontal="center" vertical="center"/>
    </xf>
    <xf numFmtId="165" fontId="30" fillId="0" borderId="0" applyAlignment="1" pivotButton="0" quotePrefix="0" xfId="63">
      <alignment vertical="center"/>
    </xf>
    <xf numFmtId="164" fontId="1" fillId="0" borderId="0" applyAlignment="1" pivotButton="0" quotePrefix="0" xfId="61">
      <alignment vertical="center"/>
    </xf>
    <xf numFmtId="164" fontId="6" fillId="0" borderId="0" applyAlignment="1" pivotButton="0" quotePrefix="0" xfId="61">
      <alignment vertical="center"/>
    </xf>
    <xf numFmtId="165" fontId="8" fillId="0" borderId="0" applyAlignment="1" pivotButton="0" quotePrefix="0" xfId="58">
      <alignment horizontal="left" vertical="center"/>
    </xf>
    <xf numFmtId="165" fontId="14" fillId="0" borderId="0" applyAlignment="1" pivotButton="0" quotePrefix="0" xfId="58">
      <alignment vertical="center"/>
    </xf>
    <xf numFmtId="165" fontId="8" fillId="0" borderId="0" applyAlignment="1" pivotButton="0" quotePrefix="0" xfId="58">
      <alignment horizontal="right" vertical="center"/>
    </xf>
    <xf numFmtId="164" fontId="1" fillId="0" borderId="8" applyAlignment="1" pivotButton="0" quotePrefix="0" xfId="62">
      <alignment horizontal="left" vertical="center" wrapText="1"/>
    </xf>
    <xf numFmtId="164" fontId="1" fillId="0" borderId="0" applyAlignment="1" pivotButton="0" quotePrefix="0" xfId="50">
      <alignment vertical="center"/>
    </xf>
    <xf numFmtId="164" fontId="1" fillId="0" borderId="0" applyAlignment="1" applyProtection="1" pivotButton="0" quotePrefix="0" xfId="51">
      <alignment vertical="center"/>
      <protection locked="0" hidden="0"/>
    </xf>
    <xf numFmtId="164" fontId="1" fillId="0" borderId="0" applyAlignment="1" pivotButton="0" quotePrefix="0" xfId="52">
      <alignment vertical="center"/>
    </xf>
    <xf numFmtId="164" fontId="3" fillId="0" borderId="0" applyAlignment="1" pivotButton="0" quotePrefix="0" xfId="52">
      <alignment horizontal="left" vertical="center"/>
    </xf>
    <xf numFmtId="164" fontId="1" fillId="0" borderId="0" applyAlignment="1" pivotButton="0" quotePrefix="0" xfId="52">
      <alignment vertical="center"/>
    </xf>
    <xf numFmtId="164" fontId="1" fillId="0" borderId="0" applyAlignment="1" applyProtection="1" pivotButton="0" quotePrefix="0" xfId="51">
      <alignment horizontal="left" vertical="center"/>
      <protection locked="0" hidden="0"/>
    </xf>
    <xf numFmtId="164" fontId="1" fillId="0" borderId="0" applyAlignment="1" applyProtection="1" pivotButton="0" quotePrefix="0" xfId="51">
      <alignment horizontal="right" vertical="center"/>
      <protection locked="0" hidden="0"/>
    </xf>
    <xf numFmtId="164" fontId="3" fillId="0" borderId="0" applyAlignment="1" applyProtection="1" pivotButton="0" quotePrefix="0" xfId="51">
      <alignment horizontal="left" vertical="center"/>
      <protection locked="0" hidden="0"/>
    </xf>
    <xf numFmtId="164" fontId="1" fillId="0" borderId="0" applyAlignment="1" applyProtection="1" pivotButton="0" quotePrefix="0" xfId="51">
      <alignment horizontal="left" vertical="center" wrapText="1"/>
      <protection locked="0" hidden="0"/>
    </xf>
    <xf numFmtId="164" fontId="3" fillId="0" borderId="0" applyAlignment="1" applyProtection="1" pivotButton="0" quotePrefix="0" xfId="51">
      <alignment horizontal="justify" vertical="center"/>
      <protection locked="0" hidden="0"/>
    </xf>
    <xf numFmtId="164" fontId="3" fillId="2" borderId="8" applyAlignment="1" applyProtection="1" pivotButton="0" quotePrefix="0" xfId="51">
      <alignment horizontal="center" vertical="center" wrapText="1"/>
      <protection locked="0" hidden="0"/>
    </xf>
    <xf numFmtId="164" fontId="3" fillId="2" borderId="8" applyAlignment="1" applyProtection="1" pivotButton="0" quotePrefix="0" xfId="51">
      <alignment horizontal="center" vertical="center"/>
      <protection locked="0" hidden="0"/>
    </xf>
    <xf numFmtId="164" fontId="1" fillId="0" borderId="8" applyAlignment="1" applyProtection="1" pivotButton="0" quotePrefix="0" xfId="51">
      <alignment horizontal="left" vertical="center" wrapText="1"/>
      <protection locked="0" hidden="0"/>
    </xf>
    <xf numFmtId="164" fontId="1" fillId="0" borderId="8" applyAlignment="1" applyProtection="1" pivotButton="0" quotePrefix="0" xfId="51">
      <alignment horizontal="center" vertical="center" wrapText="1"/>
      <protection locked="0" hidden="0"/>
    </xf>
    <xf numFmtId="164" fontId="8" fillId="0" borderId="0" applyAlignment="1" pivotButton="0" quotePrefix="0" xfId="56">
      <alignment horizontal="left" vertical="center"/>
    </xf>
    <xf numFmtId="164" fontId="11" fillId="0" borderId="8" applyAlignment="1" pivotButton="0" quotePrefix="0" xfId="53">
      <alignment horizontal="center" vertical="center"/>
    </xf>
    <xf numFmtId="164" fontId="1" fillId="0" borderId="8" applyAlignment="1" pivotButton="0" quotePrefix="0" xfId="53">
      <alignment horizontal="left" vertical="center" wrapText="1"/>
    </xf>
    <xf numFmtId="164" fontId="1" fillId="0" borderId="8" applyAlignment="1" applyProtection="1" pivotButton="0" quotePrefix="0" xfId="0">
      <alignment horizontal="left" vertical="center" wrapText="1"/>
      <protection locked="0" hidden="0"/>
    </xf>
    <xf numFmtId="164" fontId="1" fillId="0" borderId="8" applyAlignment="1" applyProtection="1" pivotButton="0" quotePrefix="0" xfId="0">
      <alignment horizontal="center" vertical="center" wrapText="1"/>
      <protection locked="0" hidden="0"/>
    </xf>
    <xf numFmtId="164" fontId="7" fillId="0" borderId="8" applyAlignment="1" pivotButton="0" quotePrefix="0" xfId="54">
      <alignment horizontal="center" vertical="center" wrapText="1"/>
    </xf>
    <xf numFmtId="164" fontId="13" fillId="0" borderId="8" applyAlignment="1" pivotButton="0" quotePrefix="0" xfId="54">
      <alignment horizontal="center" vertical="center" wrapText="1"/>
    </xf>
    <xf numFmtId="164" fontId="26" fillId="0" borderId="8" applyAlignment="1" pivotButton="0" quotePrefix="0" xfId="54">
      <alignment horizontal="center" vertical="center" wrapText="1"/>
    </xf>
    <xf numFmtId="164" fontId="11" fillId="0" borderId="8" applyAlignment="1" applyProtection="1" pivotButton="0" quotePrefix="0" xfId="0">
      <alignment horizontal="center" vertical="center" wrapText="1"/>
      <protection locked="0" hidden="0"/>
    </xf>
    <xf numFmtId="164" fontId="13" fillId="0" borderId="8" applyAlignment="1" pivotButton="0" quotePrefix="0" xfId="55">
      <alignment horizontal="center" vertical="center" wrapText="1"/>
    </xf>
    <xf numFmtId="164" fontId="7" fillId="0" borderId="8" applyAlignment="1" pivotButton="0" quotePrefix="0" xfId="55">
      <alignment horizontal="center" vertical="center" wrapText="1"/>
    </xf>
    <xf numFmtId="164" fontId="1" fillId="0" borderId="8" applyAlignment="1" pivotButton="0" quotePrefix="0" xfId="52">
      <alignment horizontal="left" vertical="center" wrapText="1"/>
    </xf>
    <xf numFmtId="164" fontId="7" fillId="0" borderId="8" applyAlignment="1" pivotButton="0" quotePrefix="0" xfId="54">
      <alignment vertical="center" wrapText="1"/>
    </xf>
    <xf numFmtId="164" fontId="1" fillId="0" borderId="8" applyAlignment="1" pivotButton="0" quotePrefix="0" xfId="51">
      <alignment horizontal="center" vertical="center" wrapText="1"/>
    </xf>
    <xf numFmtId="164" fontId="11" fillId="0" borderId="8" applyAlignment="1" applyProtection="1" pivotButton="0" quotePrefix="0" xfId="51">
      <alignment horizontal="center" vertical="center" wrapText="1"/>
      <protection locked="0" hidden="0"/>
    </xf>
    <xf numFmtId="164" fontId="10" fillId="0" borderId="8" applyAlignment="1" applyProtection="1" pivotButton="0" quotePrefix="0" xfId="0">
      <alignment horizontal="center" vertical="center" wrapText="1"/>
      <protection locked="0" hidden="0"/>
    </xf>
    <xf numFmtId="164" fontId="30" fillId="0" borderId="8" applyAlignment="1" applyProtection="1" pivotButton="0" quotePrefix="0" xfId="0">
      <alignment horizontal="center" vertical="center" wrapText="1"/>
      <protection locked="0" hidden="0"/>
    </xf>
    <xf numFmtId="164" fontId="5" fillId="8" borderId="0" applyAlignment="1" applyProtection="1" pivotButton="0" quotePrefix="0" xfId="54">
      <alignment horizontal="left" vertical="center" wrapText="1"/>
      <protection locked="0" hidden="0"/>
    </xf>
    <xf numFmtId="164" fontId="1" fillId="0" borderId="8" applyAlignment="1" applyProtection="1" pivotButton="0" quotePrefix="0" xfId="0">
      <alignment horizontal="justify" vertical="center" wrapText="1"/>
      <protection locked="0" hidden="0"/>
    </xf>
    <xf numFmtId="164" fontId="8" fillId="0" borderId="0" applyAlignment="1" pivotButton="0" quotePrefix="0" xfId="52">
      <alignment vertical="center"/>
    </xf>
    <xf numFmtId="164" fontId="1" fillId="0" borderId="8" applyAlignment="1" pivotButton="0" quotePrefix="0" xfId="52">
      <alignment vertical="center" wrapText="1"/>
    </xf>
    <xf numFmtId="164" fontId="11" fillId="0" borderId="8" applyAlignment="1" applyProtection="1" pivotButton="0" quotePrefix="0" xfId="0">
      <alignment horizontal="center" vertical="center"/>
      <protection locked="0" hidden="0"/>
    </xf>
    <xf numFmtId="164" fontId="1" fillId="0" borderId="8" applyAlignment="1" pivotButton="0" quotePrefix="0" xfId="0">
      <alignment vertical="center" wrapText="1"/>
    </xf>
    <xf numFmtId="164" fontId="1" fillId="0" borderId="8" applyAlignment="1" pivotButton="0" quotePrefix="0" xfId="52">
      <alignment vertical="center" wrapText="1"/>
    </xf>
    <xf numFmtId="164" fontId="3" fillId="0" borderId="8" applyAlignment="1" applyProtection="1" pivotButton="0" quotePrefix="0" xfId="0">
      <alignment horizontal="center" vertical="center" wrapText="1"/>
      <protection locked="0" hidden="0"/>
    </xf>
    <xf numFmtId="164" fontId="3" fillId="0" borderId="8" applyAlignment="1" applyProtection="1" pivotButton="0" quotePrefix="0" xfId="0">
      <alignment horizontal="justify" vertical="center" wrapText="1"/>
      <protection locked="0" hidden="0"/>
    </xf>
    <xf numFmtId="164" fontId="1" fillId="0" borderId="0" applyAlignment="1" pivotButton="0" quotePrefix="0" xfId="52">
      <alignment horizontal="left" vertical="center"/>
    </xf>
    <xf numFmtId="164" fontId="1" fillId="0" borderId="0" applyAlignment="1" pivotButton="0" quotePrefix="0" xfId="52">
      <alignment vertical="center" wrapText="1"/>
    </xf>
    <xf numFmtId="167" fontId="11" fillId="0" borderId="11" applyAlignment="1" applyProtection="1" pivotButton="0" quotePrefix="0" xfId="49">
      <alignment horizontal="center" vertical="center" wrapText="1"/>
      <protection locked="0" hidden="0"/>
    </xf>
    <xf numFmtId="164" fontId="1" fillId="0" borderId="0" applyAlignment="1" applyProtection="1" pivotButton="0" quotePrefix="0" xfId="49">
      <alignment horizontal="justify" vertical="top" wrapText="1"/>
      <protection locked="0" hidden="0"/>
    </xf>
    <xf numFmtId="164" fontId="8" fillId="0" borderId="0" applyProtection="1" pivotButton="0" quotePrefix="0" xfId="49">
      <protection locked="0" hidden="0"/>
    </xf>
    <xf numFmtId="164" fontId="1" fillId="4" borderId="0" applyAlignment="1" applyProtection="1" pivotButton="0" quotePrefix="0" xfId="0">
      <alignment horizontal="justify" vertical="center" wrapText="1"/>
      <protection locked="0" hidden="0"/>
    </xf>
    <xf numFmtId="164" fontId="1" fillId="0" borderId="0" applyAlignment="1" applyProtection="1" pivotButton="0" quotePrefix="0" xfId="49">
      <alignment horizontal="justify"/>
      <protection locked="0" hidden="0"/>
    </xf>
    <xf numFmtId="164" fontId="3" fillId="0" borderId="0" applyAlignment="1" applyProtection="1" pivotButton="0" quotePrefix="0" xfId="0">
      <alignment horizontal="justify"/>
      <protection locked="0" hidden="0"/>
    </xf>
    <xf numFmtId="164" fontId="4" fillId="0" borderId="0" applyAlignment="1" applyProtection="1" pivotButton="0" quotePrefix="0" xfId="0">
      <alignment horizontal="center" vertical="center"/>
      <protection locked="0" hidden="0"/>
    </xf>
    <xf numFmtId="164" fontId="23" fillId="0" borderId="0" applyAlignment="1" applyProtection="1" pivotButton="0" quotePrefix="0" xfId="0">
      <alignment horizontal="left" vertical="center" wrapText="1"/>
      <protection locked="0" hidden="0"/>
    </xf>
    <xf numFmtId="164" fontId="3" fillId="0" borderId="0" applyProtection="1" pivotButton="0" quotePrefix="0" xfId="49">
      <protection locked="0" hidden="0"/>
    </xf>
    <xf numFmtId="164" fontId="24" fillId="0" borderId="0" applyAlignment="1" applyProtection="1" pivotButton="0" quotePrefix="0" xfId="0">
      <alignment horizontal="left" vertical="center" wrapText="1"/>
      <protection locked="0" hidden="0"/>
    </xf>
    <xf numFmtId="164" fontId="3" fillId="2" borderId="8" applyAlignment="1" applyProtection="1" pivotButton="0" quotePrefix="1" xfId="81">
      <alignment horizontal="center" vertical="center" wrapText="1"/>
      <protection locked="0" hidden="0"/>
    </xf>
    <xf numFmtId="0" fontId="26" fillId="0" borderId="8" applyAlignment="1" pivotButton="0" quotePrefix="1" xfId="83">
      <alignment horizontal="right" vertical="center"/>
    </xf>
    <xf numFmtId="164" fontId="1" fillId="0" borderId="0" applyProtection="1" pivotButton="0" quotePrefix="0" xfId="49">
      <protection locked="0" hidden="0"/>
    </xf>
    <xf numFmtId="164" fontId="1" fillId="0" borderId="0" applyAlignment="1" applyProtection="1" pivotButton="0" quotePrefix="0" xfId="49">
      <alignment vertical="center"/>
      <protection locked="0" hidden="0"/>
    </xf>
    <xf numFmtId="164" fontId="3" fillId="0" borderId="0" applyAlignment="1" applyProtection="1" pivotButton="0" quotePrefix="0" xfId="49">
      <alignment vertical="center"/>
      <protection locked="0" hidden="0"/>
    </xf>
    <xf numFmtId="0" fontId="0" fillId="0" borderId="0" pivotButton="0" quotePrefix="0" xfId="0"/>
    <xf numFmtId="164" fontId="1" fillId="4" borderId="0" applyAlignment="1" applyProtection="1" pivotButton="0" quotePrefix="0" xfId="49">
      <alignment horizontal="justify" vertical="center" wrapText="1"/>
      <protection locked="0" hidden="0"/>
    </xf>
    <xf numFmtId="164" fontId="1" fillId="0" borderId="0" applyAlignment="1" applyProtection="1" pivotButton="0" quotePrefix="0" xfId="49">
      <alignment horizontal="justify" wrapText="1"/>
      <protection locked="0" hidden="0"/>
    </xf>
    <xf numFmtId="164" fontId="3" fillId="0" borderId="0" applyAlignment="1" applyProtection="1" pivotButton="0" quotePrefix="0" xfId="49">
      <alignment horizontal="center" vertical="center"/>
      <protection locked="0" hidden="0"/>
    </xf>
    <xf numFmtId="164" fontId="11" fillId="4" borderId="0" applyAlignment="1" applyProtection="1" pivotButton="0" quotePrefix="0" xfId="0">
      <alignment horizontal="justify" vertical="center" wrapText="1"/>
      <protection locked="0" hidden="0"/>
    </xf>
    <xf numFmtId="167" fontId="11" fillId="0" borderId="11" applyAlignment="1" applyProtection="1" pivotButton="0" quotePrefix="0" xfId="49">
      <alignment horizontal="center" vertical="center" wrapText="1"/>
      <protection locked="0" hidden="0"/>
    </xf>
    <xf numFmtId="164" fontId="22" fillId="0" borderId="11" applyAlignment="1" applyProtection="1" pivotButton="0" quotePrefix="0" xfId="6">
      <alignment vertical="center"/>
      <protection locked="0" hidden="0"/>
    </xf>
    <xf numFmtId="164" fontId="11" fillId="0" borderId="11" applyAlignment="1" applyProtection="1" pivotButton="0" quotePrefix="0" xfId="6">
      <alignment horizontal="center" vertical="center"/>
      <protection locked="0" hidden="0"/>
    </xf>
    <xf numFmtId="164" fontId="1" fillId="0" borderId="0" applyAlignment="1" applyProtection="1" pivotButton="0" quotePrefix="0" xfId="49">
      <alignment horizontal="justify" vertical="top" wrapText="1"/>
      <protection locked="0" hidden="0"/>
    </xf>
    <xf numFmtId="164" fontId="8" fillId="0" borderId="0" applyProtection="1" pivotButton="0" quotePrefix="0" xfId="49">
      <protection locked="0" hidden="0"/>
    </xf>
    <xf numFmtId="164" fontId="1" fillId="4" borderId="0" applyAlignment="1" applyProtection="1" pivotButton="0" quotePrefix="0" xfId="0">
      <alignment horizontal="justify" vertical="center" wrapText="1"/>
      <protection locked="0" hidden="0"/>
    </xf>
    <xf numFmtId="164" fontId="1" fillId="0" borderId="0" applyAlignment="1" applyProtection="1" pivotButton="0" quotePrefix="0" xfId="49">
      <alignment horizontal="justify"/>
      <protection locked="0" hidden="0"/>
    </xf>
    <xf numFmtId="164" fontId="3" fillId="0" borderId="0" applyAlignment="1" applyProtection="1" pivotButton="0" quotePrefix="0" xfId="0">
      <alignment horizontal="justify"/>
      <protection locked="0" hidden="0"/>
    </xf>
    <xf numFmtId="164" fontId="4" fillId="0" borderId="0" applyAlignment="1" applyProtection="1" pivotButton="0" quotePrefix="0" xfId="0">
      <alignment horizontal="center" vertical="center"/>
      <protection locked="0" hidden="0"/>
    </xf>
    <xf numFmtId="164" fontId="23" fillId="0" borderId="0" applyAlignment="1" applyProtection="1" pivotButton="0" quotePrefix="0" xfId="0">
      <alignment horizontal="left" vertical="center" wrapText="1"/>
      <protection locked="0" hidden="0"/>
    </xf>
    <xf numFmtId="0" fontId="0" fillId="0" borderId="0" applyProtection="1" pivotButton="0" quotePrefix="0" xfId="0">
      <protection locked="0" hidden="0"/>
    </xf>
    <xf numFmtId="164" fontId="3" fillId="0" borderId="0" applyProtection="1" pivotButton="0" quotePrefix="0" xfId="49">
      <protection locked="0" hidden="0"/>
    </xf>
    <xf numFmtId="164" fontId="24" fillId="0" borderId="0" applyAlignment="1" applyProtection="1" pivotButton="0" quotePrefix="0" xfId="0">
      <alignment horizontal="left" vertical="center" wrapText="1"/>
      <protection locked="0" hidden="0"/>
    </xf>
    <xf numFmtId="164" fontId="3" fillId="0" borderId="0" applyAlignment="1" pivotButton="0" quotePrefix="0" xfId="52">
      <alignment horizontal="left" vertical="center"/>
    </xf>
    <xf numFmtId="164" fontId="1" fillId="0" borderId="0" applyAlignment="1" pivotButton="0" quotePrefix="0" xfId="52">
      <alignment vertical="center"/>
    </xf>
    <xf numFmtId="164" fontId="1" fillId="0" borderId="0" applyAlignment="1" pivotButton="0" quotePrefix="0" xfId="50">
      <alignment vertical="center"/>
    </xf>
    <xf numFmtId="164" fontId="2" fillId="0" borderId="0" applyAlignment="1" pivotButton="0" quotePrefix="0" xfId="50">
      <alignment horizontal="center" vertical="center"/>
    </xf>
    <xf numFmtId="164" fontId="4" fillId="0" borderId="0" applyAlignment="1" pivotButton="0" quotePrefix="0" xfId="50">
      <alignment horizontal="center" vertical="center"/>
    </xf>
    <xf numFmtId="164" fontId="1" fillId="0" borderId="0" applyAlignment="1" applyProtection="1" pivotButton="0" quotePrefix="0" xfId="51">
      <alignment vertical="center"/>
      <protection locked="0" hidden="0"/>
    </xf>
    <xf numFmtId="164" fontId="1" fillId="0" borderId="0" applyAlignment="1" applyProtection="1" pivotButton="0" quotePrefix="0" xfId="51">
      <alignment horizontal="left" vertical="center"/>
      <protection locked="0" hidden="0"/>
    </xf>
    <xf numFmtId="164" fontId="1" fillId="0" borderId="0" applyAlignment="1" applyProtection="1" pivotButton="0" quotePrefix="0" xfId="51">
      <alignment horizontal="right" vertical="center"/>
      <protection locked="0" hidden="0"/>
    </xf>
    <xf numFmtId="164" fontId="5" fillId="0" borderId="0" applyAlignment="1" applyProtection="1" pivotButton="0" quotePrefix="0" xfId="6">
      <alignment horizontal="left" vertical="center"/>
      <protection locked="0" hidden="0"/>
    </xf>
    <xf numFmtId="164" fontId="3" fillId="0" borderId="0" applyAlignment="1" applyProtection="1" pivotButton="0" quotePrefix="0" xfId="51">
      <alignment horizontal="left" vertical="center"/>
      <protection locked="0" hidden="0"/>
    </xf>
    <xf numFmtId="164" fontId="1" fillId="0" borderId="0" applyAlignment="1" applyProtection="1" pivotButton="0" quotePrefix="0" xfId="51">
      <alignment horizontal="left" vertical="center" wrapText="1"/>
      <protection locked="0" hidden="0"/>
    </xf>
    <xf numFmtId="164" fontId="3" fillId="0" borderId="0" applyAlignment="1" applyProtection="1" pivotButton="0" quotePrefix="0" xfId="51">
      <alignment horizontal="justify" vertical="center"/>
      <protection locked="0" hidden="0"/>
    </xf>
    <xf numFmtId="164" fontId="3" fillId="2" borderId="8" applyAlignment="1" applyProtection="1" pivotButton="0" quotePrefix="0" xfId="51">
      <alignment horizontal="center"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164" fontId="3" fillId="2" borderId="8" applyAlignment="1" applyProtection="1" pivotButton="0" quotePrefix="0" xfId="51">
      <alignment horizontal="center" vertical="center"/>
      <protection locked="0" hidden="0"/>
    </xf>
    <xf numFmtId="164" fontId="1" fillId="0" borderId="8" applyAlignment="1" applyProtection="1" pivotButton="0" quotePrefix="0" xfId="51">
      <alignment horizontal="left" vertical="center" wrapText="1"/>
      <protection locked="0" hidden="0"/>
    </xf>
    <xf numFmtId="164" fontId="1" fillId="0" borderId="8" applyAlignment="1" applyProtection="1" pivotButton="0" quotePrefix="0" xfId="51">
      <alignment horizontal="center" vertical="center" wrapText="1"/>
      <protection locked="0" hidden="0"/>
    </xf>
    <xf numFmtId="164" fontId="3" fillId="2" borderId="8" applyAlignment="1" applyProtection="1" pivotButton="0" quotePrefix="0" xfId="0">
      <alignment horizontal="center" vertical="center"/>
      <protection locked="0" hidden="0"/>
    </xf>
    <xf numFmtId="164" fontId="3" fillId="2" borderId="8" applyAlignment="1" applyProtection="1" pivotButton="0" quotePrefix="0" xfId="0">
      <alignment horizontal="center" vertical="center" wrapText="1"/>
      <protection locked="0" hidden="0"/>
    </xf>
    <xf numFmtId="164" fontId="3" fillId="2" borderId="8" applyAlignment="1" applyProtection="1" pivotButton="0" quotePrefix="0" xfId="55">
      <alignment horizontal="center" vertical="center" wrapText="1"/>
      <protection locked="0" hidden="0"/>
    </xf>
    <xf numFmtId="0" fontId="0" fillId="0" borderId="9" applyProtection="1" pivotButton="0" quotePrefix="0" xfId="0">
      <protection locked="0" hidden="0"/>
    </xf>
    <xf numFmtId="164" fontId="8" fillId="0" borderId="0" applyAlignment="1" pivotButton="0" quotePrefix="0" xfId="56">
      <alignment horizontal="left" vertical="center"/>
    </xf>
    <xf numFmtId="164" fontId="11" fillId="0" borderId="8" applyAlignment="1" pivotButton="0" quotePrefix="0" xfId="53">
      <alignment horizontal="center" vertical="center"/>
    </xf>
    <xf numFmtId="164" fontId="1" fillId="0" borderId="8" applyAlignment="1" pivotButton="0" quotePrefix="0" xfId="53">
      <alignment horizontal="left" vertical="center" wrapText="1"/>
    </xf>
    <xf numFmtId="164" fontId="1" fillId="0" borderId="8" applyAlignment="1" applyProtection="1" pivotButton="0" quotePrefix="0" xfId="0">
      <alignment horizontal="left" vertical="center" wrapText="1"/>
      <protection locked="0" hidden="0"/>
    </xf>
    <xf numFmtId="164" fontId="1" fillId="0" borderId="8" applyAlignment="1" applyProtection="1" pivotButton="0" quotePrefix="0" xfId="0">
      <alignment horizontal="center" vertical="center" wrapText="1"/>
      <protection locked="0" hidden="0"/>
    </xf>
    <xf numFmtId="164" fontId="7" fillId="0" borderId="8" applyAlignment="1" pivotButton="0" quotePrefix="0" xfId="54">
      <alignment horizontal="center" vertical="center" wrapText="1"/>
    </xf>
    <xf numFmtId="164" fontId="13" fillId="0" borderId="8" applyAlignment="1" pivotButton="0" quotePrefix="0" xfId="54">
      <alignment horizontal="center" vertical="center" wrapText="1"/>
    </xf>
    <xf numFmtId="164" fontId="26" fillId="0" borderId="8" applyAlignment="1" pivotButton="0" quotePrefix="0" xfId="54">
      <alignment horizontal="center" vertical="center" wrapText="1"/>
    </xf>
    <xf numFmtId="164" fontId="11" fillId="0" borderId="8" applyAlignment="1" applyProtection="1" pivotButton="0" quotePrefix="0" xfId="0">
      <alignment horizontal="center" vertical="center" wrapText="1"/>
      <protection locked="0" hidden="0"/>
    </xf>
    <xf numFmtId="164" fontId="13" fillId="0" borderId="8" applyAlignment="1" pivotButton="0" quotePrefix="0" xfId="55">
      <alignment horizontal="center" vertical="center" wrapText="1"/>
    </xf>
    <xf numFmtId="164" fontId="7" fillId="0" borderId="8" applyAlignment="1" pivotButton="0" quotePrefix="0" xfId="55">
      <alignment horizontal="center" vertical="center" wrapText="1"/>
    </xf>
    <xf numFmtId="164" fontId="1" fillId="0" borderId="8" applyAlignment="1" pivotButton="0" quotePrefix="0" xfId="52">
      <alignment horizontal="left" vertical="center" wrapText="1"/>
    </xf>
    <xf numFmtId="164" fontId="7" fillId="0" borderId="8" applyAlignment="1" pivotButton="0" quotePrefix="0" xfId="54">
      <alignment vertical="center" wrapText="1"/>
    </xf>
    <xf numFmtId="164" fontId="1" fillId="0" borderId="8" applyAlignment="1" pivotButton="0" quotePrefix="0" xfId="51">
      <alignment horizontal="center" vertical="center" wrapText="1"/>
    </xf>
    <xf numFmtId="164" fontId="11" fillId="0" borderId="8" applyAlignment="1" applyProtection="1" pivotButton="0" quotePrefix="0" xfId="51">
      <alignment horizontal="center" vertical="center" wrapText="1"/>
      <protection locked="0" hidden="0"/>
    </xf>
    <xf numFmtId="164" fontId="10" fillId="0" borderId="8" applyAlignment="1" applyProtection="1" pivotButton="0" quotePrefix="0" xfId="0">
      <alignment horizontal="center" vertical="center" wrapText="1"/>
      <protection locked="0" hidden="0"/>
    </xf>
    <xf numFmtId="164" fontId="30" fillId="0" borderId="8" applyAlignment="1" applyProtection="1" pivotButton="0" quotePrefix="0" xfId="0">
      <alignment horizontal="center" vertical="center" wrapText="1"/>
      <protection locked="0" hidden="0"/>
    </xf>
    <xf numFmtId="164" fontId="5" fillId="8" borderId="0" applyAlignment="1" applyProtection="1" pivotButton="0" quotePrefix="0" xfId="54">
      <alignment horizontal="left" vertical="center" wrapText="1"/>
      <protection locked="0" hidden="0"/>
    </xf>
    <xf numFmtId="164" fontId="1" fillId="0" borderId="8" applyAlignment="1" applyProtection="1" pivotButton="0" quotePrefix="0" xfId="0">
      <alignment horizontal="justify" vertical="center" wrapText="1"/>
      <protection locked="0" hidden="0"/>
    </xf>
    <xf numFmtId="164" fontId="8" fillId="0" borderId="0" applyAlignment="1" pivotButton="0" quotePrefix="0" xfId="52">
      <alignment vertical="center"/>
    </xf>
    <xf numFmtId="164" fontId="1" fillId="0" borderId="8" applyAlignment="1" pivotButton="0" quotePrefix="0" xfId="52">
      <alignment vertical="center" wrapText="1"/>
    </xf>
    <xf numFmtId="164" fontId="11" fillId="0" borderId="8" applyAlignment="1" applyProtection="1" pivotButton="0" quotePrefix="0" xfId="0">
      <alignment horizontal="center" vertical="center"/>
      <protection locked="0" hidden="0"/>
    </xf>
    <xf numFmtId="164" fontId="1" fillId="0" borderId="8" applyAlignment="1" pivotButton="0" quotePrefix="0" xfId="0">
      <alignment vertical="center" wrapText="1"/>
    </xf>
    <xf numFmtId="164" fontId="3" fillId="0" borderId="8" applyAlignment="1" applyProtection="1" pivotButton="0" quotePrefix="0" xfId="0">
      <alignment horizontal="center" vertical="center" wrapText="1"/>
      <protection locked="0" hidden="0"/>
    </xf>
    <xf numFmtId="164" fontId="3" fillId="0" borderId="8" applyAlignment="1" applyProtection="1" pivotButton="0" quotePrefix="0" xfId="0">
      <alignment horizontal="justify" vertical="center" wrapText="1"/>
      <protection locked="0" hidden="0"/>
    </xf>
    <xf numFmtId="164" fontId="1" fillId="0" borderId="0" applyAlignment="1" pivotButton="0" quotePrefix="0" xfId="52">
      <alignment horizontal="left" vertical="center"/>
    </xf>
    <xf numFmtId="164" fontId="1" fillId="0" borderId="0" applyAlignment="1" pivotButton="0" quotePrefix="0" xfId="52">
      <alignment vertical="center" wrapText="1"/>
    </xf>
    <xf numFmtId="165" fontId="1" fillId="0" borderId="0" applyAlignment="1" pivotButton="0" quotePrefix="0" xfId="58">
      <alignment vertical="center"/>
    </xf>
    <xf numFmtId="165" fontId="2" fillId="0" borderId="0" applyAlignment="1" pivotButton="0" quotePrefix="0" xfId="58">
      <alignment horizontal="center" vertical="center"/>
    </xf>
    <xf numFmtId="165" fontId="4" fillId="0" borderId="0" applyAlignment="1" pivotButton="0" quotePrefix="0" xfId="58">
      <alignment horizontal="center" vertical="center"/>
    </xf>
    <xf numFmtId="165" fontId="1" fillId="0" borderId="0" applyAlignment="1" pivotButton="0" quotePrefix="0" xfId="58">
      <alignment horizontal="left" vertical="center"/>
    </xf>
    <xf numFmtId="165" fontId="1" fillId="0" borderId="0" applyAlignment="1" pivotButton="0" quotePrefix="0" xfId="58">
      <alignment horizontal="right" vertical="center"/>
    </xf>
    <xf numFmtId="165" fontId="5" fillId="0" borderId="0" applyAlignment="1" pivotButton="0" quotePrefix="0" xfId="58">
      <alignment vertical="center"/>
    </xf>
    <xf numFmtId="165" fontId="3" fillId="2" borderId="22" applyAlignment="1" pivotButton="0" quotePrefix="0" xfId="59">
      <alignment horizontal="center" vertical="center"/>
    </xf>
    <xf numFmtId="165" fontId="3" fillId="2" borderId="22" applyAlignment="1" pivotButton="0" quotePrefix="0" xfId="58">
      <alignment horizontal="center" vertical="center"/>
    </xf>
    <xf numFmtId="0" fontId="0" fillId="0" borderId="34" pivotButton="0" quotePrefix="0" xfId="0"/>
    <xf numFmtId="0" fontId="0" fillId="0" borderId="35" pivotButton="0" quotePrefix="0" xfId="0"/>
    <xf numFmtId="0" fontId="0" fillId="0" borderId="38" pivotButton="0" quotePrefix="0" xfId="0"/>
    <xf numFmtId="165" fontId="1" fillId="2" borderId="22" applyAlignment="1" pivotButton="0" quotePrefix="0" xfId="59">
      <alignment vertical="center"/>
    </xf>
    <xf numFmtId="165" fontId="1" fillId="2" borderId="22" applyAlignment="1" pivotButton="0" quotePrefix="0" xfId="59">
      <alignment horizontal="center" vertical="center"/>
    </xf>
    <xf numFmtId="165" fontId="7" fillId="2" borderId="22" applyAlignment="1" pivotButton="0" quotePrefix="0" xfId="60">
      <alignment horizontal="right" vertical="center"/>
    </xf>
    <xf numFmtId="165" fontId="1" fillId="0" borderId="22" applyAlignment="1" pivotButton="0" quotePrefix="0" xfId="59">
      <alignment vertical="center"/>
    </xf>
    <xf numFmtId="165" fontId="11" fillId="0" borderId="22" applyAlignment="1" pivotButton="0" quotePrefix="0" xfId="59">
      <alignment horizontal="center" vertical="center"/>
    </xf>
    <xf numFmtId="165" fontId="26" fillId="2" borderId="22" applyAlignment="1" pivotButton="0" quotePrefix="0" xfId="60">
      <alignment horizontal="right" vertical="center"/>
    </xf>
    <xf numFmtId="165" fontId="1" fillId="0" borderId="22" applyAlignment="1" pivotButton="0" quotePrefix="0" xfId="59">
      <alignment horizontal="left" vertical="center"/>
    </xf>
    <xf numFmtId="165" fontId="13" fillId="2" borderId="22" applyAlignment="1" pivotButton="0" quotePrefix="0" xfId="60">
      <alignment horizontal="center" vertical="center"/>
    </xf>
    <xf numFmtId="165" fontId="29" fillId="2" borderId="22" applyAlignment="1" pivotButton="0" quotePrefix="0" xfId="60">
      <alignment horizontal="right" vertical="center"/>
    </xf>
    <xf numFmtId="165" fontId="11" fillId="2" borderId="22" applyAlignment="1" pivotButton="0" quotePrefix="0" xfId="59">
      <alignment horizontal="center" vertical="center"/>
    </xf>
    <xf numFmtId="165" fontId="3" fillId="0" borderId="0" applyAlignment="1" pivotButton="0" quotePrefix="0" xfId="58">
      <alignment vertical="center"/>
    </xf>
    <xf numFmtId="165" fontId="1" fillId="0" borderId="0" applyAlignment="1" pivotButton="0" quotePrefix="0" xfId="59">
      <alignment horizontal="center" vertical="center"/>
    </xf>
    <xf numFmtId="165" fontId="11" fillId="2" borderId="0" applyAlignment="1" pivotButton="0" quotePrefix="0" xfId="59">
      <alignment horizontal="center" vertical="center"/>
    </xf>
    <xf numFmtId="165" fontId="3" fillId="0" borderId="0" applyAlignment="1" pivotButton="0" quotePrefix="0" xfId="58">
      <alignment horizontal="left" vertical="center"/>
    </xf>
    <xf numFmtId="164" fontId="3" fillId="0" borderId="0" applyAlignment="1" pivotButton="0" quotePrefix="0" xfId="61">
      <alignment vertical="center"/>
    </xf>
    <xf numFmtId="165" fontId="76" fillId="0" borderId="0" applyAlignment="1" pivotButton="0" quotePrefix="0" xfId="6">
      <alignment horizontal="center" vertical="center"/>
    </xf>
    <xf numFmtId="0" fontId="0" fillId="0" borderId="3" pivotButton="0" quotePrefix="0" xfId="0"/>
    <xf numFmtId="0" fontId="30" fillId="0" borderId="8" applyAlignment="1" pivotButton="0" quotePrefix="0" xfId="63">
      <alignment horizontal="left" vertical="center"/>
    </xf>
    <xf numFmtId="0" fontId="30" fillId="0" borderId="8" applyAlignment="1" pivotButton="0" quotePrefix="0" xfId="63">
      <alignment horizontal="center" vertical="center"/>
    </xf>
    <xf numFmtId="165" fontId="6" fillId="0" borderId="0" applyAlignment="1" pivotButton="0" quotePrefix="0" xfId="63">
      <alignment horizontal="left" vertical="center"/>
    </xf>
    <xf numFmtId="165" fontId="30" fillId="0" borderId="0" applyAlignment="1" pivotButton="0" quotePrefix="0" xfId="63">
      <alignment horizontal="left" vertical="center"/>
    </xf>
    <xf numFmtId="165" fontId="30" fillId="0" borderId="0" applyAlignment="1" pivotButton="0" quotePrefix="0" xfId="63">
      <alignment horizontal="center" vertical="center"/>
    </xf>
    <xf numFmtId="165" fontId="30" fillId="0" borderId="0" applyAlignment="1" pivotButton="0" quotePrefix="0" xfId="63">
      <alignment vertical="center"/>
    </xf>
    <xf numFmtId="164" fontId="1" fillId="0" borderId="0" applyAlignment="1" pivotButton="0" quotePrefix="0" xfId="61">
      <alignment vertical="center"/>
    </xf>
    <xf numFmtId="164" fontId="6" fillId="0" borderId="0" applyAlignment="1" pivotButton="0" quotePrefix="0" xfId="61">
      <alignment vertical="center"/>
    </xf>
    <xf numFmtId="165" fontId="8" fillId="0" borderId="0" applyAlignment="1" pivotButton="0" quotePrefix="0" xfId="58">
      <alignment vertical="center"/>
    </xf>
    <xf numFmtId="165" fontId="8" fillId="0" borderId="0" applyAlignment="1" pivotButton="0" quotePrefix="0" xfId="58">
      <alignment horizontal="left" vertical="center"/>
    </xf>
    <xf numFmtId="165" fontId="14" fillId="0" borderId="0" applyAlignment="1" pivotButton="0" quotePrefix="0" xfId="58">
      <alignment vertical="center"/>
    </xf>
    <xf numFmtId="165" fontId="8" fillId="0" borderId="0" applyAlignment="1" pivotButton="0" quotePrefix="0" xfId="58">
      <alignment horizontal="right" vertical="center"/>
    </xf>
    <xf numFmtId="164" fontId="1" fillId="0" borderId="8" applyAlignment="1" pivotButton="0" quotePrefix="0" xfId="62">
      <alignment horizontal="left" vertical="center" wrapText="1"/>
    </xf>
    <xf numFmtId="164" fontId="16" fillId="0" borderId="0" applyAlignment="1" pivotButton="0" quotePrefix="0" xfId="56">
      <alignment horizontal="left" vertical="center"/>
    </xf>
    <xf numFmtId="164" fontId="16" fillId="0" borderId="0" applyAlignment="1" pivotButton="0" quotePrefix="0" xfId="56">
      <alignment vertical="center"/>
    </xf>
    <xf numFmtId="164" fontId="10" fillId="0" borderId="0" applyAlignment="1" applyProtection="1" pivotButton="0" quotePrefix="0" xfId="64">
      <alignment horizontal="center" vertical="center"/>
      <protection locked="0" hidden="0"/>
    </xf>
    <xf numFmtId="164" fontId="2" fillId="0" borderId="0" applyAlignment="1" applyProtection="1" pivotButton="0" quotePrefix="0" xfId="64">
      <alignment horizontal="center" vertical="center"/>
      <protection locked="0" hidden="0"/>
    </xf>
    <xf numFmtId="164" fontId="11" fillId="0" borderId="0" applyAlignment="1" applyProtection="1" pivotButton="0" quotePrefix="0" xfId="64">
      <alignment vertical="center"/>
      <protection locked="0" hidden="0"/>
    </xf>
    <xf numFmtId="164" fontId="1" fillId="0" borderId="0" applyAlignment="1" applyProtection="1" pivotButton="0" quotePrefix="0" xfId="64">
      <alignment horizontal="right" vertical="center"/>
      <protection locked="0" hidden="0"/>
    </xf>
    <xf numFmtId="164" fontId="11" fillId="0" borderId="0" applyAlignment="1" applyProtection="1" pivotButton="0" quotePrefix="0" xfId="64">
      <alignment horizontal="right" vertical="center"/>
      <protection locked="0" hidden="0"/>
    </xf>
    <xf numFmtId="164" fontId="23" fillId="0" borderId="0" applyAlignment="1" pivotButton="0" quotePrefix="0" xfId="56">
      <alignment horizontal="left" vertical="center"/>
    </xf>
    <xf numFmtId="164" fontId="23" fillId="0" borderId="0" applyAlignment="1" pivotButton="0" quotePrefix="0" xfId="56">
      <alignment vertical="center"/>
    </xf>
    <xf numFmtId="164" fontId="68" fillId="0" borderId="0" applyAlignment="1" pivotButton="0" quotePrefix="0" xfId="66">
      <alignment horizontal="center" vertical="center"/>
    </xf>
    <xf numFmtId="164" fontId="22" fillId="0" borderId="0" applyAlignment="1" pivotButton="0" quotePrefix="0" xfId="66">
      <alignment horizontal="center" vertical="center"/>
    </xf>
    <xf numFmtId="164" fontId="2" fillId="0" borderId="0" applyAlignment="1" pivotButton="0" quotePrefix="0" xfId="56">
      <alignment vertical="center"/>
    </xf>
    <xf numFmtId="164" fontId="24" fillId="0" borderId="0" applyAlignment="1" pivotButton="0" quotePrefix="0" xfId="56">
      <alignment horizontal="left" vertical="center"/>
    </xf>
    <xf numFmtId="165" fontId="2" fillId="0" borderId="0" applyAlignment="1" pivotButton="0" quotePrefix="0" xfId="65">
      <alignment horizontal="center" vertical="center"/>
    </xf>
    <xf numFmtId="164" fontId="64" fillId="0" borderId="16" applyAlignment="1" pivotButton="0" quotePrefix="0" xfId="56">
      <alignment horizontal="left" vertical="center" wrapText="1"/>
    </xf>
    <xf numFmtId="164" fontId="61" fillId="0" borderId="17" applyAlignment="1" pivotButton="0" quotePrefix="0" xfId="56">
      <alignment horizontal="center" vertical="center" wrapText="1"/>
    </xf>
    <xf numFmtId="0" fontId="0" fillId="0" borderId="17" pivotButton="0" quotePrefix="0" xfId="0"/>
    <xf numFmtId="0" fontId="0" fillId="0" borderId="18" pivotButton="0" quotePrefix="0" xfId="0"/>
    <xf numFmtId="164" fontId="61" fillId="0" borderId="18" applyAlignment="1" pivotButton="0" quotePrefix="0" xfId="56">
      <alignment horizontal="right" vertical="center" wrapText="1"/>
    </xf>
    <xf numFmtId="164" fontId="2" fillId="0" borderId="0" applyAlignment="1" pivotButton="0" quotePrefix="0" xfId="56">
      <alignment horizontal="center" vertical="center"/>
    </xf>
    <xf numFmtId="164" fontId="55" fillId="0" borderId="0" applyAlignment="1" pivotButton="0" quotePrefix="0" xfId="56">
      <alignment horizontal="left" vertical="center" wrapText="1"/>
    </xf>
    <xf numFmtId="165" fontId="24" fillId="0" borderId="0" applyAlignment="1" pivotButton="0" quotePrefix="0" xfId="56">
      <alignment horizontal="right" vertical="center" wrapText="1"/>
    </xf>
    <xf numFmtId="164" fontId="55" fillId="0" borderId="18" applyAlignment="1" pivotButton="0" quotePrefix="0" xfId="56">
      <alignment horizontal="left" vertical="center" wrapText="1"/>
    </xf>
    <xf numFmtId="165" fontId="24" fillId="0" borderId="18" applyAlignment="1" pivotButton="0" quotePrefix="0" xfId="56">
      <alignment horizontal="right" vertical="center" wrapText="1"/>
    </xf>
    <xf numFmtId="164" fontId="64" fillId="0" borderId="18" applyAlignment="1" pivotButton="0" quotePrefix="0" xfId="56">
      <alignment horizontal="left" vertical="center" wrapText="1"/>
    </xf>
    <xf numFmtId="165" fontId="23" fillId="0" borderId="18" applyAlignment="1" pivotButton="0" quotePrefix="0" xfId="65">
      <alignment horizontal="right" vertical="center" wrapText="1"/>
    </xf>
    <xf numFmtId="164" fontId="55" fillId="0" borderId="0" applyAlignment="1" pivotButton="0" quotePrefix="0" xfId="56">
      <alignment horizontal="left" vertical="center"/>
    </xf>
    <xf numFmtId="164" fontId="69" fillId="0" borderId="0" applyAlignment="1" pivotButton="0" quotePrefix="0" xfId="56">
      <alignment horizontal="left" vertical="center"/>
    </xf>
    <xf numFmtId="164" fontId="58" fillId="0" borderId="0" applyAlignment="1" pivotButton="0" quotePrefix="0" xfId="56">
      <alignment horizontal="left" vertical="center"/>
    </xf>
    <xf numFmtId="165" fontId="67" fillId="0" borderId="0" applyAlignment="1" pivotButton="0" quotePrefix="0" xfId="65">
      <alignment vertical="center"/>
    </xf>
    <xf numFmtId="164" fontId="15" fillId="0" borderId="0" applyAlignment="1" pivotButton="0" quotePrefix="0" xfId="56">
      <alignment vertical="center"/>
    </xf>
    <xf numFmtId="164" fontId="64" fillId="0" borderId="16" applyAlignment="1" pivotButton="0" quotePrefix="0" xfId="56">
      <alignment horizontal="left" vertical="center"/>
    </xf>
    <xf numFmtId="164" fontId="64" fillId="0" borderId="17" applyAlignment="1" pivotButton="0" quotePrefix="0" xfId="56">
      <alignment horizontal="center" vertical="center"/>
    </xf>
    <xf numFmtId="164" fontId="61" fillId="0" borderId="18" applyAlignment="1" pivotButton="0" quotePrefix="0" xfId="56">
      <alignment horizontal="right" vertical="center"/>
    </xf>
    <xf numFmtId="164" fontId="24" fillId="0" borderId="0" applyAlignment="1" pivotButton="0" quotePrefix="0" xfId="56">
      <alignment horizontal="right" vertical="center"/>
    </xf>
    <xf numFmtId="164" fontId="24" fillId="0" borderId="0" applyAlignment="1" pivotButton="0" quotePrefix="0" xfId="56">
      <alignment horizontal="right" vertical="center" wrapText="1"/>
    </xf>
    <xf numFmtId="164" fontId="70" fillId="0" borderId="0" applyAlignment="1" pivotButton="0" quotePrefix="0" xfId="56">
      <alignment horizontal="left" vertical="center"/>
    </xf>
    <xf numFmtId="43" fontId="1" fillId="0" borderId="0" applyAlignment="1" pivotButton="0" quotePrefix="0" xfId="65">
      <alignment vertical="center"/>
    </xf>
    <xf numFmtId="164" fontId="71" fillId="0" borderId="0" applyAlignment="1" pivotButton="0" quotePrefix="0" xfId="56">
      <alignment horizontal="left" vertical="center"/>
    </xf>
    <xf numFmtId="165" fontId="24" fillId="0" borderId="0" applyAlignment="1" pivotButton="0" quotePrefix="0" xfId="65">
      <alignment horizontal="right" vertical="center"/>
    </xf>
    <xf numFmtId="164" fontId="55" fillId="0" borderId="18" applyAlignment="1" pivotButton="0" quotePrefix="0" xfId="56">
      <alignment horizontal="left" vertical="center"/>
    </xf>
    <xf numFmtId="165" fontId="24" fillId="0" borderId="18" applyAlignment="1" pivotButton="0" quotePrefix="0" xfId="65">
      <alignment horizontal="right" vertical="center"/>
    </xf>
    <xf numFmtId="164" fontId="64" fillId="0" borderId="18" applyAlignment="1" pivotButton="0" quotePrefix="0" xfId="56">
      <alignment horizontal="left" vertical="center"/>
    </xf>
    <xf numFmtId="165" fontId="23" fillId="0" borderId="18" applyAlignment="1" pivotButton="0" quotePrefix="0" xfId="56">
      <alignment horizontal="right" vertical="center"/>
    </xf>
    <xf numFmtId="164" fontId="71" fillId="0" borderId="18" applyAlignment="1" pivotButton="0" quotePrefix="0" xfId="56">
      <alignment horizontal="left" vertical="center"/>
    </xf>
    <xf numFmtId="164" fontId="24" fillId="0" borderId="18" applyAlignment="1" pivotButton="0" quotePrefix="0" xfId="56">
      <alignment horizontal="right" vertical="center"/>
    </xf>
    <xf numFmtId="164" fontId="24" fillId="0" borderId="18" applyAlignment="1" pivotButton="0" quotePrefix="0" xfId="56">
      <alignment horizontal="right" vertical="center" wrapText="1"/>
    </xf>
    <xf numFmtId="165" fontId="23" fillId="0" borderId="18" applyAlignment="1" pivotButton="0" quotePrefix="0" xfId="65">
      <alignment horizontal="right" vertical="center"/>
    </xf>
    <xf numFmtId="164" fontId="2" fillId="0" borderId="20" applyAlignment="1" pivotButton="0" quotePrefix="0" xfId="56">
      <alignment horizontal="left" vertical="center"/>
    </xf>
    <xf numFmtId="164" fontId="61" fillId="0" borderId="17" applyAlignment="1" pivotButton="0" quotePrefix="0" xfId="56">
      <alignment horizontal="center" vertical="center"/>
    </xf>
    <xf numFmtId="164" fontId="62" fillId="0" borderId="0" applyAlignment="1" pivotButton="0" quotePrefix="0" xfId="56">
      <alignment horizontal="center" vertical="center"/>
    </xf>
    <xf numFmtId="164" fontId="63" fillId="0" borderId="0" applyAlignment="1" pivotButton="0" quotePrefix="0" xfId="56">
      <alignment horizontal="center"/>
    </xf>
    <xf numFmtId="0" fontId="0" fillId="0" borderId="21" pivotButton="0" quotePrefix="0" xfId="0"/>
    <xf numFmtId="165" fontId="23" fillId="0" borderId="16" applyAlignment="1" pivotButton="0" quotePrefix="0" xfId="65">
      <alignment horizontal="right" vertical="center"/>
    </xf>
    <xf numFmtId="164" fontId="72" fillId="0" borderId="0" applyAlignment="1" pivotButton="0" quotePrefix="0" xfId="56">
      <alignment horizontal="left" vertical="center"/>
    </xf>
    <xf numFmtId="164" fontId="73" fillId="0" borderId="0" applyAlignment="1" pivotButton="0" quotePrefix="0" xfId="56">
      <alignment horizontal="left" vertical="center"/>
    </xf>
    <xf numFmtId="164" fontId="74" fillId="0" borderId="16" applyAlignment="1" pivotButton="0" quotePrefix="0" xfId="56">
      <alignment horizontal="right" vertical="center"/>
    </xf>
    <xf numFmtId="164" fontId="64" fillId="0" borderId="16" applyAlignment="1" pivotButton="0" quotePrefix="0" xfId="56">
      <alignment horizontal="right" vertical="center"/>
    </xf>
    <xf numFmtId="165" fontId="24" fillId="0" borderId="17" applyAlignment="1" pivotButton="0" quotePrefix="0" xfId="65">
      <alignment horizontal="right" vertical="center"/>
    </xf>
    <xf numFmtId="164" fontId="16" fillId="0" borderId="18" applyAlignment="1" pivotButton="0" quotePrefix="0" xfId="56">
      <alignment vertical="center"/>
    </xf>
    <xf numFmtId="164" fontId="75" fillId="0" borderId="16" applyAlignment="1" pivotButton="0" quotePrefix="0" xfId="56">
      <alignment horizontal="center" vertical="center"/>
    </xf>
    <xf numFmtId="164" fontId="27" fillId="0" borderId="17" applyAlignment="1" pivotButton="0" quotePrefix="0" xfId="56">
      <alignment horizontal="center" vertical="center"/>
    </xf>
    <xf numFmtId="164" fontId="27" fillId="0" borderId="18" applyAlignment="1" pivotButton="0" quotePrefix="0" xfId="56">
      <alignment horizontal="center" vertical="center"/>
    </xf>
    <xf numFmtId="165" fontId="53" fillId="0" borderId="0" applyAlignment="1" pivotButton="0" quotePrefix="0" xfId="56">
      <alignment vertical="center"/>
    </xf>
    <xf numFmtId="165" fontId="3" fillId="0" borderId="0" applyAlignment="1" pivotButton="0" quotePrefix="0" xfId="56">
      <alignment vertical="center"/>
    </xf>
    <xf numFmtId="165" fontId="2" fillId="0" borderId="0" applyAlignment="1" pivotButton="0" quotePrefix="0" xfId="56">
      <alignment vertical="center"/>
    </xf>
    <xf numFmtId="165" fontId="54" fillId="0" borderId="0" applyAlignment="1" pivotButton="0" quotePrefix="0" xfId="66">
      <alignment horizontal="center" vertical="center"/>
    </xf>
    <xf numFmtId="165" fontId="55" fillId="0" borderId="0" applyAlignment="1" pivotButton="0" quotePrefix="0" xfId="56">
      <alignment horizontal="justify" vertical="center"/>
    </xf>
    <xf numFmtId="165" fontId="56" fillId="0" borderId="16" applyAlignment="1" pivotButton="0" quotePrefix="0" xfId="56">
      <alignment horizontal="justify" vertical="center" wrapText="1"/>
    </xf>
    <xf numFmtId="165" fontId="56" fillId="0" borderId="17" applyAlignment="1" pivotButton="0" quotePrefix="0" xfId="56">
      <alignment horizontal="center" vertical="center" wrapText="1"/>
    </xf>
    <xf numFmtId="165" fontId="56" fillId="0" borderId="18" applyAlignment="1" pivotButton="0" quotePrefix="0" xfId="56">
      <alignment horizontal="right" vertical="center" wrapText="1"/>
    </xf>
    <xf numFmtId="165" fontId="57" fillId="0" borderId="0" applyAlignment="1" pivotButton="0" quotePrefix="0" xfId="56">
      <alignment horizontal="justify" vertical="center" wrapText="1"/>
    </xf>
    <xf numFmtId="165" fontId="57" fillId="0" borderId="0" applyAlignment="1" pivotButton="0" quotePrefix="0" xfId="56">
      <alignment horizontal="right" vertical="center" wrapText="1"/>
    </xf>
    <xf numFmtId="165" fontId="56" fillId="0" borderId="19" applyAlignment="1" pivotButton="0" quotePrefix="0" xfId="56">
      <alignment horizontal="justify" vertical="center" wrapText="1"/>
    </xf>
    <xf numFmtId="165" fontId="56" fillId="0" borderId="19" applyAlignment="1" pivotButton="0" quotePrefix="0" xfId="56">
      <alignment horizontal="right" vertical="center" wrapText="1"/>
    </xf>
    <xf numFmtId="165" fontId="58" fillId="0" borderId="0" applyAlignment="1" pivotButton="0" quotePrefix="0" xfId="56">
      <alignment horizontal="left" vertical="center"/>
    </xf>
    <xf numFmtId="165" fontId="55" fillId="0" borderId="0" applyAlignment="1" pivotButton="0" quotePrefix="0" xfId="56">
      <alignment horizontal="left" vertical="center"/>
    </xf>
    <xf numFmtId="165" fontId="56" fillId="0" borderId="16" applyAlignment="1" pivotButton="0" quotePrefix="0" xfId="56">
      <alignment horizontal="justify" vertical="center"/>
    </xf>
    <xf numFmtId="165" fontId="56" fillId="0" borderId="17" applyAlignment="1" pivotButton="0" quotePrefix="0" xfId="56">
      <alignment horizontal="center" vertical="center"/>
    </xf>
    <xf numFmtId="165" fontId="59" fillId="0" borderId="18" applyAlignment="1" pivotButton="0" quotePrefix="0" xfId="56">
      <alignment horizontal="right" vertical="center"/>
    </xf>
    <xf numFmtId="165" fontId="59" fillId="0" borderId="18" applyAlignment="1" pivotButton="0" quotePrefix="0" xfId="56">
      <alignment horizontal="right" vertical="center" wrapText="1"/>
    </xf>
    <xf numFmtId="165" fontId="57" fillId="0" borderId="0" applyAlignment="1" pivotButton="0" quotePrefix="0" xfId="56">
      <alignment horizontal="justify" vertical="center"/>
    </xf>
    <xf numFmtId="165" fontId="57" fillId="0" borderId="0" applyAlignment="1" pivotButton="0" quotePrefix="0" xfId="56">
      <alignment horizontal="right" vertical="center"/>
    </xf>
    <xf numFmtId="165" fontId="60" fillId="0" borderId="0" applyAlignment="1" pivotButton="0" quotePrefix="0" xfId="56">
      <alignment horizontal="justify" vertical="center"/>
    </xf>
    <xf numFmtId="165" fontId="57" fillId="0" borderId="18" applyAlignment="1" pivotButton="0" quotePrefix="0" xfId="56">
      <alignment horizontal="justify" vertical="center"/>
    </xf>
    <xf numFmtId="165" fontId="57" fillId="0" borderId="18" applyAlignment="1" pivotButton="0" quotePrefix="0" xfId="56">
      <alignment horizontal="right" vertical="center"/>
    </xf>
    <xf numFmtId="165" fontId="56" fillId="0" borderId="18" applyAlignment="1" pivotButton="0" quotePrefix="0" xfId="56">
      <alignment horizontal="justify" vertical="center"/>
    </xf>
    <xf numFmtId="165" fontId="56" fillId="0" borderId="18" applyAlignment="1" pivotButton="0" quotePrefix="0" xfId="56">
      <alignment horizontal="right" vertical="center"/>
    </xf>
    <xf numFmtId="165" fontId="60" fillId="0" borderId="18" applyAlignment="1" pivotButton="0" quotePrefix="0" xfId="56">
      <alignment horizontal="justify" vertical="center"/>
    </xf>
    <xf numFmtId="165" fontId="57" fillId="0" borderId="18" applyAlignment="1" pivotButton="0" quotePrefix="0" xfId="56">
      <alignment horizontal="right" vertical="center" wrapText="1"/>
    </xf>
    <xf numFmtId="165" fontId="65" fillId="0" borderId="0" applyAlignment="1" pivotButton="0" quotePrefix="0" xfId="56">
      <alignment horizontal="left" vertical="center"/>
    </xf>
    <xf numFmtId="165" fontId="56" fillId="0" borderId="16" applyAlignment="1" pivotButton="0" quotePrefix="0" xfId="56">
      <alignment horizontal="left" vertical="center"/>
    </xf>
    <xf numFmtId="165" fontId="66" fillId="0" borderId="16" applyAlignment="1" pivotButton="0" quotePrefix="0" xfId="56">
      <alignment horizontal="right" vertical="center"/>
    </xf>
    <xf numFmtId="165" fontId="56" fillId="0" borderId="16" applyAlignment="1" pivotButton="0" quotePrefix="0" xfId="56">
      <alignment horizontal="right" vertical="center"/>
    </xf>
    <xf numFmtId="165" fontId="57" fillId="0" borderId="0" applyAlignment="1" pivotButton="0" quotePrefix="0" xfId="56">
      <alignment horizontal="left" vertical="center"/>
    </xf>
    <xf numFmtId="165" fontId="57" fillId="0" borderId="18" applyAlignment="1" pivotButton="0" quotePrefix="0" xfId="56">
      <alignment horizontal="left" vertical="center"/>
    </xf>
    <xf numFmtId="164" fontId="1" fillId="0" borderId="0" applyAlignment="1" applyProtection="1" pivotButton="0" quotePrefix="0" xfId="0">
      <alignment vertical="center"/>
      <protection locked="0" hidden="0"/>
    </xf>
    <xf numFmtId="164" fontId="1" fillId="0" borderId="0" applyAlignment="1" pivotButton="0" quotePrefix="0" xfId="67">
      <alignment vertical="center"/>
    </xf>
    <xf numFmtId="164" fontId="2" fillId="0" borderId="0" applyAlignment="1" pivotButton="0" quotePrefix="0" xfId="67">
      <alignment horizontal="center" vertical="center"/>
    </xf>
    <xf numFmtId="164" fontId="4" fillId="0" borderId="0" applyAlignment="1" pivotButton="0" quotePrefix="0" xfId="67">
      <alignment horizontal="center" vertical="center"/>
    </xf>
    <xf numFmtId="164" fontId="1" fillId="0" borderId="0" applyAlignment="1" applyProtection="1" pivotButton="0" quotePrefix="0" xfId="0">
      <alignment horizontal="right" vertical="center"/>
      <protection locked="0" hidden="0"/>
    </xf>
    <xf numFmtId="164" fontId="3" fillId="0" borderId="0" applyAlignment="1" applyProtection="1" pivotButton="0" quotePrefix="0" xfId="0">
      <alignment vertical="center"/>
      <protection locked="0" hidden="0"/>
    </xf>
    <xf numFmtId="164" fontId="10" fillId="2" borderId="8" applyAlignment="1" applyProtection="1" pivotButton="0" quotePrefix="0" xfId="0">
      <alignment horizontal="center" vertical="center" wrapText="1"/>
      <protection locked="0" hidden="0"/>
    </xf>
    <xf numFmtId="164" fontId="3" fillId="2" borderId="7" applyAlignment="1" pivotButton="0" quotePrefix="0" xfId="1">
      <alignment horizontal="center" vertical="center" wrapText="1"/>
    </xf>
    <xf numFmtId="164" fontId="3" fillId="2" borderId="7" applyAlignment="1" pivotButton="0" quotePrefix="0" xfId="1">
      <alignment horizontal="center" vertical="center"/>
    </xf>
    <xf numFmtId="164" fontId="3" fillId="2" borderId="7" applyAlignment="1" pivotButton="0" quotePrefix="0" xfId="3">
      <alignment horizontal="center" vertical="center"/>
    </xf>
    <xf numFmtId="164" fontId="3" fillId="2" borderId="7" applyAlignment="1" applyProtection="1" pivotButton="0" quotePrefix="0" xfId="0">
      <alignment horizontal="center" vertical="center"/>
      <protection locked="0" hidden="0"/>
    </xf>
    <xf numFmtId="164" fontId="1" fillId="0" borderId="8" applyAlignment="1" applyProtection="1" pivotButton="0" quotePrefix="0" xfId="0">
      <alignment vertical="center"/>
      <protection locked="0" hidden="0"/>
    </xf>
    <xf numFmtId="165" fontId="11" fillId="0" borderId="8" applyAlignment="1" pivotButton="0" quotePrefix="0" xfId="59">
      <alignment horizontal="right" vertical="center"/>
    </xf>
    <xf numFmtId="165" fontId="11" fillId="2" borderId="8" applyAlignment="1" pivotButton="0" quotePrefix="0" xfId="59">
      <alignment horizontal="right" vertical="center"/>
    </xf>
    <xf numFmtId="165" fontId="10" fillId="0" borderId="8" applyAlignment="1" pivotButton="0" quotePrefix="0" xfId="59">
      <alignment horizontal="right" vertical="center"/>
    </xf>
    <xf numFmtId="165" fontId="10" fillId="2" borderId="8" applyAlignment="1" pivotButton="0" quotePrefix="0" xfId="59">
      <alignment horizontal="right" vertical="center"/>
    </xf>
    <xf numFmtId="164" fontId="1" fillId="0" borderId="8" applyAlignment="1" pivotButton="0" quotePrefix="0" xfId="1">
      <alignment horizontal="center" vertical="center"/>
    </xf>
    <xf numFmtId="164" fontId="1" fillId="0" borderId="8" applyAlignment="1" applyProtection="1" pivotButton="0" quotePrefix="0" xfId="0">
      <alignment horizontal="center" vertical="center"/>
      <protection locked="0" hidden="0"/>
    </xf>
    <xf numFmtId="164" fontId="1" fillId="0" borderId="7" applyAlignment="1" applyProtection="1" pivotButton="0" quotePrefix="0" xfId="0">
      <alignment horizontal="center" vertical="center"/>
      <protection locked="0" hidden="0"/>
    </xf>
    <xf numFmtId="164" fontId="1" fillId="0" borderId="9" applyAlignment="1" applyProtection="1" pivotButton="0" quotePrefix="0" xfId="0">
      <alignment horizontal="center" vertical="center"/>
      <protection locked="0" hidden="0"/>
    </xf>
    <xf numFmtId="164" fontId="3" fillId="2" borderId="8" applyAlignment="1" pivotButton="0" quotePrefix="0" xfId="1">
      <alignment horizontal="center" vertical="center"/>
    </xf>
    <xf numFmtId="164" fontId="3" fillId="2" borderId="15" applyAlignment="1" applyProtection="1" pivotButton="0" quotePrefix="0" xfId="0">
      <alignment horizontal="center" vertical="center"/>
      <protection locked="0" hidden="0"/>
    </xf>
    <xf numFmtId="164" fontId="10" fillId="0" borderId="8" applyAlignment="1" pivotButton="0" quotePrefix="0" xfId="68">
      <alignment horizontal="right" vertical="center"/>
    </xf>
    <xf numFmtId="164" fontId="1" fillId="0" borderId="8" applyAlignment="1" pivotButton="0" quotePrefix="0" xfId="3">
      <alignment horizontal="center" vertical="center"/>
    </xf>
    <xf numFmtId="164" fontId="8" fillId="0" borderId="0" applyAlignment="1" applyProtection="1" pivotButton="0" quotePrefix="0" xfId="0">
      <alignment vertical="center"/>
      <protection locked="0" hidden="0"/>
    </xf>
    <xf numFmtId="164" fontId="1" fillId="0" borderId="0" applyAlignment="1" applyProtection="1" pivotButton="0" quotePrefix="0" xfId="72">
      <alignment vertical="center"/>
      <protection locked="0" hidden="0"/>
    </xf>
    <xf numFmtId="164" fontId="1" fillId="0" borderId="0" applyAlignment="1" pivotButton="0" quotePrefix="0" xfId="71">
      <alignment vertical="center"/>
    </xf>
    <xf numFmtId="164" fontId="3" fillId="0" borderId="0" applyAlignment="1" pivotButton="0" quotePrefix="0" xfId="71">
      <alignment horizontal="center" vertical="center"/>
    </xf>
    <xf numFmtId="164" fontId="3" fillId="0" borderId="0" applyAlignment="1" applyProtection="1" pivotButton="0" quotePrefix="0" xfId="72">
      <alignment horizontal="center" vertical="center"/>
      <protection locked="0" hidden="0"/>
    </xf>
    <xf numFmtId="164" fontId="3" fillId="2" borderId="8" applyAlignment="1" applyProtection="1" pivotButton="0" quotePrefix="0" xfId="72">
      <alignment horizontal="center" vertical="center"/>
      <protection locked="0" hidden="0"/>
    </xf>
    <xf numFmtId="164" fontId="3" fillId="2" borderId="8" applyAlignment="1" applyProtection="1" pivotButton="0" quotePrefix="0" xfId="72">
      <alignment horizontal="centerContinuous" vertical="center"/>
      <protection locked="0" hidden="0"/>
    </xf>
    <xf numFmtId="164" fontId="1" fillId="0" borderId="8" applyAlignment="1" pivotButton="0" quotePrefix="0" xfId="73">
      <alignment horizontal="left" vertical="center" wrapText="1"/>
    </xf>
    <xf numFmtId="165" fontId="11" fillId="0" borderId="8" applyAlignment="1" pivotButton="0" quotePrefix="0" xfId="73">
      <alignment horizontal="left" vertical="center" wrapText="1"/>
    </xf>
    <xf numFmtId="165" fontId="11" fillId="2" borderId="8" applyAlignment="1" pivotButton="0" quotePrefix="0" xfId="60">
      <alignment vertical="center"/>
    </xf>
    <xf numFmtId="165" fontId="11" fillId="2" borderId="8" applyAlignment="1" pivotButton="0" quotePrefix="0" xfId="74">
      <alignment horizontal="right" vertical="center"/>
    </xf>
    <xf numFmtId="164" fontId="1" fillId="0" borderId="8" applyAlignment="1" pivotButton="0" quotePrefix="0" xfId="60">
      <alignment vertical="center"/>
    </xf>
    <xf numFmtId="165" fontId="11" fillId="0" borderId="8" applyAlignment="1" pivotButton="0" quotePrefix="0" xfId="74">
      <alignment horizontal="center" vertical="center"/>
    </xf>
    <xf numFmtId="164" fontId="1" fillId="0" borderId="8" applyAlignment="1" applyProtection="1" pivotButton="0" quotePrefix="0" xfId="72">
      <alignment horizontal="center" vertical="center"/>
      <protection locked="0" hidden="0"/>
    </xf>
    <xf numFmtId="165" fontId="10" fillId="2" borderId="8" applyAlignment="1" pivotButton="0" quotePrefix="0" xfId="60">
      <alignment vertical="center"/>
    </xf>
    <xf numFmtId="165" fontId="10" fillId="2" borderId="8" applyAlignment="1" pivotButton="0" quotePrefix="0" xfId="74">
      <alignment horizontal="right" vertical="center"/>
    </xf>
    <xf numFmtId="164" fontId="3" fillId="0" borderId="8" applyAlignment="1" pivotButton="0" quotePrefix="0" xfId="60">
      <alignment vertical="center"/>
    </xf>
    <xf numFmtId="164" fontId="8" fillId="0" borderId="0" applyAlignment="1" applyProtection="1" pivotButton="0" quotePrefix="0" xfId="72">
      <alignment vertical="center"/>
      <protection locked="0" hidden="0"/>
    </xf>
    <xf numFmtId="164" fontId="44" fillId="0" borderId="0" applyAlignment="1" applyProtection="1" pivotButton="0" quotePrefix="0" xfId="72">
      <alignment vertical="center"/>
      <protection locked="0" hidden="0"/>
    </xf>
    <xf numFmtId="164" fontId="2" fillId="0" borderId="0" applyAlignment="1" pivotButton="0" quotePrefix="0" xfId="58">
      <alignment horizontal="center" vertical="center"/>
    </xf>
    <xf numFmtId="164" fontId="4" fillId="0" borderId="0" applyAlignment="1" pivotButton="0" quotePrefix="0" xfId="58">
      <alignment horizontal="center" vertical="center"/>
    </xf>
    <xf numFmtId="164" fontId="1" fillId="0" borderId="0" applyAlignment="1" pivotButton="0" quotePrefix="0" xfId="58">
      <alignment vertical="center"/>
    </xf>
    <xf numFmtId="164" fontId="1" fillId="0" borderId="0" applyAlignment="1" pivotButton="0" quotePrefix="0" xfId="58">
      <alignment horizontal="left" vertical="center"/>
    </xf>
    <xf numFmtId="164" fontId="1" fillId="0" borderId="0" applyAlignment="1" pivotButton="0" quotePrefix="0" xfId="58">
      <alignment horizontal="right" vertical="center"/>
    </xf>
    <xf numFmtId="164" fontId="13" fillId="2" borderId="8" applyAlignment="1" pivotButton="0" quotePrefix="0" xfId="76">
      <alignment horizontal="center" vertical="center"/>
    </xf>
    <xf numFmtId="164" fontId="13" fillId="2" borderId="8" applyAlignment="1" pivotButton="0" quotePrefix="0" xfId="76">
      <alignment horizontal="center" vertical="center" wrapText="1"/>
    </xf>
    <xf numFmtId="164" fontId="3" fillId="2" borderId="8" applyAlignment="1" pivotButton="0" quotePrefix="0" xfId="76">
      <alignment horizontal="center" vertical="center" wrapText="1"/>
    </xf>
    <xf numFmtId="164" fontId="3" fillId="2" borderId="8" applyAlignment="1" applyProtection="1" pivotButton="0" quotePrefix="0" xfId="77">
      <alignment horizontal="center" vertical="center" wrapText="1"/>
      <protection locked="0" hidden="0"/>
    </xf>
    <xf numFmtId="164" fontId="51" fillId="2" borderId="8" applyAlignment="1" applyProtection="1" pivotButton="0" quotePrefix="0" xfId="77">
      <alignment horizontal="center" vertical="center" wrapText="1"/>
      <protection locked="0" hidden="0"/>
    </xf>
    <xf numFmtId="165" fontId="26" fillId="0" borderId="8" applyAlignment="1" pivotButton="0" quotePrefix="0" xfId="1">
      <alignment vertical="center"/>
    </xf>
    <xf numFmtId="164" fontId="8" fillId="0" borderId="0" applyAlignment="1" applyProtection="1" pivotButton="0" quotePrefix="0" xfId="76">
      <alignment vertical="center"/>
      <protection locked="0" hidden="0"/>
    </xf>
    <xf numFmtId="164" fontId="1" fillId="0" borderId="0" applyAlignment="1" applyProtection="1" pivotButton="0" quotePrefix="0" xfId="76">
      <alignment vertical="center" wrapText="1"/>
      <protection locked="0" hidden="0"/>
    </xf>
    <xf numFmtId="164" fontId="7" fillId="0" borderId="0" applyAlignment="1" applyProtection="1" pivotButton="0" quotePrefix="0" xfId="76">
      <alignment vertical="center"/>
      <protection locked="0" hidden="0"/>
    </xf>
    <xf numFmtId="165" fontId="1" fillId="5" borderId="0" applyAlignment="1" pivotButton="0" quotePrefix="0" xfId="58">
      <alignment vertical="center"/>
    </xf>
    <xf numFmtId="165" fontId="2" fillId="5" borderId="0" applyAlignment="1" pivotButton="0" quotePrefix="0" xfId="58">
      <alignment horizontal="center" vertical="center"/>
    </xf>
    <xf numFmtId="165" fontId="4" fillId="5" borderId="0" applyAlignment="1" pivotButton="0" quotePrefix="0" xfId="58">
      <alignment horizontal="center" vertical="center"/>
    </xf>
    <xf numFmtId="165" fontId="1" fillId="5" borderId="0" applyAlignment="1" pivotButton="0" quotePrefix="0" xfId="58">
      <alignment horizontal="right" vertical="center"/>
    </xf>
    <xf numFmtId="165" fontId="32" fillId="5" borderId="0" applyAlignment="1" pivotButton="0" quotePrefix="0" xfId="58">
      <alignment horizontal="left" vertical="center"/>
    </xf>
    <xf numFmtId="165" fontId="8" fillId="5" borderId="0" applyAlignment="1" pivotButton="0" quotePrefix="0" xfId="58">
      <alignment vertical="center"/>
    </xf>
    <xf numFmtId="164" fontId="1" fillId="0" borderId="0" applyAlignment="1" applyProtection="1" pivotButton="0" quotePrefix="0" xfId="81">
      <alignment vertical="center"/>
      <protection locked="0" hidden="0"/>
    </xf>
    <xf numFmtId="164" fontId="1" fillId="0" borderId="0" applyAlignment="1" pivotButton="0" quotePrefix="0" xfId="53">
      <alignment vertical="center"/>
    </xf>
    <xf numFmtId="164" fontId="1" fillId="0" borderId="0" applyAlignment="1" applyProtection="1" pivotButton="0" quotePrefix="0" xfId="81">
      <alignment horizontal="right" vertical="center"/>
      <protection locked="0" hidden="0"/>
    </xf>
    <xf numFmtId="164" fontId="32" fillId="0" borderId="0" applyAlignment="1" applyProtection="1" pivotButton="0" quotePrefix="0" xfId="6">
      <alignment horizontal="left" vertical="center"/>
      <protection locked="0" hidden="0"/>
    </xf>
    <xf numFmtId="164" fontId="3" fillId="0" borderId="0" applyAlignment="1" applyProtection="1" pivotButton="0" quotePrefix="0" xfId="81">
      <alignment horizontal="center" vertical="center"/>
      <protection locked="0" hidden="0"/>
    </xf>
    <xf numFmtId="164" fontId="3" fillId="2" borderId="8" applyAlignment="1" applyProtection="1" pivotButton="0" quotePrefix="0" xfId="81">
      <alignment horizontal="center" vertical="center"/>
      <protection locked="0" hidden="0"/>
    </xf>
    <xf numFmtId="164" fontId="3" fillId="2" borderId="8" applyAlignment="1" applyProtection="1" pivotButton="0" quotePrefix="0" xfId="81">
      <alignment horizontal="center" vertical="center" wrapText="1"/>
      <protection locked="0" hidden="0"/>
    </xf>
    <xf numFmtId="165" fontId="3" fillId="2" borderId="8" applyAlignment="1" pivotButton="0" quotePrefix="0" xfId="59">
      <alignment horizontal="center" vertical="center" wrapText="1"/>
    </xf>
    <xf numFmtId="164" fontId="6" fillId="0" borderId="0" applyAlignment="1" pivotButton="0" quotePrefix="0" xfId="82">
      <alignment vertical="center"/>
    </xf>
    <xf numFmtId="164" fontId="3" fillId="2" borderId="8" applyAlignment="1" applyProtection="1" pivotButton="0" quotePrefix="1" xfId="81">
      <alignment horizontal="center" vertical="center" wrapText="1"/>
      <protection locked="0" hidden="0"/>
    </xf>
    <xf numFmtId="164" fontId="1" fillId="0" borderId="7" applyAlignment="1" applyProtection="1" pivotButton="0" quotePrefix="0" xfId="81">
      <alignment vertical="center"/>
      <protection locked="0" hidden="0"/>
    </xf>
    <xf numFmtId="165" fontId="1" fillId="0" borderId="8" applyAlignment="1" pivotButton="0" quotePrefix="0" xfId="59">
      <alignment horizontal="right" vertical="center"/>
    </xf>
    <xf numFmtId="164" fontId="1" fillId="0" borderId="8" applyAlignment="1" applyProtection="1" pivotButton="0" quotePrefix="0" xfId="81">
      <alignment vertical="center"/>
      <protection locked="0" hidden="0"/>
    </xf>
    <xf numFmtId="164" fontId="1" fillId="0" borderId="9" applyAlignment="1" applyProtection="1" pivotButton="0" quotePrefix="0" xfId="81">
      <alignment vertical="center"/>
      <protection locked="0" hidden="0"/>
    </xf>
    <xf numFmtId="165" fontId="11" fillId="2" borderId="8" applyAlignment="1" pivotButton="0" quotePrefix="0" xfId="85">
      <alignment horizontal="right" vertical="center" wrapText="1"/>
    </xf>
    <xf numFmtId="0" fontId="0" fillId="0" borderId="2" pivotButton="0" quotePrefix="0" xfId="0"/>
    <xf numFmtId="0" fontId="0" fillId="0" borderId="9" pivotButton="0" quotePrefix="0" xfId="0"/>
    <xf numFmtId="165" fontId="11" fillId="0" borderId="7" applyAlignment="1" pivotButton="0" quotePrefix="0" xfId="85">
      <alignment horizontal="right" vertical="center" wrapText="1"/>
    </xf>
    <xf numFmtId="165" fontId="11" fillId="2" borderId="7" applyAlignment="1" pivotButton="0" quotePrefix="0" xfId="85">
      <alignment horizontal="right" vertical="center" wrapText="1"/>
    </xf>
    <xf numFmtId="165" fontId="11" fillId="0" borderId="8" applyAlignment="1" pivotButton="0" quotePrefix="0" xfId="59">
      <alignment horizontal="right" vertical="center" wrapText="1"/>
    </xf>
    <xf numFmtId="165" fontId="11" fillId="2" borderId="8" applyAlignment="1" pivotButton="0" quotePrefix="0" xfId="59">
      <alignment horizontal="right" vertical="center" wrapText="1"/>
    </xf>
    <xf numFmtId="165" fontId="10" fillId="2" borderId="8" applyAlignment="1" pivotButton="0" quotePrefix="0" xfId="59">
      <alignment horizontal="right" vertical="center" wrapText="1"/>
    </xf>
    <xf numFmtId="165" fontId="10" fillId="2" borderId="8" applyAlignment="1" pivotButton="0" quotePrefix="0" xfId="85">
      <alignment horizontal="right" vertical="center" wrapText="1"/>
    </xf>
    <xf numFmtId="164" fontId="15" fillId="0" borderId="0" applyAlignment="1" pivotButton="0" quotePrefix="0" xfId="50">
      <alignment vertical="center"/>
    </xf>
    <xf numFmtId="164" fontId="5" fillId="0" borderId="0" applyAlignment="1" applyProtection="1" pivotButton="0" quotePrefix="0" xfId="6">
      <alignment vertical="center"/>
      <protection locked="0" hidden="0"/>
    </xf>
    <xf numFmtId="0" fontId="3" fillId="2" borderId="8" applyAlignment="1" applyProtection="1" pivotButton="0" quotePrefix="0" xfId="83">
      <alignment horizontal="center" vertical="center"/>
      <protection locked="0" hidden="0"/>
    </xf>
    <xf numFmtId="0" fontId="0" fillId="0" borderId="13" applyProtection="1" pivotButton="0" quotePrefix="0" xfId="0">
      <protection locked="0" hidden="0"/>
    </xf>
    <xf numFmtId="164" fontId="3" fillId="2" borderId="8" applyAlignment="1" pivotButton="0" quotePrefix="0" xfId="88">
      <alignment horizontal="center" vertical="center" wrapText="1"/>
    </xf>
    <xf numFmtId="165" fontId="11" fillId="0" borderId="8" applyAlignment="1" pivotButton="0" quotePrefix="0" xfId="88">
      <alignment horizontal="center" vertical="center" wrapText="1"/>
    </xf>
    <xf numFmtId="165" fontId="11" fillId="0" borderId="8" applyAlignment="1" pivotButton="0" quotePrefix="0" xfId="59">
      <alignment vertical="center" wrapText="1"/>
    </xf>
    <xf numFmtId="165" fontId="11" fillId="2" borderId="8" applyAlignment="1" pivotButton="0" quotePrefix="0" xfId="59">
      <alignment vertical="center" wrapText="1"/>
    </xf>
    <xf numFmtId="165" fontId="10" fillId="2" borderId="8" applyAlignment="1" pivotButton="0" quotePrefix="0" xfId="59">
      <alignment horizontal="center" vertical="center" wrapText="1"/>
    </xf>
    <xf numFmtId="164" fontId="3" fillId="0" borderId="8" applyAlignment="1" applyProtection="1" pivotButton="0" quotePrefix="0" xfId="81">
      <alignment horizontal="left" vertical="center"/>
      <protection locked="0" hidden="0"/>
    </xf>
    <xf numFmtId="165" fontId="10" fillId="0" borderId="8" applyAlignment="1" applyProtection="1" pivotButton="0" quotePrefix="0" xfId="81">
      <alignment horizontal="center" vertical="center" wrapText="1"/>
      <protection locked="0" hidden="0"/>
    </xf>
    <xf numFmtId="165" fontId="11" fillId="0" borderId="8" applyAlignment="1" applyProtection="1" pivotButton="0" quotePrefix="0" xfId="81">
      <alignment vertical="center"/>
      <protection locked="0" hidden="0"/>
    </xf>
    <xf numFmtId="165" fontId="10" fillId="0" borderId="8" applyAlignment="1" applyProtection="1" pivotButton="0" quotePrefix="0" xfId="81">
      <alignment horizontal="center" vertical="center"/>
      <protection locked="0" hidden="0"/>
    </xf>
    <xf numFmtId="165" fontId="26" fillId="0" borderId="8" applyAlignment="1" pivotButton="0" quotePrefix="0" xfId="59">
      <alignment vertical="center"/>
    </xf>
    <xf numFmtId="165" fontId="29" fillId="2" borderId="8" applyAlignment="1" pivotButton="0" quotePrefix="0" xfId="59">
      <alignment vertical="center" shrinkToFit="1"/>
    </xf>
    <xf numFmtId="165" fontId="29" fillId="2" borderId="8" applyAlignment="1" pivotButton="0" quotePrefix="0" xfId="59">
      <alignment vertical="center"/>
    </xf>
    <xf numFmtId="165" fontId="7" fillId="2" borderId="0" applyAlignment="1" pivotButton="0" quotePrefix="0" xfId="68">
      <alignment horizontal="right" vertical="center" shrinkToFit="1"/>
    </xf>
    <xf numFmtId="165" fontId="26" fillId="2" borderId="0" applyAlignment="1" pivotButton="0" quotePrefix="0" xfId="68">
      <alignment horizontal="right" vertical="center" shrinkToFit="1"/>
    </xf>
    <xf numFmtId="165" fontId="7" fillId="0" borderId="8" applyAlignment="1" pivotButton="0" quotePrefix="0" xfId="59">
      <alignment vertical="center"/>
    </xf>
    <xf numFmtId="164" fontId="6" fillId="0" borderId="0" applyAlignment="1" pivotButton="0" quotePrefix="0" xfId="81">
      <alignment vertical="center"/>
    </xf>
    <xf numFmtId="164" fontId="7" fillId="0" borderId="0" applyAlignment="1" pivotButton="0" quotePrefix="0" xfId="81">
      <alignment vertical="center"/>
    </xf>
    <xf numFmtId="164" fontId="47" fillId="0" borderId="0" pivotButton="0" quotePrefix="0" xfId="91"/>
    <xf numFmtId="164" fontId="48" fillId="0" borderId="0" applyAlignment="1" applyProtection="1" pivotButton="0" quotePrefix="0" xfId="93">
      <alignment vertical="center"/>
      <protection locked="0" hidden="0"/>
    </xf>
    <xf numFmtId="165" fontId="26" fillId="0" borderId="8" applyAlignment="1" pivotButton="0" quotePrefix="0" xfId="92">
      <alignment vertical="center"/>
    </xf>
    <xf numFmtId="171" fontId="26" fillId="0" borderId="8" applyAlignment="1" pivotButton="0" quotePrefix="0" xfId="92">
      <alignment vertical="center"/>
    </xf>
    <xf numFmtId="165" fontId="26" fillId="2" borderId="8" applyAlignment="1" pivotButton="0" quotePrefix="0" xfId="92">
      <alignment vertical="center" shrinkToFit="1"/>
    </xf>
    <xf numFmtId="165" fontId="26" fillId="0" borderId="8" applyAlignment="1" pivotButton="0" quotePrefix="0" xfId="92">
      <alignment vertical="center" shrinkToFit="1"/>
    </xf>
    <xf numFmtId="164" fontId="7" fillId="0" borderId="0" applyAlignment="1" pivotButton="0" quotePrefix="0" xfId="81">
      <alignment horizontal="center" vertical="center"/>
    </xf>
    <xf numFmtId="164" fontId="13" fillId="0" borderId="0" applyAlignment="1" pivotButton="0" quotePrefix="0" xfId="81">
      <alignment vertical="center"/>
    </xf>
    <xf numFmtId="165" fontId="11" fillId="0" borderId="8" applyAlignment="1" pivotButton="0" quotePrefix="0" xfId="92">
      <alignment horizontal="center" vertical="center"/>
    </xf>
    <xf numFmtId="171" fontId="11" fillId="0" borderId="8" applyAlignment="1" pivotButton="0" quotePrefix="0" xfId="83">
      <alignment horizontal="center" vertical="center"/>
    </xf>
    <xf numFmtId="165" fontId="7" fillId="0" borderId="8" applyAlignment="1" pivotButton="0" quotePrefix="0" xfId="92">
      <alignment vertical="center" shrinkToFit="1"/>
    </xf>
    <xf numFmtId="165" fontId="1" fillId="0" borderId="8" applyAlignment="1" pivotButton="0" quotePrefix="0" xfId="83">
      <alignment horizontal="center" vertical="center"/>
    </xf>
    <xf numFmtId="164" fontId="1" fillId="0" borderId="0" applyAlignment="1" pivotButton="0" quotePrefix="0" xfId="94">
      <alignment horizontal="center" vertical="center" wrapText="1"/>
    </xf>
    <xf numFmtId="164" fontId="1" fillId="0" borderId="0" applyAlignment="1" pivotButton="0" quotePrefix="0" xfId="94">
      <alignment vertical="center" wrapText="1"/>
    </xf>
    <xf numFmtId="170" fontId="1" fillId="0" borderId="0" applyAlignment="1" pivotButton="0" quotePrefix="0" xfId="94">
      <alignment vertical="center" wrapText="1"/>
    </xf>
    <xf numFmtId="164" fontId="3" fillId="0" borderId="0" applyAlignment="1" applyProtection="1" pivotButton="0" quotePrefix="0" xfId="80">
      <alignment vertical="center"/>
      <protection locked="0" hidden="0"/>
    </xf>
    <xf numFmtId="164" fontId="2" fillId="0" borderId="0" applyAlignment="1" applyProtection="1" pivotButton="0" quotePrefix="0" xfId="80">
      <alignment horizontal="center" vertical="center"/>
      <protection locked="0" hidden="0"/>
    </xf>
    <xf numFmtId="164" fontId="4" fillId="0" borderId="0" applyAlignment="1" pivotButton="0" quotePrefix="0" xfId="94">
      <alignment horizontal="center" vertical="center" wrapText="1"/>
    </xf>
    <xf numFmtId="164" fontId="1" fillId="0" borderId="0" applyAlignment="1" pivotButton="0" quotePrefix="0" xfId="94">
      <alignment vertical="center"/>
    </xf>
    <xf numFmtId="164" fontId="5" fillId="0" borderId="0" applyAlignment="1" pivotButton="0" quotePrefix="0" xfId="94">
      <alignment horizontal="center" vertical="center"/>
    </xf>
    <xf numFmtId="164" fontId="1" fillId="0" borderId="0" applyAlignment="1" pivotButton="0" quotePrefix="0" xfId="94">
      <alignment horizontal="right" vertical="center"/>
    </xf>
    <xf numFmtId="164" fontId="5" fillId="0" borderId="0" applyAlignment="1" pivotButton="0" quotePrefix="0" xfId="94">
      <alignment horizontal="left" vertical="center"/>
    </xf>
    <xf numFmtId="164" fontId="1" fillId="2" borderId="8" applyAlignment="1" pivotButton="0" quotePrefix="0" xfId="94">
      <alignment horizontal="left" vertical="center" wrapText="1"/>
    </xf>
    <xf numFmtId="165" fontId="11" fillId="0" borderId="8" applyAlignment="1" pivotButton="0" quotePrefix="0" xfId="1">
      <alignment horizontal="center" vertical="center" wrapText="1"/>
    </xf>
    <xf numFmtId="164" fontId="1" fillId="0" borderId="0" applyAlignment="1" pivotButton="0" quotePrefix="0" xfId="94">
      <alignment horizontal="left" vertical="center" wrapText="1"/>
    </xf>
    <xf numFmtId="170" fontId="1" fillId="0" borderId="0" applyAlignment="1" pivotButton="0" quotePrefix="0" xfId="94">
      <alignment horizontal="right" vertical="center" wrapText="1"/>
    </xf>
    <xf numFmtId="166" fontId="1" fillId="0" borderId="0" applyAlignment="1" pivotButton="0" quotePrefix="0" xfId="94">
      <alignment horizontal="right" vertical="center" wrapText="1"/>
    </xf>
    <xf numFmtId="164" fontId="7" fillId="0" borderId="0" pivotButton="0" quotePrefix="0" xfId="0"/>
    <xf numFmtId="164" fontId="1" fillId="4" borderId="0" applyAlignment="1" applyProtection="1" pivotButton="0" quotePrefix="0" xfId="49">
      <alignment horizontal="justify" vertical="center"/>
      <protection locked="0" hidden="0"/>
    </xf>
    <xf numFmtId="164" fontId="46" fillId="0" borderId="11" applyAlignment="1" applyProtection="1" pivotButton="0" quotePrefix="0" xfId="6">
      <alignment vertical="center"/>
      <protection locked="0" hidden="0"/>
    </xf>
    <xf numFmtId="164" fontId="1" fillId="4" borderId="0" applyAlignment="1" applyProtection="1" pivotButton="0" quotePrefix="0" xfId="0">
      <alignment horizontal="justify" vertical="center"/>
      <protection locked="0" hidden="0"/>
    </xf>
    <xf numFmtId="164" fontId="7" fillId="0" borderId="0" applyAlignment="1" pivotButton="0" quotePrefix="0" xfId="0">
      <alignment vertical="center"/>
    </xf>
    <xf numFmtId="164" fontId="1" fillId="0" borderId="0" applyAlignment="1" applyProtection="1" pivotButton="0" quotePrefix="0" xfId="76">
      <alignment vertical="center"/>
      <protection locked="0" hidden="0"/>
    </xf>
    <xf numFmtId="164" fontId="32" fillId="0" borderId="0" applyAlignment="1" pivotButton="0" quotePrefix="0" xfId="6">
      <alignment vertical="center"/>
    </xf>
    <xf numFmtId="164" fontId="3" fillId="0" borderId="0" applyAlignment="1" applyProtection="1" pivotButton="0" quotePrefix="0" xfId="96">
      <alignment vertical="center"/>
      <protection locked="0" hidden="0"/>
    </xf>
    <xf numFmtId="164" fontId="45" fillId="0" borderId="12" applyAlignment="1" applyProtection="1" pivotButton="0" quotePrefix="0" xfId="76">
      <alignment horizontal="left" vertical="center"/>
      <protection locked="0" hidden="0"/>
    </xf>
    <xf numFmtId="164" fontId="1" fillId="0" borderId="0" applyAlignment="1" applyProtection="1" pivotButton="0" quotePrefix="0" xfId="90">
      <alignment vertical="center"/>
      <protection locked="0" hidden="0"/>
    </xf>
    <xf numFmtId="164" fontId="3" fillId="0" borderId="0" applyAlignment="1" applyProtection="1" pivotButton="0" quotePrefix="0" xfId="90">
      <alignment vertical="center"/>
      <protection locked="0" hidden="0"/>
    </xf>
    <xf numFmtId="164" fontId="2" fillId="0" borderId="0" applyAlignment="1" applyProtection="1" pivotButton="0" quotePrefix="0" xfId="90">
      <alignment horizontal="center" vertical="center"/>
      <protection locked="0" hidden="0"/>
    </xf>
    <xf numFmtId="164" fontId="4" fillId="0" borderId="0" applyAlignment="1" applyProtection="1" pivotButton="0" quotePrefix="0" xfId="90">
      <alignment horizontal="center" vertical="center"/>
      <protection locked="0" hidden="0"/>
    </xf>
    <xf numFmtId="164" fontId="1" fillId="0" borderId="0" applyAlignment="1" applyProtection="1" pivotButton="0" quotePrefix="0" xfId="90">
      <alignment horizontal="left" vertical="center"/>
      <protection locked="0" hidden="0"/>
    </xf>
    <xf numFmtId="164" fontId="3" fillId="0" borderId="0" applyAlignment="1" pivotButton="0" quotePrefix="0" xfId="79">
      <alignment horizontal="left" vertical="center"/>
    </xf>
    <xf numFmtId="164" fontId="17" fillId="0" borderId="0" applyAlignment="1" applyProtection="1" pivotButton="0" quotePrefix="0" xfId="90">
      <alignment vertical="center"/>
      <protection locked="0" hidden="0"/>
    </xf>
    <xf numFmtId="164" fontId="7" fillId="0" borderId="0" applyAlignment="1" applyProtection="1" pivotButton="0" quotePrefix="0" xfId="0">
      <alignment vertical="center"/>
      <protection locked="0" hidden="0"/>
    </xf>
    <xf numFmtId="164" fontId="3" fillId="0" borderId="0" applyAlignment="1" pivotButton="0" quotePrefix="0" xfId="79">
      <alignment vertical="center" wrapText="1"/>
    </xf>
    <xf numFmtId="164" fontId="7" fillId="0" borderId="0" applyAlignment="1" pivotButton="0" quotePrefix="0" xfId="76">
      <alignment vertical="center"/>
    </xf>
    <xf numFmtId="164" fontId="3" fillId="0" borderId="0" applyAlignment="1" pivotButton="0" quotePrefix="0" xfId="97">
      <alignment horizontal="left" vertical="center"/>
    </xf>
    <xf numFmtId="164" fontId="1" fillId="0" borderId="0" applyAlignment="1" pivotButton="0" quotePrefix="0" xfId="97">
      <alignment horizontal="left" vertical="center"/>
    </xf>
    <xf numFmtId="164" fontId="8" fillId="0" borderId="0" applyAlignment="1" pivotButton="0" quotePrefix="0" xfId="97">
      <alignment horizontal="left" vertical="center"/>
    </xf>
    <xf numFmtId="164" fontId="36" fillId="0" borderId="0" applyProtection="1" pivotButton="0" quotePrefix="0" xfId="0">
      <protection locked="0" hidden="0"/>
    </xf>
    <xf numFmtId="164" fontId="7" fillId="0" borderId="0" applyAlignment="1" pivotButton="0" quotePrefix="0" xfId="76">
      <alignment horizontal="center" vertical="center"/>
    </xf>
    <xf numFmtId="164" fontId="8" fillId="0" borderId="0" applyAlignment="1" pivotButton="0" quotePrefix="0" xfId="79">
      <alignment horizontal="left" vertical="center"/>
    </xf>
    <xf numFmtId="164" fontId="1" fillId="0" borderId="0" applyAlignment="1" applyProtection="1" pivotButton="0" quotePrefix="0" xfId="79">
      <alignment vertical="center"/>
      <protection locked="0" hidden="0"/>
    </xf>
    <xf numFmtId="164" fontId="3" fillId="0" borderId="0" applyAlignment="1" pivotButton="0" quotePrefix="0" xfId="97">
      <alignment vertical="center"/>
    </xf>
    <xf numFmtId="164" fontId="3" fillId="0" borderId="0" applyAlignment="1" pivotButton="0" quotePrefix="0" xfId="79">
      <alignment vertical="center"/>
    </xf>
    <xf numFmtId="164" fontId="6" fillId="0" borderId="0" applyAlignment="1" applyProtection="1" pivotButton="0" quotePrefix="0" xfId="79">
      <alignment horizontal="left" vertical="center"/>
      <protection locked="1" hidden="1"/>
    </xf>
    <xf numFmtId="164" fontId="8" fillId="0" borderId="0" applyAlignment="1" applyProtection="1" pivotButton="0" quotePrefix="0" xfId="79">
      <alignment horizontal="center" vertical="center"/>
      <protection locked="1" hidden="1"/>
    </xf>
    <xf numFmtId="164" fontId="1" fillId="0" borderId="0" applyAlignment="1" applyProtection="1" pivotButton="0" quotePrefix="0" xfId="79">
      <alignment horizontal="left" vertical="center"/>
      <protection locked="1" hidden="1"/>
    </xf>
    <xf numFmtId="164" fontId="8" fillId="0" borderId="0" applyAlignment="1" applyProtection="1" pivotButton="0" quotePrefix="0" xfId="79">
      <alignment horizontal="left" vertical="center"/>
      <protection locked="0" hidden="0"/>
    </xf>
    <xf numFmtId="164" fontId="1" fillId="0" borderId="0" applyAlignment="1" pivotButton="0" quotePrefix="0" xfId="79">
      <alignment vertical="center"/>
    </xf>
    <xf numFmtId="164" fontId="3" fillId="2" borderId="8" applyAlignment="1" applyProtection="1" pivotButton="0" quotePrefix="0" xfId="90">
      <alignment horizontal="center" vertical="center" wrapText="1"/>
      <protection locked="0" hidden="0"/>
    </xf>
    <xf numFmtId="164" fontId="9" fillId="2" borderId="8" applyAlignment="1" applyProtection="1" pivotButton="0" quotePrefix="0" xfId="90">
      <alignment horizontal="center" vertical="center" wrapText="1"/>
      <protection locked="0" hidden="0"/>
    </xf>
    <xf numFmtId="164" fontId="3" fillId="3" borderId="8" applyAlignment="1" pivotButton="0" quotePrefix="0" xfId="96">
      <alignment horizontal="center" vertical="center" wrapText="1"/>
    </xf>
    <xf numFmtId="164" fontId="11" fillId="0" borderId="8" applyAlignment="1" applyProtection="1" pivotButton="0" quotePrefix="0" xfId="90">
      <alignment horizontal="left" vertical="center"/>
      <protection locked="0" hidden="0"/>
    </xf>
    <xf numFmtId="164" fontId="11" fillId="0" borderId="8" applyAlignment="1" applyProtection="1" pivotButton="0" quotePrefix="0" xfId="90">
      <alignment vertical="center" wrapText="1"/>
      <protection locked="0" hidden="0"/>
    </xf>
    <xf numFmtId="164" fontId="1" fillId="0" borderId="8" applyAlignment="1" applyProtection="1" pivotButton="0" quotePrefix="0" xfId="90">
      <alignment vertical="center"/>
      <protection locked="0" hidden="0"/>
    </xf>
    <xf numFmtId="165" fontId="11" fillId="0" borderId="8" applyAlignment="1" applyProtection="1" pivotButton="0" quotePrefix="0" xfId="90">
      <alignment horizontal="center" vertical="center"/>
      <protection locked="0" hidden="0"/>
    </xf>
    <xf numFmtId="164" fontId="11" fillId="0" borderId="8" applyAlignment="1" applyProtection="1" pivotButton="0" quotePrefix="0" xfId="90">
      <alignment horizontal="center" vertical="center"/>
      <protection locked="0" hidden="0"/>
    </xf>
    <xf numFmtId="164" fontId="1" fillId="0" borderId="8" applyAlignment="1" applyProtection="1" pivotButton="0" quotePrefix="0" xfId="90">
      <alignment horizontal="center" vertical="center"/>
      <protection locked="0" hidden="0"/>
    </xf>
    <xf numFmtId="164" fontId="1" fillId="0" borderId="8" applyAlignment="1" applyProtection="1" pivotButton="0" quotePrefix="0" xfId="98">
      <alignment horizontal="justify" vertical="center"/>
      <protection locked="0" hidden="0"/>
    </xf>
    <xf numFmtId="164" fontId="1" fillId="0" borderId="8" applyAlignment="1" applyProtection="1" pivotButton="0" quotePrefix="0" xfId="90">
      <alignment horizontal="left" vertical="center"/>
      <protection locked="0" hidden="0"/>
    </xf>
    <xf numFmtId="164" fontId="3" fillId="2" borderId="0" applyAlignment="1" applyProtection="1" pivotButton="0" quotePrefix="0" xfId="90">
      <alignment vertical="center"/>
      <protection locked="0" hidden="0"/>
    </xf>
    <xf numFmtId="164" fontId="3" fillId="2" borderId="8" applyAlignment="1" applyProtection="1" pivotButton="0" quotePrefix="0" xfId="90">
      <alignment horizontal="left" vertical="center"/>
      <protection locked="0" hidden="0"/>
    </xf>
    <xf numFmtId="165" fontId="10" fillId="2" borderId="8" applyAlignment="1" applyProtection="1" pivotButton="0" quotePrefix="0" xfId="90">
      <alignment horizontal="center" vertical="center"/>
      <protection locked="0" hidden="0"/>
    </xf>
    <xf numFmtId="165" fontId="10" fillId="2" borderId="8" applyAlignment="1" applyProtection="1" pivotButton="0" quotePrefix="0" xfId="1">
      <alignment horizontal="center" vertical="center"/>
      <protection locked="0" hidden="0"/>
    </xf>
    <xf numFmtId="164" fontId="10" fillId="2" borderId="8" applyAlignment="1" applyProtection="1" pivotButton="0" quotePrefix="0" xfId="90">
      <alignment horizontal="left" vertical="center"/>
      <protection locked="0" hidden="0"/>
    </xf>
    <xf numFmtId="164" fontId="10" fillId="2" borderId="8" applyAlignment="1" applyProtection="1" pivotButton="0" quotePrefix="0" xfId="90">
      <alignment horizontal="center" vertical="center"/>
      <protection locked="0" hidden="0"/>
    </xf>
    <xf numFmtId="164" fontId="3" fillId="2" borderId="8" applyAlignment="1" applyProtection="1" pivotButton="0" quotePrefix="0" xfId="90">
      <alignment horizontal="center" vertical="center"/>
      <protection locked="0" hidden="0"/>
    </xf>
    <xf numFmtId="164" fontId="3" fillId="2" borderId="8" applyAlignment="1" applyProtection="1" pivotButton="0" quotePrefix="0" xfId="98">
      <alignment horizontal="justify" vertical="center"/>
      <protection locked="0" hidden="0"/>
    </xf>
    <xf numFmtId="164" fontId="3" fillId="2" borderId="8" applyAlignment="1" applyProtection="1" pivotButton="0" quotePrefix="0" xfId="90">
      <alignment vertical="center"/>
      <protection locked="0" hidden="0"/>
    </xf>
    <xf numFmtId="164" fontId="3" fillId="2" borderId="8" applyAlignment="1" applyProtection="1" pivotButton="0" quotePrefix="0" xfId="90">
      <alignment vertical="center" wrapText="1"/>
      <protection locked="0" hidden="0"/>
    </xf>
    <xf numFmtId="165" fontId="10" fillId="2" borderId="8" applyAlignment="1" applyProtection="1" pivotButton="0" quotePrefix="0" xfId="90">
      <alignment vertical="center" wrapText="1"/>
      <protection locked="0" hidden="0"/>
    </xf>
    <xf numFmtId="164" fontId="10" fillId="2" borderId="8" applyAlignment="1" applyProtection="1" pivotButton="0" quotePrefix="0" xfId="90">
      <alignment vertical="center" wrapText="1"/>
      <protection locked="0" hidden="0"/>
    </xf>
    <xf numFmtId="164" fontId="8" fillId="0" borderId="0" applyAlignment="1" applyProtection="1" pivotButton="0" quotePrefix="0" xfId="90">
      <alignment vertical="center"/>
      <protection locked="0" hidden="0"/>
    </xf>
    <xf numFmtId="164" fontId="1" fillId="0" borderId="0" applyAlignment="1" applyProtection="1" pivotButton="0" quotePrefix="0" xfId="90">
      <alignment horizontal="right" vertical="center"/>
      <protection locked="0" hidden="0"/>
    </xf>
    <xf numFmtId="164" fontId="6" fillId="0" borderId="0" applyAlignment="1" pivotButton="0" quotePrefix="0" xfId="79">
      <alignment vertical="center"/>
    </xf>
    <xf numFmtId="164" fontId="1" fillId="0" borderId="0" applyAlignment="1" applyProtection="1" pivotButton="0" quotePrefix="0" xfId="79">
      <alignment horizontal="right" vertical="center"/>
      <protection locked="0" hidden="0"/>
    </xf>
    <xf numFmtId="168" fontId="11" fillId="0" borderId="8" applyAlignment="1" applyProtection="1" pivotButton="0" quotePrefix="0" xfId="90">
      <alignment horizontal="left" vertical="center"/>
      <protection locked="0" hidden="0"/>
    </xf>
    <xf numFmtId="169" fontId="11" fillId="0" borderId="8" applyAlignment="1" applyProtection="1" pivotButton="0" quotePrefix="0" xfId="90">
      <alignment vertical="center" wrapText="1"/>
      <protection locked="0" hidden="0"/>
    </xf>
    <xf numFmtId="168" fontId="1" fillId="0" borderId="8" applyAlignment="1" applyProtection="1" pivotButton="0" quotePrefix="0" xfId="90">
      <alignment vertical="center"/>
      <protection locked="0" hidden="0"/>
    </xf>
    <xf numFmtId="169" fontId="11" fillId="0" borderId="8" applyAlignment="1" applyProtection="1" pivotButton="0" quotePrefix="0" xfId="90">
      <alignment horizontal="left" vertical="center"/>
      <protection locked="0" hidden="0"/>
    </xf>
    <xf numFmtId="168" fontId="11" fillId="0" borderId="8" applyAlignment="1" applyProtection="1" pivotButton="0" quotePrefix="0" xfId="90">
      <alignment horizontal="center" vertical="center"/>
      <protection locked="0" hidden="0"/>
    </xf>
    <xf numFmtId="168" fontId="11" fillId="0" borderId="8" applyAlignment="1" applyProtection="1" pivotButton="0" quotePrefix="0" xfId="59">
      <alignment horizontal="center" vertical="center"/>
      <protection locked="0" hidden="0"/>
    </xf>
    <xf numFmtId="169" fontId="11" fillId="0" borderId="8" applyAlignment="1" applyProtection="1" pivotButton="0" quotePrefix="0" xfId="90">
      <alignment horizontal="center" vertical="center"/>
      <protection locked="0" hidden="0"/>
    </xf>
    <xf numFmtId="168" fontId="11" fillId="0" borderId="8" applyAlignment="1" applyProtection="1" pivotButton="0" quotePrefix="0" xfId="98">
      <alignment horizontal="justify" vertical="center"/>
      <protection locked="0" hidden="0"/>
    </xf>
    <xf numFmtId="168" fontId="11" fillId="0" borderId="8" applyAlignment="1" applyProtection="1" pivotButton="0" quotePrefix="0" xfId="90">
      <alignment vertical="center" wrapText="1"/>
      <protection locked="0" hidden="0"/>
    </xf>
    <xf numFmtId="168" fontId="1" fillId="0" borderId="8" applyAlignment="1" applyProtection="1" pivotButton="0" quotePrefix="0" xfId="90">
      <alignment vertical="center" wrapText="1"/>
      <protection locked="0" hidden="0"/>
    </xf>
    <xf numFmtId="168" fontId="11" fillId="0" borderId="8" applyAlignment="1" applyProtection="1" pivotButton="0" quotePrefix="0" xfId="59">
      <alignment vertical="center" wrapText="1"/>
      <protection locked="0" hidden="0"/>
    </xf>
    <xf numFmtId="164" fontId="3" fillId="0" borderId="0" applyAlignment="1" applyProtection="1" pivotButton="0" quotePrefix="0" xfId="90">
      <alignment horizontal="left" vertical="center" wrapText="1"/>
      <protection locked="0" hidden="0"/>
    </xf>
    <xf numFmtId="164" fontId="1" fillId="0" borderId="0" applyAlignment="1" applyProtection="1" pivotButton="0" quotePrefix="0" xfId="90">
      <alignment horizontal="center" vertical="center"/>
      <protection locked="0" hidden="0"/>
    </xf>
    <xf numFmtId="164" fontId="1" fillId="0" borderId="0" applyAlignment="1" pivotButton="0" quotePrefix="0" xfId="89">
      <alignment vertical="center"/>
    </xf>
    <xf numFmtId="164" fontId="2" fillId="0" borderId="0" applyAlignment="1" pivotButton="0" quotePrefix="0" xfId="89">
      <alignment horizontal="center" vertical="center"/>
    </xf>
    <xf numFmtId="164" fontId="4" fillId="0" borderId="0" applyAlignment="1" pivotButton="0" quotePrefix="0" xfId="89">
      <alignment horizontal="center" vertical="center"/>
    </xf>
    <xf numFmtId="164" fontId="11" fillId="0" borderId="0" applyAlignment="1" applyProtection="1" pivotButton="0" quotePrefix="0" xfId="90">
      <alignment vertical="center"/>
      <protection locked="0" hidden="0"/>
    </xf>
    <xf numFmtId="164" fontId="13" fillId="2" borderId="8" applyAlignment="1" pivotButton="0" quotePrefix="0" xfId="0">
      <alignment horizontal="center" vertical="center"/>
    </xf>
    <xf numFmtId="164" fontId="13" fillId="2" borderId="8" applyAlignment="1" pivotButton="0" quotePrefix="0" xfId="99">
      <alignment horizontal="center" vertical="center"/>
    </xf>
    <xf numFmtId="165" fontId="26" fillId="2" borderId="8" applyAlignment="1" pivotButton="0" quotePrefix="0" xfId="1">
      <alignment vertical="center"/>
    </xf>
    <xf numFmtId="165" fontId="11" fillId="0" borderId="8" applyAlignment="1" applyProtection="1" pivotButton="0" quotePrefix="0" xfId="1">
      <alignment vertical="center"/>
      <protection locked="0" hidden="0"/>
    </xf>
    <xf numFmtId="164" fontId="1" fillId="0" borderId="0" applyProtection="1" pivotButton="0" quotePrefix="0" xfId="99">
      <protection locked="0" hidden="0"/>
    </xf>
    <xf numFmtId="164" fontId="3" fillId="0" borderId="0" applyAlignment="1" pivotButton="0" quotePrefix="0" xfId="85">
      <alignment vertical="center"/>
    </xf>
    <xf numFmtId="164" fontId="2" fillId="0" borderId="0" applyAlignment="1" pivotButton="0" quotePrefix="0" xfId="61">
      <alignment horizontal="center" vertical="center"/>
    </xf>
    <xf numFmtId="164" fontId="4" fillId="0" borderId="0" applyAlignment="1" pivotButton="0" quotePrefix="0" xfId="100">
      <alignment horizontal="center" vertical="center"/>
    </xf>
    <xf numFmtId="164" fontId="1" fillId="0" borderId="0" applyAlignment="1" pivotButton="0" quotePrefix="0" xfId="85">
      <alignment vertical="center"/>
    </xf>
    <xf numFmtId="0" fontId="0" fillId="0" borderId="5" pivotButton="0" quotePrefix="0" xfId="0"/>
    <xf numFmtId="164" fontId="3" fillId="0" borderId="0" applyAlignment="1" pivotButton="0" quotePrefix="0" xfId="85">
      <alignment horizontal="center" vertical="center"/>
    </xf>
    <xf numFmtId="164" fontId="3" fillId="2" borderId="8" applyAlignment="1" pivotButton="0" quotePrefix="0" xfId="85">
      <alignment horizontal="center" vertical="center"/>
    </xf>
    <xf numFmtId="164" fontId="9" fillId="2" borderId="1" applyAlignment="1" pivotButton="0" quotePrefix="0" xfId="85">
      <alignment horizontal="center" vertical="center"/>
    </xf>
    <xf numFmtId="164" fontId="3" fillId="2" borderId="8" applyAlignment="1" pivotButton="0" quotePrefix="0" xfId="85">
      <alignment horizontal="center" vertical="center" wrapText="1"/>
    </xf>
    <xf numFmtId="164" fontId="11" fillId="0" borderId="8" applyAlignment="1" pivotButton="0" quotePrefix="0" xfId="85">
      <alignment horizontal="center" vertical="center" wrapText="1"/>
    </xf>
    <xf numFmtId="164" fontId="1" fillId="0" borderId="8" applyAlignment="1" pivotButton="0" quotePrefix="0" xfId="85">
      <alignment horizontal="center" vertical="center" wrapText="1"/>
    </xf>
    <xf numFmtId="165" fontId="11" fillId="0" borderId="8" applyAlignment="1" pivotButton="0" quotePrefix="0" xfId="59">
      <alignment horizontal="center" vertical="center" wrapText="1"/>
    </xf>
    <xf numFmtId="165" fontId="11" fillId="0" borderId="8" applyAlignment="1" pivotButton="0" quotePrefix="0" xfId="85">
      <alignment vertical="center" wrapText="1"/>
    </xf>
    <xf numFmtId="164" fontId="1" fillId="0" borderId="8" applyAlignment="1" pivotButton="0" quotePrefix="0" xfId="85">
      <alignment vertical="center" wrapText="1"/>
    </xf>
    <xf numFmtId="164" fontId="11" fillId="0" borderId="7" applyAlignment="1" pivotButton="0" quotePrefix="0" xfId="85">
      <alignment horizontal="center" vertical="center" wrapText="1"/>
    </xf>
    <xf numFmtId="164" fontId="10" fillId="0" borderId="1" applyAlignment="1" applyProtection="1" pivotButton="0" quotePrefix="0" xfId="90">
      <alignment horizontal="centerContinuous" vertical="center"/>
      <protection locked="0" hidden="0"/>
    </xf>
    <xf numFmtId="164" fontId="10" fillId="0" borderId="2" applyAlignment="1" applyProtection="1" pivotButton="0" quotePrefix="0" xfId="90">
      <alignment horizontal="centerContinuous" vertical="center"/>
      <protection locked="0" hidden="0"/>
    </xf>
    <xf numFmtId="164" fontId="3" fillId="0" borderId="2" applyAlignment="1" applyProtection="1" pivotButton="0" quotePrefix="0" xfId="90">
      <alignment horizontal="centerContinuous" vertical="center"/>
      <protection locked="0" hidden="0"/>
    </xf>
    <xf numFmtId="164" fontId="3" fillId="0" borderId="3" applyAlignment="1" applyProtection="1" pivotButton="0" quotePrefix="0" xfId="90">
      <alignment horizontal="centerContinuous" vertical="center"/>
      <protection locked="0" hidden="0"/>
    </xf>
    <xf numFmtId="164" fontId="1" fillId="0" borderId="8" applyAlignment="1" pivotButton="0" quotePrefix="0" xfId="85">
      <alignment horizontal="centerContinuous" vertical="center"/>
    </xf>
    <xf numFmtId="164" fontId="11" fillId="0" borderId="9" applyAlignment="1" pivotButton="0" quotePrefix="0" xfId="85">
      <alignment horizontal="center" vertical="center" wrapText="1"/>
    </xf>
    <xf numFmtId="164" fontId="12" fillId="0" borderId="0" applyAlignment="1" pivotButton="0" quotePrefix="0" xfId="85">
      <alignment vertical="center"/>
    </xf>
    <xf numFmtId="164" fontId="12" fillId="0" borderId="0" applyAlignment="1" applyProtection="1" pivotButton="0" quotePrefix="0" xfId="79">
      <alignment vertical="center"/>
      <protection locked="0" hidden="0"/>
    </xf>
    <xf numFmtId="164" fontId="1" fillId="0" borderId="0" applyAlignment="1" pivotButton="0" quotePrefix="0" xfId="85">
      <alignment horizontal="right" vertical="center"/>
    </xf>
    <xf numFmtId="164" fontId="9" fillId="2" borderId="8" applyAlignment="1" pivotButton="0" quotePrefix="0" xfId="85">
      <alignment horizontal="center" vertical="center"/>
    </xf>
    <xf numFmtId="164" fontId="3" fillId="2" borderId="1" applyAlignment="1" pivotButton="0" quotePrefix="0" xfId="85">
      <alignment horizontal="center" vertical="center"/>
    </xf>
    <xf numFmtId="164" fontId="11" fillId="0" borderId="8" applyAlignment="1" pivotButton="0" quotePrefix="0" xfId="85">
      <alignment vertical="center" wrapText="1"/>
    </xf>
    <xf numFmtId="164" fontId="11" fillId="0" borderId="3" applyAlignment="1" pivotButton="0" quotePrefix="0" xfId="85">
      <alignment horizontal="center" vertical="center" wrapText="1"/>
    </xf>
    <xf numFmtId="164" fontId="10" fillId="0" borderId="3" applyAlignment="1" applyProtection="1" pivotButton="0" quotePrefix="0" xfId="90">
      <alignment horizontal="centerContinuous" vertical="center"/>
      <protection locked="0" hidden="0"/>
    </xf>
    <xf numFmtId="164" fontId="11" fillId="0" borderId="8" applyAlignment="1" pivotButton="0" quotePrefix="0" xfId="85">
      <alignment horizontal="centerContinuous" vertical="center"/>
    </xf>
    <xf numFmtId="164" fontId="3" fillId="2" borderId="8" applyAlignment="1" pivotButton="0" quotePrefix="0" xfId="90">
      <alignment horizontal="center" vertical="center"/>
    </xf>
    <xf numFmtId="164" fontId="3" fillId="2" borderId="8" applyAlignment="1" pivotButton="0" quotePrefix="0" xfId="90">
      <alignment horizontal="center" vertical="center" wrapText="1"/>
    </xf>
    <xf numFmtId="164" fontId="1" fillId="0" borderId="8" applyAlignment="1" pivotButton="0" quotePrefix="0" xfId="90">
      <alignment horizontal="left" vertical="center"/>
    </xf>
    <xf numFmtId="164" fontId="1" fillId="0" borderId="8" applyAlignment="1" pivotButton="0" quotePrefix="0" xfId="90">
      <alignment horizontal="center" vertical="center"/>
    </xf>
    <xf numFmtId="165" fontId="11" fillId="0" borderId="8" applyAlignment="1" pivotButton="0" quotePrefix="0" xfId="1">
      <alignment vertical="center"/>
    </xf>
    <xf numFmtId="164" fontId="11" fillId="0" borderId="8" applyAlignment="1" pivotButton="0" quotePrefix="0" xfId="90">
      <alignment horizontal="center" vertical="center"/>
    </xf>
    <xf numFmtId="165" fontId="11" fillId="0" borderId="8" applyAlignment="1" pivotButton="0" quotePrefix="0" xfId="1">
      <alignment horizontal="right" vertical="center"/>
    </xf>
    <xf numFmtId="164" fontId="1" fillId="0" borderId="8" applyAlignment="1" pivotButton="0" quotePrefix="0" xfId="59">
      <alignment horizontal="right" vertical="center"/>
    </xf>
    <xf numFmtId="164" fontId="12" fillId="0" borderId="0" applyAlignment="1" pivotButton="0" quotePrefix="0" xfId="0">
      <alignment horizontal="left" vertical="center" wrapText="1"/>
    </xf>
    <xf numFmtId="164" fontId="12" fillId="0" borderId="0" applyAlignment="1" pivotButton="0" quotePrefix="0" xfId="0">
      <alignment horizontal="left" vertical="center"/>
    </xf>
    <xf numFmtId="164" fontId="12" fillId="0" borderId="0" applyAlignment="1" pivotButton="0" quotePrefix="0" xfId="101">
      <alignment vertical="center"/>
    </xf>
    <xf numFmtId="164" fontId="12" fillId="0" borderId="0" applyAlignment="1" applyProtection="1" pivotButton="0" quotePrefix="0" xfId="90">
      <alignment vertical="center"/>
      <protection locked="0" hidden="0"/>
    </xf>
    <xf numFmtId="164" fontId="7" fillId="0" borderId="0" applyAlignment="1" pivotButton="0" quotePrefix="0" xfId="0">
      <alignment horizontal="left" vertical="center"/>
    </xf>
    <xf numFmtId="164" fontId="7" fillId="0" borderId="0" applyAlignment="1" pivotButton="0" quotePrefix="0" xfId="102">
      <alignment vertical="center"/>
    </xf>
    <xf numFmtId="164" fontId="1" fillId="0" borderId="0" applyAlignment="1" applyProtection="1" pivotButton="0" quotePrefix="0" xfId="76">
      <alignment horizontal="right" vertical="center"/>
      <protection locked="0" hidden="0"/>
    </xf>
    <xf numFmtId="164" fontId="3" fillId="2" borderId="8" applyAlignment="1" pivotButton="0" quotePrefix="0" xfId="76">
      <alignment horizontal="center" vertical="center"/>
    </xf>
    <xf numFmtId="164" fontId="3" fillId="2" borderId="8" applyAlignment="1" pivotButton="0" quotePrefix="0" xfId="102">
      <alignment horizontal="center" vertical="center"/>
    </xf>
    <xf numFmtId="164" fontId="6" fillId="0" borderId="8" applyAlignment="1" pivotButton="0" quotePrefix="0" xfId="76">
      <alignment horizontal="left" vertical="center"/>
    </xf>
    <xf numFmtId="165" fontId="11" fillId="0" borderId="8" applyAlignment="1" pivotButton="0" quotePrefix="0" xfId="102">
      <alignment vertical="center"/>
    </xf>
    <xf numFmtId="165" fontId="11" fillId="0" borderId="8" applyAlignment="1" pivotButton="0" quotePrefix="0" xfId="76">
      <alignment vertical="center"/>
    </xf>
    <xf numFmtId="164" fontId="3" fillId="2" borderId="8" applyAlignment="1" pivotButton="0" quotePrefix="0" xfId="76">
      <alignment horizontal="left" vertical="center"/>
    </xf>
    <xf numFmtId="165" fontId="11" fillId="2" borderId="8" applyAlignment="1" pivotButton="0" quotePrefix="0" xfId="76">
      <alignment vertical="center"/>
    </xf>
    <xf numFmtId="164" fontId="7" fillId="0" borderId="8" applyAlignment="1" pivotButton="0" quotePrefix="0" xfId="102">
      <alignment vertical="center"/>
    </xf>
    <xf numFmtId="165" fontId="26" fillId="2" borderId="8" applyAlignment="1" pivotButton="0" quotePrefix="0" xfId="59">
      <alignment horizontal="right" vertical="center"/>
    </xf>
    <xf numFmtId="164" fontId="1" fillId="0" borderId="8" applyAlignment="1" pivotButton="0" quotePrefix="0" xfId="76">
      <alignment vertical="center"/>
    </xf>
    <xf numFmtId="164" fontId="3" fillId="0" borderId="0" applyAlignment="1" pivotButton="0" quotePrefix="0" xfId="76">
      <alignment horizontal="center" vertical="center"/>
    </xf>
    <xf numFmtId="165" fontId="13" fillId="0" borderId="0" applyAlignment="1" pivotButton="0" quotePrefix="0" xfId="59">
      <alignment horizontal="right" vertical="center"/>
    </xf>
    <xf numFmtId="164" fontId="3" fillId="0" borderId="0" applyAlignment="1" pivotButton="0" quotePrefix="0" xfId="76">
      <alignment vertical="center"/>
    </xf>
    <xf numFmtId="164" fontId="3" fillId="0" borderId="0" applyAlignment="1" pivotButton="0" quotePrefix="0" xfId="76">
      <alignment horizontal="left" vertical="center"/>
    </xf>
    <xf numFmtId="164" fontId="1" fillId="0" borderId="0" applyAlignment="1" pivotButton="0" quotePrefix="0" xfId="76">
      <alignment vertical="center"/>
    </xf>
    <xf numFmtId="164" fontId="3" fillId="9" borderId="8" applyAlignment="1" pivotButton="0" quotePrefix="0" xfId="101">
      <alignment horizontal="center" vertical="center"/>
    </xf>
    <xf numFmtId="164" fontId="3" fillId="9" borderId="8" applyAlignment="1" pivotButton="0" quotePrefix="0" xfId="101">
      <alignment horizontal="center" vertical="center" wrapText="1"/>
    </xf>
    <xf numFmtId="164" fontId="3" fillId="9" borderId="8" applyAlignment="1" applyProtection="1" pivotButton="0" quotePrefix="0" xfId="90">
      <alignment horizontal="center" vertical="center"/>
      <protection locked="0" hidden="0"/>
    </xf>
    <xf numFmtId="164" fontId="1" fillId="0" borderId="8" applyAlignment="1" pivotButton="0" quotePrefix="0" xfId="101">
      <alignment horizontal="center" vertical="center"/>
    </xf>
    <xf numFmtId="164" fontId="1" fillId="0" borderId="8" applyAlignment="1" pivotButton="0" quotePrefix="0" xfId="101">
      <alignment horizontal="left" vertical="center" wrapText="1"/>
    </xf>
    <xf numFmtId="164" fontId="1" fillId="0" borderId="8" applyAlignment="1" pivotButton="0" quotePrefix="0" xfId="101">
      <alignment horizontal="left" vertical="center"/>
    </xf>
    <xf numFmtId="166" fontId="1" fillId="0" borderId="8" applyAlignment="1" pivotButton="0" quotePrefix="0" xfId="101">
      <alignment horizontal="right" vertical="center"/>
    </xf>
    <xf numFmtId="164" fontId="1" fillId="0" borderId="8" applyProtection="1" pivotButton="0" quotePrefix="0" xfId="90">
      <protection locked="0" hidden="0"/>
    </xf>
    <xf numFmtId="164" fontId="3" fillId="0" borderId="8" applyAlignment="1" pivotButton="0" quotePrefix="0" xfId="76">
      <alignment horizontal="center" vertical="center"/>
    </xf>
    <xf numFmtId="165" fontId="3" fillId="0" borderId="8" applyAlignment="1" pivotButton="0" quotePrefix="0" xfId="59">
      <alignment horizontal="center" vertical="center"/>
    </xf>
    <xf numFmtId="164" fontId="44" fillId="0" borderId="0" applyAlignment="1" applyProtection="1" pivotButton="0" quotePrefix="0" xfId="76">
      <alignment vertical="center"/>
      <protection locked="0" hidden="0"/>
    </xf>
    <xf numFmtId="164" fontId="8" fillId="10" borderId="0" applyProtection="1" pivotButton="0" quotePrefix="0" xfId="76">
      <protection locked="0" hidden="0"/>
    </xf>
    <xf numFmtId="164" fontId="1" fillId="0" borderId="0" applyProtection="1" pivotButton="0" quotePrefix="0" xfId="76">
      <protection locked="0" hidden="0"/>
    </xf>
    <xf numFmtId="164" fontId="8" fillId="0" borderId="0" applyProtection="1" pivotButton="0" quotePrefix="0" xfId="76">
      <protection locked="0" hidden="0"/>
    </xf>
    <xf numFmtId="165" fontId="11" fillId="0" borderId="8" applyAlignment="1" applyProtection="1" pivotButton="0" quotePrefix="0" xfId="59">
      <alignment vertical="center"/>
      <protection locked="0" hidden="0"/>
    </xf>
    <xf numFmtId="165" fontId="11" fillId="0" borderId="8" applyAlignment="1" applyProtection="1" pivotButton="0" quotePrefix="0" xfId="80">
      <alignment vertical="center"/>
      <protection locked="0" hidden="0"/>
    </xf>
    <xf numFmtId="164" fontId="40" fillId="0" borderId="0" applyAlignment="1" pivotButton="0" quotePrefix="0" xfId="52">
      <alignment vertical="center"/>
    </xf>
    <xf numFmtId="164" fontId="7" fillId="0" borderId="8" applyAlignment="1" pivotButton="0" quotePrefix="0" xfId="72">
      <alignment vertical="center" wrapText="1"/>
    </xf>
    <xf numFmtId="164" fontId="26" fillId="0" borderId="8" applyAlignment="1" pivotButton="0" quotePrefix="0" xfId="55">
      <alignment horizontal="center" vertical="center" wrapText="1"/>
    </xf>
    <xf numFmtId="164" fontId="29" fillId="0" borderId="8" applyAlignment="1" pivotButton="0" quotePrefix="0" xfId="55">
      <alignment horizontal="center" vertical="center" wrapText="1"/>
    </xf>
    <xf numFmtId="164" fontId="26" fillId="0" borderId="8" applyAlignment="1" pivotButton="0" quotePrefix="0" xfId="72">
      <alignment vertical="center" wrapText="1"/>
    </xf>
    <xf numFmtId="164" fontId="32" fillId="0" borderId="0" applyAlignment="1" applyProtection="1" pivotButton="0" quotePrefix="0" xfId="6">
      <alignment vertical="center"/>
      <protection locked="0" hidden="0"/>
    </xf>
    <xf numFmtId="164" fontId="3" fillId="2" borderId="8" applyAlignment="1" pivotButton="0" quotePrefix="0" xfId="59">
      <alignment horizontal="center" vertical="center" wrapText="1"/>
    </xf>
    <xf numFmtId="164" fontId="7" fillId="0" borderId="8" applyAlignment="1" pivotButton="0" quotePrefix="0" xfId="0">
      <alignment vertical="center"/>
    </xf>
    <xf numFmtId="165" fontId="26" fillId="0" borderId="8" applyAlignment="1" pivotButton="0" quotePrefix="0" xfId="0">
      <alignment vertical="center"/>
    </xf>
    <xf numFmtId="164" fontId="26" fillId="0" borderId="8" applyAlignment="1" pivotButton="0" quotePrefix="0" xfId="0">
      <alignment vertical="center"/>
    </xf>
    <xf numFmtId="164" fontId="7" fillId="0" borderId="8" applyAlignment="1" pivotButton="0" quotePrefix="0" xfId="0">
      <alignment vertical="center" wrapText="1"/>
    </xf>
    <xf numFmtId="164" fontId="15" fillId="0" borderId="0" applyAlignment="1" applyProtection="1" pivotButton="0" quotePrefix="0" xfId="101">
      <alignment vertical="center"/>
      <protection locked="0" hidden="0"/>
    </xf>
    <xf numFmtId="164" fontId="1" fillId="0" borderId="0" applyAlignment="1" applyProtection="1" pivotButton="0" quotePrefix="0" xfId="101">
      <alignment vertical="center"/>
      <protection locked="0" hidden="0"/>
    </xf>
    <xf numFmtId="164" fontId="3" fillId="0" borderId="0" applyAlignment="1" pivotButton="0" quotePrefix="0" xfId="67">
      <alignment vertical="center"/>
    </xf>
    <xf numFmtId="164" fontId="2" fillId="0" borderId="0" applyAlignment="1" pivotButton="0" quotePrefix="0" xfId="67">
      <alignment vertical="center"/>
    </xf>
    <xf numFmtId="164" fontId="1" fillId="0" borderId="0" applyAlignment="1" applyProtection="1" pivotButton="0" quotePrefix="0" xfId="101">
      <alignment horizontal="justify" vertical="center" wrapText="1"/>
      <protection locked="0" hidden="0"/>
    </xf>
    <xf numFmtId="164" fontId="1" fillId="0" borderId="0" applyAlignment="1" applyProtection="1" pivotButton="0" quotePrefix="0" xfId="101">
      <alignment horizontal="right" vertical="center"/>
      <protection locked="0" hidden="0"/>
    </xf>
    <xf numFmtId="164" fontId="3" fillId="2" borderId="8" applyAlignment="1" pivotButton="0" quotePrefix="0" xfId="105">
      <alignment horizontal="center" vertical="center"/>
    </xf>
    <xf numFmtId="164" fontId="1" fillId="2" borderId="8" applyAlignment="1" pivotButton="0" quotePrefix="0" xfId="105">
      <alignment horizontal="center" vertical="center"/>
    </xf>
    <xf numFmtId="165" fontId="11" fillId="0" borderId="8" applyAlignment="1" pivotButton="0" quotePrefix="0" xfId="105">
      <alignment horizontal="right" vertical="center"/>
    </xf>
    <xf numFmtId="165" fontId="11" fillId="2" borderId="8" applyAlignment="1" pivotButton="0" quotePrefix="0" xfId="106">
      <alignment horizontal="right" vertical="center"/>
    </xf>
    <xf numFmtId="165" fontId="10" fillId="2" borderId="8" applyAlignment="1" pivotButton="0" quotePrefix="0" xfId="106">
      <alignment horizontal="right" vertical="center"/>
    </xf>
    <xf numFmtId="165" fontId="10" fillId="2" borderId="8" applyAlignment="1" pivotButton="0" quotePrefix="0" xfId="105">
      <alignment horizontal="right" vertical="center"/>
    </xf>
    <xf numFmtId="164" fontId="3" fillId="0" borderId="0" applyAlignment="1" applyProtection="1" pivotButton="0" quotePrefix="0" xfId="101">
      <alignment vertical="center"/>
      <protection locked="0" hidden="0"/>
    </xf>
    <xf numFmtId="165" fontId="1" fillId="0" borderId="8" applyAlignment="1" applyProtection="1" pivotButton="0" quotePrefix="0" xfId="90">
      <alignment vertical="center"/>
      <protection locked="0" hidden="0"/>
    </xf>
    <xf numFmtId="165" fontId="11" fillId="0" borderId="8" applyAlignment="1" applyProtection="1" pivotButton="0" quotePrefix="0" xfId="90">
      <alignment vertical="center"/>
      <protection locked="0" hidden="0"/>
    </xf>
    <xf numFmtId="164" fontId="11" fillId="0" borderId="0" applyAlignment="1" applyProtection="1" pivotButton="0" quotePrefix="0" xfId="90">
      <alignment horizontal="center" vertical="center"/>
      <protection locked="0" hidden="0"/>
    </xf>
    <xf numFmtId="164" fontId="13" fillId="2" borderId="8" applyAlignment="1" pivotButton="0" quotePrefix="0" xfId="90">
      <alignment horizontal="center" vertical="center" wrapText="1"/>
    </xf>
    <xf numFmtId="164" fontId="29" fillId="2" borderId="8" applyAlignment="1" pivotButton="0" quotePrefix="0" xfId="90">
      <alignment horizontal="center" vertical="center" wrapText="1"/>
    </xf>
    <xf numFmtId="165" fontId="11" fillId="0" borderId="0" applyAlignment="1" applyProtection="1" pivotButton="0" quotePrefix="0" xfId="59">
      <alignment vertical="center"/>
      <protection locked="0" hidden="0"/>
    </xf>
    <xf numFmtId="165" fontId="6" fillId="0" borderId="8" applyAlignment="1" pivotButton="0" quotePrefix="0" xfId="59">
      <alignment vertical="center"/>
    </xf>
    <xf numFmtId="165" fontId="1" fillId="0" borderId="8" applyAlignment="1" pivotButton="0" quotePrefix="0" xfId="59">
      <alignment vertical="center"/>
    </xf>
    <xf numFmtId="165" fontId="30" fillId="0" borderId="8" applyAlignment="1" pivotButton="0" quotePrefix="0" xfId="59">
      <alignment vertical="center"/>
    </xf>
    <xf numFmtId="165" fontId="30" fillId="0" borderId="8" applyAlignment="1" pivotButton="0" quotePrefix="0" xfId="68">
      <alignment vertical="center"/>
    </xf>
    <xf numFmtId="165" fontId="11" fillId="0" borderId="8" applyAlignment="1" pivotButton="0" quotePrefix="0" xfId="59">
      <alignment vertical="center"/>
    </xf>
    <xf numFmtId="165" fontId="11" fillId="0" borderId="8" applyAlignment="1" pivotButton="0" quotePrefix="0" xfId="68">
      <alignment vertical="center"/>
    </xf>
    <xf numFmtId="165" fontId="11" fillId="0" borderId="8" applyAlignment="1" pivotButton="0" quotePrefix="0" xfId="109">
      <alignment vertical="center"/>
    </xf>
    <xf numFmtId="164" fontId="1" fillId="6" borderId="0" applyAlignment="1" pivotButton="0" quotePrefix="0" xfId="0">
      <alignment vertical="center"/>
    </xf>
    <xf numFmtId="164" fontId="9" fillId="2" borderId="8" applyAlignment="1" pivotButton="0" quotePrefix="0" xfId="0">
      <alignment horizontal="center" vertical="center"/>
    </xf>
    <xf numFmtId="164" fontId="13" fillId="2" borderId="8" applyAlignment="1" pivotButton="0" quotePrefix="0" xfId="0">
      <alignment horizontal="left" vertical="center"/>
    </xf>
    <xf numFmtId="164" fontId="13" fillId="2" borderId="8" applyAlignment="1" pivotButton="0" quotePrefix="0" xfId="0">
      <alignment horizontal="center" vertical="center" wrapText="1"/>
    </xf>
    <xf numFmtId="164" fontId="13" fillId="2" borderId="8" applyAlignment="1" pivotButton="0" quotePrefix="0" xfId="0">
      <alignment vertical="center"/>
    </xf>
    <xf numFmtId="0" fontId="0" fillId="0" borderId="13" pivotButton="0" quotePrefix="0" xfId="0"/>
    <xf numFmtId="164" fontId="13" fillId="2" borderId="8" applyAlignment="1" pivotButton="0" quotePrefix="0" xfId="0">
      <alignment horizontal="left" vertical="center" wrapText="1"/>
    </xf>
    <xf numFmtId="164" fontId="13" fillId="2" borderId="8" applyAlignment="1" pivotButton="0" quotePrefix="0" xfId="110">
      <alignment horizontal="left" vertical="center"/>
    </xf>
    <xf numFmtId="164" fontId="13" fillId="2" borderId="3" applyAlignment="1" pivotButton="0" quotePrefix="0" xfId="0">
      <alignment horizontal="left" vertical="center" wrapText="1"/>
    </xf>
    <xf numFmtId="164" fontId="3" fillId="2" borderId="8" applyAlignment="1" applyProtection="1" pivotButton="0" quotePrefix="0" xfId="79">
      <alignment horizontal="left" vertical="center"/>
      <protection locked="0" hidden="0"/>
    </xf>
    <xf numFmtId="164" fontId="3" fillId="2" borderId="8" applyAlignment="1" pivotButton="0" quotePrefix="0" xfId="79">
      <alignment horizontal="center" vertical="center"/>
    </xf>
    <xf numFmtId="164" fontId="14" fillId="0" borderId="0" applyAlignment="1" applyProtection="1" pivotButton="0" quotePrefix="0" xfId="80">
      <alignment vertical="center"/>
      <protection locked="0" hidden="0"/>
    </xf>
    <xf numFmtId="164" fontId="5" fillId="0" borderId="0" applyAlignment="1" applyProtection="1" pivotButton="0" quotePrefix="0" xfId="80">
      <alignment vertical="center"/>
      <protection locked="0" hidden="0"/>
    </xf>
    <xf numFmtId="164" fontId="5" fillId="0" borderId="0" applyAlignment="1" applyProtection="1" pivotButton="0" quotePrefix="0" xfId="80">
      <alignment horizontal="left"/>
      <protection locked="0" hidden="0"/>
    </xf>
    <xf numFmtId="164" fontId="5" fillId="0" borderId="0" applyAlignment="1" applyProtection="1" pivotButton="0" quotePrefix="0" xfId="80">
      <alignment horizontal="left" vertical="center"/>
      <protection locked="0" hidden="0"/>
    </xf>
    <xf numFmtId="164" fontId="8" fillId="0" borderId="0" applyAlignment="1" pivotButton="0" quotePrefix="0" xfId="0">
      <alignment vertical="center"/>
    </xf>
    <xf numFmtId="164" fontId="35" fillId="0" borderId="0" applyAlignment="1" pivotButton="0" quotePrefix="0" xfId="0">
      <alignment horizontal="left" vertical="center"/>
    </xf>
    <xf numFmtId="164" fontId="36" fillId="0" borderId="0" pivotButton="0" quotePrefix="0" xfId="0"/>
    <xf numFmtId="164" fontId="37" fillId="0" borderId="0" applyAlignment="1" pivotButton="0" quotePrefix="0" xfId="0">
      <alignment horizontal="center" vertical="center"/>
    </xf>
    <xf numFmtId="164" fontId="1" fillId="0" borderId="0" applyAlignment="1" applyProtection="1" pivotButton="0" quotePrefix="0" xfId="90">
      <alignment vertical="center" wrapText="1"/>
      <protection locked="0" hidden="0"/>
    </xf>
    <xf numFmtId="164" fontId="7" fillId="5" borderId="0" applyAlignment="1" applyProtection="1" pivotButton="0" quotePrefix="0" xfId="111">
      <alignment vertical="top"/>
      <protection locked="0" hidden="0"/>
    </xf>
    <xf numFmtId="164" fontId="1" fillId="0" borderId="0" applyAlignment="1" pivotButton="0" quotePrefix="0" xfId="109">
      <alignment vertical="center"/>
    </xf>
    <xf numFmtId="164" fontId="27" fillId="5" borderId="0" applyAlignment="1" applyProtection="1" pivotButton="0" quotePrefix="0" xfId="111">
      <alignment horizontal="center" vertical="center"/>
      <protection locked="0" hidden="0"/>
    </xf>
    <xf numFmtId="164" fontId="28" fillId="5" borderId="0" applyAlignment="1" applyProtection="1" pivotButton="0" quotePrefix="0" xfId="111">
      <alignment horizontal="center" vertical="center"/>
      <protection locked="0" hidden="0"/>
    </xf>
    <xf numFmtId="164" fontId="7" fillId="5" borderId="0" applyAlignment="1" applyProtection="1" pivotButton="0" quotePrefix="0" xfId="111">
      <alignment vertical="center"/>
      <protection locked="0" hidden="0"/>
    </xf>
    <xf numFmtId="164" fontId="7" fillId="5" borderId="0" applyAlignment="1" applyProtection="1" pivotButton="0" quotePrefix="0" xfId="111">
      <alignment horizontal="right" vertical="center"/>
      <protection locked="0" hidden="0"/>
    </xf>
    <xf numFmtId="164" fontId="5" fillId="5" borderId="0" applyAlignment="1" applyProtection="1" pivotButton="0" quotePrefix="0" xfId="6">
      <alignment horizontal="left" vertical="center"/>
      <protection locked="0" hidden="0"/>
    </xf>
    <xf numFmtId="164" fontId="3" fillId="2" borderId="8" applyAlignment="1" applyProtection="1" pivotButton="0" quotePrefix="0" xfId="111">
      <alignment horizontal="center" vertical="center"/>
      <protection locked="0" hidden="0"/>
    </xf>
    <xf numFmtId="164" fontId="7" fillId="2" borderId="8" applyAlignment="1" applyProtection="1" pivotButton="0" quotePrefix="0" xfId="111">
      <alignment vertical="center"/>
      <protection locked="0" hidden="0"/>
    </xf>
    <xf numFmtId="164" fontId="7" fillId="5" borderId="8" applyAlignment="1" applyProtection="1" pivotButton="0" quotePrefix="0" xfId="111">
      <alignment vertical="center"/>
      <protection locked="0" hidden="0"/>
    </xf>
    <xf numFmtId="164" fontId="5" fillId="0" borderId="0" applyAlignment="1" pivotButton="0" quotePrefix="0" xfId="0">
      <alignment vertical="center"/>
    </xf>
    <xf numFmtId="164" fontId="7" fillId="5" borderId="0" applyAlignment="1" pivotButton="0" quotePrefix="0" xfId="112">
      <alignment vertical="center"/>
    </xf>
    <xf numFmtId="164" fontId="1" fillId="5" borderId="0" applyAlignment="1" pivotButton="0" quotePrefix="0" xfId="109">
      <alignment vertical="center"/>
    </xf>
    <xf numFmtId="164" fontId="27" fillId="5" borderId="0" applyAlignment="1" pivotButton="0" quotePrefix="0" xfId="112">
      <alignment horizontal="center" vertical="center"/>
    </xf>
    <xf numFmtId="164" fontId="28" fillId="5" borderId="0" applyAlignment="1" pivotButton="0" quotePrefix="0" xfId="112">
      <alignment horizontal="center" vertical="center"/>
    </xf>
    <xf numFmtId="164" fontId="7" fillId="5" borderId="0" applyAlignment="1" pivotButton="0" quotePrefix="0" xfId="112">
      <alignment horizontal="right" vertical="center"/>
    </xf>
    <xf numFmtId="165" fontId="32" fillId="5" borderId="0" applyAlignment="1" pivotButton="0" quotePrefix="0" xfId="6">
      <alignment vertical="center"/>
    </xf>
    <xf numFmtId="164" fontId="13" fillId="5" borderId="0" applyAlignment="1" pivotButton="0" quotePrefix="0" xfId="112">
      <alignment vertical="center"/>
    </xf>
    <xf numFmtId="164" fontId="13" fillId="5" borderId="0" applyAlignment="1" pivotButton="0" quotePrefix="0" xfId="0">
      <alignment vertical="center"/>
    </xf>
    <xf numFmtId="164" fontId="8" fillId="5" borderId="0" applyAlignment="1" pivotButton="0" quotePrefix="0" xfId="0">
      <alignment vertical="center"/>
    </xf>
    <xf numFmtId="164" fontId="7" fillId="5" borderId="0" applyAlignment="1" pivotButton="0" quotePrefix="0" xfId="112">
      <alignment horizontal="left" vertical="center" wrapText="1"/>
    </xf>
    <xf numFmtId="164" fontId="7" fillId="5" borderId="0" applyAlignment="1" pivotButton="0" quotePrefix="0" xfId="112">
      <alignment vertical="center" wrapText="1"/>
    </xf>
    <xf numFmtId="164" fontId="6" fillId="5" borderId="0" applyAlignment="1" pivotButton="0" quotePrefix="0" xfId="112">
      <alignment vertical="center" wrapText="1"/>
    </xf>
    <xf numFmtId="164" fontId="13" fillId="5" borderId="0" applyAlignment="1" pivotButton="0" quotePrefix="0" xfId="112">
      <alignment vertical="center" wrapText="1"/>
    </xf>
    <xf numFmtId="164" fontId="6" fillId="0" borderId="0" applyAlignment="1" pivotButton="0" quotePrefix="0" xfId="0">
      <alignment vertical="center"/>
    </xf>
    <xf numFmtId="164" fontId="13" fillId="0" borderId="0" applyAlignment="1" pivotButton="0" quotePrefix="0" xfId="0">
      <alignment vertical="center"/>
    </xf>
    <xf numFmtId="164" fontId="7" fillId="0" borderId="0" applyAlignment="1" pivotButton="0" quotePrefix="0" xfId="0">
      <alignment horizontal="right" vertical="center"/>
    </xf>
    <xf numFmtId="164" fontId="33" fillId="0" borderId="0" applyAlignment="1" pivotButton="0" quotePrefix="0" xfId="0">
      <alignment vertical="center"/>
    </xf>
    <xf numFmtId="164" fontId="34" fillId="0" borderId="0" applyAlignment="1" pivotButton="0" quotePrefix="0" xfId="0">
      <alignment vertical="center"/>
    </xf>
    <xf numFmtId="164" fontId="26" fillId="5" borderId="0" applyAlignment="1" applyProtection="1" pivotButton="0" quotePrefix="0" xfId="111">
      <alignment vertical="top"/>
      <protection locked="0" hidden="0"/>
    </xf>
    <xf numFmtId="164" fontId="15" fillId="0" borderId="0" applyAlignment="1" pivotButton="0" quotePrefix="0" xfId="109">
      <alignment vertical="center"/>
    </xf>
    <xf numFmtId="164" fontId="9" fillId="5" borderId="0" applyAlignment="1" applyProtection="1" pivotButton="0" quotePrefix="0" xfId="111">
      <alignment vertical="top"/>
      <protection locked="0" hidden="0"/>
    </xf>
    <xf numFmtId="164" fontId="26" fillId="5" borderId="0" applyAlignment="1" applyProtection="1" pivotButton="0" quotePrefix="0" xfId="111">
      <alignment vertical="center"/>
      <protection locked="0" hidden="0"/>
    </xf>
    <xf numFmtId="164" fontId="29" fillId="0" borderId="0" applyAlignment="1" applyProtection="1" pivotButton="0" quotePrefix="0" xfId="111">
      <alignment vertical="center"/>
      <protection locked="0" hidden="0"/>
    </xf>
    <xf numFmtId="164" fontId="26" fillId="0" borderId="0" applyAlignment="1" applyProtection="1" pivotButton="0" quotePrefix="0" xfId="111">
      <alignment vertical="center"/>
      <protection locked="0" hidden="0"/>
    </xf>
    <xf numFmtId="164" fontId="30" fillId="5" borderId="0" applyAlignment="1" applyProtection="1" pivotButton="0" quotePrefix="0" xfId="111">
      <alignment horizontal="left" vertical="center"/>
      <protection locked="0" hidden="0"/>
    </xf>
    <xf numFmtId="164" fontId="31" fillId="5" borderId="0" applyAlignment="1" applyProtection="1" pivotButton="0" quotePrefix="0" xfId="111">
      <alignment horizontal="center" vertical="center"/>
      <protection locked="0" hidden="0"/>
    </xf>
    <xf numFmtId="164" fontId="11" fillId="5" borderId="0" applyAlignment="1" applyProtection="1" pivotButton="0" quotePrefix="0" xfId="111">
      <alignment horizontal="center" vertical="center"/>
      <protection locked="0" hidden="0"/>
    </xf>
    <xf numFmtId="164" fontId="30" fillId="5" borderId="0" applyAlignment="1" applyProtection="1" pivotButton="0" quotePrefix="0" xfId="113">
      <alignment horizontal="left" vertical="center" wrapText="1"/>
      <protection locked="0" hidden="0"/>
    </xf>
    <xf numFmtId="164" fontId="30" fillId="5" borderId="0" applyAlignment="1" applyProtection="1" pivotButton="0" quotePrefix="0" xfId="111">
      <alignment vertical="center"/>
      <protection locked="0" hidden="0"/>
    </xf>
    <xf numFmtId="164" fontId="30" fillId="5" borderId="0" applyAlignment="1" applyProtection="1" pivotButton="0" quotePrefix="0" xfId="111">
      <alignment horizontal="left" vertical="center" wrapText="1"/>
      <protection locked="0" hidden="0"/>
    </xf>
    <xf numFmtId="164" fontId="31" fillId="5" borderId="0" applyAlignment="1" applyProtection="1" pivotButton="0" quotePrefix="0" xfId="113">
      <alignment horizontal="center" vertical="center" wrapText="1"/>
      <protection locked="0" hidden="0"/>
    </xf>
    <xf numFmtId="164" fontId="30" fillId="5" borderId="0" applyAlignment="1" applyProtection="1" pivotButton="0" quotePrefix="0" xfId="111">
      <alignment vertical="center" wrapText="1"/>
      <protection locked="0" hidden="0"/>
    </xf>
    <xf numFmtId="164" fontId="29" fillId="5" borderId="0" applyAlignment="1" applyProtection="1" pivotButton="0" quotePrefix="0" xfId="111">
      <alignment vertical="center"/>
      <protection locked="0" hidden="0"/>
    </xf>
    <xf numFmtId="165" fontId="13" fillId="0" borderId="7" applyAlignment="1" pivotButton="0" quotePrefix="0" xfId="90">
      <alignment horizontal="center" vertical="center" wrapText="1"/>
    </xf>
    <xf numFmtId="165" fontId="1" fillId="0" borderId="8" applyAlignment="1" applyProtection="1" pivotButton="0" quotePrefix="0" xfId="59">
      <alignment vertical="center"/>
      <protection locked="0" hidden="0"/>
    </xf>
    <xf numFmtId="167" fontId="21" fillId="0" borderId="11" applyAlignment="1" applyProtection="1" pivotButton="0" quotePrefix="0" xfId="49">
      <alignment horizontal="center" vertical="center" wrapText="1"/>
      <protection locked="0" hidden="0"/>
    </xf>
    <xf numFmtId="165" fontId="11" fillId="2" borderId="8" applyAlignment="1" pivotButton="0" quotePrefix="0" xfId="1">
      <alignment vertical="center"/>
    </xf>
    <xf numFmtId="165" fontId="11" fillId="0" borderId="8" applyAlignment="1" pivotButton="0" quotePrefix="0" xfId="1">
      <alignment horizontal="justify" vertical="top" wrapText="1"/>
    </xf>
    <xf numFmtId="165" fontId="11" fillId="0" borderId="8" applyAlignment="1" pivotButton="0" quotePrefix="0" xfId="0">
      <alignment vertical="center"/>
    </xf>
    <xf numFmtId="165" fontId="11" fillId="0" borderId="8" applyAlignment="1" pivotButton="0" quotePrefix="0" xfId="1">
      <alignment horizontal="left" vertical="center"/>
    </xf>
    <xf numFmtId="166" fontId="19" fillId="0" borderId="8" applyAlignment="1" pivotButton="0" quotePrefix="0" xfId="0">
      <alignment horizontal="right" vertical="center"/>
    </xf>
    <xf numFmtId="165" fontId="19" fillId="0" borderId="8" applyAlignment="1" pivotButton="0" quotePrefix="0" xfId="117">
      <alignment horizontal="right" vertical="center" shrinkToFit="1"/>
    </xf>
    <xf numFmtId="166" fontId="19" fillId="0" borderId="8" applyAlignment="1" pivotButton="0" quotePrefix="0" xfId="0">
      <alignment horizontal="center" vertical="center"/>
    </xf>
    <xf numFmtId="164" fontId="1" fillId="0" borderId="0" applyAlignment="1" pivotButton="0" quotePrefix="0" xfId="79">
      <alignment horizontal="left" vertical="center"/>
    </xf>
    <xf numFmtId="165" fontId="11" fillId="0" borderId="8" applyAlignment="1" applyProtection="1" pivotButton="0" quotePrefix="0" xfId="1">
      <alignment horizontal="left" vertical="center"/>
      <protection locked="0" hidden="0"/>
    </xf>
    <xf numFmtId="165" fontId="1" fillId="0" borderId="8" applyAlignment="1" applyProtection="1" pivotButton="0" quotePrefix="0" xfId="0">
      <alignment horizontal="left" vertical="center"/>
      <protection locked="0" hidden="0"/>
    </xf>
    <xf numFmtId="165" fontId="1" fillId="0" borderId="8" applyAlignment="1" pivotButton="0" quotePrefix="0" xfId="1">
      <alignment vertical="center" wrapText="1"/>
    </xf>
    <xf numFmtId="164" fontId="1" fillId="0" borderId="0" applyAlignment="1" applyProtection="1" pivotButton="0" quotePrefix="0" xfId="118">
      <alignment vertical="center"/>
      <protection locked="0" hidden="0"/>
    </xf>
    <xf numFmtId="165" fontId="10" fillId="2" borderId="8" applyAlignment="1" applyProtection="1" pivotButton="0" quotePrefix="0" xfId="1">
      <alignment horizontal="left" vertical="center"/>
      <protection locked="0" hidden="0"/>
    </xf>
    <xf numFmtId="165" fontId="3" fillId="2" borderId="8" applyAlignment="1" applyProtection="1" pivotButton="0" quotePrefix="0" xfId="0">
      <alignment horizontal="left" vertical="center"/>
      <protection locked="0" hidden="0"/>
    </xf>
    <xf numFmtId="165" fontId="3" fillId="2" borderId="8" applyAlignment="1" pivotButton="0" quotePrefix="0" xfId="1">
      <alignment vertical="center" wrapText="1"/>
    </xf>
    <xf numFmtId="0" fontId="9" fillId="2" borderId="9" applyAlignment="1" applyProtection="1" pivotButton="0" quotePrefix="0" xfId="0">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165" fontId="1" fillId="0" borderId="8" applyAlignment="1" pivotButton="0" quotePrefix="0" xfId="1">
      <alignment horizontal="center" vertical="center" wrapText="1"/>
    </xf>
    <xf numFmtId="165" fontId="1" fillId="0" borderId="8" applyAlignment="1" pivotButton="0" quotePrefix="0" xfId="1">
      <alignment vertical="center"/>
    </xf>
    <xf numFmtId="165" fontId="1" fillId="0" borderId="0" applyAlignment="1" pivotButton="0" quotePrefix="0" xfId="1">
      <alignment horizontal="center" vertical="center" wrapText="1"/>
    </xf>
    <xf numFmtId="165" fontId="1" fillId="0" borderId="0" applyAlignment="1" pivotButton="0" quotePrefix="0" xfId="1">
      <alignment vertical="center"/>
    </xf>
  </cellXfs>
  <cellStyles count="11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通用表" xfId="49"/>
    <cellStyle name="常规_Book1 2 2" xfId="50"/>
    <cellStyle name="常规 2 4 3" xfId="51"/>
    <cellStyle name="常规_制造费用 2" xfId="52"/>
    <cellStyle name="常规_制造费用" xfId="53"/>
    <cellStyle name="常规 7 5" xfId="54"/>
    <cellStyle name="常规 7" xfId="55"/>
    <cellStyle name="常规 11 5" xfId="56"/>
    <cellStyle name="常规 2 8" xfId="57"/>
    <cellStyle name="常规_新审定表 2" xfId="58"/>
    <cellStyle name="千位分隔 3" xfId="59"/>
    <cellStyle name="千位分隔 2 2" xfId="60"/>
    <cellStyle name="常规_c-资产类" xfId="61"/>
    <cellStyle name="常规_2-1项目审定表－模板" xfId="62"/>
    <cellStyle name="常规_新审定表" xfId="63"/>
    <cellStyle name="常规 12" xfId="64"/>
    <cellStyle name="千位分隔 5 2" xfId="65"/>
    <cellStyle name="超链接 3 2" xfId="66"/>
    <cellStyle name="常规_Book1" xfId="67"/>
    <cellStyle name="百分比 3" xfId="68"/>
    <cellStyle name="常规_T1000-主营业务收入" xfId="69"/>
    <cellStyle name="常规 6" xfId="70"/>
    <cellStyle name="常规_Book1 2 2 2" xfId="71"/>
    <cellStyle name="常规 13" xfId="72"/>
    <cellStyle name="常规_2-1项目审定表－模板 2" xfId="73"/>
    <cellStyle name="百分比 2 2 2" xfId="74"/>
    <cellStyle name="常规 6 2 5" xfId="75"/>
    <cellStyle name="常规 2 2" xfId="76"/>
    <cellStyle name="常规 4 2 2" xfId="77"/>
    <cellStyle name="常规 2 2 3" xfId="78"/>
    <cellStyle name="常规_进一步审计程序--销售与收款循环 2" xfId="79"/>
    <cellStyle name="常规 3 2 2" xfId="80"/>
    <cellStyle name="常规 2 2 4" xfId="81"/>
    <cellStyle name="常规 6 2 2" xfId="82"/>
    <cellStyle name="常规 2" xfId="83"/>
    <cellStyle name="常规_2销售循环导引表(217-230)" xfId="84"/>
    <cellStyle name="普通_附23_PBC4" xfId="85"/>
    <cellStyle name="常规_SA-主营业务收入" xfId="86"/>
    <cellStyle name="百分比 2" xfId="87"/>
    <cellStyle name="普通_附23_PBC4 2" xfId="88"/>
    <cellStyle name="常规_Book1 2" xfId="89"/>
    <cellStyle name="常规 3 2" xfId="90"/>
    <cellStyle name="常规 9" xfId="91"/>
    <cellStyle name="千位分隔 3 2" xfId="92"/>
    <cellStyle name="超链接 3" xfId="93"/>
    <cellStyle name="常规 6 2" xfId="94"/>
    <cellStyle name="常规_通用表 2" xfId="95"/>
    <cellStyle name="常规 2 2 4 2" xfId="96"/>
    <cellStyle name="常规_进一步审计程序--销售与收款循环" xfId="97"/>
    <cellStyle name="常规 6 5" xfId="98"/>
    <cellStyle name="常规 3 2 4" xfId="99"/>
    <cellStyle name="常规_D21主营业务收入" xfId="100"/>
    <cellStyle name="常规 2 4" xfId="101"/>
    <cellStyle name="常规 33 2" xfId="102"/>
    <cellStyle name="百分比 2 2" xfId="103"/>
    <cellStyle name="常规_进一步审计程序--销售与收款循环 2 2" xfId="104"/>
    <cellStyle name="常规 5" xfId="105"/>
    <cellStyle name="千位分隔 15" xfId="106"/>
    <cellStyle name="常规 5 2" xfId="107"/>
    <cellStyle name="常规 6 3" xfId="108"/>
    <cellStyle name="常规 11 2" xfId="109"/>
    <cellStyle name="常规 4" xfId="110"/>
    <cellStyle name="常规_审计提示－沟通记录模板（适用内外各主体、各阶段的沟通及会议）" xfId="111"/>
    <cellStyle name="常规 2 7" xfId="112"/>
    <cellStyle name="常规_工程施工业务循环内控测试" xfId="113"/>
    <cellStyle name="常规_控制测试底稿" xfId="114"/>
    <cellStyle name="常规_货币资金C" xfId="115"/>
    <cellStyle name="常规 2 3 2" xfId="116"/>
    <cellStyle name="常规_检查情况表" xfId="117"/>
    <cellStyle name="常规 2 8 2" xfId="11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comments/comment1.xml><?xml version="1.0" encoding="utf-8"?>
<comments xmlns="http://schemas.openxmlformats.org/spreadsheetml/2006/main">
  <authors>
    <author>何先琴</author>
  </authors>
  <commentList>
    <comment ref="C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何先琴</author>
  </authors>
  <commentList>
    <comment ref="C15" authorId="0" shapeId="0">
      <text>
        <t>专业技术部:
根据被审计单位实际情况和风险评估情况裁剪、修改或增加审计程序</t>
      </text>
    </comment>
  </commentList>
</comments>
</file>

<file path=xl/comments/comment3.xml><?xml version="1.0" encoding="utf-8"?>
<comments xmlns="http://schemas.openxmlformats.org/spreadsheetml/2006/main">
  <authors>
    <author>作者</author>
  </authors>
  <commentList>
    <comment ref="A36" authorId="0" shapeId="0">
      <text>
        <t>专业技术部:
含与供应商受同一实际控制人控制的情形</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H19"/>
  <sheetViews>
    <sheetView tabSelected="1" workbookViewId="0">
      <selection activeCell="A1" sqref="A1"/>
    </sheetView>
  </sheetViews>
  <sheetFormatPr baseColWidth="8" defaultColWidth="9.81818181818182" defaultRowHeight="20.1" customHeight="1"/>
  <cols>
    <col width="83.3454545454545" customWidth="1" style="1293" min="1" max="1"/>
    <col width="2.18181818181818" customWidth="1" style="1293" min="2" max="2"/>
    <col width="2.29090909090909" customWidth="1" style="1293" min="3" max="3"/>
    <col width="6.65454545454545" customWidth="1" style="1294" min="4" max="4"/>
    <col width="29.0181818181818" customWidth="1" style="1294" min="5" max="5"/>
    <col width="12" customWidth="1" style="1294" min="6" max="6"/>
    <col width="28.4727272727273" customWidth="1" style="1293" min="7" max="7"/>
    <col width="9.81818181818182" customWidth="1" style="1293" min="8" max="16384"/>
  </cols>
  <sheetData>
    <row r="1" customFormat="1" s="1294">
      <c r="A1" s="1295" t="inlineStr">
        <is>
          <t>底稿开列时，可先在以下单元格填写有关内容，以便其他底稿引用有关数据：</t>
        </is>
      </c>
    </row>
    <row r="2" s="1296">
      <c r="A2" s="1297" t="inlineStr">
        <is>
          <t>被审计单位：</t>
        </is>
      </c>
      <c r="B2" s="1298" t="n"/>
      <c r="C2" s="1298" t="n"/>
      <c r="D2" s="1299" t="inlineStr">
        <is>
          <t>序号</t>
        </is>
      </c>
      <c r="E2" s="1299" t="inlineStr">
        <is>
          <t>内容</t>
        </is>
      </c>
      <c r="F2" s="1299" t="inlineStr">
        <is>
          <t>索引号</t>
        </is>
      </c>
      <c r="G2" s="1298" t="n"/>
      <c r="H2" s="1298" t="n"/>
    </row>
    <row r="3" s="1296">
      <c r="A3" s="1300" t="inlineStr">
        <is>
          <t>会计期间：202X年度</t>
        </is>
      </c>
      <c r="B3" s="1298" t="n"/>
      <c r="C3" s="1298" t="n"/>
      <c r="D3" s="1301" t="n">
        <v>1</v>
      </c>
      <c r="E3" s="1302" t="inlineStr">
        <is>
          <t>营业收入审计程序表</t>
        </is>
      </c>
      <c r="F3" s="1303" t="inlineStr">
        <is>
          <t>D4A</t>
        </is>
      </c>
      <c r="G3" s="1298" t="n"/>
      <c r="H3" s="1304" t="n"/>
    </row>
    <row r="4" s="1296">
      <c r="A4" s="1297" t="inlineStr">
        <is>
          <t>编制人：</t>
        </is>
      </c>
      <c r="D4" s="1301" t="n">
        <v>2</v>
      </c>
      <c r="E4" s="1302" t="inlineStr">
        <is>
          <t>营业收入审定表</t>
        </is>
      </c>
      <c r="F4" s="1303" t="inlineStr">
        <is>
          <t>D4-1</t>
        </is>
      </c>
      <c r="G4" s="1298" t="n"/>
      <c r="H4" s="1298" t="n"/>
    </row>
    <row r="5" s="1296">
      <c r="A5" s="1297" t="inlineStr">
        <is>
          <t>编制日期：</t>
        </is>
      </c>
      <c r="D5" s="1301" t="n">
        <v>3</v>
      </c>
      <c r="E5" s="1302" t="inlineStr">
        <is>
          <t>附注披露信息（上市公司）</t>
        </is>
      </c>
      <c r="F5" s="1303" t="n"/>
      <c r="G5" s="1305" t="inlineStr">
        <is>
          <t>无需打印</t>
        </is>
      </c>
    </row>
    <row r="6" s="1296">
      <c r="A6" s="1306" t="inlineStr">
        <is>
          <t>复核人：</t>
        </is>
      </c>
      <c r="D6" s="1301" t="n">
        <v>4</v>
      </c>
      <c r="E6" s="1302" t="inlineStr">
        <is>
          <t>附注披露信息（国企）</t>
        </is>
      </c>
      <c r="F6" s="1303" t="n"/>
      <c r="G6" s="1305" t="inlineStr">
        <is>
          <t>无需打印</t>
        </is>
      </c>
    </row>
    <row r="7" s="1296">
      <c r="A7" s="1306" t="inlineStr">
        <is>
          <t>复核日期：</t>
        </is>
      </c>
      <c r="D7" s="1301" t="n">
        <v>5</v>
      </c>
      <c r="E7" s="1302" t="inlineStr">
        <is>
          <t>主营业务收入月度明细表</t>
        </is>
      </c>
      <c r="F7" s="1303" t="inlineStr">
        <is>
          <t>D4-2</t>
        </is>
      </c>
      <c r="G7" s="1307" t="n"/>
    </row>
    <row r="8" s="1296">
      <c r="A8" s="1308" t="n"/>
      <c r="D8" s="1301" t="n">
        <v>6</v>
      </c>
      <c r="E8" s="1302" t="inlineStr">
        <is>
          <t>其他业务收入明细表</t>
        </is>
      </c>
      <c r="F8" s="1303" t="inlineStr">
        <is>
          <t>D4-3</t>
        </is>
      </c>
      <c r="G8" s="1307" t="n"/>
    </row>
    <row r="9" s="1296">
      <c r="A9" s="1309" t="inlineStr">
        <is>
          <t>关于工作底稿与审计程序索引号对应的说明</t>
        </is>
      </c>
      <c r="D9" s="1301" t="n">
        <v>7</v>
      </c>
      <c r="E9" s="1302" t="inlineStr">
        <is>
          <t>调整分录汇总表</t>
        </is>
      </c>
      <c r="F9" s="1303" t="inlineStr">
        <is>
          <t>D4-4</t>
        </is>
      </c>
      <c r="G9" s="1307" t="n"/>
    </row>
    <row r="10" s="1296">
      <c r="A10" s="1310"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G10" s="1307" t="n"/>
    </row>
    <row r="11" s="1296">
      <c r="A11" s="1311" t="n"/>
      <c r="G11" s="1307" t="n"/>
    </row>
    <row r="12" s="1296">
      <c r="A12" s="1311" t="n"/>
    </row>
    <row r="13" s="1296">
      <c r="A13" s="1311" t="n"/>
      <c r="G13" s="1312" t="n"/>
    </row>
    <row r="14" s="1296">
      <c r="A14" s="1310"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s="1296">
      <c r="A15" s="1311" t="n"/>
    </row>
    <row r="16" s="1296">
      <c r="A16" s="1311" t="n"/>
    </row>
    <row r="17" s="1296">
      <c r="A17" s="1313" t="inlineStr">
        <is>
          <t>3.工作底稿索引号的编码规则：实质性程序索引号按循环从“D”到“N”,循环内账户以顺序号排列，模板中底稿索引号按账户顺序+自然数顺序（即模板中索引号按二级自然顺序排列，如D1-1、D1-2、D1-3、……D1-N）。</t>
        </is>
      </c>
    </row>
    <row r="18" s="1296">
      <c r="A18" s="1311" t="n"/>
    </row>
    <row r="19" s="1296">
      <c r="A19" s="1311" t="n"/>
    </row>
  </sheetData>
  <mergeCells count="3">
    <mergeCell ref="A14:A16"/>
    <mergeCell ref="A17:A19"/>
    <mergeCell ref="A10:A13"/>
  </mergeCells>
  <hyperlinks>
    <hyperlink ref="E3" location="营业收入审计程序表D4A!A1" display="营业收入审计程序表"/>
    <hyperlink ref="E4" location="'营业收入审定表D4-1'!A1" display="营业收入审定表"/>
    <hyperlink ref="E5" location="'附注披露信息（上市公司）'!A1" display="附注披露信息（上市公司）"/>
    <hyperlink ref="E6" location="'附注披露信息（上市公司）'!A1" display="附注披露信息（国企）"/>
    <hyperlink ref="E7" location="'主营业务收入明细表D4-2'!Print_Area" display="主营业务收入月度明细表"/>
    <hyperlink ref="E8" location="'其他业务收入明细表D4-3'!A1" display="其他业务收入明细表"/>
    <hyperlink ref="E9" location="'营业收入调整分录汇总D4-4'!A1" display="调整分录汇总表"/>
  </hyperlinks>
  <pageMargins left="0.708333333333333" right="0.708333333333333" top="0.747916666666667" bottom="0.747916666666667" header="0.314583333333333" footer="0.314583333333333"/>
  <pageSetup orientation="portrait" paperSize="9" scale="73" blackAndWhite="1" horizontalDpi="1200" verticalDpi="1200"/>
  <headerFooter alignWithMargins="0">
    <oddHeader/>
    <oddFooter>&amp;C&amp;P/&amp;N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O43"/>
  <sheetViews>
    <sheetView view="pageBreakPreview" zoomScaleNormal="100" workbookViewId="0">
      <selection activeCell="A2" sqref="A2:J2"/>
    </sheetView>
  </sheetViews>
  <sheetFormatPr baseColWidth="8" defaultColWidth="9.81818181818182" defaultRowHeight="20.1" customHeight="1"/>
  <cols>
    <col width="5.45454545454545" customWidth="1" style="1314" min="1" max="1"/>
    <col width="9.709090909090911" customWidth="1" style="1314" min="2" max="2"/>
    <col width="67.09090909090909" customWidth="1" style="1315" min="3" max="3"/>
    <col width="11.2363636363636" customWidth="1" style="1315" min="4" max="4"/>
    <col width="6" customWidth="1" style="1315" min="5" max="5"/>
    <col width="6.98181818181818" customWidth="1" style="1315" min="6" max="6"/>
    <col width="6.76363636363636" customWidth="1" style="1315" min="7" max="7"/>
    <col width="6.98181818181818" customWidth="1" style="1315" min="8" max="8"/>
    <col width="5.56363636363636" customWidth="1" style="1315" min="9" max="9"/>
    <col width="7.63636363636364" customWidth="1" style="1315" min="10" max="10"/>
    <col width="66.76363636363639" customWidth="1" style="1315" min="11" max="11"/>
    <col width="9.81818181818182" customWidth="1" style="1315" min="12" max="16384"/>
  </cols>
  <sheetData>
    <row r="1" customFormat="1" s="1316">
      <c r="A1" s="1317" t="inlineStr">
        <is>
          <t>致同会计师事务所</t>
        </is>
      </c>
    </row>
    <row r="2" customFormat="1" s="1316">
      <c r="A2" s="1318" t="inlineStr">
        <is>
          <t>营业收入实质性程序表</t>
        </is>
      </c>
    </row>
    <row r="3" customFormat="1" s="1319">
      <c r="A3" s="1320" t="inlineStr">
        <is>
          <t>被审计单位：</t>
        </is>
      </c>
      <c r="B3" s="1311" t="n"/>
      <c r="C3" s="1311" t="n"/>
      <c r="D3" s="1319" t="inlineStr">
        <is>
          <t>编制人：</t>
        </is>
      </c>
      <c r="F3" s="1319" t="inlineStr">
        <is>
          <t>编制日期：</t>
        </is>
      </c>
      <c r="I3" s="1321" t="inlineStr">
        <is>
          <t>索引号：</t>
        </is>
      </c>
      <c r="J3" s="1322" t="inlineStr">
        <is>
          <t>D4A</t>
        </is>
      </c>
    </row>
    <row r="4" customFormat="1" s="1319">
      <c r="A4" s="1320" t="inlineStr">
        <is>
          <t>会计期间：202X年度</t>
        </is>
      </c>
      <c r="B4" s="1311" t="n"/>
      <c r="C4" s="1311" t="n"/>
      <c r="D4" s="1319" t="inlineStr">
        <is>
          <t>复核人：</t>
        </is>
      </c>
      <c r="F4" s="1319" t="inlineStr">
        <is>
          <t>复核日期：</t>
        </is>
      </c>
      <c r="I4" s="1321" t="inlineStr">
        <is>
          <t>页  次：</t>
        </is>
      </c>
    </row>
    <row r="5" s="1296">
      <c r="A5" s="1323" t="inlineStr">
        <is>
          <t>一、本账户涉及的科目</t>
        </is>
      </c>
      <c r="B5" s="1311" t="n"/>
      <c r="C5" s="1311" t="n"/>
    </row>
    <row r="6" s="1296">
      <c r="A6" s="1324" t="inlineStr">
        <is>
          <t>主营业务收入、其他业务收入</t>
        </is>
      </c>
      <c r="B6" s="1311" t="n"/>
      <c r="C6" s="1311" t="n"/>
      <c r="D6" s="1311" t="n"/>
      <c r="E6" s="1311" t="n"/>
      <c r="F6" s="1311" t="n"/>
      <c r="G6" s="1311" t="n"/>
      <c r="H6" s="1311" t="n"/>
      <c r="I6" s="1311" t="n"/>
      <c r="J6" s="1311" t="n"/>
    </row>
    <row r="7" customFormat="1" s="1319">
      <c r="A7" s="1323" t="inlineStr">
        <is>
          <t>二、审计目标与财务报表认定</t>
        </is>
      </c>
      <c r="B7" s="1323" t="n"/>
      <c r="C7" s="1323" t="n"/>
      <c r="D7" s="1325" t="n"/>
    </row>
    <row r="8" ht="19.95" customFormat="1" customHeight="1" s="1319">
      <c r="A8" s="1326" t="inlineStr">
        <is>
          <t>审计目标</t>
        </is>
      </c>
      <c r="B8" s="1327" t="n"/>
      <c r="C8" s="1327" t="n"/>
      <c r="D8" s="1327" t="n"/>
      <c r="E8" s="1327" t="n"/>
      <c r="F8" s="1327" t="n"/>
      <c r="G8" s="1328" t="n"/>
      <c r="H8" s="1329" t="inlineStr">
        <is>
          <t>财务报表的认定</t>
        </is>
      </c>
      <c r="I8" s="1327" t="n"/>
      <c r="J8" s="1328" t="n"/>
    </row>
    <row r="9" ht="19.95" customFormat="1" customHeight="1" s="1319">
      <c r="A9" s="1330" t="inlineStr">
        <is>
          <t>A.利润表中记录的营业收入已发生，且与被审计单位有关，已记录于恰当的账户</t>
        </is>
      </c>
      <c r="B9" s="1327" t="n"/>
      <c r="C9" s="1327" t="n"/>
      <c r="D9" s="1327" t="n"/>
      <c r="E9" s="1327" t="n"/>
      <c r="F9" s="1327" t="n"/>
      <c r="G9" s="1328" t="n"/>
      <c r="H9" s="1331" t="inlineStr">
        <is>
          <t>发生</t>
        </is>
      </c>
      <c r="I9" s="1327" t="n"/>
      <c r="J9" s="1328" t="n"/>
    </row>
    <row r="10" ht="19.95" customFormat="1" customHeight="1" s="1319">
      <c r="A10" s="1330" t="inlineStr">
        <is>
          <t>B.所有应当记录的营业收入均已记录，所有应当包括在财务报表中的相关披露均已包括</t>
        </is>
      </c>
      <c r="B10" s="1327" t="n"/>
      <c r="C10" s="1327" t="n"/>
      <c r="D10" s="1327" t="n"/>
      <c r="E10" s="1327" t="n"/>
      <c r="F10" s="1327" t="n"/>
      <c r="G10" s="1328" t="n"/>
      <c r="H10" s="1331" t="inlineStr">
        <is>
          <t>完整性</t>
        </is>
      </c>
      <c r="I10" s="1327" t="n"/>
      <c r="J10" s="1328" t="n"/>
    </row>
    <row r="11" ht="19.95" customFormat="1" customHeight="1" s="1319">
      <c r="A11" s="1330" t="inlineStr">
        <is>
          <t>C.与营业收入有关的金额及其他数据已恰当记录，相关披露已得到恰当计量和描述</t>
        </is>
      </c>
      <c r="B11" s="1327" t="n"/>
      <c r="C11" s="1327" t="n"/>
      <c r="D11" s="1327" t="n"/>
      <c r="E11" s="1327" t="n"/>
      <c r="F11" s="1327" t="n"/>
      <c r="G11" s="1328" t="n"/>
      <c r="H11" s="1331" t="inlineStr">
        <is>
          <t>准确性</t>
        </is>
      </c>
      <c r="I11" s="1327" t="n"/>
      <c r="J11" s="1328" t="n"/>
    </row>
    <row r="12" ht="19.95" customFormat="1" customHeight="1" s="1319">
      <c r="A12" s="1330" t="inlineStr">
        <is>
          <t>D.与营业收入有关的交易和事项已记录于正确的会计期间</t>
        </is>
      </c>
      <c r="B12" s="1327" t="n"/>
      <c r="C12" s="1327" t="n"/>
      <c r="D12" s="1327" t="n"/>
      <c r="E12" s="1327" t="n"/>
      <c r="F12" s="1327" t="n"/>
      <c r="G12" s="1328" t="n"/>
      <c r="H12" s="1331" t="inlineStr">
        <is>
          <t>截止性</t>
        </is>
      </c>
      <c r="I12" s="1327" t="n"/>
      <c r="J12" s="1328" t="n"/>
    </row>
    <row r="13" ht="19.95" customFormat="1" customHeight="1" s="1319">
      <c r="A13" s="1330" t="inlineStr">
        <is>
          <t>E.营业收入已被恰当地汇总或分解且表述清楚，相关披露在按照企业会计准则的编制基础下是相关的、可理解的</t>
        </is>
      </c>
      <c r="B13" s="1327" t="n"/>
      <c r="C13" s="1327" t="n"/>
      <c r="D13" s="1327" t="n"/>
      <c r="E13" s="1327" t="n"/>
      <c r="F13" s="1327" t="n"/>
      <c r="G13" s="1328" t="n"/>
      <c r="H13" s="1331" t="inlineStr">
        <is>
          <t>列报</t>
        </is>
      </c>
      <c r="I13" s="1327" t="n"/>
      <c r="J13" s="1328" t="n"/>
    </row>
    <row r="14" customFormat="1" s="1319">
      <c r="A14" s="1323" t="inlineStr">
        <is>
          <t>三、计划实施的实质性程序</t>
        </is>
      </c>
      <c r="B14" s="1311" t="n"/>
      <c r="C14" s="1311" t="n"/>
      <c r="D14" s="1325" t="n"/>
    </row>
    <row r="15" customFormat="1" s="1319">
      <c r="A15" s="1332" t="inlineStr">
        <is>
          <t>序号</t>
        </is>
      </c>
      <c r="B15" s="1333" t="inlineStr">
        <is>
          <t>对应Leap程序</t>
        </is>
      </c>
      <c r="C15" s="1334" t="inlineStr">
        <is>
          <t>审计程序</t>
        </is>
      </c>
      <c r="D15" s="1333" t="inlineStr">
        <is>
          <t>程序分类</t>
        </is>
      </c>
      <c r="E15" s="1332" t="inlineStr">
        <is>
          <t>财务报表认定</t>
        </is>
      </c>
      <c r="F15" s="1327" t="n"/>
      <c r="G15" s="1327" t="n"/>
      <c r="H15" s="1328" t="n"/>
      <c r="I15" s="1332" t="n"/>
      <c r="J15" s="1334" t="inlineStr">
        <is>
          <t>底稿索引号</t>
        </is>
      </c>
    </row>
    <row r="16" customFormat="1" s="1319">
      <c r="A16" s="1335" t="n"/>
      <c r="B16" s="1335" t="n"/>
      <c r="C16" s="1335" t="n"/>
      <c r="D16" s="1335" t="n"/>
      <c r="E16" s="1326" t="inlineStr">
        <is>
          <t>发生</t>
        </is>
      </c>
      <c r="F16" s="1326" t="inlineStr">
        <is>
          <t>完整性</t>
        </is>
      </c>
      <c r="G16" s="1326" t="inlineStr">
        <is>
          <t>准确性</t>
        </is>
      </c>
      <c r="H16" s="1326" t="inlineStr">
        <is>
          <t>截止性</t>
        </is>
      </c>
      <c r="I16" s="1326" t="inlineStr">
        <is>
          <t>列报</t>
        </is>
      </c>
      <c r="J16" s="1335" t="n"/>
      <c r="K16" s="1336" t="inlineStr">
        <is>
          <t>根据被审计单位实际情况和风险评估情况裁剪、修改或增加审计程序</t>
        </is>
      </c>
    </row>
    <row r="17" ht="60.6" customHeight="1" s="1296">
      <c r="A17" s="1337" t="inlineStr">
        <is>
          <t>1</t>
        </is>
      </c>
      <c r="B17" s="1338" t="inlineStr">
        <is>
          <t xml:space="preserve">常规程序 </t>
        </is>
      </c>
      <c r="C17" s="1339" t="inlineStr">
        <is>
          <t>获取或编制主营业务收入、其他业务收入明细表编制审定表，并完成以下工作：
（1）复核加计正确，将总金额与总账、明细账合计数核对相符；
（2）检查以非记账本位币结算的营业收入的折算汇率及折算是否正确。</t>
        </is>
      </c>
      <c r="D17" s="1340" t="inlineStr">
        <is>
          <t>常规★</t>
        </is>
      </c>
      <c r="E17" s="1341" t="inlineStr">
        <is>
          <t>√</t>
        </is>
      </c>
      <c r="F17" s="1341" t="inlineStr">
        <is>
          <t>√</t>
        </is>
      </c>
      <c r="G17" s="1342" t="inlineStr">
        <is>
          <t>√</t>
        </is>
      </c>
      <c r="H17" s="1341" t="n"/>
      <c r="I17" s="1343" t="n"/>
      <c r="J17" s="1344" t="inlineStr">
        <is>
          <t>D4-1
/D4-2
/D4-3</t>
        </is>
      </c>
    </row>
    <row r="18" ht="38.4" customHeight="1" s="1296">
      <c r="A18" s="1337" t="inlineStr">
        <is>
          <t>2</t>
        </is>
      </c>
      <c r="B18" s="1338" t="inlineStr">
        <is>
          <t xml:space="preserve">常规程序 </t>
        </is>
      </c>
      <c r="C18" s="1339" t="inlineStr">
        <is>
          <t xml:space="preserve">如果被审计单位存在销售业务系统，核对财务账面记录的营业收入数据与销售系统（ERP业务数据）记录是否相符（双向核对）。 </t>
        </is>
      </c>
      <c r="D18" s="1340" t="inlineStr">
        <is>
          <t>备选</t>
        </is>
      </c>
      <c r="E18" s="1345" t="inlineStr">
        <is>
          <t>√</t>
        </is>
      </c>
      <c r="F18" s="1345" t="inlineStr">
        <is>
          <t>√</t>
        </is>
      </c>
      <c r="G18" s="1346" t="inlineStr">
        <is>
          <t>√</t>
        </is>
      </c>
      <c r="H18" s="1346" t="n"/>
      <c r="I18" s="1343" t="n"/>
      <c r="J18" s="1344" t="inlineStr">
        <is>
          <t>D4-13</t>
        </is>
      </c>
    </row>
    <row r="19" ht="55.2" customHeight="1" s="1296">
      <c r="A19" s="1337" t="inlineStr">
        <is>
          <t>3</t>
        </is>
      </c>
      <c r="B19" s="1347" t="inlineStr">
        <is>
          <t>IPE程序</t>
        </is>
      </c>
      <c r="C19" s="1348"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D19" s="1349" t="inlineStr">
        <is>
          <t>常规★</t>
        </is>
      </c>
      <c r="E19" s="1350" t="n"/>
      <c r="F19" s="1351" t="inlineStr">
        <is>
          <t>√</t>
        </is>
      </c>
      <c r="G19" s="1344" t="inlineStr">
        <is>
          <t>√</t>
        </is>
      </c>
      <c r="H19" s="1344" t="n"/>
      <c r="I19" s="1350" t="n"/>
      <c r="J19" s="1352" t="inlineStr">
        <is>
          <t>T1</t>
        </is>
      </c>
      <c r="K19" s="1353"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row>
    <row r="20" ht="73.8" customHeight="1" s="1296">
      <c r="A20" s="1337" t="inlineStr">
        <is>
          <t>4</t>
        </is>
      </c>
      <c r="B20" s="1338" t="inlineStr">
        <is>
          <t>期初余额</t>
        </is>
      </c>
      <c r="C20" s="1354" t="inlineStr">
        <is>
          <t>对上期发生额的审计：（适用于首次承接）：
（1）向被审计单位人员询问前期期末关于收入截止的相关处理；
（2）复核资产负债表日前后一段合理期间里的销售分录，调查任何异常分录。
（3）复核资产负债表日前后一段合理期间里销售退回或销售折扣的记录。
（4）调查接近前期期末发生的大额或异常的销售交易。  
（5）必要时执行函证程序。</t>
        </is>
      </c>
      <c r="D20" s="1340" t="inlineStr">
        <is>
          <t>备选</t>
        </is>
      </c>
      <c r="E20" s="1351" t="inlineStr">
        <is>
          <t>√</t>
        </is>
      </c>
      <c r="F20" s="1344" t="inlineStr">
        <is>
          <t>√</t>
        </is>
      </c>
      <c r="G20" s="1344" t="inlineStr">
        <is>
          <t>√</t>
        </is>
      </c>
      <c r="H20" s="1351" t="inlineStr">
        <is>
          <t>√</t>
        </is>
      </c>
      <c r="I20" s="1344" t="n"/>
      <c r="J20" s="1344" t="n"/>
      <c r="K20" s="1353"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row>
    <row r="21" ht="55.5" customFormat="1" customHeight="1" s="1315">
      <c r="A21" s="1337" t="inlineStr">
        <is>
          <t>5</t>
        </is>
      </c>
      <c r="B21" s="1338" t="inlineStr">
        <is>
          <t xml:space="preserve">常规程序/应对措施-会计估计 </t>
        </is>
      </c>
      <c r="C21" s="1339" t="inlineStr">
        <is>
          <t>了解被审计单位收入类型，充分了解公司经销售模式，针对不同业务或模式，检查收入确认政策的合理性及与前期的一致性。关注周期性、偶然性的收入是否符合既定的收入确认原则、方法。必要时，与同行业其他公司的会计政策进行对比。</t>
        </is>
      </c>
      <c r="D21" s="1340" t="inlineStr">
        <is>
          <t>常规★</t>
        </is>
      </c>
      <c r="E21" s="1344" t="inlineStr">
        <is>
          <t>√</t>
        </is>
      </c>
      <c r="F21" s="1344" t="n"/>
      <c r="G21" s="1351" t="inlineStr">
        <is>
          <t>√</t>
        </is>
      </c>
      <c r="H21" s="1344" t="n"/>
      <c r="I21" s="1344" t="n"/>
      <c r="J21" s="1344" t="inlineStr">
        <is>
          <t>D4-5</t>
        </is>
      </c>
      <c r="K21" s="1355" t="inlineStr">
        <is>
          <t>营业收入中由被审计单位生成的信息例如：在使用被审计单位提供的发票清单、销售价格表、运输清单等被审计单位提供信息</t>
        </is>
      </c>
    </row>
    <row r="22" ht="273" customHeight="1" s="1296">
      <c r="A22" s="1337" t="inlineStr">
        <is>
          <t>6</t>
        </is>
      </c>
      <c r="B22" s="1338" t="inlineStr">
        <is>
          <t xml:space="preserve">应对措施-实质性/非实质性分析程序 </t>
        </is>
      </c>
      <c r="C22" s="1354" t="inlineStr">
        <is>
          <t>实施分析程序：
（1）计算本期重要的比率指标：赊销率、应收账款周转率、末月销售情况/当期销售（金额或销量）、重要客户的销售额/销售额等，与可比期间数据、预算数或同行业其他企业数据进行比较；
（2）结合收入来源和销售模式，按照产品类别、业务模式、销售区域（如境内、海外）等将本期的主营业务收入与上期的主营业务收入进行比较，分析销售收入结构和价格变动是否异常，是否符合行业和市场同期的变化情况；
（3）分月或分季度比较本期主营业务收入波动情况，分析其变动趋势是否正常，是否符合被审计单位季节性、周期性的经营规律，查明异常现象和重大波动的原因；
(4）计算本期重要产品的各月毛利率，与上期毛利率进行比较，分析变动原因，关注是否存在显著异常，必要时应与同行业比较；
（5）就不同业务模式比较分析主要客户的销售数量、销售金额及占比的变动以及原因，关注是否存在异常。
（6）比较主要客户主要产品销售单价与销售平均价格（或指导价）、同类产品市场价格差异，分析价格合理性，判断有无以低价或高价结算的方法，相互之间有无转移利润的现象。
（7）比较关联方客户销售价格与非关联方销售价格的差异，分析关联方销售价格合理性，判断有无以低价或高价结算的方法，相互之间有无转移利润的现象。
(8)获取产品销售价格目录，与上期末相关文件进行对比分析，选取定价有较大或异常变化的产品进行测试，检查售价变动是否符合定价政策，价格变动是否合理。</t>
        </is>
      </c>
      <c r="D22" s="1340" t="inlineStr">
        <is>
          <t>常规★</t>
        </is>
      </c>
      <c r="E22" s="1351" t="inlineStr">
        <is>
          <t>√</t>
        </is>
      </c>
      <c r="F22" s="1344" t="inlineStr">
        <is>
          <t>√</t>
        </is>
      </c>
      <c r="G22" s="1344" t="inlineStr">
        <is>
          <t>√</t>
        </is>
      </c>
      <c r="H22" s="1344" t="n"/>
      <c r="I22" s="1344" t="n"/>
      <c r="J22" s="1344" t="inlineStr">
        <is>
          <t>D4-6
/D4-7
/D4-8
/D4-9
/D4-10
/D4-11</t>
        </is>
      </c>
    </row>
    <row r="23" ht="208.8" customFormat="1" customHeight="1" s="1315">
      <c r="A23" s="1337" t="inlineStr">
        <is>
          <t>7</t>
        </is>
      </c>
      <c r="B23" s="1338" t="inlineStr">
        <is>
          <t xml:space="preserve">常规程序(选择“存在重大合同”)  </t>
        </is>
      </c>
      <c r="C23" s="1354" t="inlineStr">
        <is>
          <t>选取重要合同进行检查：
（1）了解与重要合同相关的交易，包括商业理由（或缺乏商业理由）和经济实质；
（2）检查重要合同并记录关键条款和条件，判断合同条款的合理性，考虑是否可能存在抽屉协议等；
（3）检查重要合同价格，确定是否符合销售及信用管理政策，并测试交易价格的确定是否正确。考虑代第三方收取的款项、预期将退还给客户的款项，以及可变对价（如现金折扣、数量折扣、价格折让等）、合同中存在的重大融资成分、非现金对价、应付客户对价等因素的影响。
（4）判断履约义务识别、交易价格的确定、交易价格分摊、收入控制权转移时点或期间等是否恰当。
（5）判断是否涉及特定交易，例如：附有质量保证条款的销售、附有销售退回条款的销售、主要责任人和代理人、售后回购交易、分期收款销售、寄售商品、以旧换新、授予知识产权，客户未行使的权利等；
（6）确定合同是否表明存在以前未识别或未披露的关联方或重大关联方交易、超过被审计单位正常经营过程的交易以及与审计有关的其他问题；
（7）确定交易是否按合同条款履行。</t>
        </is>
      </c>
      <c r="D23" s="1340" t="inlineStr">
        <is>
          <t>常规★</t>
        </is>
      </c>
      <c r="E23" s="1351" t="inlineStr">
        <is>
          <t>√</t>
        </is>
      </c>
      <c r="F23" s="1344" t="n"/>
      <c r="G23" s="1344" t="inlineStr">
        <is>
          <t>√</t>
        </is>
      </c>
      <c r="H23" s="1344" t="n"/>
      <c r="I23" s="1344" t="n"/>
      <c r="J23" s="1344" t="inlineStr">
        <is>
          <t>D4-12</t>
        </is>
      </c>
      <c r="L23" s="1315" t="n"/>
      <c r="M23" s="1315" t="n"/>
      <c r="N23" s="1315" t="n"/>
      <c r="O23" s="1315" t="n"/>
    </row>
    <row r="24" ht="56.4" customFormat="1" customHeight="1" s="1315">
      <c r="A24" s="1337" t="inlineStr">
        <is>
          <t>8</t>
        </is>
      </c>
      <c r="B24" s="1338" t="inlineStr">
        <is>
          <t xml:space="preserve">应对措施-检查  </t>
        </is>
      </c>
      <c r="C24" s="1356" t="inlineStr">
        <is>
          <t>采用恰当的抽样方法，选择样本检查时点法收入确认依据（出库单、验收单、物流运输单、发票等）是否充分，记账是否正确；检查时段法的履约进度确认方法是否恰当，前后期是否一致，检查履约进度确认收入依据（监理报告、履约进度审核报告、竣工验收报告、结算资料等）是否充分，记账是否正确。</t>
        </is>
      </c>
      <c r="D24" s="1340" t="inlineStr">
        <is>
          <t>常规★</t>
        </is>
      </c>
      <c r="E24" s="1351" t="inlineStr">
        <is>
          <t>√</t>
        </is>
      </c>
      <c r="F24" s="1344" t="n"/>
      <c r="G24" s="1344" t="inlineStr">
        <is>
          <t>√</t>
        </is>
      </c>
      <c r="H24" s="1344" t="inlineStr">
        <is>
          <t>√</t>
        </is>
      </c>
      <c r="I24" s="1344" t="n"/>
      <c r="J24" s="1357" t="inlineStr">
        <is>
          <t>D4-14</t>
        </is>
      </c>
      <c r="L24" s="1315" t="n"/>
      <c r="M24" s="1315" t="n"/>
      <c r="N24" s="1315" t="n"/>
      <c r="O24" s="1315" t="n"/>
    </row>
    <row r="25" ht="67.8" customHeight="1" s="1296">
      <c r="A25" s="1337" t="inlineStr">
        <is>
          <t>9</t>
        </is>
      </c>
      <c r="B25" s="1338" t="inlineStr">
        <is>
          <t xml:space="preserve">应对措施-检查  </t>
        </is>
      </c>
      <c r="C25" s="1358" t="inlineStr">
        <is>
          <t>针对重要出口业务收入：
（1）将销售记录与合同、报关单、装箱单、提单、发票、结汇单、物流运输单等出口销售单据进行核对；
（2）使用电子口岸卡登陆电子口岸的信息系统，查询交易记录。
（3）必要时，向海关函证出口交易信息。</t>
        </is>
      </c>
      <c r="D25" s="1340" t="inlineStr">
        <is>
          <t>备选</t>
        </is>
      </c>
      <c r="E25" s="1351" t="inlineStr">
        <is>
          <t>√</t>
        </is>
      </c>
      <c r="F25" s="1344" t="n"/>
      <c r="G25" s="1344" t="inlineStr">
        <is>
          <t>√</t>
        </is>
      </c>
      <c r="H25" s="1344" t="inlineStr">
        <is>
          <t>√</t>
        </is>
      </c>
      <c r="I25" s="1344" t="n"/>
      <c r="J25" s="1344" t="inlineStr">
        <is>
          <t>D4-14
/D4-16</t>
        </is>
      </c>
      <c r="K25" s="1315" t="n"/>
    </row>
    <row r="26" ht="42" customFormat="1" customHeight="1" s="1315">
      <c r="A26" s="1337" t="inlineStr">
        <is>
          <t>10</t>
        </is>
      </c>
      <c r="B26" s="1338" t="inlineStr">
        <is>
          <t xml:space="preserve">应对措施-检查  </t>
        </is>
      </c>
      <c r="C26" s="1356" t="inlineStr">
        <is>
          <t>针对电商、游戏等互联网行业等，应充分了解其具体的运营模式、盈利模式、不同参与主体间的责任分担等情况，结合IT审计检查收入数据、结算数据的真实性、完整性、准确性。</t>
        </is>
      </c>
      <c r="D26" s="1340" t="inlineStr">
        <is>
          <t>备选</t>
        </is>
      </c>
      <c r="E26" s="1351" t="inlineStr">
        <is>
          <t>√</t>
        </is>
      </c>
      <c r="F26" s="1344" t="n"/>
      <c r="G26" s="1340" t="inlineStr">
        <is>
          <t>√</t>
        </is>
      </c>
      <c r="H26" s="1344" t="n"/>
      <c r="I26" s="1344" t="n"/>
      <c r="J26" s="1357" t="n"/>
      <c r="L26" s="1315" t="n"/>
      <c r="M26" s="1315" t="n"/>
      <c r="N26" s="1315" t="n"/>
      <c r="O26" s="1315" t="n"/>
    </row>
    <row r="27" ht="136.8" customFormat="1" customHeight="1" s="1315">
      <c r="A27" s="1337" t="inlineStr">
        <is>
          <t>11</t>
        </is>
      </c>
      <c r="B27" s="1338" t="inlineStr">
        <is>
          <t xml:space="preserve">应对措施-检查  </t>
        </is>
      </c>
      <c r="C27" s="1358" t="inlineStr">
        <is>
          <t>针对大额现金交易：
（1）分析现金收付合理性，是否与行业特征和实际生产经营情况一致。
（2）获取公司报告期内存在现金销售的原因分析，分析被审计单位关于现金交易的相关说明是否合理。与对公司关键人员访谈、生产销售流程观察等程序获取的信息核对。
（3）逐月统计最近三年内现金销售收款金额，核查现金收款异常波动的原因，根据被审计单位情况分层统计分析，并对最近一年现金销售收入进行概要分析；
（4）选择大额或异常现金交易，进行测试，核对付款方和付款金额与合同、订单、出库单是否一致，款项是否确实由客户支付。记录主要信息，必要的留存复印件；未见异常的项目，按照随机抽样的原则抽取一定比例，进行测试。必要时，实施函证程序。</t>
        </is>
      </c>
      <c r="D27" s="1340" t="inlineStr">
        <is>
          <t>备选</t>
        </is>
      </c>
      <c r="E27" s="1351" t="inlineStr">
        <is>
          <t>√</t>
        </is>
      </c>
      <c r="F27" s="1344" t="n"/>
      <c r="G27" s="1340" t="inlineStr">
        <is>
          <t>√</t>
        </is>
      </c>
      <c r="H27" s="1344" t="inlineStr">
        <is>
          <t>√</t>
        </is>
      </c>
      <c r="I27" s="1344" t="n"/>
      <c r="J27" s="1357" t="n"/>
      <c r="L27" s="1315" t="n"/>
      <c r="M27" s="1315" t="n"/>
      <c r="N27" s="1315" t="n"/>
      <c r="O27" s="1315" t="n"/>
    </row>
    <row r="28" ht="160.5" customFormat="1" customHeight="1" s="1315">
      <c r="A28" s="1337" t="inlineStr">
        <is>
          <t>12</t>
        </is>
      </c>
      <c r="B28" s="1338" t="inlineStr">
        <is>
          <t xml:space="preserve">应对措施-检查  </t>
        </is>
      </c>
      <c r="C28" s="1354" t="inlineStr">
        <is>
          <t>销售的截止测试：
（1）获取资产负债表日前后若干笔会计记录，与发货单证等信息核对，确定收入是否记入了恰当的期间。
（2）获取资产负债表日前后若干张发货单，与会计记录信息核对，确定是否存在收入跨期。 
（3）复核资产负债表日前后的销售和发货水平，与正常水平相比是否存在异常，并考虑是否追加截止性测试。
（4）浏览期后一定时间的总账和明细账，以发现是否存在销售收
入冲回或大额销售退回的情况，对期后的大宗或异常的销售退货、冲回进行检查，以确定是否提前确认收入。
（5）结合存货监盘，对于尚未发运的销售（如开出账单但保管商品），查核支持性文件，与客户适当人员讨论，检查是否满足收入确认条件及会计处理的正确性。</t>
        </is>
      </c>
      <c r="D28" s="1340" t="inlineStr">
        <is>
          <t>常规★</t>
        </is>
      </c>
      <c r="E28" s="1344" t="n"/>
      <c r="F28" s="1344" t="n"/>
      <c r="G28" s="1344" t="n"/>
      <c r="H28" s="1351" t="inlineStr">
        <is>
          <t>√</t>
        </is>
      </c>
      <c r="I28" s="1344" t="n"/>
      <c r="J28" s="1344" t="inlineStr">
        <is>
          <t>D4-17
/D4-18</t>
        </is>
      </c>
      <c r="L28" s="1315" t="n"/>
      <c r="M28" s="1315" t="n"/>
      <c r="N28" s="1315" t="n"/>
      <c r="O28" s="1315" t="n"/>
    </row>
    <row r="29" ht="102.75" customFormat="1" customHeight="1" s="1315">
      <c r="A29" s="1337" t="inlineStr">
        <is>
          <t>13</t>
        </is>
      </c>
      <c r="B29" s="1338" t="inlineStr">
        <is>
          <t xml:space="preserve">应对措施-检查  </t>
        </is>
      </c>
      <c r="C29" s="1354" t="inlineStr">
        <is>
          <t>销售折扣与折让：
(1)获取或编制销售折扣与折让明细表，复核加计正确，并与明细账合计数核对相符；
(2)取得被审计单位有关折扣与折让的具体规定和其他文件资料，并抽查较大的折扣发生额的授权批准情况，与实际执行情况进行核对；
(3)检查折扣与折让是否及时足额提交对方，有无虚设中介、转移收入、私设账外“小金库”等情况；
(4)检查折扣与折让的会计处理是否正确。</t>
        </is>
      </c>
      <c r="D29" s="1340" t="inlineStr">
        <is>
          <t>常规★</t>
        </is>
      </c>
      <c r="E29" s="1344" t="n"/>
      <c r="F29" s="1344" t="n"/>
      <c r="G29" s="1359" t="inlineStr">
        <is>
          <t>√</t>
        </is>
      </c>
      <c r="H29" s="1351" t="n"/>
      <c r="I29" s="1344" t="n"/>
      <c r="J29" s="1344" t="inlineStr">
        <is>
          <t>D4-19</t>
        </is>
      </c>
    </row>
    <row r="30" ht="57" customFormat="1" customHeight="1" s="1315">
      <c r="A30" s="1337" t="inlineStr">
        <is>
          <t>14</t>
        </is>
      </c>
      <c r="B30" s="1338" t="inlineStr">
        <is>
          <t xml:space="preserve">应对措施-检查  </t>
        </is>
      </c>
      <c r="C30" s="1354" t="inlineStr">
        <is>
          <t>存在销货退回的，分析被审计单位对于退货率的估计是否合理，应付退货款、应收退货成本的会计处理是否正确；检查手续是否符合规定，结合原始销售凭证检查其会计处理是否正确；结合存货项目审计关注其真实性。</t>
        </is>
      </c>
      <c r="D30" s="1340" t="inlineStr">
        <is>
          <t>常规★</t>
        </is>
      </c>
      <c r="E30" s="1359" t="inlineStr">
        <is>
          <t>√</t>
        </is>
      </c>
      <c r="F30" s="1344" t="n"/>
      <c r="G30" s="1340" t="inlineStr">
        <is>
          <t>√</t>
        </is>
      </c>
      <c r="H30" s="1340" t="inlineStr">
        <is>
          <t>√</t>
        </is>
      </c>
      <c r="I30" s="1344" t="n"/>
      <c r="J30" s="1357" t="inlineStr">
        <is>
          <t>D4-20</t>
        </is>
      </c>
    </row>
    <row r="31" ht="125.4" customFormat="1" customHeight="1" s="1315">
      <c r="A31" s="1337" t="inlineStr">
        <is>
          <t>15</t>
        </is>
      </c>
      <c r="B31" s="1338" t="inlineStr">
        <is>
          <t xml:space="preserve">常规程序(选择“存在关联交易”)    </t>
        </is>
      </c>
      <c r="C31" s="1356" t="inlineStr">
        <is>
          <t>检查关联交易：
(1)了解交易的商业理由、交易事项的目的、价格和条件，考虑对关联方销售的合理性、合法性；
(2）检查证实交易的支持性文件（例如合同、发票、运输单据等），检查价格公允性，合同条款是否与非关联方一致；
（考虑向关联方或其他注册会计师函证重大的关联采购交易和余额（包括担保和其他重要信息）；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is>
      </c>
      <c r="D31" s="1340" t="inlineStr">
        <is>
          <t>常规★</t>
        </is>
      </c>
      <c r="E31" s="1351" t="inlineStr">
        <is>
          <t>√</t>
        </is>
      </c>
      <c r="F31" s="1344" t="inlineStr">
        <is>
          <t>√</t>
        </is>
      </c>
      <c r="G31" s="1351" t="inlineStr">
        <is>
          <t>√</t>
        </is>
      </c>
      <c r="H31" s="1344" t="n"/>
      <c r="I31" s="1344" t="inlineStr">
        <is>
          <t>√</t>
        </is>
      </c>
      <c r="J31" s="1357" t="inlineStr">
        <is>
          <t>D4-21</t>
        </is>
      </c>
      <c r="L31" s="1315" t="n"/>
      <c r="M31" s="1315" t="n"/>
      <c r="N31" s="1315" t="n"/>
      <c r="O31" s="1315" t="n"/>
    </row>
    <row r="32" ht="37.8" customFormat="1" customHeight="1" s="1315">
      <c r="A32" s="1337" t="inlineStr">
        <is>
          <t>16</t>
        </is>
      </c>
      <c r="B32" s="1338" t="n"/>
      <c r="C32" s="1356" t="inlineStr">
        <is>
          <t>根据评估的舞弊风险等因素增加的审计程序。</t>
        </is>
      </c>
      <c r="D32" s="1346" t="inlineStr">
        <is>
          <t>IPO/上市/新三板/重组/舞弊应对</t>
        </is>
      </c>
      <c r="E32" s="1351" t="n"/>
      <c r="F32" s="1344" t="n"/>
      <c r="G32" s="1351" t="n"/>
      <c r="H32" s="1344" t="n"/>
      <c r="I32" s="1344" t="n"/>
      <c r="J32" s="1357" t="inlineStr">
        <is>
          <t>D4-22A</t>
        </is>
      </c>
      <c r="L32" s="1315" t="n"/>
      <c r="M32" s="1315" t="n"/>
      <c r="N32" s="1315" t="n"/>
      <c r="O32" s="1315" t="n"/>
    </row>
    <row r="33" ht="36" customFormat="1" customHeight="1" s="1315">
      <c r="A33" s="1337" t="inlineStr">
        <is>
          <t>17</t>
        </is>
      </c>
      <c r="B33" s="1338" t="n"/>
      <c r="C33" s="1354" t="inlineStr">
        <is>
          <t>检查营业收入是否已按企业会计准则或其他适用的规定在财务报表中做出恰当列报和披露。</t>
        </is>
      </c>
      <c r="D33" s="1340" t="inlineStr">
        <is>
          <t>常规★</t>
        </is>
      </c>
      <c r="E33" s="1344" t="n"/>
      <c r="F33" s="1344" t="n"/>
      <c r="G33" s="1344" t="n"/>
      <c r="H33" s="1344" t="n"/>
      <c r="I33" s="1344" t="inlineStr">
        <is>
          <t>√</t>
        </is>
      </c>
      <c r="J33" s="1344" t="inlineStr">
        <is>
          <t>A 1-1/A1-15 /A1-16</t>
        </is>
      </c>
      <c r="L33" s="1315" t="n"/>
      <c r="M33" s="1315" t="n"/>
      <c r="N33" s="1315" t="n"/>
      <c r="O33" s="1315" t="n"/>
    </row>
    <row r="34" customFormat="1" s="1315">
      <c r="A34" s="1337" t="n"/>
      <c r="B34" s="1338" t="n"/>
      <c r="C34" s="1360" t="inlineStr">
        <is>
          <t>针对其他业务收入，考虑执行以下程序：</t>
        </is>
      </c>
      <c r="D34" s="1340" t="n"/>
      <c r="E34" s="1344" t="n"/>
      <c r="F34" s="1344" t="n"/>
      <c r="G34" s="1344" t="n"/>
      <c r="H34" s="1351" t="n"/>
      <c r="I34" s="1344" t="n"/>
      <c r="J34" s="1357" t="n"/>
    </row>
    <row r="35" ht="45.75" customFormat="1" customHeight="1" s="1315">
      <c r="A35" s="456" t="n">
        <v>18</v>
      </c>
      <c r="B35" s="1338" t="inlineStr">
        <is>
          <t xml:space="preserve">常规程序/应对措施-会计估计 </t>
        </is>
      </c>
      <c r="C35" s="1354" t="inlineStr">
        <is>
          <t>了解其他业务收入的业务内容，判断其分类为其他业务收入是否恰当。获取并了解被审计单位其他业务收入确认相关的会计政策，并与上年相比较是否存在重大差异变化。</t>
        </is>
      </c>
      <c r="D35" s="1340" t="inlineStr">
        <is>
          <t>常规★</t>
        </is>
      </c>
      <c r="E35" s="1351" t="inlineStr">
        <is>
          <t>√</t>
        </is>
      </c>
      <c r="F35" s="1344" t="n"/>
      <c r="G35" s="1344" t="n"/>
      <c r="H35" s="1351" t="n"/>
      <c r="I35" s="1344" t="n"/>
      <c r="J35" s="1344" t="inlineStr">
        <is>
          <t>D4-3
/D4-5</t>
        </is>
      </c>
    </row>
    <row r="36" ht="44.4" customFormat="1" customHeight="1" s="1315">
      <c r="A36" s="456" t="n">
        <v>19</v>
      </c>
      <c r="B36" s="1338" t="inlineStr">
        <is>
          <t xml:space="preserve">应对措施-实质性/非实质性分析程序 </t>
        </is>
      </c>
      <c r="C36" s="1354" t="inlineStr">
        <is>
          <t>计算本期其他业务收入与其他业务成本的比率和毛利率,并与上期该比率比较，检查是否有重大波动，如有，应查明原因。</t>
        </is>
      </c>
      <c r="D36" s="1340" t="inlineStr">
        <is>
          <t>常规★</t>
        </is>
      </c>
      <c r="E36" s="1351" t="inlineStr">
        <is>
          <t>√</t>
        </is>
      </c>
      <c r="F36" s="1344" t="inlineStr">
        <is>
          <t>√</t>
        </is>
      </c>
      <c r="G36" s="1340" t="inlineStr">
        <is>
          <t>√</t>
        </is>
      </c>
      <c r="H36" s="1344" t="n"/>
      <c r="I36" s="1344" t="n"/>
      <c r="J36" s="1357" t="inlineStr">
        <is>
          <t>D4-33</t>
        </is>
      </c>
    </row>
    <row r="37" ht="30.75" customFormat="1" customHeight="1" s="1315">
      <c r="A37" s="456" t="n">
        <v>20</v>
      </c>
      <c r="B37" s="1338" t="inlineStr">
        <is>
          <t xml:space="preserve">应对措施-检查  </t>
        </is>
      </c>
      <c r="C37" s="1354" t="inlineStr">
        <is>
          <t>获取其他业务收入合同，检查合同主要条款，考虑商业实质和合理性；重新计算出租、咨询等服务合同收入金额是否正确。</t>
        </is>
      </c>
      <c r="D37" s="1340" t="inlineStr">
        <is>
          <t>常规★</t>
        </is>
      </c>
      <c r="E37" s="1351" t="inlineStr">
        <is>
          <t>√</t>
        </is>
      </c>
      <c r="F37" s="1344" t="inlineStr">
        <is>
          <t>√</t>
        </is>
      </c>
      <c r="G37" s="1359" t="inlineStr">
        <is>
          <t>√</t>
        </is>
      </c>
      <c r="H37" s="1344" t="inlineStr">
        <is>
          <t>√</t>
        </is>
      </c>
      <c r="I37" s="1344" t="n"/>
      <c r="J37" s="1357" t="inlineStr">
        <is>
          <t>D4-34</t>
        </is>
      </c>
    </row>
    <row r="38" ht="30.75" customFormat="1" customHeight="1" s="1315">
      <c r="A38" s="456" t="n">
        <v>21</v>
      </c>
      <c r="B38" s="1338" t="inlineStr">
        <is>
          <t xml:space="preserve">应对措施-检查  </t>
        </is>
      </c>
      <c r="C38" s="1354" t="inlineStr">
        <is>
          <t>对于大额其他业务收入，检查支持性文件，分析交易实质，确定是否符合收入确认条件、会计处理是否正确。</t>
        </is>
      </c>
      <c r="D38" s="1340" t="inlineStr">
        <is>
          <t>常规★</t>
        </is>
      </c>
      <c r="E38" s="1351" t="inlineStr">
        <is>
          <t>√</t>
        </is>
      </c>
      <c r="F38" s="1344" t="n"/>
      <c r="G38" s="1351" t="inlineStr">
        <is>
          <t>√</t>
        </is>
      </c>
      <c r="H38" s="1344" t="inlineStr">
        <is>
          <t>√</t>
        </is>
      </c>
      <c r="I38" s="1344" t="n"/>
      <c r="J38" s="1357" t="inlineStr">
        <is>
          <t>D4-35</t>
        </is>
      </c>
    </row>
    <row r="39" ht="55.8" customFormat="1" customHeight="1" s="1315">
      <c r="A39" s="456" t="n">
        <v>22</v>
      </c>
      <c r="B39" s="1338" t="inlineStr">
        <is>
          <t xml:space="preserve">应对措施-检查  </t>
        </is>
      </c>
      <c r="C39" s="1354" t="inlineStr">
        <is>
          <t>抽取资产负债表日前后若干天、一定金额以上的其他业务收入记账凭证与发货单等信息核对，确定其他业务收入是否记入了恰当的期间；抽取资产负债表日前后若干天、一定金额以上的发货单等与记账凭证核对，确定其他业务收入是否记入了恰当的期间；</t>
        </is>
      </c>
      <c r="D39" s="1340" t="inlineStr">
        <is>
          <t>常规★</t>
        </is>
      </c>
      <c r="E39" s="1344" t="n"/>
      <c r="F39" s="1344" t="n"/>
      <c r="G39" s="1344" t="n"/>
      <c r="H39" s="1351" t="inlineStr">
        <is>
          <t>√</t>
        </is>
      </c>
      <c r="I39" s="1344" t="n"/>
      <c r="J39" s="1357" t="inlineStr">
        <is>
          <t>D4-36</t>
        </is>
      </c>
    </row>
    <row r="40" s="1296">
      <c r="B40" s="1361" t="n"/>
    </row>
    <row r="43" s="1296">
      <c r="C43" s="1362" t="n"/>
    </row>
  </sheetData>
  <mergeCells count="25">
    <mergeCell ref="A8:G8"/>
    <mergeCell ref="A3:C3"/>
    <mergeCell ref="J15:J16"/>
    <mergeCell ref="H11:J11"/>
    <mergeCell ref="A10:G10"/>
    <mergeCell ref="A13:G13"/>
    <mergeCell ref="A9:G9"/>
    <mergeCell ref="A5:C5"/>
    <mergeCell ref="H13:J13"/>
    <mergeCell ref="A14:C14"/>
    <mergeCell ref="H12:J12"/>
    <mergeCell ref="A4:C4"/>
    <mergeCell ref="A11:G11"/>
    <mergeCell ref="B15:B16"/>
    <mergeCell ref="D15:D16"/>
    <mergeCell ref="A1:J1"/>
    <mergeCell ref="A6:J6"/>
    <mergeCell ref="H8:J8"/>
    <mergeCell ref="H10:J10"/>
    <mergeCell ref="A12:G12"/>
    <mergeCell ref="A15:A16"/>
    <mergeCell ref="E15:H15"/>
    <mergeCell ref="C15:C16"/>
    <mergeCell ref="H9:J9"/>
    <mergeCell ref="A2:J2"/>
  </mergeCells>
  <hyperlinks>
    <hyperlink ref="J3" location="底稿目录!Print_Area" display="D4A"/>
  </hyperlinks>
  <pageMargins left="0.708333333333333" right="0.708333333333333" top="0.747916666666667" bottom="0.747916666666667" header="0.314583333333333" footer="0.314583333333333"/>
  <pageSetup orientation="portrait" paperSize="9" scale="67" blackAndWhite="1" horizontalDpi="1200" verticalDpi="1200"/>
  <headerFooter alignWithMargins="0">
    <oddHeader/>
    <oddFooter>&amp;C&amp;P/&amp;N</oddFooter>
    <evenHeader/>
    <evenFooter/>
    <firstHeader/>
    <firstFooter/>
  </headerFooter>
  <rowBreaks count="1" manualBreakCount="1">
    <brk id="23" min="0" max="9"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80"/>
  <sheetViews>
    <sheetView view="pageBreakPreview" zoomScaleNormal="130" workbookViewId="0">
      <selection activeCell="F8" sqref="F8"/>
    </sheetView>
  </sheetViews>
  <sheetFormatPr baseColWidth="8" defaultColWidth="9.81818181818182" defaultRowHeight="20.1" customHeight="1"/>
  <cols>
    <col width="26.1818181818182" customWidth="1" style="1363" min="1" max="1"/>
    <col width="14.6181818181818" customWidth="1" style="1363" min="2" max="9"/>
    <col width="9.81818181818182" customWidth="1" style="1363" min="10" max="16384"/>
  </cols>
  <sheetData>
    <row r="1" s="1296">
      <c r="A1" s="1364" t="inlineStr">
        <is>
          <t>致同会计师事务所</t>
        </is>
      </c>
    </row>
    <row r="2" s="1296">
      <c r="A2" s="1365" t="inlineStr">
        <is>
          <t>营业收入审定表</t>
        </is>
      </c>
    </row>
    <row r="3" s="1296">
      <c r="A3" s="1363" t="inlineStr">
        <is>
          <t>被审计单位：</t>
        </is>
      </c>
      <c r="C3" s="1366" t="inlineStr">
        <is>
          <t>编制人：</t>
        </is>
      </c>
      <c r="D3" s="1366" t="n"/>
      <c r="E3" s="1366" t="n"/>
      <c r="F3" s="1363" t="inlineStr">
        <is>
          <t>编制日期：</t>
        </is>
      </c>
      <c r="H3" s="1367" t="inlineStr">
        <is>
          <t>索引号：</t>
        </is>
      </c>
      <c r="I3" s="1322" t="inlineStr">
        <is>
          <t>D4-1</t>
        </is>
      </c>
    </row>
    <row r="4" s="1296">
      <c r="A4" s="1363" t="inlineStr">
        <is>
          <t>会计期间：202X年度</t>
        </is>
      </c>
      <c r="C4" s="1366" t="inlineStr">
        <is>
          <t>复核人：</t>
        </is>
      </c>
      <c r="D4" s="1366" t="n"/>
      <c r="E4" s="1366" t="n"/>
      <c r="F4" s="1363" t="inlineStr">
        <is>
          <t>复核日期：</t>
        </is>
      </c>
      <c r="H4" s="1367" t="inlineStr">
        <is>
          <t>页次：</t>
        </is>
      </c>
      <c r="I4" s="1368" t="n"/>
    </row>
    <row r="5" s="1296">
      <c r="A5" s="1369" t="inlineStr">
        <is>
          <t>项目</t>
        </is>
      </c>
      <c r="B5" s="1370" t="inlineStr">
        <is>
          <t>本期数</t>
        </is>
      </c>
      <c r="C5" s="1371" t="n"/>
      <c r="D5" s="1371" t="n"/>
      <c r="E5" s="1372" t="n"/>
      <c r="F5" s="1370" t="inlineStr">
        <is>
          <t>上期数</t>
        </is>
      </c>
      <c r="G5" s="1371" t="n"/>
      <c r="H5" s="1371" t="n"/>
      <c r="I5" s="1372" t="n"/>
    </row>
    <row r="6" s="1296">
      <c r="A6" s="1373" t="n"/>
      <c r="B6" s="1369" t="inlineStr">
        <is>
          <t>未审数</t>
        </is>
      </c>
      <c r="C6" s="1369" t="inlineStr">
        <is>
          <t>账项调整</t>
        </is>
      </c>
      <c r="D6" s="1369" t="inlineStr">
        <is>
          <t>重分类调整</t>
        </is>
      </c>
      <c r="E6" s="1369" t="inlineStr">
        <is>
          <t>审定数</t>
        </is>
      </c>
      <c r="F6" s="1369" t="inlineStr">
        <is>
          <t>未审数</t>
        </is>
      </c>
      <c r="G6" s="1369" t="inlineStr">
        <is>
          <t>账项调整</t>
        </is>
      </c>
      <c r="H6" s="1369" t="inlineStr">
        <is>
          <t>重分类调整</t>
        </is>
      </c>
      <c r="I6" s="1369" t="inlineStr">
        <is>
          <t>审定数</t>
        </is>
      </c>
    </row>
    <row r="7" s="1296">
      <c r="A7" s="1374" t="inlineStr">
        <is>
          <t>主营业务收入：</t>
        </is>
      </c>
      <c r="B7" s="1375" t="n"/>
      <c r="C7" s="1375" t="n"/>
      <c r="D7" s="1375" t="n"/>
      <c r="E7" s="1376" t="n"/>
      <c r="F7" s="1375" t="n"/>
      <c r="G7" s="1375" t="n"/>
      <c r="H7" s="1375" t="n"/>
      <c r="I7" s="1376" t="n"/>
    </row>
    <row r="8" s="1296">
      <c r="A8" s="1377" t="n"/>
      <c r="B8" s="1378" t="n"/>
      <c r="C8" s="1378" t="n"/>
      <c r="D8" s="1378" t="n"/>
      <c r="E8" s="1379">
        <f>SUM(B8:D8)</f>
        <v/>
      </c>
      <c r="F8" s="1378" t="n"/>
      <c r="G8" s="1378" t="n"/>
      <c r="H8" s="1378" t="n"/>
      <c r="I8" s="1379">
        <f>SUM(F8:H8)</f>
        <v/>
      </c>
    </row>
    <row r="9" s="1296">
      <c r="A9" s="1377" t="n"/>
      <c r="B9" s="1378" t="n"/>
      <c r="C9" s="1378" t="n"/>
      <c r="D9" s="1378" t="n"/>
      <c r="E9" s="1379">
        <f>SUM(B9:D9)</f>
        <v/>
      </c>
      <c r="F9" s="1378" t="n"/>
      <c r="G9" s="1378" t="n"/>
      <c r="H9" s="1378" t="n"/>
      <c r="I9" s="1379">
        <f>SUM(F9:H9)</f>
        <v/>
      </c>
    </row>
    <row r="10" s="1296">
      <c r="A10" s="1377" t="n"/>
      <c r="B10" s="1378" t="n"/>
      <c r="C10" s="1378" t="n"/>
      <c r="D10" s="1378" t="n"/>
      <c r="E10" s="1379">
        <f>SUM(B10:D10)</f>
        <v/>
      </c>
      <c r="F10" s="1378" t="n"/>
      <c r="G10" s="1378" t="n"/>
      <c r="H10" s="1378" t="n"/>
      <c r="I10" s="1379">
        <f>SUM(F10:H10)</f>
        <v/>
      </c>
    </row>
    <row r="11" s="1296">
      <c r="A11" s="1380" t="n"/>
      <c r="B11" s="1378" t="n"/>
      <c r="C11" s="1378" t="n"/>
      <c r="D11" s="1378" t="n"/>
      <c r="E11" s="1379">
        <f>SUM(B11:D11)</f>
        <v/>
      </c>
      <c r="F11" s="1378" t="n"/>
      <c r="G11" s="1378" t="n"/>
      <c r="H11" s="1378" t="n"/>
      <c r="I11" s="1379">
        <f>SUM(F11:H11)</f>
        <v/>
      </c>
    </row>
    <row r="12" s="1296">
      <c r="A12" s="1381" t="inlineStr">
        <is>
          <t>小计</t>
        </is>
      </c>
      <c r="B12" s="1382">
        <f>SUM(B8:B11)</f>
        <v/>
      </c>
      <c r="C12" s="1382">
        <f>SUM(C8:C11)</f>
        <v/>
      </c>
      <c r="D12" s="1382">
        <f>SUM(D8:D11)</f>
        <v/>
      </c>
      <c r="E12" s="1382">
        <f>B12+C12+D12</f>
        <v/>
      </c>
      <c r="F12" s="1382">
        <f>SUM(F8:F11)</f>
        <v/>
      </c>
      <c r="G12" s="1382">
        <f>SUM(G8:G11)</f>
        <v/>
      </c>
      <c r="H12" s="1382">
        <f>SUM(H8:H11)</f>
        <v/>
      </c>
      <c r="I12" s="1382">
        <f>SUM(I8:I11)</f>
        <v/>
      </c>
    </row>
    <row r="13" s="1296">
      <c r="A13" s="1374" t="inlineStr">
        <is>
          <t>其他业务收入：</t>
        </is>
      </c>
      <c r="B13" s="1383" t="n"/>
      <c r="C13" s="1383" t="n"/>
      <c r="D13" s="1383" t="n"/>
      <c r="E13" s="1379" t="n"/>
      <c r="F13" s="1383" t="n"/>
      <c r="G13" s="1383" t="n"/>
      <c r="H13" s="1383" t="n"/>
      <c r="I13" s="1379" t="n"/>
    </row>
    <row r="14" s="1296">
      <c r="A14" s="1377" t="n"/>
      <c r="B14" s="1378" t="n"/>
      <c r="C14" s="1378" t="n"/>
      <c r="D14" s="1378" t="n"/>
      <c r="E14" s="1379">
        <f>SUM(B14:D14)</f>
        <v/>
      </c>
      <c r="F14" s="1378" t="n"/>
      <c r="G14" s="1378" t="n"/>
      <c r="H14" s="1378" t="n"/>
      <c r="I14" s="1379">
        <f>SUM(F14:H14)</f>
        <v/>
      </c>
    </row>
    <row r="15" s="1296">
      <c r="A15" s="1377" t="n"/>
      <c r="B15" s="1378" t="n"/>
      <c r="C15" s="1378" t="n"/>
      <c r="D15" s="1378" t="n"/>
      <c r="E15" s="1379">
        <f>SUM(B15:D15)</f>
        <v/>
      </c>
      <c r="F15" s="1378" t="n"/>
      <c r="G15" s="1378" t="n"/>
      <c r="H15" s="1378" t="n"/>
      <c r="I15" s="1379">
        <f>SUM(F15:H15)</f>
        <v/>
      </c>
    </row>
    <row r="16" s="1296">
      <c r="A16" s="1377" t="n"/>
      <c r="B16" s="1378" t="n"/>
      <c r="C16" s="1378" t="n"/>
      <c r="D16" s="1378" t="n"/>
      <c r="E16" s="1379">
        <f>SUM(B16:D16)</f>
        <v/>
      </c>
      <c r="F16" s="1378" t="n"/>
      <c r="G16" s="1378" t="n"/>
      <c r="H16" s="1378" t="n"/>
      <c r="I16" s="1379">
        <f>SUM(F16:H16)</f>
        <v/>
      </c>
    </row>
    <row r="17" s="1296">
      <c r="A17" s="1377" t="n"/>
      <c r="B17" s="1378" t="n"/>
      <c r="C17" s="1378" t="n"/>
      <c r="D17" s="1378" t="n"/>
      <c r="E17" s="1379">
        <f>SUM(B17:D17)</f>
        <v/>
      </c>
      <c r="F17" s="1378" t="n"/>
      <c r="G17" s="1378" t="n"/>
      <c r="H17" s="1378" t="n"/>
      <c r="I17" s="1379">
        <f>SUM(F17:H17)</f>
        <v/>
      </c>
    </row>
    <row r="18" s="1296">
      <c r="A18" s="1381" t="inlineStr">
        <is>
          <t>小计</t>
        </is>
      </c>
      <c r="B18" s="1382">
        <f>SUM(B14:B17)</f>
        <v/>
      </c>
      <c r="C18" s="1382">
        <f>SUM(C14:C17)</f>
        <v/>
      </c>
      <c r="D18" s="1382">
        <f>SUM(D14:D17)</f>
        <v/>
      </c>
      <c r="E18" s="1382">
        <f>SUM(E14:E17)</f>
        <v/>
      </c>
      <c r="F18" s="1382">
        <f>SUM(F14:F17)</f>
        <v/>
      </c>
      <c r="G18" s="1382">
        <f>SUM(G14:G17)</f>
        <v/>
      </c>
      <c r="H18" s="1382">
        <f>SUM(H14:H17)</f>
        <v/>
      </c>
      <c r="I18" s="1382">
        <f>SUM(I14:I17)</f>
        <v/>
      </c>
    </row>
    <row r="19" s="1296">
      <c r="A19" s="1381" t="inlineStr">
        <is>
          <t>合计</t>
        </is>
      </c>
      <c r="B19" s="1382">
        <f>B18+B12</f>
        <v/>
      </c>
      <c r="C19" s="1382">
        <f>C18+C12</f>
        <v/>
      </c>
      <c r="D19" s="1382">
        <f>D18+D12</f>
        <v/>
      </c>
      <c r="E19" s="1382">
        <f>E18+E12</f>
        <v/>
      </c>
      <c r="F19" s="1382">
        <f>F18+F12</f>
        <v/>
      </c>
      <c r="G19" s="1382">
        <f>G18+G12</f>
        <v/>
      </c>
      <c r="H19" s="1382">
        <f>H18+H12</f>
        <v/>
      </c>
      <c r="I19" s="1382">
        <f>I18+I12</f>
        <v/>
      </c>
    </row>
    <row r="20" customFormat="1" s="1363">
      <c r="A20" s="1384" t="inlineStr">
        <is>
          <t>试算平衡表数</t>
        </is>
      </c>
      <c r="B20" s="1385" t="n"/>
      <c r="C20" s="1385" t="n"/>
      <c r="D20" s="1385" t="n"/>
      <c r="E20" s="1385" t="n"/>
      <c r="F20" s="1385" t="n"/>
      <c r="G20" s="1385" t="n"/>
      <c r="H20" s="1385" t="n"/>
      <c r="I20" s="1385" t="n"/>
    </row>
    <row r="21" customFormat="1" s="1363">
      <c r="A21" s="1384" t="inlineStr">
        <is>
          <t>差异数</t>
        </is>
      </c>
      <c r="B21" s="1385" t="n"/>
      <c r="C21" s="1385" t="n"/>
      <c r="D21" s="1385" t="n"/>
      <c r="E21" s="1386">
        <f>E19-E20</f>
        <v/>
      </c>
      <c r="F21" s="1385" t="n"/>
      <c r="G21" s="1385" t="n"/>
      <c r="H21" s="1385" t="n"/>
      <c r="I21" s="1386">
        <f>I19-I20</f>
        <v/>
      </c>
    </row>
    <row r="22" s="1296">
      <c r="A22" s="1387" t="inlineStr">
        <is>
          <t>1.审计说明</t>
        </is>
      </c>
      <c r="B22" s="1366" t="n"/>
      <c r="C22" s="1366" t="n"/>
      <c r="D22" s="1366" t="n"/>
      <c r="E22" s="1388" t="inlineStr">
        <is>
          <t>2.审计结论</t>
        </is>
      </c>
      <c r="F22" s="1389" t="n"/>
      <c r="H22" s="1388" t="n"/>
      <c r="I22" s="1389" t="n"/>
    </row>
    <row r="23" s="1296">
      <c r="A23" s="1217" t="inlineStr">
        <is>
          <t>（1）营业收入本期较上期增加（负数为减少）：</t>
        </is>
      </c>
      <c r="B23" s="1217" t="n"/>
      <c r="C23" s="1217" t="n"/>
      <c r="D23" s="1217" t="n"/>
      <c r="E23" s="1217" t="n"/>
      <c r="F23" s="1217" t="n"/>
      <c r="G23" s="1217" t="n"/>
      <c r="H23" s="1217" t="n"/>
      <c r="I23" s="1217" t="n"/>
    </row>
    <row r="24" s="1296">
      <c r="A24" s="1217" t="inlineStr">
        <is>
          <t>主要原因（比例超过30%的）：</t>
        </is>
      </c>
      <c r="B24" s="1217" t="n"/>
      <c r="C24" s="1217" t="n"/>
      <c r="D24" s="1217" t="n"/>
      <c r="E24" s="1217" t="n"/>
      <c r="F24" s="1217" t="n"/>
      <c r="G24" s="1217" t="n"/>
      <c r="H24" s="1217" t="n"/>
      <c r="I24" s="1217" t="n"/>
    </row>
    <row r="25" s="1296">
      <c r="A25" s="1217" t="n"/>
      <c r="B25" s="1217" t="n"/>
      <c r="C25" s="1217" t="n"/>
      <c r="D25" s="1217" t="n"/>
      <c r="E25" s="1217" t="n"/>
      <c r="F25" s="1217" t="n"/>
      <c r="G25" s="1217" t="n"/>
      <c r="H25" s="1217" t="n"/>
      <c r="I25" s="1217" t="n"/>
    </row>
    <row r="26" s="1296">
      <c r="A26" s="1217" t="inlineStr">
        <is>
          <t>（2）公司前五名客户营业收入总额为 元，占公司全部主营业务收入的比例为 %。</t>
        </is>
      </c>
      <c r="B26" s="1217" t="n"/>
      <c r="C26" s="1217" t="n"/>
      <c r="D26" s="1217" t="n"/>
      <c r="E26" s="1217" t="n"/>
      <c r="F26" s="1217" t="n"/>
      <c r="G26" s="1217" t="n"/>
      <c r="H26" s="1217" t="n"/>
      <c r="I26" s="1217" t="n"/>
    </row>
    <row r="27" s="1296">
      <c r="A27" s="1217" t="n"/>
      <c r="B27" s="1218" t="n"/>
      <c r="C27" s="1218" t="n"/>
      <c r="D27" s="1218" t="n"/>
      <c r="E27" s="1218" t="n"/>
      <c r="F27" s="1218" t="n"/>
      <c r="G27" s="1218" t="n"/>
      <c r="H27" s="1218" t="n"/>
      <c r="I27" s="1218" t="n"/>
    </row>
    <row r="28" s="1296">
      <c r="A28" s="1219" t="inlineStr">
        <is>
          <t>（3）实际执行的审计程序和完成的底稿概述</t>
        </is>
      </c>
      <c r="B28" s="1220" t="n"/>
      <c r="C28" s="1220" t="n"/>
      <c r="D28" s="1220" t="n"/>
      <c r="E28" s="1220" t="n"/>
      <c r="F28" s="1218" t="n"/>
      <c r="G28" s="1218" t="n"/>
      <c r="H28" s="1218" t="n"/>
      <c r="I28" s="1218" t="n"/>
    </row>
    <row r="29" s="1296">
      <c r="A29" s="1221" t="inlineStr">
        <is>
          <t>实施的实质性程序概述</t>
        </is>
      </c>
      <c r="B29" s="1390" t="n"/>
      <c r="C29" s="1221" t="inlineStr">
        <is>
          <t>执行结果</t>
        </is>
      </c>
      <c r="D29" s="1390" t="n"/>
      <c r="E29" s="1222" t="inlineStr">
        <is>
          <t>底稿索引号</t>
        </is>
      </c>
      <c r="F29" s="1218" t="n"/>
      <c r="G29" s="1218" t="n"/>
      <c r="H29" s="1218" t="n"/>
      <c r="I29" s="1218" t="n"/>
    </row>
    <row r="30" s="1296">
      <c r="A30" s="1391" t="n"/>
      <c r="B30" s="1390" t="n"/>
      <c r="C30" s="1392" t="n"/>
      <c r="D30" s="1390" t="n"/>
      <c r="E30" s="1227" t="n"/>
      <c r="F30" s="1218" t="n"/>
      <c r="G30" s="1218" t="n"/>
      <c r="H30" s="1218" t="n"/>
      <c r="I30" s="1218" t="n"/>
    </row>
    <row r="31" s="1296">
      <c r="A31" s="1391" t="n"/>
      <c r="B31" s="1390" t="n"/>
      <c r="C31" s="1392" t="n"/>
      <c r="D31" s="1390" t="n"/>
      <c r="E31" s="1227" t="n"/>
      <c r="F31" s="1218" t="n"/>
      <c r="G31" s="1218" t="n"/>
      <c r="H31" s="1218" t="n"/>
      <c r="I31" s="1218" t="n"/>
    </row>
    <row r="32" s="1296">
      <c r="A32" s="1391" t="n"/>
      <c r="B32" s="1390" t="n"/>
      <c r="C32" s="1392" t="n"/>
      <c r="D32" s="1390" t="n"/>
      <c r="E32" s="1227" t="n"/>
      <c r="F32" s="1218" t="n"/>
      <c r="G32" s="1218" t="n"/>
      <c r="H32" s="1218" t="n"/>
      <c r="I32" s="1218" t="n"/>
    </row>
    <row r="33" s="1296">
      <c r="A33" s="1391" t="n"/>
      <c r="B33" s="1390" t="n"/>
      <c r="C33" s="1392" t="n"/>
      <c r="D33" s="1390" t="n"/>
      <c r="E33" s="1227" t="n"/>
      <c r="F33" s="1218" t="n"/>
      <c r="G33" s="1218" t="n"/>
      <c r="H33" s="1218" t="n"/>
      <c r="I33" s="1218" t="n"/>
    </row>
    <row r="34" s="1296">
      <c r="A34" s="1391" t="n"/>
      <c r="B34" s="1390" t="n"/>
      <c r="C34" s="1392" t="n"/>
      <c r="D34" s="1390" t="n"/>
      <c r="E34" s="1227" t="n"/>
      <c r="F34" s="1228" t="n"/>
      <c r="G34" s="1228" t="n"/>
      <c r="H34" s="1228" t="n"/>
      <c r="I34" s="1228" t="n"/>
    </row>
    <row r="35" s="1296">
      <c r="A35" s="1391" t="n"/>
      <c r="B35" s="1390" t="n"/>
      <c r="C35" s="1392" t="n"/>
      <c r="D35" s="1390" t="n"/>
      <c r="E35" s="1227" t="n"/>
      <c r="F35" s="1217" t="n"/>
      <c r="G35" s="1217" t="n"/>
      <c r="H35" s="1217" t="n"/>
      <c r="I35" s="1217" t="n"/>
    </row>
    <row r="36" s="1296">
      <c r="A36" s="1393" t="inlineStr">
        <is>
          <t>注：根据2024年沪深北交易所修订的《上市规则》：公司最近一个会计年度经审计的利润总额、净利润或者扣除非经常性损益后的净利润孰低者为负值的，公司应当在年度报告或者更正公告中披露</t>
        </is>
      </c>
      <c r="B36" s="1394" t="n"/>
      <c r="C36" s="1395" t="n"/>
      <c r="D36" s="1395" t="n"/>
      <c r="E36" s="1396" t="n"/>
      <c r="F36" s="1397" t="n"/>
      <c r="G36" s="1397" t="n"/>
      <c r="H36" s="1397" t="n"/>
      <c r="I36" s="1397" t="n"/>
    </row>
    <row r="37" s="1296">
      <c r="A37" s="1398" t="inlineStr">
        <is>
          <t xml:space="preserve">营业收入扣除情况及扣除后的营业收入金额；负责审计的会计师事务所应当就公司营业收入扣除事项是否符合本条规定及扣除后的营业收入金额出具专项核查意见。项目需完成营业收入扣除情况核查底稿&lt;S20&gt;
</t>
        </is>
      </c>
      <c r="B37" s="1397" t="n"/>
      <c r="C37" s="1397" t="n"/>
      <c r="D37" s="1397" t="n"/>
      <c r="E37" s="1397" t="n"/>
      <c r="F37" s="1397" t="n"/>
      <c r="G37" s="1397" t="n"/>
      <c r="H37" s="1397" t="n"/>
      <c r="I37" s="1397" t="n"/>
    </row>
    <row r="39" customFormat="1" s="1399">
      <c r="A39" s="1400" t="inlineStr">
        <is>
          <t>提示1：根据2024年沪深北交易所修订的《上市规则》：公司最近一个会计年度经审计的利润总额、净利润或者扣除非经常性损益后的净利润孰低者为负值的，公司应当在年度报告或者更正公告中披露</t>
        </is>
      </c>
    </row>
    <row r="40" customFormat="1" s="1399">
      <c r="A40" s="1399" t="inlineStr">
        <is>
          <t>营业收入扣除情况及扣除后的营业收入金额；负责审计的会计师事务所应当就公司营业收入扣除事项是否符合本条规定及扣除后的营业收入金额出具专项核查意见。项目需完成营业收入扣除情况核查底稿&lt;S20&gt;</t>
        </is>
      </c>
    </row>
    <row r="41" customFormat="1" s="1399">
      <c r="A41" s="1399" t="inlineStr">
        <is>
          <t>提示2：针对最近一个会计年度经审计营业收入低于 3亿元（沪深主板）/1亿元（科创板、创业板）但利润总额、净利润及扣除非经常性损益后的净利润均为正值的公司，会计师事务所应当对其非经常</t>
        </is>
      </c>
    </row>
    <row r="42" customFormat="1" s="1399">
      <c r="A42" s="1400" t="inlineStr">
        <is>
          <t>性损益披露的真实性、准确性、完整性出具专项核查意见。</t>
        </is>
      </c>
    </row>
    <row r="43" customFormat="1" s="1399"/>
    <row r="44" customFormat="1" s="1399"/>
    <row r="45" customFormat="1" s="1399"/>
    <row r="46" customFormat="1" s="1399"/>
    <row r="47" customFormat="1" s="1399"/>
    <row r="48" customFormat="1" s="1399"/>
    <row r="49" customFormat="1" s="1399">
      <c r="A49" s="1401" t="n"/>
    </row>
    <row r="50" customFormat="1" s="1399"/>
    <row r="51" customFormat="1" s="1399"/>
    <row r="52" s="1296">
      <c r="A52" s="1399" t="n"/>
    </row>
    <row r="53" s="1296">
      <c r="A53" s="1399" t="n"/>
    </row>
    <row r="54" s="1296">
      <c r="A54" s="1399" t="n"/>
    </row>
    <row r="55" s="1296">
      <c r="A55" s="1399" t="n"/>
    </row>
    <row r="56" s="1296">
      <c r="A56" s="1399" t="n"/>
    </row>
    <row r="58" s="1296">
      <c r="A58" s="1399" t="n"/>
    </row>
    <row r="59" s="1296">
      <c r="A59" s="1401" t="n"/>
    </row>
    <row r="60" s="1296">
      <c r="A60" s="1402" t="n"/>
      <c r="B60" s="1399" t="n"/>
    </row>
    <row r="61" s="1296">
      <c r="A61" s="1402" t="n"/>
      <c r="B61" s="1399" t="n"/>
    </row>
    <row r="62" s="1296">
      <c r="A62" s="1402" t="n"/>
      <c r="B62" s="1399" t="n"/>
    </row>
    <row r="74" s="1296">
      <c r="A74" s="1403" t="inlineStr">
        <is>
          <t>出租固定资产</t>
        </is>
      </c>
    </row>
    <row r="75" s="1296">
      <c r="A75" s="1403" t="inlineStr">
        <is>
          <t>出租无形资产</t>
        </is>
      </c>
    </row>
    <row r="76" s="1296">
      <c r="A76" s="1403" t="inlineStr">
        <is>
          <t>出租包装物和商品</t>
        </is>
      </c>
    </row>
    <row r="77" s="1296">
      <c r="A77" s="1403" t="inlineStr">
        <is>
          <t>销售材料</t>
        </is>
      </c>
    </row>
    <row r="78" s="1296">
      <c r="A78" s="1403" t="inlineStr">
        <is>
          <t>用材料进行非货币性交换</t>
        </is>
      </c>
    </row>
    <row r="79" s="1296">
      <c r="A79" s="1403" t="inlineStr">
        <is>
          <t>用材料进行债务重组</t>
        </is>
      </c>
    </row>
    <row r="80" s="1296">
      <c r="A80" s="1403" t="inlineStr">
        <is>
          <t>投资性房地产租金收入</t>
        </is>
      </c>
    </row>
  </sheetData>
  <mergeCells count="19">
    <mergeCell ref="C34:D34"/>
    <mergeCell ref="A30:B30"/>
    <mergeCell ref="C30:D30"/>
    <mergeCell ref="C33:D33"/>
    <mergeCell ref="B5:E5"/>
    <mergeCell ref="C35:D35"/>
    <mergeCell ref="A2:I2"/>
    <mergeCell ref="C29:D29"/>
    <mergeCell ref="C31:D31"/>
    <mergeCell ref="A5:A6"/>
    <mergeCell ref="A33:B33"/>
    <mergeCell ref="A32:B32"/>
    <mergeCell ref="F5:I5"/>
    <mergeCell ref="A35:B35"/>
    <mergeCell ref="C32:D32"/>
    <mergeCell ref="A29:B29"/>
    <mergeCell ref="A1:I1"/>
    <mergeCell ref="A31:B31"/>
    <mergeCell ref="A34:B34"/>
  </mergeCells>
  <hyperlinks>
    <hyperlink ref="I3" location="底稿目录!Print_Area" display="D4-1"/>
  </hyperlinks>
  <pageMargins left="0.708333333333333" right="0.708333333333333" top="0.747916666666667" bottom="0.747916666666667" header="0.314583333333333" footer="0.314583333333333"/>
  <pageSetup orientation="portrait" paperSize="9" scale="62" blackAndWhite="1" horizontalDpi="1200" verticalDpi="1200"/>
  <headerFooter alignWithMargins="0">
    <oddHeader/>
    <oddFooter>&amp;C&amp;P/&amp;N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85"/>
  <sheetViews>
    <sheetView view="pageBreakPreview" zoomScaleNormal="60" workbookViewId="0">
      <pane xSplit="1" ySplit="8" topLeftCell="B9" activePane="bottomRight" state="frozen"/>
      <selection activeCell="A1" sqref="A1"/>
      <selection pane="topRight" activeCell="A1" sqref="A1"/>
      <selection pane="bottomLeft" activeCell="A1" sqref="A1"/>
      <selection pane="bottomRight" activeCell="A1" sqref="A1:I1"/>
    </sheetView>
  </sheetViews>
  <sheetFormatPr baseColWidth="8" defaultColWidth="8.945454545454551" defaultRowHeight="20.1" customHeight="1"/>
  <cols>
    <col width="35.1272727272727" customWidth="1" style="1404" min="1" max="1"/>
    <col width="18.7636363636364" customWidth="1" style="1405" min="2" max="2"/>
    <col width="20.4" customWidth="1" style="1405" min="3" max="3"/>
    <col width="22.5818181818182" customWidth="1" style="1405" min="4" max="4"/>
    <col width="21.7090909090909" customWidth="1" style="1405" min="5" max="5"/>
    <col width="9.709090909090911" customWidth="1" style="1405" min="6" max="6"/>
    <col width="8.945454545454551" customWidth="1" style="1405" min="7" max="7"/>
    <col width="8.945454545454551" customWidth="1" style="1405" min="8" max="16384"/>
  </cols>
  <sheetData>
    <row r="1" s="1296">
      <c r="A1" s="1406" t="inlineStr">
        <is>
          <t>致同会计师事务所</t>
        </is>
      </c>
      <c r="B1" s="1311" t="n"/>
      <c r="C1" s="1311" t="n"/>
      <c r="D1" s="1311" t="n"/>
      <c r="E1" s="1311" t="n"/>
      <c r="F1" s="1311" t="n"/>
      <c r="G1" s="1311" t="n"/>
      <c r="H1" s="1311" t="n"/>
      <c r="I1" s="1311" t="n"/>
    </row>
    <row r="2" s="1296">
      <c r="A2" s="1407" t="inlineStr">
        <is>
          <t>附注披露信息（上市公司）</t>
        </is>
      </c>
      <c r="B2" s="1311" t="n"/>
      <c r="C2" s="1311" t="n"/>
      <c r="D2" s="1311" t="n"/>
      <c r="E2" s="1311" t="n"/>
      <c r="F2" s="1311" t="n"/>
      <c r="G2" s="1311" t="n"/>
      <c r="H2" s="1311" t="n"/>
      <c r="I2" s="1311" t="n"/>
    </row>
    <row r="3" s="1296">
      <c r="A3" s="1408" t="inlineStr">
        <is>
          <t>客户名称：</t>
        </is>
      </c>
      <c r="B3" s="1408" t="n"/>
      <c r="C3" s="1408" t="inlineStr">
        <is>
          <t>编制人：</t>
        </is>
      </c>
      <c r="D3" s="1408" t="n"/>
      <c r="E3" s="1408" t="inlineStr">
        <is>
          <t>编制日期：</t>
        </is>
      </c>
      <c r="F3" s="1408" t="n"/>
      <c r="G3" s="1408" t="n"/>
      <c r="H3" s="1408" t="n"/>
      <c r="I3" s="1409" t="inlineStr">
        <is>
          <t>索引号：</t>
        </is>
      </c>
    </row>
    <row r="4" s="1296">
      <c r="A4" s="1408" t="inlineStr">
        <is>
          <t>会计期间：201x年度</t>
        </is>
      </c>
      <c r="B4" s="1408" t="n"/>
      <c r="C4" s="1408" t="inlineStr">
        <is>
          <t>复核人：</t>
        </is>
      </c>
      <c r="D4" s="1408" t="n"/>
      <c r="E4" s="1408" t="inlineStr">
        <is>
          <t>复核日期：</t>
        </is>
      </c>
      <c r="F4" s="1408" t="n"/>
      <c r="G4" s="1408" t="n"/>
      <c r="H4" s="1408" t="n"/>
      <c r="I4" s="1410" t="inlineStr">
        <is>
          <t>页  次：1</t>
        </is>
      </c>
    </row>
    <row r="6" ht="25.5" customHeight="1" s="1296">
      <c r="A6" s="1411" t="inlineStr">
        <is>
          <t>营业收入附注汇总</t>
        </is>
      </c>
      <c r="B6" s="1412" t="n"/>
      <c r="C6" s="1412" t="n"/>
      <c r="D6" s="1413" t="n"/>
      <c r="E6" s="1414" t="n"/>
      <c r="F6" s="1415" t="n"/>
    </row>
    <row r="7" ht="29.25" customHeight="1" s="1296">
      <c r="A7" s="1416" t="inlineStr">
        <is>
          <t>（1）营业收入和营业成本</t>
        </is>
      </c>
    </row>
    <row r="8" ht="20.25" customFormat="1" customHeight="1" s="1417">
      <c r="A8" s="1418" t="inlineStr">
        <is>
          <t>项  目</t>
        </is>
      </c>
      <c r="B8" s="1419" t="inlineStr">
        <is>
          <t>本期发生额</t>
        </is>
      </c>
      <c r="C8" s="1420" t="n"/>
      <c r="D8" s="1419" t="inlineStr">
        <is>
          <t>上期发生额</t>
        </is>
      </c>
      <c r="E8" s="1420" t="n"/>
      <c r="F8" s="1405" t="n"/>
    </row>
    <row r="9" ht="15.75" customHeight="1" s="1296">
      <c r="A9" s="1421" t="n"/>
      <c r="B9" s="1422" t="inlineStr">
        <is>
          <t>收入</t>
        </is>
      </c>
      <c r="C9" s="1422" t="inlineStr">
        <is>
          <t>成本</t>
        </is>
      </c>
      <c r="D9" s="1422" t="inlineStr">
        <is>
          <t>收入</t>
        </is>
      </c>
      <c r="E9" s="1422" t="inlineStr">
        <is>
          <t>成本</t>
        </is>
      </c>
      <c r="G9" s="1423" t="n"/>
      <c r="H9" s="1423" t="n"/>
    </row>
    <row r="10" ht="15.5" customHeight="1" s="1296">
      <c r="A10" s="1424" t="inlineStr">
        <is>
          <t>主营业务</t>
        </is>
      </c>
      <c r="B10" s="1425" t="n"/>
      <c r="C10" s="1425" t="n"/>
      <c r="D10" s="1425" t="n"/>
      <c r="E10" s="1425" t="n"/>
      <c r="G10" s="1423" t="n"/>
      <c r="H10" s="1423" t="n"/>
    </row>
    <row r="11" ht="16.25" customHeight="1" s="1296">
      <c r="A11" s="1426" t="inlineStr">
        <is>
          <t>其他业务</t>
        </is>
      </c>
      <c r="B11" s="1427" t="n"/>
      <c r="C11" s="1427" t="n"/>
      <c r="D11" s="1427" t="n"/>
      <c r="E11" s="1427" t="n"/>
      <c r="G11" s="1423" t="n"/>
      <c r="H11" s="1423" t="n"/>
    </row>
    <row r="12" ht="16.25" customHeight="1" s="1296">
      <c r="A12" s="1428" t="inlineStr">
        <is>
          <t>合  计</t>
        </is>
      </c>
      <c r="B12" s="1429">
        <f>SUM(B10:B11)</f>
        <v/>
      </c>
      <c r="C12" s="1429">
        <f>SUM(C10:C11)</f>
        <v/>
      </c>
      <c r="D12" s="1429">
        <f>SUM(D10:D11)</f>
        <v/>
      </c>
      <c r="E12" s="1429">
        <f>SUM(E10:E11)</f>
        <v/>
      </c>
      <c r="G12" s="1423" t="n"/>
      <c r="H12" s="1423" t="n"/>
    </row>
    <row r="13" ht="15" customHeight="1" s="1296">
      <c r="A13" s="1430" t="inlineStr">
        <is>
          <t>说明：</t>
        </is>
      </c>
      <c r="G13" s="1423" t="n"/>
      <c r="H13" s="1423" t="n"/>
    </row>
    <row r="14" ht="15.5" customHeight="1" s="1296">
      <c r="A14" s="1431" t="inlineStr">
        <is>
          <t xml:space="preserve">[披露本公司前期已经履行 (或部分履行) 的履约义务在本期调整的收入。例如： </t>
        </is>
      </c>
      <c r="G14" s="1423" t="n"/>
      <c r="H14" s="1423" t="n"/>
    </row>
    <row r="15" ht="15" customHeight="1" s="1296">
      <c r="A15" s="1432" t="inlineStr">
        <is>
          <t xml:space="preserve">本公司在2023年确认的、源自前期已经履行 (或部分履行) 的履约义务的收入金额为人民币XX元，主要是由于与XX客户签订的XX合同的估计完工进度发生了变化。] </t>
        </is>
      </c>
      <c r="G15" s="1423" t="n"/>
      <c r="H15" s="1423" t="n"/>
    </row>
    <row r="16" ht="15" customHeight="1" s="1296">
      <c r="A16" s="1432" t="inlineStr">
        <is>
          <t>【提示：</t>
        </is>
      </c>
      <c r="G16" s="1423" t="n"/>
      <c r="H16" s="1423" t="n"/>
    </row>
    <row r="17" ht="15.5" customHeight="1" s="1296">
      <c r="A17" s="1431" t="inlineStr">
        <is>
          <t>1.处置投资性房地产（无论采用公允价值模式计量还是成本模式计量）的收入，在“其他业务收入”列示，相应结转成本至“其他业务成本”；</t>
        </is>
      </c>
      <c r="G17" s="1423" t="n"/>
      <c r="H17" s="1423" t="n"/>
    </row>
    <row r="18" ht="16.5" customFormat="1" customHeight="1" s="1433">
      <c r="A18" s="1431" t="inlineStr">
        <is>
          <t>2.单项的投资性房地产的处置，无论是直接出售还是先划分为持有待售资产再出售，处置损益均计入“其他业务收入/成本”，不计入“资产处置损益”</t>
        </is>
      </c>
      <c r="B18" s="1405" t="n"/>
      <c r="C18" s="1405" t="n"/>
      <c r="D18" s="1405" t="n"/>
      <c r="E18" s="1405" t="n"/>
      <c r="F18" s="1405" t="n"/>
    </row>
    <row r="19" ht="16.5" customFormat="1" customHeight="1" s="1433">
      <c r="A19" s="1431" t="inlineStr">
        <is>
          <t>3.在停工停产期间继续计提固定资产折旧和无形资产摊销，并根据用途计入相关资产的成本或当期损益。例如，企业因需求不足而停产或因事故而停工检修等，相关生产设备应当继续计提折旧，并计入营业成本。】</t>
        </is>
      </c>
      <c r="B19" s="1405" t="n"/>
      <c r="C19" s="1405" t="n"/>
      <c r="D19" s="1405" t="n"/>
      <c r="E19" s="1405" t="n"/>
      <c r="F19" s="1405" t="n"/>
    </row>
    <row r="20" ht="16.5" customFormat="1" customHeight="1" s="1434">
      <c r="A20" s="1416" t="inlineStr">
        <is>
          <t>（2）营业收入、营业成本按行业（或产品类型）划分</t>
        </is>
      </c>
      <c r="B20" s="1405" t="n"/>
      <c r="C20" s="1405" t="n"/>
      <c r="D20" s="1405" t="n"/>
      <c r="E20" s="1405" t="n"/>
      <c r="F20" s="1405" t="n"/>
    </row>
    <row r="21" ht="15.75" customHeight="1" s="1296">
      <c r="A21" s="1435" t="inlineStr">
        <is>
          <t>主要产品类型（或行业）</t>
        </is>
      </c>
      <c r="B21" s="1436" t="inlineStr">
        <is>
          <t>本期发生额</t>
        </is>
      </c>
      <c r="C21" s="1420" t="n"/>
      <c r="D21" s="1436" t="inlineStr">
        <is>
          <t>上期发生额</t>
        </is>
      </c>
      <c r="E21" s="1420" t="n"/>
    </row>
    <row r="22" ht="29.25" customHeight="1" s="1296">
      <c r="A22" s="1421" t="n"/>
      <c r="B22" s="1437" t="inlineStr">
        <is>
          <t>收入</t>
        </is>
      </c>
      <c r="C22" s="1437" t="inlineStr">
        <is>
          <t>成本</t>
        </is>
      </c>
      <c r="D22" s="1437" t="inlineStr">
        <is>
          <t>收入</t>
        </is>
      </c>
      <c r="E22" s="1422" t="inlineStr">
        <is>
          <t>成本</t>
        </is>
      </c>
    </row>
    <row r="23" ht="20.25" customFormat="1" customHeight="1" s="1417">
      <c r="A23" s="1430" t="inlineStr">
        <is>
          <t>主营业务：</t>
        </is>
      </c>
      <c r="B23" s="1438" t="n"/>
      <c r="C23" s="1438" t="n"/>
      <c r="D23" s="1438" t="n"/>
      <c r="E23" s="1439" t="n"/>
      <c r="F23" s="1405" t="n"/>
    </row>
    <row r="24" ht="15" customHeight="1" s="1296">
      <c r="A24" s="1440" t="inlineStr">
        <is>
          <t>消费品</t>
        </is>
      </c>
      <c r="B24" s="1441" t="n"/>
      <c r="C24" s="1441" t="n"/>
      <c r="D24" s="1441" t="n"/>
      <c r="E24" s="1441" t="n"/>
      <c r="G24" s="1423" t="n"/>
      <c r="H24" s="1423" t="n"/>
    </row>
    <row r="25" ht="15" customHeight="1" s="1296">
      <c r="A25" s="1440" t="inlineStr">
        <is>
          <t>汽车</t>
        </is>
      </c>
      <c r="B25" s="1441" t="n"/>
      <c r="C25" s="1441" t="n"/>
      <c r="D25" s="1441" t="n"/>
      <c r="E25" s="1441" t="n"/>
      <c r="G25" s="1423" t="n"/>
      <c r="H25" s="1423" t="n"/>
    </row>
    <row r="26" ht="15" customHeight="1" s="1296">
      <c r="A26" s="1440" t="inlineStr">
        <is>
          <t>能源</t>
        </is>
      </c>
      <c r="B26" s="1441" t="n"/>
      <c r="C26" s="1441" t="n"/>
      <c r="D26" s="1441" t="n"/>
      <c r="E26" s="1441" t="n"/>
      <c r="G26" s="1423" t="n"/>
      <c r="H26" s="1423" t="n"/>
    </row>
    <row r="27" ht="15.5" customHeight="1" s="1296">
      <c r="A27" s="1442" t="inlineStr">
        <is>
          <t>......</t>
        </is>
      </c>
      <c r="B27" s="1438" t="n"/>
      <c r="C27" s="1438" t="n"/>
      <c r="D27" s="1438" t="n"/>
      <c r="E27" s="1439" t="n"/>
      <c r="G27" s="1423" t="n"/>
      <c r="H27" s="1423" t="n"/>
    </row>
    <row r="28" ht="15.5" customHeight="1" s="1296">
      <c r="A28" s="1442" t="n"/>
      <c r="B28" s="1438" t="n"/>
      <c r="C28" s="1438" t="n"/>
      <c r="D28" s="1438" t="n"/>
      <c r="E28" s="1439" t="n"/>
      <c r="G28" s="1423" t="n"/>
      <c r="H28" s="1423" t="n"/>
    </row>
    <row r="29" ht="15.5" customFormat="1" customHeight="1" s="1433">
      <c r="A29" s="1430" t="inlineStr">
        <is>
          <t>小  计</t>
        </is>
      </c>
      <c r="B29" s="1443">
        <f>SUM(B24:B28)-B24-B25-B26</f>
        <v/>
      </c>
      <c r="C29" s="1443">
        <f>SUM(C24:C28)-C24-C25-C26</f>
        <v/>
      </c>
      <c r="D29" s="1443">
        <f>SUM(D24:D28)-D24-D25-D26</f>
        <v/>
      </c>
      <c r="E29" s="1443">
        <f>SUM(E24:E28)-E24-E25-E26</f>
        <v/>
      </c>
      <c r="F29" s="1405" t="n"/>
    </row>
    <row r="30" ht="16.5" customFormat="1" customHeight="1" s="1434">
      <c r="A30" s="1430" t="inlineStr">
        <is>
          <t>其他业务：</t>
        </is>
      </c>
      <c r="B30" s="1438" t="n"/>
      <c r="C30" s="1438" t="n"/>
      <c r="D30" s="1438" t="n"/>
      <c r="E30" s="1439" t="n"/>
      <c r="F30" s="1405" t="n"/>
    </row>
    <row r="31" ht="15.5" customHeight="1" s="1296">
      <c r="A31" s="1440" t="inlineStr">
        <is>
          <t>销售材料</t>
        </is>
      </c>
      <c r="B31" s="1438" t="n"/>
      <c r="C31" s="1438" t="n"/>
      <c r="D31" s="1438" t="n"/>
      <c r="E31" s="1439" t="n"/>
    </row>
    <row r="32" ht="29.25" customHeight="1" s="1296">
      <c r="A32" s="1440" t="inlineStr">
        <is>
          <t>租赁收入</t>
        </is>
      </c>
      <c r="B32" s="1438" t="n"/>
      <c r="C32" s="1438" t="n"/>
      <c r="D32" s="1438" t="n"/>
      <c r="E32" s="1439" t="n"/>
    </row>
    <row r="33" ht="20.25" customFormat="1" customHeight="1" s="1417">
      <c r="A33" s="1444" t="inlineStr">
        <is>
          <t>小  计</t>
        </is>
      </c>
      <c r="B33" s="1445">
        <f>SUM(B31:B32)</f>
        <v/>
      </c>
      <c r="C33" s="1445">
        <f>SUM(C31:C32)</f>
        <v/>
      </c>
      <c r="D33" s="1445">
        <f>SUM(D31:D32)</f>
        <v/>
      </c>
      <c r="E33" s="1445">
        <f>SUM(E31:E32)</f>
        <v/>
      </c>
      <c r="F33" s="1405" t="n"/>
    </row>
    <row r="34" ht="16.25" customHeight="1" s="1296">
      <c r="A34" s="1446" t="inlineStr">
        <is>
          <t>合  计</t>
        </is>
      </c>
      <c r="B34" s="1447">
        <f>B29+B33</f>
        <v/>
      </c>
      <c r="C34" s="1447">
        <f>C29+C33</f>
        <v/>
      </c>
      <c r="D34" s="1447">
        <f>D29+D33</f>
        <v/>
      </c>
      <c r="E34" s="1447">
        <f>E29+E33</f>
        <v/>
      </c>
      <c r="G34" s="1423" t="n"/>
      <c r="H34" s="1423" t="n"/>
    </row>
    <row r="35" ht="17.25" customHeight="1" s="1296">
      <c r="A35" s="1416" t="inlineStr">
        <is>
          <t>（3）营业收入、营业成本按地区划分（不适用的，删除）</t>
        </is>
      </c>
      <c r="G35" s="1423" t="n"/>
      <c r="H35" s="1423" t="n"/>
    </row>
    <row r="36" ht="15.75" customHeight="1" s="1296">
      <c r="A36" s="1435" t="inlineStr">
        <is>
          <t>主要经营地区</t>
        </is>
      </c>
      <c r="B36" s="1436" t="inlineStr">
        <is>
          <t>本期发生额</t>
        </is>
      </c>
      <c r="C36" s="1420" t="n"/>
      <c r="D36" s="1436" t="inlineStr">
        <is>
          <t>上期发生额</t>
        </is>
      </c>
      <c r="E36" s="1420" t="n"/>
      <c r="G36" s="1423" t="n"/>
      <c r="H36" s="1423" t="n"/>
    </row>
    <row r="37" ht="15.75" customHeight="1" s="1296">
      <c r="A37" s="1421" t="n"/>
      <c r="B37" s="1437" t="inlineStr">
        <is>
          <t>主营业务收入</t>
        </is>
      </c>
      <c r="C37" s="1437" t="inlineStr">
        <is>
          <t>主营业务成本</t>
        </is>
      </c>
      <c r="D37" s="1437" t="inlineStr">
        <is>
          <t>主营业务收入</t>
        </is>
      </c>
      <c r="E37" s="1422" t="inlineStr">
        <is>
          <t>主营业务成本</t>
        </is>
      </c>
      <c r="G37" s="1423" t="n"/>
      <c r="H37" s="1423" t="n"/>
    </row>
    <row r="38" ht="15.5" customHeight="1" s="1296">
      <c r="A38" s="1440" t="inlineStr">
        <is>
          <t>东北</t>
        </is>
      </c>
      <c r="B38" s="1443" t="n"/>
      <c r="C38" s="1443" t="n"/>
      <c r="D38" s="1443" t="n"/>
      <c r="E38" s="1443" t="n"/>
      <c r="G38" s="1423" t="n"/>
      <c r="H38" s="1423" t="n"/>
    </row>
    <row r="39" ht="15.5" customHeight="1" s="1296">
      <c r="A39" s="1440" t="inlineStr">
        <is>
          <t>华北</t>
        </is>
      </c>
      <c r="B39" s="1443" t="n"/>
      <c r="C39" s="1443" t="n"/>
      <c r="D39" s="1443" t="n"/>
      <c r="E39" s="1443" t="n"/>
      <c r="G39" s="1423" t="n"/>
      <c r="H39" s="1423" t="n"/>
    </row>
    <row r="40" ht="29.25" customHeight="1" s="1296">
      <c r="A40" s="1440" t="inlineStr">
        <is>
          <t>西北</t>
        </is>
      </c>
      <c r="B40" s="1443" t="n"/>
      <c r="C40" s="1443" t="n"/>
      <c r="D40" s="1443" t="n"/>
      <c r="E40" s="1443" t="n"/>
    </row>
    <row r="41" ht="15.5" customHeight="1" s="1296">
      <c r="A41" s="1442" t="inlineStr">
        <is>
          <t>......</t>
        </is>
      </c>
      <c r="B41" s="1438" t="n"/>
      <c r="C41" s="1438" t="n"/>
      <c r="D41" s="1438" t="n"/>
      <c r="E41" s="1439" t="n"/>
      <c r="G41" s="1423" t="n"/>
      <c r="H41" s="1423" t="n"/>
    </row>
    <row r="42" ht="16.25" customHeight="1" s="1296">
      <c r="A42" s="1448" t="n"/>
      <c r="B42" s="1449" t="n"/>
      <c r="C42" s="1449" t="n"/>
      <c r="D42" s="1449" t="n"/>
      <c r="E42" s="1450" t="n"/>
      <c r="G42" s="1423" t="n"/>
      <c r="H42" s="1423" t="n"/>
    </row>
    <row r="43" ht="16.25" customHeight="1" s="1296">
      <c r="A43" s="1446" t="inlineStr">
        <is>
          <t>小  计</t>
        </is>
      </c>
      <c r="B43" s="1451">
        <f>B40+B39+B38</f>
        <v/>
      </c>
      <c r="C43" s="1451">
        <f>C40+C39+C38</f>
        <v/>
      </c>
      <c r="D43" s="1451">
        <f>D40+D39+D38</f>
        <v/>
      </c>
      <c r="E43" s="1451">
        <f>E40+E39+E38</f>
        <v/>
      </c>
      <c r="G43" s="1423" t="n"/>
      <c r="H43" s="1423" t="n"/>
    </row>
    <row r="44" ht="17.25" customHeight="1" s="1296">
      <c r="A44" s="1416" t="inlineStr">
        <is>
          <t>（4）营业收入、营业成本按分解信息</t>
        </is>
      </c>
      <c r="G44" s="1423" t="n"/>
      <c r="H44" s="1423" t="n"/>
    </row>
    <row r="45" ht="15.75" customHeight="1" s="1296">
      <c r="A45" s="1452" t="n"/>
      <c r="B45" s="1453" t="inlineStr">
        <is>
          <t>本期发生额</t>
        </is>
      </c>
      <c r="C45" s="1420" t="n"/>
      <c r="D45" s="1420" t="n"/>
      <c r="E45" s="1420" t="n"/>
      <c r="F45" s="1420" t="n"/>
      <c r="G45" s="1420" t="n"/>
      <c r="H45" s="1420" t="n"/>
      <c r="I45" s="1420" t="n"/>
    </row>
    <row r="46" ht="15.75" customHeight="1" s="1296">
      <c r="B46" s="1454" t="inlineStr">
        <is>
          <t>消费品</t>
        </is>
      </c>
      <c r="D46" s="1454" t="inlineStr">
        <is>
          <t>汽车</t>
        </is>
      </c>
      <c r="F46" s="1455" t="inlineStr">
        <is>
          <t>能源</t>
        </is>
      </c>
      <c r="H46" s="1455" t="inlineStr">
        <is>
          <t>其他</t>
        </is>
      </c>
    </row>
    <row r="47" ht="15.75" customHeight="1" s="1296">
      <c r="A47" s="1456" t="n"/>
      <c r="B47" s="1437" t="inlineStr">
        <is>
          <t>收入</t>
        </is>
      </c>
      <c r="C47" s="1437" t="inlineStr">
        <is>
          <t>成本</t>
        </is>
      </c>
      <c r="D47" s="1437" t="inlineStr">
        <is>
          <t>收入</t>
        </is>
      </c>
      <c r="E47" s="1437" t="inlineStr">
        <is>
          <t>成本</t>
        </is>
      </c>
      <c r="F47" s="1437" t="inlineStr">
        <is>
          <t>收入</t>
        </is>
      </c>
      <c r="G47" s="1437" t="inlineStr">
        <is>
          <t>成本</t>
        </is>
      </c>
      <c r="H47" s="1437" t="inlineStr">
        <is>
          <t>收入</t>
        </is>
      </c>
      <c r="I47" s="1437" t="inlineStr">
        <is>
          <t>成本</t>
        </is>
      </c>
    </row>
    <row r="48" ht="15.5" customHeight="1" s="1296">
      <c r="A48" s="1430" t="inlineStr">
        <is>
          <t>主营业务</t>
        </is>
      </c>
      <c r="B48" s="1443">
        <f>SUM(B49:B51)</f>
        <v/>
      </c>
      <c r="C48" s="1443">
        <f>SUM(C49:C51)</f>
        <v/>
      </c>
      <c r="D48" s="1443" t="n"/>
      <c r="E48" s="1443" t="n"/>
      <c r="F48" s="1443">
        <f>SUM(F49:F51)</f>
        <v/>
      </c>
      <c r="G48" s="1443" t="n"/>
      <c r="H48" s="1443" t="n"/>
      <c r="I48" s="1443">
        <f>SUM(I49:I51)</f>
        <v/>
      </c>
    </row>
    <row r="49" ht="15.5" customHeight="1" s="1296">
      <c r="A49" s="1430" t="inlineStr">
        <is>
          <t>其中：在某一时点确认</t>
        </is>
      </c>
      <c r="B49" s="1443" t="n"/>
      <c r="C49" s="1443" t="n"/>
      <c r="D49" s="1443" t="n"/>
      <c r="E49" s="1443" t="n"/>
      <c r="F49" s="1443" t="n"/>
      <c r="G49" s="1443" t="n"/>
      <c r="H49" s="1443" t="n"/>
      <c r="I49" s="1443" t="n"/>
    </row>
    <row r="50" ht="15.5" customFormat="1" customHeight="1" s="1433">
      <c r="A50" s="1430" t="inlineStr">
        <is>
          <t xml:space="preserve">      在某一时段确认</t>
        </is>
      </c>
      <c r="B50" s="1443" t="n"/>
      <c r="C50" s="1443" t="n"/>
      <c r="D50" s="1443" t="n"/>
      <c r="E50" s="1443" t="n"/>
      <c r="F50" s="1443" t="n"/>
      <c r="G50" s="1443" t="n"/>
      <c r="H50" s="1443" t="n"/>
      <c r="I50" s="1443" t="n"/>
    </row>
    <row r="51" ht="16.5" customFormat="1" customHeight="1" s="1434">
      <c r="A51" s="1430" t="n"/>
      <c r="B51" s="1443" t="n"/>
      <c r="C51" s="1443" t="n"/>
      <c r="D51" s="1443" t="n"/>
      <c r="E51" s="1443" t="n"/>
      <c r="F51" s="1443" t="n"/>
      <c r="G51" s="1443" t="n"/>
      <c r="H51" s="1443" t="n"/>
      <c r="I51" s="1443" t="n"/>
    </row>
    <row r="52" ht="15.5" customHeight="1" s="1296">
      <c r="A52" s="1430" t="inlineStr">
        <is>
          <t>其他业务</t>
        </is>
      </c>
      <c r="B52" s="1443">
        <f>SUM(B53:B55)</f>
        <v/>
      </c>
      <c r="C52" s="1443">
        <f>SUM(C53:C55)</f>
        <v/>
      </c>
      <c r="D52" s="1443" t="n"/>
      <c r="E52" s="1443" t="n"/>
      <c r="F52" s="1443">
        <f>SUM(F53:F55)</f>
        <v/>
      </c>
      <c r="G52" s="1443" t="n"/>
      <c r="H52" s="1443" t="n"/>
      <c r="I52" s="1443">
        <f>SUM(I53:I55)</f>
        <v/>
      </c>
    </row>
    <row r="53" ht="15.5" customHeight="1" s="1296">
      <c r="A53" s="1430" t="inlineStr">
        <is>
          <t>其中：在某一时点确认</t>
        </is>
      </c>
      <c r="B53" s="1443" t="n"/>
      <c r="C53" s="1438" t="n"/>
      <c r="D53" s="1438" t="n"/>
      <c r="E53" s="1438" t="n"/>
      <c r="F53" s="1438" t="n"/>
      <c r="G53" s="1438" t="n"/>
      <c r="H53" s="1438" t="n"/>
      <c r="I53" s="1438" t="n"/>
    </row>
    <row r="54" ht="15.5" customHeight="1" s="1296">
      <c r="A54" s="1430" t="inlineStr">
        <is>
          <t xml:space="preserve">      在某一时段确认</t>
        </is>
      </c>
      <c r="B54" s="1438" t="n"/>
      <c r="C54" s="1438" t="n"/>
      <c r="D54" s="1438" t="n"/>
      <c r="E54" s="1438" t="n"/>
      <c r="F54" s="1438" t="n"/>
      <c r="G54" s="1438" t="n"/>
      <c r="H54" s="1438" t="n"/>
      <c r="I54" s="1438" t="n"/>
    </row>
    <row r="55" ht="16.25" customHeight="1" s="1296">
      <c r="A55" s="1430" t="inlineStr">
        <is>
          <t xml:space="preserve">      租赁收入</t>
        </is>
      </c>
      <c r="B55" s="1438" t="n"/>
      <c r="C55" s="1438" t="n"/>
      <c r="D55" s="1438" t="n"/>
      <c r="E55" s="1438" t="n"/>
      <c r="F55" s="1438" t="n"/>
      <c r="G55" s="1438" t="n"/>
      <c r="H55" s="1438" t="n"/>
      <c r="I55" s="1438" t="n"/>
    </row>
    <row r="56" ht="16.25" customHeight="1" s="1296">
      <c r="A56" s="1435" t="inlineStr">
        <is>
          <t>合  计</t>
        </is>
      </c>
      <c r="B56" s="1457">
        <f>B52+B48</f>
        <v/>
      </c>
      <c r="C56" s="1457">
        <f>C52+C48</f>
        <v/>
      </c>
      <c r="D56" s="1457" t="n"/>
      <c r="E56" s="1457" t="n"/>
      <c r="F56" s="1457">
        <f>F52+F48</f>
        <v/>
      </c>
      <c r="G56" s="1457" t="n"/>
      <c r="H56" s="1457" t="n"/>
      <c r="I56" s="1457">
        <f>I52+I48</f>
        <v/>
      </c>
    </row>
    <row r="57" ht="15" customHeight="1" s="1296">
      <c r="A57" s="1432" t="inlineStr">
        <is>
          <t>【提示：在确定对收入进行分解的类别时，企业应当考虑其在下列情况下是如何列报和披露与收入有关的信息：</t>
        </is>
      </c>
    </row>
    <row r="58" ht="16.5" customHeight="1" s="1296">
      <c r="A58" s="1458" t="inlineStr">
        <is>
          <t>①在财务报表之外披露的信息，例如，在企业的业绩公告、年报或向投资者报送的相关资料中披露的收入信息；</t>
        </is>
      </c>
    </row>
    <row r="59" ht="16.5" customHeight="1" s="1296">
      <c r="A59" s="1458" t="inlineStr">
        <is>
          <t>②管理层为评价经营分部的财务业绩所定期复核的信息；以及</t>
        </is>
      </c>
    </row>
    <row r="60" ht="16.5" customHeight="1" s="1296">
      <c r="A60" s="1458" t="inlineStr">
        <is>
          <t>③企业或企业的财务报表使用者在评价企业的财务业绩或作出资源分配决策时，所使用的类似于上述①和②的信息类型的其他信息。</t>
        </is>
      </c>
    </row>
    <row r="61" ht="15" customHeight="1" s="1296">
      <c r="A61" s="1432" t="inlineStr">
        <is>
          <t>企业在对收入信息进行分解时，可以采用的类别包括但不限于：商品类型、经营地区、市场或客户类型、合同类型（例如，固定造价合同、成本加成合同等）、商品转让的时间（例如，在某一时点转让或在某一时段内转让）、合同期限（例如，长期合同、短期合同等）、销售渠道（例如，直接销售或通过经销商销售等）等。</t>
        </is>
      </c>
    </row>
    <row r="62" ht="16.5" customHeight="1" s="1296">
      <c r="A62" s="1459" t="inlineStr">
        <is>
          <t>④租赁收入需单独披露。】</t>
        </is>
      </c>
    </row>
    <row r="63" ht="15.5" customHeight="1" s="1296">
      <c r="A63" s="1416" t="inlineStr">
        <is>
          <t>（5）履约义务的说明</t>
        </is>
      </c>
    </row>
    <row r="64" ht="15" customHeight="1" s="1296">
      <c r="A64" s="1432" t="inlineStr">
        <is>
          <t>（披露与履约义务相关的信息，包括履约义务通常的履行时间、重要的支付条款、企业承诺转让的商品的性质（包括说明企业是否作为代理人）、企业承担的预期将退还给客户的款项等类似义务、质量保证的类型及相关义务等。）</t>
        </is>
      </c>
    </row>
    <row r="65" ht="15.5" customHeight="1" s="1296">
      <c r="A65" s="1416" t="inlineStr">
        <is>
          <t>（6）与剩余履约义务有关的信息</t>
        </is>
      </c>
    </row>
    <row r="66" ht="15" customHeight="1" s="1296">
      <c r="A66" s="1432" t="inlineStr">
        <is>
          <t>【披露与剩余履约义务有关的下列信息：①分摊至本期末尚未履行（或部分未履行）履约义务的交易价格总额；②上述金额确认为收入的预计时间，企业可以按照对于剩余履约义务的期间而言最恰当的时间段为基础提供有关预计时间的定量信息，或者使用定性信息进行说明。】</t>
        </is>
      </c>
    </row>
    <row r="67" ht="15.75" customHeight="1" s="1296">
      <c r="A67" s="1430" t="inlineStr">
        <is>
          <t>分摊至尚未履行的履约义务的交易价格为xxx元，截止xx年xx月xx日，对于上述金额确认为收入的预计时间如下：</t>
        </is>
      </c>
    </row>
    <row r="68" ht="17.25" customHeight="1" s="1296">
      <c r="A68" s="1435" t="inlineStr">
        <is>
          <t>年  度</t>
        </is>
      </c>
      <c r="B68" s="1460" t="inlineStr">
        <is>
          <t>2024年</t>
        </is>
      </c>
      <c r="C68" s="1460" t="inlineStr">
        <is>
          <t>2025年</t>
        </is>
      </c>
      <c r="D68" s="1461" t="inlineStr">
        <is>
          <t>合计</t>
        </is>
      </c>
    </row>
    <row r="69" ht="15.5" customHeight="1" s="1296">
      <c r="A69" s="1430" t="inlineStr">
        <is>
          <t>xx合同预计将确认的收入</t>
        </is>
      </c>
      <c r="B69" s="1438" t="n"/>
      <c r="C69" s="1438" t="n"/>
      <c r="D69" s="1462">
        <f>SUM(B69:C69)</f>
        <v/>
      </c>
    </row>
    <row r="70" ht="16.25" customHeight="1" s="1296">
      <c r="A70" s="1444" t="n"/>
      <c r="B70" s="1449" t="n"/>
      <c r="C70" s="1449" t="n"/>
      <c r="D70" s="1445">
        <f>SUM(B70:C70)</f>
        <v/>
      </c>
    </row>
    <row r="71" ht="15" customHeight="1" s="1296">
      <c r="A71" s="1432" t="inlineStr">
        <is>
          <t>【说明：是否存在任何对价金额未纳入交易价格，从而未纳入对于分摊至剩余履约义务的交易价格所需披露的信息之中，例如，由于将可变对价计入交易价格的限制要求而未计入交易价格的可变对价。】</t>
        </is>
      </c>
    </row>
    <row r="72" ht="15" customHeight="1" s="1296">
      <c r="A72" s="1432" t="inlineStr">
        <is>
          <t>【如果公司采用了简化操作方法，该方法满足下列条件之一可适用：</t>
        </is>
      </c>
    </row>
    <row r="73" ht="15" customHeight="1" s="1296">
      <c r="A73" s="1432" t="inlineStr">
        <is>
          <t>一是该项履约义务是原预计合同期限不超过一年的合同中的一部分。</t>
        </is>
      </c>
    </row>
    <row r="74" ht="15" customHeight="1" s="1296">
      <c r="A74" s="1432" t="inlineStr">
        <is>
          <t>二是企业有权对该履约义务下已转让的商品向客户发出账单，且账单金额能够代表企业累计至今已履约部分转移给客户的价值。</t>
        </is>
      </c>
    </row>
    <row r="75" ht="15" customHeight="1" s="1296">
      <c r="A75" s="1432" t="inlineStr">
        <is>
          <t>企业应当提供定性信息以说明采用了上述简化操作方法。</t>
        </is>
      </c>
    </row>
    <row r="76" ht="15" customHeight="1" s="1296">
      <c r="A76" s="1432" t="inlineStr">
        <is>
          <t>例如：</t>
        </is>
      </c>
    </row>
    <row r="77" ht="15" customHeight="1" s="1296">
      <c r="A77" s="1432" t="inlineStr">
        <is>
          <t>本公司与客户签订合同，为客户建造一栋办公楼，合同对价为500万元。本公司在2023年对该合同确认的收入金额为240万元。2023年12月31日，分摊至剩余履约义务的交易价格为260万元，本公司预计该金额将随着工程的完工进度，在未来12-15个月内确认为收入。】</t>
        </is>
      </c>
    </row>
    <row r="78" s="1296">
      <c r="A78" s="1430" t="inlineStr">
        <is>
          <t>（7）重大合同变更【或重大交易价格调整】</t>
        </is>
      </c>
    </row>
    <row r="79" s="1296">
      <c r="A79" s="1432" t="inlineStr">
        <is>
          <t>（披露重大合同变更或重大交易价格调整相关的信息、会计处理方法及对收入的影响金额。）</t>
        </is>
      </c>
    </row>
    <row r="80" s="1296">
      <c r="A80" s="1430" t="inlineStr">
        <is>
          <t>（8）试运行销售收入</t>
        </is>
      </c>
    </row>
    <row r="81" s="1296">
      <c r="A81" s="1432" t="inlineStr">
        <is>
          <t>【提示：企业会计准则解释第15号规定，企业应当按照《企业会计准则第1号——存货》、《企业会计准则第14号——收入》、《企业会计准则第30号——财务报表列报》等规定，判断试运行销售是否属于企业的日常活动，并在财务报表中分别日常活动和非日常活动列示试运行销售的相关收入和成本，属于日常活动的，在“营业收入”和“营业成本”项目列示；属于非日常活动的，在“资产处置收益”等项目列示。同时企业应当在附注中单独披露试运行销售的相关收入和成本金额、具体列报项目以及确定试运行销售相关成本时采用的重要会计估计等相关信息。】</t>
        </is>
      </c>
      <c r="E81" s="1463" t="n"/>
    </row>
    <row r="82" s="1296">
      <c r="A82" s="1464" t="inlineStr">
        <is>
          <t>项目</t>
        </is>
      </c>
      <c r="B82" s="1465" t="inlineStr">
        <is>
          <t>本期发生额</t>
        </is>
      </c>
      <c r="C82" s="1420" t="n"/>
      <c r="D82" s="1465" t="inlineStr">
        <is>
          <t>上期发生额</t>
        </is>
      </c>
      <c r="E82" s="1420" t="n"/>
    </row>
    <row r="83" s="1296">
      <c r="A83" s="1421" t="n"/>
      <c r="B83" s="1466" t="inlineStr">
        <is>
          <t>收入</t>
        </is>
      </c>
      <c r="C83" s="1466" t="inlineStr">
        <is>
          <t>成本</t>
        </is>
      </c>
      <c r="D83" s="1466" t="inlineStr">
        <is>
          <t>收入</t>
        </is>
      </c>
      <c r="E83" s="1466" t="inlineStr">
        <is>
          <t>成本</t>
        </is>
      </c>
    </row>
    <row r="84" s="1296">
      <c r="A84" s="1430" t="inlineStr">
        <is>
          <t>固定资产试运行收入</t>
        </is>
      </c>
      <c r="B84" s="1438" t="n"/>
      <c r="C84" s="1438" t="n"/>
      <c r="D84" s="1438" t="n"/>
      <c r="E84" s="1438" t="n"/>
    </row>
    <row r="85" s="1296">
      <c r="A85" s="1444" t="inlineStr">
        <is>
          <t>研发样品销售收入</t>
        </is>
      </c>
      <c r="B85" s="1449" t="n"/>
      <c r="C85" s="1449" t="n"/>
      <c r="D85" s="1449" t="n"/>
      <c r="E85" s="1449" t="n"/>
    </row>
  </sheetData>
  <mergeCells count="20">
    <mergeCell ref="B46:C46"/>
    <mergeCell ref="D46:E46"/>
    <mergeCell ref="A36:A37"/>
    <mergeCell ref="D36:E36"/>
    <mergeCell ref="D21:E21"/>
    <mergeCell ref="B21:C21"/>
    <mergeCell ref="A2:I2"/>
    <mergeCell ref="H46:I46"/>
    <mergeCell ref="B8:C8"/>
    <mergeCell ref="B82:C82"/>
    <mergeCell ref="A21:A22"/>
    <mergeCell ref="A45:A47"/>
    <mergeCell ref="A8:A9"/>
    <mergeCell ref="F46:G46"/>
    <mergeCell ref="D8:E8"/>
    <mergeCell ref="D82:E82"/>
    <mergeCell ref="A1:I1"/>
    <mergeCell ref="B36:C36"/>
    <mergeCell ref="B45:I45"/>
    <mergeCell ref="A82:A83"/>
  </mergeCells>
  <pageMargins left="0.708333333333333" right="0.708333333333333" top="0.747916666666667" bottom="0.747916666666667" header="0.314583333333333" footer="0.314583333333333"/>
  <pageSetup orientation="landscape" paperSize="9" scale="65" blackAndWhite="1" horizontalDpi="1200" verticalDpi="1200"/>
  <headerFooter alignWithMargins="0">
    <oddHeader/>
    <oddFooter>&amp;C&amp;P/&amp;N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72"/>
  <sheetViews>
    <sheetView view="pageBreakPreview" zoomScaleNormal="60" workbookViewId="0">
      <pane xSplit="1" ySplit="5" topLeftCell="B21" activePane="bottomRight" state="frozen"/>
      <selection activeCell="A1" sqref="A1"/>
      <selection pane="topRight" activeCell="A1" sqref="A1"/>
      <selection pane="bottomLeft" activeCell="A1" sqref="A1"/>
      <selection pane="bottomRight" activeCell="A1" sqref="A1:I1"/>
    </sheetView>
  </sheetViews>
  <sheetFormatPr baseColWidth="8" defaultColWidth="8.83636363636364" defaultRowHeight="20.25" customHeight="1"/>
  <cols>
    <col width="35.1272727272727" customWidth="1" style="1467" min="1" max="1"/>
    <col width="18.6545454545455" customWidth="1" style="1467" min="2" max="2"/>
    <col width="20.4" customWidth="1" style="1467" min="3" max="3"/>
    <col width="22.5818181818182" customWidth="1" style="1467" min="4" max="4"/>
    <col width="21.8181818181818" customWidth="1" style="1467" min="5" max="11"/>
    <col width="20.4" customWidth="1" style="1467" min="12" max="15"/>
    <col width="17.1272727272727" customWidth="1" style="1467" min="16" max="18"/>
    <col width="18.2181818181818" customWidth="1" style="1467" min="19" max="19"/>
    <col width="8.83636363636364" customWidth="1" style="1467" min="20" max="20"/>
    <col width="8.83636363636364" customWidth="1" style="1467" min="21" max="16384"/>
  </cols>
  <sheetData>
    <row r="1" s="1296">
      <c r="A1" s="1406" t="inlineStr">
        <is>
          <t>致同会计师事务所</t>
        </is>
      </c>
      <c r="B1" s="1311" t="n"/>
      <c r="C1" s="1311" t="n"/>
      <c r="D1" s="1311" t="n"/>
      <c r="E1" s="1311" t="n"/>
      <c r="F1" s="1311" t="n"/>
      <c r="G1" s="1311" t="n"/>
      <c r="H1" s="1311" t="n"/>
      <c r="I1" s="1311" t="n"/>
    </row>
    <row r="2" s="1296">
      <c r="A2" s="1407" t="inlineStr">
        <is>
          <t>附注披露信息（国有企业）</t>
        </is>
      </c>
      <c r="B2" s="1311" t="n"/>
      <c r="C2" s="1311" t="n"/>
      <c r="D2" s="1311" t="n"/>
      <c r="E2" s="1311" t="n"/>
      <c r="F2" s="1311" t="n"/>
      <c r="G2" s="1311" t="n"/>
      <c r="H2" s="1311" t="n"/>
      <c r="I2" s="1311" t="n"/>
    </row>
    <row r="3" s="1296">
      <c r="A3" s="1408" t="inlineStr">
        <is>
          <t>客户名称：</t>
        </is>
      </c>
      <c r="B3" s="1408" t="n"/>
      <c r="C3" s="1408" t="inlineStr">
        <is>
          <t>编制人：</t>
        </is>
      </c>
      <c r="D3" s="1408" t="n"/>
      <c r="E3" s="1408" t="inlineStr">
        <is>
          <t>编制日期：</t>
        </is>
      </c>
      <c r="F3" s="1408" t="n"/>
      <c r="G3" s="1408" t="n"/>
      <c r="H3" s="1408" t="n"/>
      <c r="I3" s="1409" t="inlineStr">
        <is>
          <t>索引号：</t>
        </is>
      </c>
    </row>
    <row r="4" s="1296">
      <c r="A4" s="1408" t="inlineStr">
        <is>
          <t>会计期间：201x年度</t>
        </is>
      </c>
      <c r="B4" s="1408" t="n"/>
      <c r="C4" s="1408" t="inlineStr">
        <is>
          <t>复核人：</t>
        </is>
      </c>
      <c r="D4" s="1408" t="n"/>
      <c r="E4" s="1408" t="inlineStr">
        <is>
          <t>复核日期：</t>
        </is>
      </c>
      <c r="F4" s="1408" t="n"/>
      <c r="G4" s="1408" t="n"/>
      <c r="H4" s="1408" t="n"/>
      <c r="I4" s="1410" t="inlineStr">
        <is>
          <t>页  次：1</t>
        </is>
      </c>
    </row>
    <row r="5" ht="28.5" customFormat="1" customHeight="1" s="1468">
      <c r="A5" s="1469" t="inlineStr">
        <is>
          <t>营业收入、营业成本附注</t>
        </is>
      </c>
      <c r="B5" s="1469" t="n"/>
      <c r="C5" s="1469" t="n"/>
      <c r="D5" s="1470" t="n"/>
      <c r="E5" s="1470" t="n"/>
      <c r="F5" s="1469" t="n"/>
      <c r="G5" s="1469" t="n"/>
      <c r="H5" s="1469" t="n"/>
      <c r="I5" s="1469" t="n"/>
      <c r="J5" s="1469" t="n"/>
      <c r="K5" s="1469" t="n"/>
      <c r="L5" s="1469" t="n"/>
      <c r="M5" s="1469" t="n"/>
      <c r="N5" s="1469" t="n"/>
      <c r="O5" s="1469" t="n"/>
      <c r="P5" s="1469" t="n"/>
      <c r="Q5" s="1469" t="n"/>
      <c r="R5" s="1469" t="n"/>
      <c r="S5" s="1469" t="n"/>
    </row>
    <row r="6" ht="15.75" customHeight="1" s="1296">
      <c r="A6" s="1471" t="inlineStr">
        <is>
          <t>（1）营业收入、营业成本</t>
        </is>
      </c>
    </row>
    <row r="7" ht="14.75" customHeight="1" s="1296">
      <c r="A7" s="1472" t="inlineStr">
        <is>
          <t>项  目</t>
        </is>
      </c>
      <c r="B7" s="1473" t="inlineStr">
        <is>
          <t>本期发生额</t>
        </is>
      </c>
      <c r="C7" s="1420" t="n"/>
      <c r="D7" s="1473" t="inlineStr">
        <is>
          <t>上期发生额</t>
        </is>
      </c>
      <c r="E7" s="1420" t="n"/>
    </row>
    <row r="8" ht="14.75" customHeight="1" s="1296">
      <c r="A8" s="1421" t="n"/>
      <c r="B8" s="1474" t="inlineStr">
        <is>
          <t>收入</t>
        </is>
      </c>
      <c r="C8" s="1474" t="inlineStr">
        <is>
          <t>成本</t>
        </is>
      </c>
      <c r="D8" s="1474" t="inlineStr">
        <is>
          <t>收入</t>
        </is>
      </c>
      <c r="E8" s="1474" t="inlineStr">
        <is>
          <t>成本</t>
        </is>
      </c>
    </row>
    <row r="9" ht="14" customHeight="1" s="1296">
      <c r="A9" s="1475" t="inlineStr">
        <is>
          <t>主营业务</t>
        </is>
      </c>
      <c r="B9" s="1476" t="n"/>
      <c r="C9" s="1476" t="n"/>
      <c r="D9" s="1476" t="n"/>
      <c r="E9" s="1476" t="n"/>
    </row>
    <row r="10" ht="14.75" customHeight="1" s="1296">
      <c r="A10" s="1475" t="inlineStr">
        <is>
          <t>其他业务</t>
        </is>
      </c>
      <c r="B10" s="1476" t="n"/>
      <c r="C10" s="1476" t="n"/>
      <c r="D10" s="1476" t="n"/>
      <c r="E10" s="1476" t="n"/>
    </row>
    <row r="11" ht="14.75" customHeight="1" s="1296">
      <c r="A11" s="1477" t="inlineStr">
        <is>
          <t>合  计</t>
        </is>
      </c>
      <c r="B11" s="1478">
        <f>SUM(B9:B10)</f>
        <v/>
      </c>
      <c r="C11" s="1478">
        <f>SUM(C9:C10)</f>
        <v/>
      </c>
      <c r="D11" s="1478">
        <f>SUM(D9:D10)</f>
        <v/>
      </c>
      <c r="E11" s="1478">
        <f>SUM(E9:E10)</f>
        <v/>
      </c>
    </row>
    <row r="12" ht="15" customHeight="1" s="1296">
      <c r="A12" s="1479" t="inlineStr">
        <is>
          <t>【提示：</t>
        </is>
      </c>
    </row>
    <row r="13" ht="15" customHeight="1" s="1296">
      <c r="A13" s="1479" t="inlineStr">
        <is>
          <t>1.处置投资性房地产（无论采用公允价值模式计量还是成本模式计量）的收入，在“其他业务收入”列示，相应结转成本至“其他业务成本”；</t>
        </is>
      </c>
    </row>
    <row r="14" ht="15" customHeight="1" s="1296">
      <c r="A14" s="1479" t="inlineStr">
        <is>
          <t>2.单项的投资性房地产的处置，无论是直接出售还是先划分为持有待售资产再出售，处置损益均计入“其他业务收入/成本”，不计入“资产处置损益”</t>
        </is>
      </c>
    </row>
    <row r="15" ht="15" customHeight="1" s="1296">
      <c r="A15" s="1479" t="inlineStr">
        <is>
          <t>3.在停工停产期间继续计提固定资产折旧和无形资产摊销，并根据用途计入相关资产的成本或当期损益。例如，企业因需求不足而停产或因事故而停工检修等，相关生产设备应当继续计提折旧，并计入营业成本。</t>
        </is>
      </c>
    </row>
    <row r="16" ht="15.75" customHeight="1" s="1296">
      <c r="A16" s="1480" t="inlineStr">
        <is>
          <t>（2）按行业（或产品类型）划分</t>
        </is>
      </c>
    </row>
    <row r="17" ht="14.75" customHeight="1" s="1296">
      <c r="A17" s="1481" t="inlineStr">
        <is>
          <t>主要产品类型（或行业）</t>
        </is>
      </c>
      <c r="B17" s="1482" t="inlineStr">
        <is>
          <t>本期发生额</t>
        </is>
      </c>
      <c r="C17" s="1420" t="n"/>
      <c r="D17" s="1482" t="inlineStr">
        <is>
          <t>上期发生额</t>
        </is>
      </c>
      <c r="E17" s="1420" t="n"/>
    </row>
    <row r="18" ht="14.75" customHeight="1" s="1296">
      <c r="A18" s="1421" t="n"/>
      <c r="B18" s="1483" t="inlineStr">
        <is>
          <t>收入</t>
        </is>
      </c>
      <c r="C18" s="1483" t="inlineStr">
        <is>
          <t>成本</t>
        </is>
      </c>
      <c r="D18" s="1483" t="inlineStr">
        <is>
          <t>收入</t>
        </is>
      </c>
      <c r="E18" s="1484" t="inlineStr">
        <is>
          <t>成本</t>
        </is>
      </c>
    </row>
    <row r="19" ht="14" customHeight="1" s="1296">
      <c r="A19" s="1485" t="inlineStr">
        <is>
          <t>主营业务：</t>
        </is>
      </c>
      <c r="B19" s="1486" t="n"/>
      <c r="C19" s="1486" t="n"/>
      <c r="D19" s="1486" t="n"/>
      <c r="E19" s="1476" t="n"/>
    </row>
    <row r="20" ht="14" customHeight="1" s="1296">
      <c r="A20" s="1487" t="inlineStr">
        <is>
          <t>消费品</t>
        </is>
      </c>
      <c r="B20" s="1486" t="n"/>
      <c r="C20" s="1486" t="n"/>
      <c r="D20" s="1486" t="n"/>
      <c r="E20" s="1476" t="n"/>
    </row>
    <row r="21" ht="14" customHeight="1" s="1296">
      <c r="A21" s="1487" t="inlineStr">
        <is>
          <t>汽车</t>
        </is>
      </c>
      <c r="B21" s="1486" t="n"/>
      <c r="C21" s="1486" t="n"/>
      <c r="D21" s="1486" t="n"/>
      <c r="E21" s="1476" t="n"/>
    </row>
    <row r="22" ht="14" customHeight="1" s="1296">
      <c r="A22" s="1487" t="inlineStr">
        <is>
          <t>能源</t>
        </is>
      </c>
      <c r="B22" s="1486" t="n"/>
      <c r="C22" s="1486" t="n"/>
      <c r="D22" s="1486" t="n"/>
      <c r="E22" s="1476" t="n"/>
    </row>
    <row r="23" ht="14" customHeight="1" s="1296">
      <c r="A23" s="1485" t="inlineStr">
        <is>
          <t>小  计</t>
        </is>
      </c>
      <c r="B23" s="1486">
        <f>B20+B21+B22</f>
        <v/>
      </c>
      <c r="C23" s="1486">
        <f>C20+C21+C22</f>
        <v/>
      </c>
      <c r="D23" s="1486">
        <f>D20+D21+D22</f>
        <v/>
      </c>
      <c r="E23" s="1486">
        <f>E20+E21+E22</f>
        <v/>
      </c>
    </row>
    <row r="24" ht="14" customHeight="1" s="1296">
      <c r="A24" s="1485" t="inlineStr">
        <is>
          <t>其他业务：</t>
        </is>
      </c>
      <c r="B24" s="1486" t="n"/>
      <c r="C24" s="1486" t="n"/>
      <c r="D24" s="1486" t="n"/>
      <c r="E24" s="1476" t="n"/>
    </row>
    <row r="25" ht="14" customHeight="1" s="1296">
      <c r="A25" s="1487" t="inlineStr">
        <is>
          <t>销售材料</t>
        </is>
      </c>
      <c r="B25" s="1486" t="n"/>
      <c r="C25" s="1486" t="n"/>
      <c r="D25" s="1486" t="n"/>
      <c r="E25" s="1476" t="n"/>
    </row>
    <row r="26" ht="14" customHeight="1" s="1296">
      <c r="A26" s="1487" t="inlineStr">
        <is>
          <t>租赁收入</t>
        </is>
      </c>
      <c r="B26" s="1486" t="n"/>
      <c r="C26" s="1486" t="n"/>
      <c r="D26" s="1486" t="n"/>
      <c r="E26" s="1476" t="n"/>
    </row>
    <row r="27" ht="14.75" customHeight="1" s="1296">
      <c r="A27" s="1488" t="inlineStr">
        <is>
          <t>小  计</t>
        </is>
      </c>
      <c r="B27" s="1489">
        <f>B25+B26</f>
        <v/>
      </c>
      <c r="C27" s="1489">
        <f>C25+C26</f>
        <v/>
      </c>
      <c r="D27" s="1489">
        <f>D25+D26</f>
        <v/>
      </c>
      <c r="E27" s="1489">
        <f>E25+E26</f>
        <v/>
      </c>
    </row>
    <row r="28" ht="14.75" customHeight="1" s="1296">
      <c r="A28" s="1490" t="inlineStr">
        <is>
          <t>合  计</t>
        </is>
      </c>
      <c r="B28" s="1491">
        <f>B23+B27</f>
        <v/>
      </c>
      <c r="C28" s="1491">
        <f>C23+C27</f>
        <v/>
      </c>
      <c r="D28" s="1491">
        <f>D23+D27</f>
        <v/>
      </c>
      <c r="E28" s="1491">
        <f>E23+E27</f>
        <v/>
      </c>
    </row>
    <row r="29" ht="15.75" customHeight="1" s="1296">
      <c r="A29" s="1479" t="inlineStr">
        <is>
          <t>（3）营业收入、营业成本按地区划分（不适用的，删除）</t>
        </is>
      </c>
    </row>
    <row r="30" ht="14.75" customHeight="1" s="1296">
      <c r="A30" s="1481" t="inlineStr">
        <is>
          <t>主要经营地区</t>
        </is>
      </c>
      <c r="B30" s="1482" t="inlineStr">
        <is>
          <t>本期发生额</t>
        </is>
      </c>
      <c r="C30" s="1420" t="n"/>
      <c r="D30" s="1482" t="inlineStr">
        <is>
          <t>上期发生额</t>
        </is>
      </c>
      <c r="E30" s="1420" t="n"/>
    </row>
    <row r="31" ht="14.75" customHeight="1" s="1296">
      <c r="A31" s="1421" t="n"/>
      <c r="B31" s="1483" t="inlineStr">
        <is>
          <t>收入</t>
        </is>
      </c>
      <c r="C31" s="1483" t="inlineStr">
        <is>
          <t>成本</t>
        </is>
      </c>
      <c r="D31" s="1483" t="inlineStr">
        <is>
          <t>收入</t>
        </is>
      </c>
      <c r="E31" s="1484" t="inlineStr">
        <is>
          <t>成本</t>
        </is>
      </c>
    </row>
    <row r="32" ht="14" customHeight="1" s="1296">
      <c r="A32" s="1487" t="inlineStr">
        <is>
          <t>东北</t>
        </is>
      </c>
      <c r="B32" s="1486" t="n"/>
      <c r="C32" s="1486" t="n"/>
      <c r="D32" s="1486" t="n"/>
      <c r="E32" s="1476" t="n"/>
    </row>
    <row r="33" ht="14" customHeight="1" s="1296">
      <c r="A33" s="1487" t="inlineStr">
        <is>
          <t>华北</t>
        </is>
      </c>
      <c r="B33" s="1486" t="n"/>
      <c r="C33" s="1486" t="n"/>
      <c r="D33" s="1486" t="n"/>
      <c r="E33" s="1476" t="n"/>
    </row>
    <row r="34" ht="14" customHeight="1" s="1296">
      <c r="A34" s="1487" t="inlineStr">
        <is>
          <t>西北</t>
        </is>
      </c>
      <c r="B34" s="1486" t="n"/>
      <c r="C34" s="1486" t="n"/>
      <c r="D34" s="1486" t="n"/>
      <c r="E34" s="1476" t="n"/>
    </row>
    <row r="35" ht="14.75" customHeight="1" s="1296">
      <c r="A35" s="1492" t="n"/>
      <c r="B35" s="1489" t="n"/>
      <c r="C35" s="1489" t="n"/>
      <c r="D35" s="1489" t="n"/>
      <c r="E35" s="1493" t="n"/>
    </row>
    <row r="36" ht="14.75" customHeight="1" s="1296">
      <c r="A36" s="1490" t="inlineStr">
        <is>
          <t>小  计</t>
        </is>
      </c>
      <c r="B36" s="1491">
        <f>B32+B33+B34</f>
        <v/>
      </c>
      <c r="C36" s="1491">
        <f>C32+C33+C34</f>
        <v/>
      </c>
      <c r="D36" s="1491">
        <f>D32+D33+D34</f>
        <v/>
      </c>
      <c r="E36" s="1491">
        <f>E32+E33+E34</f>
        <v/>
      </c>
    </row>
    <row r="37" ht="15.75" customHeight="1" s="1296">
      <c r="A37" s="1471" t="inlineStr">
        <is>
          <t>（4）营业收入分解信息</t>
        </is>
      </c>
    </row>
    <row r="38" ht="15.75" customHeight="1" s="1296">
      <c r="A38" s="1452" t="n"/>
      <c r="B38" s="1453" t="inlineStr">
        <is>
          <t>本期发生额</t>
        </is>
      </c>
      <c r="C38" s="1420" t="n"/>
      <c r="D38" s="1420" t="n"/>
      <c r="E38" s="1420" t="n"/>
      <c r="F38" s="1420" t="n"/>
      <c r="G38" s="1420" t="n"/>
      <c r="H38" s="1420" t="n"/>
      <c r="I38" s="1420" t="n"/>
    </row>
    <row r="39" ht="15.75" customHeight="1" s="1296">
      <c r="B39" s="1454" t="inlineStr">
        <is>
          <t>消费品</t>
        </is>
      </c>
      <c r="D39" s="1454" t="inlineStr">
        <is>
          <t>汽车</t>
        </is>
      </c>
      <c r="F39" s="1455" t="inlineStr">
        <is>
          <t>能源</t>
        </is>
      </c>
      <c r="H39" s="1455" t="inlineStr">
        <is>
          <t>其他</t>
        </is>
      </c>
    </row>
    <row r="40" ht="15.75" customHeight="1" s="1296">
      <c r="A40" s="1456" t="n"/>
      <c r="B40" s="1437" t="inlineStr">
        <is>
          <t>收入</t>
        </is>
      </c>
      <c r="C40" s="1437" t="inlineStr">
        <is>
          <t>成本</t>
        </is>
      </c>
      <c r="D40" s="1437" t="inlineStr">
        <is>
          <t>收入</t>
        </is>
      </c>
      <c r="E40" s="1437" t="inlineStr">
        <is>
          <t>成本</t>
        </is>
      </c>
      <c r="F40" s="1437" t="inlineStr">
        <is>
          <t>收入</t>
        </is>
      </c>
      <c r="G40" s="1437" t="inlineStr">
        <is>
          <t>成本</t>
        </is>
      </c>
      <c r="H40" s="1437" t="inlineStr">
        <is>
          <t>收入</t>
        </is>
      </c>
      <c r="I40" s="1437" t="inlineStr">
        <is>
          <t>成本</t>
        </is>
      </c>
    </row>
    <row r="41" ht="15.5" customHeight="1" s="1296">
      <c r="A41" s="1430" t="inlineStr">
        <is>
          <t>主营业务</t>
        </is>
      </c>
      <c r="B41" s="1443">
        <f>SUM(B42:B44)</f>
        <v/>
      </c>
      <c r="C41" s="1443">
        <f>SUM(C42:C44)</f>
        <v/>
      </c>
      <c r="D41" s="1443" t="n"/>
      <c r="E41" s="1443" t="n"/>
      <c r="F41" s="1443">
        <f>SUM(F42:F44)</f>
        <v/>
      </c>
      <c r="G41" s="1443" t="n"/>
      <c r="H41" s="1443" t="n"/>
      <c r="I41" s="1443">
        <f>SUM(I42:I44)</f>
        <v/>
      </c>
    </row>
    <row r="42" ht="15.5" customHeight="1" s="1296">
      <c r="A42" s="1430" t="inlineStr">
        <is>
          <t>其中：在某一时点确认</t>
        </is>
      </c>
      <c r="B42" s="1443" t="n"/>
      <c r="C42" s="1443" t="n"/>
      <c r="D42" s="1443" t="n"/>
      <c r="E42" s="1443" t="n"/>
      <c r="F42" s="1443" t="n"/>
      <c r="G42" s="1443" t="n"/>
      <c r="H42" s="1443" t="n"/>
      <c r="I42" s="1443" t="n"/>
    </row>
    <row r="43" ht="15.5" customHeight="1" s="1296">
      <c r="A43" s="1430" t="inlineStr">
        <is>
          <t xml:space="preserve">      在某一时段确认</t>
        </is>
      </c>
      <c r="B43" s="1443" t="n"/>
      <c r="C43" s="1443" t="n"/>
      <c r="D43" s="1443" t="n"/>
      <c r="E43" s="1443" t="n"/>
      <c r="F43" s="1443" t="n"/>
      <c r="G43" s="1443" t="n"/>
      <c r="H43" s="1443" t="n"/>
      <c r="I43" s="1443" t="n"/>
    </row>
    <row r="44" ht="15.5" customHeight="1" s="1296">
      <c r="A44" s="1430" t="n"/>
      <c r="B44" s="1443" t="n"/>
      <c r="C44" s="1443" t="n"/>
      <c r="D44" s="1443" t="n"/>
      <c r="E44" s="1443" t="n"/>
      <c r="F44" s="1443" t="n"/>
      <c r="G44" s="1443" t="n"/>
      <c r="H44" s="1443" t="n"/>
      <c r="I44" s="1443" t="n"/>
    </row>
    <row r="45" ht="15.5" customHeight="1" s="1296">
      <c r="A45" s="1430" t="inlineStr">
        <is>
          <t>其他业务</t>
        </is>
      </c>
      <c r="B45" s="1443">
        <f>SUM(B46:B48)</f>
        <v/>
      </c>
      <c r="C45" s="1443">
        <f>SUM(C46:C48)</f>
        <v/>
      </c>
      <c r="D45" s="1443" t="n"/>
      <c r="E45" s="1443" t="n"/>
      <c r="F45" s="1443">
        <f>SUM(F46:F48)</f>
        <v/>
      </c>
      <c r="G45" s="1443" t="n"/>
      <c r="H45" s="1443" t="n"/>
      <c r="I45" s="1443">
        <f>SUM(I46:I48)</f>
        <v/>
      </c>
    </row>
    <row r="46" ht="15.5" customHeight="1" s="1296">
      <c r="A46" s="1430" t="inlineStr">
        <is>
          <t>其中：在某一时点确认</t>
        </is>
      </c>
      <c r="B46" s="1443" t="n"/>
      <c r="C46" s="1438" t="n"/>
      <c r="D46" s="1438" t="n"/>
      <c r="E46" s="1438" t="n"/>
      <c r="F46" s="1438" t="n"/>
      <c r="G46" s="1438" t="n"/>
      <c r="H46" s="1438" t="n"/>
      <c r="I46" s="1438" t="n"/>
    </row>
    <row r="47" ht="15.5" customHeight="1" s="1296">
      <c r="A47" s="1430" t="inlineStr">
        <is>
          <t xml:space="preserve">      在某一时段确认</t>
        </is>
      </c>
      <c r="B47" s="1438" t="n"/>
      <c r="C47" s="1438" t="n"/>
      <c r="D47" s="1438" t="n"/>
      <c r="E47" s="1438" t="n"/>
      <c r="F47" s="1438" t="n"/>
      <c r="G47" s="1438" t="n"/>
      <c r="H47" s="1438" t="n"/>
      <c r="I47" s="1438" t="n"/>
    </row>
    <row r="48" ht="16.25" customHeight="1" s="1296">
      <c r="A48" s="1430" t="inlineStr">
        <is>
          <t xml:space="preserve">      租赁收入</t>
        </is>
      </c>
      <c r="B48" s="1438" t="n"/>
      <c r="C48" s="1438" t="n"/>
      <c r="D48" s="1438" t="n"/>
      <c r="E48" s="1438" t="n"/>
      <c r="F48" s="1438" t="n"/>
      <c r="G48" s="1438" t="n"/>
      <c r="H48" s="1438" t="n"/>
      <c r="I48" s="1438" t="n"/>
    </row>
    <row r="49" ht="16.25" customHeight="1" s="1296">
      <c r="A49" s="1435" t="inlineStr">
        <is>
          <t>合  计</t>
        </is>
      </c>
      <c r="B49" s="1457">
        <f>B45+B41</f>
        <v/>
      </c>
      <c r="C49" s="1457">
        <f>C45+C41</f>
        <v/>
      </c>
      <c r="D49" s="1457" t="n"/>
      <c r="E49" s="1457" t="n"/>
      <c r="F49" s="1457">
        <f>F45+F41</f>
        <v/>
      </c>
      <c r="G49" s="1457" t="n"/>
      <c r="H49" s="1457" t="n"/>
      <c r="I49" s="1457">
        <f>I45+I41</f>
        <v/>
      </c>
    </row>
    <row r="50" ht="15" customHeight="1" s="1296">
      <c r="A50" s="1479" t="inlineStr">
        <is>
          <t>【提示：在确定对收入、成本进行分解的类别时，企业应当考虑其在下列情况下是如何列报和披露与收入有关的信息：</t>
        </is>
      </c>
    </row>
    <row r="51" ht="15" customHeight="1" s="1296">
      <c r="A51" s="1479" t="inlineStr">
        <is>
          <t>①在财务报表之外披露的信息，例如，在企业的业绩公告、年报或向投资者报送的相关资料中披露的收入信息；</t>
        </is>
      </c>
    </row>
    <row r="52" ht="15" customHeight="1" s="1296">
      <c r="A52" s="1479" t="inlineStr">
        <is>
          <t>②管理层为评价经营分部的财务业绩所定期复核的信息；以及</t>
        </is>
      </c>
    </row>
    <row r="53" ht="15" customHeight="1" s="1296">
      <c r="A53" s="1479" t="inlineStr">
        <is>
          <t>③企业或企业的财务报表使用者在评价企业的财务业绩或作出资源分配决策时，所使用的类似于上述①和②的信息类型的其他信息。</t>
        </is>
      </c>
    </row>
    <row r="54" ht="15" customHeight="1" s="1296">
      <c r="A54" s="1479" t="inlineStr">
        <is>
          <t>企业在对收入信息进行分解时，可以采用的类别包括但不限于：商品类型、经营地区、市场或客户类型、合同类型（例如，固定造价合同、成本加成合同等）、商品转让的时间（例如，在某一时点转让或在某一时段内转让）、合同期限（例如，长期合同、短期合同等）、销售渠道（例如，直接销售或通过经销商销售等）等。</t>
        </is>
      </c>
    </row>
    <row r="55" ht="15" customHeight="1" s="1296">
      <c r="A55" s="1494" t="inlineStr">
        <is>
          <t>④租赁收入需单独披露。】</t>
        </is>
      </c>
    </row>
    <row r="56" ht="15" customHeight="1" s="1296">
      <c r="A56" s="1471" t="inlineStr">
        <is>
          <t>（5）履约义务相关信息</t>
        </is>
      </c>
    </row>
    <row r="57" ht="15" customHeight="1" s="1296">
      <c r="A57" s="1479" t="inlineStr">
        <is>
          <t>【履约义务相关的信息，包括但不限于：履行履约义务的时间、重要的支付条款、公司承诺转让商品的性质、是否为主要责任人、公司承担的预期将退还给客户的款项等类似义务、公司提供的质量保证类型及相关义务等。】</t>
        </is>
      </c>
    </row>
    <row r="58" ht="15" customHeight="1" s="1296">
      <c r="A58" s="1471" t="inlineStr">
        <is>
          <t>（6）与剩余履约义务有关的信息</t>
        </is>
      </c>
    </row>
    <row r="59" ht="15" customHeight="1" s="1296">
      <c r="A59" s="1479" t="inlineStr">
        <is>
          <t>【与分摊至剩余履约义务的交易价格相关的信息，包括分摊至本期末尚未履行履约义务的交易价格总额及其确认为收入的预计时间、可变对价等。】</t>
        </is>
      </c>
    </row>
    <row r="60" ht="15.75" customHeight="1" s="1296">
      <c r="A60" s="1480" t="inlineStr">
        <is>
          <t>分摊至尚未履行的履约义务的交易价格为xxx元，截止xx年xx月xx日，对于上述金额确认为收入的预计时间如下：</t>
        </is>
      </c>
    </row>
    <row r="61" ht="14.75" customHeight="1" s="1296">
      <c r="A61" s="1495" t="inlineStr">
        <is>
          <t>年  度</t>
        </is>
      </c>
      <c r="B61" s="1496" t="inlineStr">
        <is>
          <t>2024年</t>
        </is>
      </c>
      <c r="C61" s="1496" t="inlineStr">
        <is>
          <t>2025年</t>
        </is>
      </c>
      <c r="D61" s="1497" t="inlineStr">
        <is>
          <t>合计</t>
        </is>
      </c>
    </row>
    <row r="62" ht="14" customHeight="1" s="1296">
      <c r="A62" s="1498" t="inlineStr">
        <is>
          <t>xx合同预计将确认的收入</t>
        </is>
      </c>
      <c r="B62" s="1486" t="n"/>
      <c r="C62" s="1486" t="n"/>
      <c r="D62" s="1486" t="n"/>
    </row>
    <row r="63" ht="14.75" customHeight="1" s="1296">
      <c r="A63" s="1499" t="n"/>
      <c r="B63" s="1489" t="n"/>
      <c r="C63" s="1489" t="n"/>
      <c r="D63" s="1489" t="n"/>
    </row>
    <row r="64" ht="15" customHeight="1" s="1296">
      <c r="A64" s="1479" t="inlineStr">
        <is>
          <t>【说明是否存在任何对价金额未纳入交易价格，从而未纳入对于分摊至剩余履约义务的交易价格所需披露的信息之中，例如，由于将可变对价计入交易价格的限制要求而未计入交易价格的可变对价。】</t>
        </is>
      </c>
    </row>
    <row r="65" ht="15" customHeight="1" s="1296">
      <c r="A65" s="1479" t="inlineStr">
        <is>
          <t>【如果公司采用了简化操作方法，该方法满足下列条件之一可适用：</t>
        </is>
      </c>
    </row>
    <row r="66" ht="15" customHeight="1" s="1296">
      <c r="A66" s="1479" t="inlineStr">
        <is>
          <t>一是该项履约义务是原预计合同期限不超过一年的合同中的一部分。</t>
        </is>
      </c>
    </row>
    <row r="67" ht="15" customHeight="1" s="1296">
      <c r="A67" s="1479" t="inlineStr">
        <is>
          <t>二是企业有权对该履约义务下已转让的商品向客户发出账单，且账单金额能够代表企业累计至今已履约部分转移给客户的价值。</t>
        </is>
      </c>
    </row>
    <row r="68" ht="15" customHeight="1" s="1296">
      <c r="A68" s="1479" t="inlineStr">
        <is>
          <t>企业应当提供定性信息以说明采用了上述简化操作方法。</t>
        </is>
      </c>
    </row>
    <row r="69" ht="15" customHeight="1" s="1296">
      <c r="A69" s="1479" t="inlineStr">
        <is>
          <t>例如：</t>
        </is>
      </c>
    </row>
    <row r="70" ht="15" customHeight="1" s="1296">
      <c r="A70" s="1479" t="inlineStr">
        <is>
          <t>本公司与客户签订合同，为客户建造一栋办公楼，合同对价为500万元。本公司在2023年对该合同确认的收入金额为240万元。2023年12月31日，分摊至剩余履约义务的交易价格为260万元，本公司预计该金额将随着工程的完工进度，在未来12-15个月内确认为收入。】</t>
        </is>
      </c>
    </row>
    <row r="71" s="1296">
      <c r="A71" s="1430" t="inlineStr">
        <is>
          <t>（7）重大合同变更【或重大交易价格调整】</t>
        </is>
      </c>
    </row>
    <row r="72" s="1296">
      <c r="A72" s="1432" t="inlineStr">
        <is>
          <t>（重大合同变更或重大交易价格调整相关的信息、会计处理方法及对收入的影响金额。）</t>
        </is>
      </c>
    </row>
  </sheetData>
  <mergeCells count="17">
    <mergeCell ref="B39:C39"/>
    <mergeCell ref="H39:I39"/>
    <mergeCell ref="F39:G39"/>
    <mergeCell ref="B30:C30"/>
    <mergeCell ref="A2:I2"/>
    <mergeCell ref="D7:E7"/>
    <mergeCell ref="B7:C7"/>
    <mergeCell ref="D30:E30"/>
    <mergeCell ref="A17:A18"/>
    <mergeCell ref="B38:I38"/>
    <mergeCell ref="A1:I1"/>
    <mergeCell ref="A7:A8"/>
    <mergeCell ref="A38:A40"/>
    <mergeCell ref="B17:C17"/>
    <mergeCell ref="D17:E17"/>
    <mergeCell ref="A30:A31"/>
    <mergeCell ref="D39:E39"/>
  </mergeCells>
  <pageMargins left="0.708333333333333" right="0.708333333333333" top="0.747916666666667" bottom="0.747916666666667" header="0.314583333333333" footer="0.314583333333333"/>
  <pageSetup orientation="landscape" paperSize="9" scale="65" blackAndWhite="1" horizontalDpi="1200" verticalDpi="1200"/>
  <headerFooter alignWithMargins="0">
    <oddHeader/>
    <oddFooter>&amp;C&amp;P/&amp;N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V32"/>
  <sheetViews>
    <sheetView view="pageBreakPreview" topLeftCell="A16" zoomScale="90" zoomScaleNormal="100" workbookViewId="0">
      <selection activeCell="D30" sqref="D30"/>
    </sheetView>
  </sheetViews>
  <sheetFormatPr baseColWidth="8" defaultColWidth="9.81818181818182" defaultRowHeight="20.1" customHeight="1"/>
  <cols>
    <col width="14.0727272727273" customWidth="1" style="1500" min="1" max="1"/>
    <col width="10.1454545454545" customWidth="1" style="1500" min="2" max="13"/>
    <col width="10.2545454545455" customWidth="1" style="1500" min="14" max="14"/>
    <col width="11.7818181818182" customWidth="1" style="1500" min="15" max="15"/>
    <col width="12.3272727272727" customWidth="1" style="1500" min="16" max="16"/>
    <col width="10.6909090909091" customWidth="1" style="1500" min="17" max="17"/>
    <col width="10.9090909090909" customWidth="1" style="1500" min="18" max="18"/>
    <col width="12.4363636363636" customWidth="1" style="1500" min="19" max="19"/>
    <col width="10.2545454545455" customWidth="1" style="1500" min="20" max="20"/>
    <col width="9.81818181818182" customWidth="1" style="1500" min="21" max="16384"/>
  </cols>
  <sheetData>
    <row r="1" customFormat="1" s="1501">
      <c r="A1" s="1502" t="inlineStr">
        <is>
          <t>致同会计师事务所</t>
        </is>
      </c>
    </row>
    <row r="2" customFormat="1" s="1501">
      <c r="A2" s="1503" t="inlineStr">
        <is>
          <t>主营业务收入明细表</t>
        </is>
      </c>
    </row>
    <row r="3" s="1296">
      <c r="A3" s="1500" t="inlineStr">
        <is>
          <t>被审计单位：</t>
        </is>
      </c>
      <c r="I3" s="1500" t="inlineStr">
        <is>
          <t>编制人：</t>
        </is>
      </c>
      <c r="M3" s="1504" t="n"/>
      <c r="O3" s="1500" t="inlineStr">
        <is>
          <t>编制日期：</t>
        </is>
      </c>
      <c r="U3" s="1504" t="inlineStr">
        <is>
          <t>索引号：</t>
        </is>
      </c>
      <c r="V3" s="1322" t="inlineStr">
        <is>
          <t>D4-2</t>
        </is>
      </c>
    </row>
    <row r="4" s="1296">
      <c r="A4" s="1500" t="inlineStr">
        <is>
          <t>会计期间：202X年度</t>
        </is>
      </c>
      <c r="I4" s="1500" t="inlineStr">
        <is>
          <t>复核人：</t>
        </is>
      </c>
      <c r="M4" s="1504" t="n"/>
      <c r="O4" s="1500" t="inlineStr">
        <is>
          <t>复核日期：</t>
        </is>
      </c>
      <c r="U4" s="1504" t="inlineStr">
        <is>
          <t>页次：</t>
        </is>
      </c>
    </row>
    <row r="5" customFormat="1" s="488">
      <c r="A5" s="118" t="inlineStr">
        <is>
          <t>一、审计目标</t>
        </is>
      </c>
      <c r="B5" s="1067" t="n"/>
      <c r="K5" s="1068" t="n"/>
      <c r="L5" s="1068" t="n"/>
      <c r="M5" s="1068" t="n"/>
    </row>
    <row r="6" customFormat="1" s="488">
      <c r="A6" s="1036" t="inlineStr">
        <is>
          <t>与主营业务收入有关的金额及其他数据已恰当记录，相关披露已得到恰当计量和描述。</t>
        </is>
      </c>
      <c r="B6" s="488" t="n"/>
      <c r="C6" s="488" t="n"/>
      <c r="D6" s="488" t="n"/>
      <c r="E6" s="488" t="n"/>
      <c r="F6" s="488" t="n"/>
      <c r="G6" s="488" t="n"/>
      <c r="K6" s="1068" t="n"/>
      <c r="L6" s="1068" t="n"/>
      <c r="M6" s="1068" t="n"/>
    </row>
    <row r="7" customFormat="1" s="488">
      <c r="A7" s="118" t="inlineStr">
        <is>
          <t>二、审计过程</t>
        </is>
      </c>
      <c r="K7" s="1068" t="n"/>
      <c r="L7" s="1068" t="n"/>
      <c r="M7" s="1068" t="n"/>
    </row>
    <row r="8" customFormat="1" s="488">
      <c r="A8" s="1039" t="inlineStr">
        <is>
          <t>1.……</t>
        </is>
      </c>
      <c r="B8" s="1069" t="n"/>
      <c r="C8" s="1069" t="n"/>
      <c r="D8" s="1069" t="n"/>
      <c r="E8" s="1069" t="n"/>
      <c r="F8" s="1069" t="n"/>
    </row>
    <row r="9" customFormat="1" s="488">
      <c r="A9" s="1070" t="n"/>
      <c r="B9" s="1069" t="n"/>
      <c r="C9" s="1069" t="n"/>
      <c r="D9" s="1069" t="n"/>
      <c r="E9" s="1069" t="n"/>
      <c r="F9" s="1069" t="n"/>
    </row>
    <row r="10" customFormat="1" s="488"/>
    <row r="11" ht="39" customFormat="1" customHeight="1" s="1505">
      <c r="A11" s="1333" t="inlineStr">
        <is>
          <t>项目</t>
        </is>
      </c>
      <c r="B11" s="1506" t="inlineStr">
        <is>
          <t>1月</t>
        </is>
      </c>
      <c r="C11" s="1506" t="inlineStr">
        <is>
          <t>2月</t>
        </is>
      </c>
      <c r="D11" s="1506" t="inlineStr">
        <is>
          <t>3月</t>
        </is>
      </c>
      <c r="E11" s="1506" t="inlineStr">
        <is>
          <t>4月</t>
        </is>
      </c>
      <c r="F11" s="1506" t="inlineStr">
        <is>
          <t>5月</t>
        </is>
      </c>
      <c r="G11" s="1506" t="inlineStr">
        <is>
          <t>6月</t>
        </is>
      </c>
      <c r="H11" s="1506" t="inlineStr">
        <is>
          <t>7月</t>
        </is>
      </c>
      <c r="I11" s="1506" t="inlineStr">
        <is>
          <t>8月</t>
        </is>
      </c>
      <c r="J11" s="1506" t="inlineStr">
        <is>
          <t>9月</t>
        </is>
      </c>
      <c r="K11" s="1506" t="inlineStr">
        <is>
          <t>10月</t>
        </is>
      </c>
      <c r="L11" s="1506" t="inlineStr">
        <is>
          <t>11月</t>
        </is>
      </c>
      <c r="M11" s="1506" t="inlineStr">
        <is>
          <t>12月</t>
        </is>
      </c>
      <c r="N11" s="1507" t="inlineStr">
        <is>
          <t>本期未审数合计</t>
        </is>
      </c>
      <c r="O11" s="1508" t="inlineStr">
        <is>
          <t>本期审计调整</t>
        </is>
      </c>
      <c r="P11" s="1507" t="inlineStr">
        <is>
          <t>本期审定数</t>
        </is>
      </c>
      <c r="Q11" s="1509" t="inlineStr">
        <is>
          <t>上期未审数</t>
        </is>
      </c>
      <c r="R11" s="1508" t="inlineStr">
        <is>
          <t>上期审计调整</t>
        </is>
      </c>
      <c r="S11" s="1508" t="inlineStr">
        <is>
          <t>上期审定数</t>
        </is>
      </c>
      <c r="T11" s="1507" t="inlineStr">
        <is>
          <t>未审变动比例</t>
        </is>
      </c>
      <c r="U11" s="1507" t="inlineStr">
        <is>
          <t>审定变动比例</t>
        </is>
      </c>
      <c r="V11" s="1510" t="inlineStr">
        <is>
          <t>备注</t>
        </is>
      </c>
    </row>
    <row r="12" s="1296">
      <c r="A12" s="1511" t="n"/>
      <c r="B12" s="1512" t="n"/>
      <c r="C12" s="1512" t="n"/>
      <c r="D12" s="1512" t="n"/>
      <c r="E12" s="1512" t="n"/>
      <c r="F12" s="1512" t="n"/>
      <c r="G12" s="1512" t="n"/>
      <c r="H12" s="1512" t="n"/>
      <c r="I12" s="1512" t="n"/>
      <c r="J12" s="1512" t="n"/>
      <c r="K12" s="1512" t="n"/>
      <c r="L12" s="1512" t="n"/>
      <c r="M12" s="1512" t="n"/>
      <c r="N12" s="1513">
        <f>SUM(B12:M12)</f>
        <v/>
      </c>
      <c r="O12" s="1514" t="n"/>
      <c r="P12" s="1515">
        <f>N12+O12</f>
        <v/>
      </c>
      <c r="Q12" s="1514" t="n"/>
      <c r="R12" s="1514" t="n"/>
      <c r="S12" s="1513">
        <f>Q12+R12</f>
        <v/>
      </c>
      <c r="T12" s="913">
        <f>IF(AND(Q12=0,N12=0),0,IF(AND(Q12=0,N12&gt;0),1,(N12-Q12)/Q12))</f>
        <v/>
      </c>
      <c r="U12" s="913">
        <f>IF(AND(S12=0,P12=0),0,IF(AND(S12=0,P12&gt;0),1,(P12-S12)/S12))</f>
        <v/>
      </c>
      <c r="V12" s="1516" t="n"/>
    </row>
    <row r="13" s="1296">
      <c r="A13" s="1517" t="n"/>
      <c r="B13" s="1512" t="n"/>
      <c r="C13" s="1512" t="n"/>
      <c r="D13" s="1512" t="n"/>
      <c r="E13" s="1512" t="n"/>
      <c r="F13" s="1512" t="n"/>
      <c r="G13" s="1512" t="n"/>
      <c r="H13" s="1512" t="n"/>
      <c r="I13" s="1512" t="n"/>
      <c r="J13" s="1512" t="n"/>
      <c r="K13" s="1512" t="n"/>
      <c r="L13" s="1512" t="n"/>
      <c r="M13" s="1512" t="n"/>
      <c r="N13" s="1513">
        <f>SUM(B13:M13)</f>
        <v/>
      </c>
      <c r="O13" s="1514" t="n"/>
      <c r="P13" s="1515">
        <f>N13+O13</f>
        <v/>
      </c>
      <c r="Q13" s="1514" t="n"/>
      <c r="R13" s="1514" t="n"/>
      <c r="S13" s="1513">
        <f>Q13+R13</f>
        <v/>
      </c>
      <c r="T13" s="913">
        <f>IF(AND(Q13=0,N13=0),0,IF(AND(Q13=0,N13&gt;0),1,(N13-Q13)/Q13))</f>
        <v/>
      </c>
      <c r="U13" s="913">
        <f>IF(AND(S13=0,P13=0),0,IF(AND(S13=0,P13&gt;0),1,(P13-S13)/S13))</f>
        <v/>
      </c>
      <c r="V13" s="1516" t="n"/>
    </row>
    <row r="14" s="1296">
      <c r="A14" s="1517" t="n"/>
      <c r="B14" s="1512" t="n"/>
      <c r="C14" s="1512" t="n"/>
      <c r="D14" s="1512" t="n"/>
      <c r="E14" s="1512" t="n"/>
      <c r="F14" s="1512" t="n"/>
      <c r="G14" s="1512" t="n"/>
      <c r="H14" s="1512" t="n"/>
      <c r="I14" s="1512" t="n"/>
      <c r="J14" s="1512" t="n"/>
      <c r="K14" s="1512" t="n"/>
      <c r="L14" s="1512" t="n"/>
      <c r="M14" s="1512" t="n"/>
      <c r="N14" s="1513">
        <f>SUM(B14:M14)</f>
        <v/>
      </c>
      <c r="O14" s="1514" t="n"/>
      <c r="P14" s="1515">
        <f>N14+O14</f>
        <v/>
      </c>
      <c r="Q14" s="1514" t="n"/>
      <c r="R14" s="1514" t="n"/>
      <c r="S14" s="1513">
        <f>Q14+R14</f>
        <v/>
      </c>
      <c r="T14" s="913">
        <f>IF(AND(Q14=0,N14=0),0,IF(AND(Q14=0,N14&gt;0),1,(N14-Q14)/Q14))</f>
        <v/>
      </c>
      <c r="U14" s="913">
        <f>IF(AND(S14=0,P14=0),0,IF(AND(S14=0,P14&gt;0),1,(P14-S14)/S14))</f>
        <v/>
      </c>
      <c r="V14" s="1516" t="n"/>
    </row>
    <row r="15" s="1296">
      <c r="A15" s="1517" t="n"/>
      <c r="B15" s="1512" t="n"/>
      <c r="C15" s="1512" t="n"/>
      <c r="D15" s="1512" t="n"/>
      <c r="E15" s="1512" t="n"/>
      <c r="F15" s="1512" t="n"/>
      <c r="G15" s="1512" t="n"/>
      <c r="H15" s="1512" t="n"/>
      <c r="I15" s="1512" t="n"/>
      <c r="J15" s="1512" t="n"/>
      <c r="K15" s="1512" t="n"/>
      <c r="L15" s="1512" t="n"/>
      <c r="M15" s="1512" t="n"/>
      <c r="N15" s="1513">
        <f>SUM(B15:M15)</f>
        <v/>
      </c>
      <c r="O15" s="1514" t="n"/>
      <c r="P15" s="1515">
        <f>N15+O15</f>
        <v/>
      </c>
      <c r="Q15" s="1514" t="n"/>
      <c r="R15" s="1514" t="n"/>
      <c r="S15" s="1513">
        <f>Q15+R15</f>
        <v/>
      </c>
      <c r="T15" s="913">
        <f>IF(AND(Q15=0,N15=0),0,IF(AND(Q15=0,N15&gt;0),1,(N15-Q15)/Q15))</f>
        <v/>
      </c>
      <c r="U15" s="913">
        <f>IF(AND(S15=0,P15=0),0,IF(AND(S15=0,P15&gt;0),1,(P15-S15)/S15))</f>
        <v/>
      </c>
      <c r="V15" s="1516" t="n"/>
    </row>
    <row r="16" s="1296">
      <c r="A16" s="1517" t="n"/>
      <c r="B16" s="1512" t="n"/>
      <c r="C16" s="1512" t="n"/>
      <c r="D16" s="1512" t="n"/>
      <c r="E16" s="1512" t="n"/>
      <c r="F16" s="1512" t="n"/>
      <c r="G16" s="1512" t="n"/>
      <c r="H16" s="1512" t="n"/>
      <c r="I16" s="1512" t="n"/>
      <c r="J16" s="1512" t="n"/>
      <c r="K16" s="1512" t="n"/>
      <c r="L16" s="1512" t="n"/>
      <c r="M16" s="1512" t="n"/>
      <c r="N16" s="1513">
        <f>SUM(B16:M16)</f>
        <v/>
      </c>
      <c r="O16" s="1514" t="n"/>
      <c r="P16" s="1515">
        <f>N16+O16</f>
        <v/>
      </c>
      <c r="Q16" s="1514" t="n"/>
      <c r="R16" s="1514" t="n"/>
      <c r="S16" s="1513">
        <f>Q16+R16</f>
        <v/>
      </c>
      <c r="T16" s="913">
        <f>IF(AND(Q16=0,N16=0),0,IF(AND(Q16=0,N16&gt;0),1,(N16-Q16)/Q16))</f>
        <v/>
      </c>
      <c r="U16" s="913">
        <f>IF(AND(S16=0,P16=0),0,IF(AND(S16=0,P16&gt;0),1,(P16-S16)/S16))</f>
        <v/>
      </c>
      <c r="V16" s="1516" t="n"/>
    </row>
    <row r="17" s="1296">
      <c r="A17" s="1517" t="n"/>
      <c r="B17" s="1512" t="n"/>
      <c r="C17" s="1512" t="n"/>
      <c r="D17" s="1512" t="n"/>
      <c r="E17" s="1512" t="n"/>
      <c r="F17" s="1512" t="n"/>
      <c r="G17" s="1512" t="n"/>
      <c r="H17" s="1512" t="n"/>
      <c r="I17" s="1512" t="n"/>
      <c r="J17" s="1512" t="n"/>
      <c r="K17" s="1512" t="n"/>
      <c r="L17" s="1512" t="n"/>
      <c r="M17" s="1512" t="n"/>
      <c r="N17" s="1513">
        <f>SUM(B17:M17)</f>
        <v/>
      </c>
      <c r="O17" s="1514" t="n"/>
      <c r="P17" s="1515">
        <f>N17+O17</f>
        <v/>
      </c>
      <c r="Q17" s="1514" t="n"/>
      <c r="R17" s="1514" t="n"/>
      <c r="S17" s="1513">
        <f>Q17+R17</f>
        <v/>
      </c>
      <c r="T17" s="913">
        <f>IF(AND(Q17=0,N17=0),0,IF(AND(Q17=0,N17&gt;0),1,(N17-Q17)/Q17))</f>
        <v/>
      </c>
      <c r="U17" s="913">
        <f>IF(AND(S17=0,P17=0),0,IF(AND(S17=0,P17&gt;0),1,(P17-S17)/S17))</f>
        <v/>
      </c>
      <c r="V17" s="1516" t="n"/>
    </row>
    <row r="18" s="1296">
      <c r="A18" s="1518" t="n"/>
      <c r="B18" s="1512" t="n"/>
      <c r="C18" s="1512" t="n"/>
      <c r="D18" s="1512" t="n"/>
      <c r="E18" s="1512" t="n"/>
      <c r="F18" s="1512" t="n"/>
      <c r="G18" s="1512" t="n"/>
      <c r="H18" s="1512" t="n"/>
      <c r="I18" s="1512" t="n"/>
      <c r="J18" s="1512" t="n"/>
      <c r="K18" s="1512" t="n"/>
      <c r="L18" s="1512" t="n"/>
      <c r="M18" s="1512" t="n"/>
      <c r="N18" s="1513">
        <f>SUM(B18:M18)</f>
        <v/>
      </c>
      <c r="O18" s="1514" t="n"/>
      <c r="P18" s="1515">
        <f>N18+O18</f>
        <v/>
      </c>
      <c r="Q18" s="1514" t="n"/>
      <c r="R18" s="1514" t="n"/>
      <c r="S18" s="1513">
        <f>Q18+R18</f>
        <v/>
      </c>
      <c r="T18" s="913">
        <f>IF(AND(Q18=0,N18=0),0,IF(AND(Q18=0,N18&gt;0),1,(N18-Q18)/Q18))</f>
        <v/>
      </c>
      <c r="U18" s="913">
        <f>IF(AND(S18=0,P18=0),0,IF(AND(S18=0,P18&gt;0),1,(P18-S18)/S18))</f>
        <v/>
      </c>
      <c r="V18" s="1516" t="n"/>
    </row>
    <row r="19" s="1296">
      <c r="A19" s="1518" t="n"/>
      <c r="B19" s="1512" t="n"/>
      <c r="C19" s="1512" t="n"/>
      <c r="D19" s="1512" t="n"/>
      <c r="E19" s="1512" t="n"/>
      <c r="F19" s="1512" t="n"/>
      <c r="G19" s="1512" t="n"/>
      <c r="H19" s="1512" t="n"/>
      <c r="I19" s="1512" t="n"/>
      <c r="J19" s="1512" t="n"/>
      <c r="K19" s="1512" t="n"/>
      <c r="L19" s="1512" t="n"/>
      <c r="M19" s="1512" t="n"/>
      <c r="N19" s="1513">
        <f>SUM(B19:M19)</f>
        <v/>
      </c>
      <c r="O19" s="1514" t="n"/>
      <c r="P19" s="1515">
        <f>N19+O19</f>
        <v/>
      </c>
      <c r="Q19" s="1514" t="n"/>
      <c r="R19" s="1514" t="n"/>
      <c r="S19" s="1513">
        <f>Q19+R19</f>
        <v/>
      </c>
      <c r="T19" s="913">
        <f>IF(AND(Q19=0,N19=0),0,IF(AND(Q19=0,N19&gt;0),1,(N19-Q19)/Q19))</f>
        <v/>
      </c>
      <c r="U19" s="913">
        <f>IF(AND(S19=0,P19=0),0,IF(AND(S19=0,P19&gt;0),1,(P19-S19)/S19))</f>
        <v/>
      </c>
      <c r="V19" s="1516" t="n"/>
    </row>
    <row r="20" s="1296">
      <c r="A20" s="1517" t="n"/>
      <c r="B20" s="1512" t="n"/>
      <c r="C20" s="1512" t="n"/>
      <c r="D20" s="1512" t="n"/>
      <c r="E20" s="1512" t="n"/>
      <c r="F20" s="1512" t="n"/>
      <c r="G20" s="1512" t="n"/>
      <c r="H20" s="1512" t="n"/>
      <c r="I20" s="1512" t="n"/>
      <c r="J20" s="1512" t="n"/>
      <c r="K20" s="1512" t="n"/>
      <c r="L20" s="1512" t="n"/>
      <c r="M20" s="1512" t="n"/>
      <c r="N20" s="1513">
        <f>SUM(B20:M20)</f>
        <v/>
      </c>
      <c r="O20" s="1514" t="n"/>
      <c r="P20" s="1515">
        <f>N20+O20</f>
        <v/>
      </c>
      <c r="Q20" s="1514" t="n"/>
      <c r="R20" s="1514" t="n"/>
      <c r="S20" s="1513">
        <f>Q20+R20</f>
        <v/>
      </c>
      <c r="T20" s="913">
        <f>IF(AND(Q20=0,N20=0),0,IF(AND(Q20=0,N20&gt;0),1,(N20-Q20)/Q20))</f>
        <v/>
      </c>
      <c r="U20" s="913">
        <f>IF(AND(S20=0,P20=0),0,IF(AND(S20=0,P20&gt;0),1,(P20-S20)/S20))</f>
        <v/>
      </c>
      <c r="V20" s="1516" t="n"/>
    </row>
    <row r="21" s="1296">
      <c r="A21" s="1517" t="n"/>
      <c r="B21" s="1512" t="n"/>
      <c r="C21" s="1512" t="n"/>
      <c r="D21" s="1512" t="n"/>
      <c r="E21" s="1512" t="n"/>
      <c r="F21" s="1512" t="n"/>
      <c r="G21" s="1512" t="n"/>
      <c r="H21" s="1512" t="n"/>
      <c r="I21" s="1512" t="n"/>
      <c r="J21" s="1512" t="n"/>
      <c r="K21" s="1512" t="n"/>
      <c r="L21" s="1512" t="n"/>
      <c r="M21" s="1512" t="n"/>
      <c r="N21" s="1513">
        <f>SUM(B21:M21)</f>
        <v/>
      </c>
      <c r="O21" s="1514" t="n"/>
      <c r="P21" s="1515">
        <f>N21+O21</f>
        <v/>
      </c>
      <c r="Q21" s="1514" t="n"/>
      <c r="R21" s="1514" t="n"/>
      <c r="S21" s="1513">
        <f>Q21+R21</f>
        <v/>
      </c>
      <c r="T21" s="913">
        <f>IF(AND(Q21=0,N21=0),0,IF(AND(Q21=0,N21&gt;0),1,(N21-Q21)/Q21))</f>
        <v/>
      </c>
      <c r="U21" s="913">
        <f>IF(AND(S21=0,P21=0),0,IF(AND(S21=0,P21&gt;0),1,(P21-S21)/S21))</f>
        <v/>
      </c>
      <c r="V21" s="1516" t="n"/>
    </row>
    <row r="22" s="1296">
      <c r="A22" s="1517" t="n"/>
      <c r="B22" s="1512" t="n"/>
      <c r="C22" s="1512" t="n"/>
      <c r="D22" s="1512" t="n"/>
      <c r="E22" s="1512" t="n"/>
      <c r="F22" s="1512" t="n"/>
      <c r="G22" s="1512" t="n"/>
      <c r="H22" s="1512" t="n"/>
      <c r="I22" s="1512" t="n"/>
      <c r="J22" s="1512" t="n"/>
      <c r="K22" s="1512" t="n"/>
      <c r="L22" s="1512" t="n"/>
      <c r="M22" s="1512" t="n"/>
      <c r="N22" s="1513">
        <f>SUM(B22:M22)</f>
        <v/>
      </c>
      <c r="O22" s="1514" t="n"/>
      <c r="P22" s="1515">
        <f>N22+O22</f>
        <v/>
      </c>
      <c r="Q22" s="1514" t="n"/>
      <c r="R22" s="1514" t="n"/>
      <c r="S22" s="1513">
        <f>Q22+R22</f>
        <v/>
      </c>
      <c r="T22" s="913">
        <f>IF(AND(Q22=0,N22=0),0,IF(AND(Q22=0,N22&gt;0),1,(N22-Q22)/Q22))</f>
        <v/>
      </c>
      <c r="U22" s="913">
        <f>IF(AND(S22=0,P22=0),0,IF(AND(S22=0,P22&gt;0),1,(P22-S22)/S22))</f>
        <v/>
      </c>
      <c r="V22" s="1516" t="n"/>
    </row>
    <row r="23" s="1296">
      <c r="A23" s="1519" t="n"/>
      <c r="B23" s="1512" t="n"/>
      <c r="C23" s="1512" t="n"/>
      <c r="D23" s="1512" t="n"/>
      <c r="E23" s="1512" t="n"/>
      <c r="F23" s="1512" t="n"/>
      <c r="G23" s="1512" t="n"/>
      <c r="H23" s="1512" t="n"/>
      <c r="I23" s="1512" t="n"/>
      <c r="J23" s="1512" t="n"/>
      <c r="K23" s="1512" t="n"/>
      <c r="L23" s="1512" t="n"/>
      <c r="M23" s="1512" t="n"/>
      <c r="N23" s="1513">
        <f>SUM(B23:M23)</f>
        <v/>
      </c>
      <c r="O23" s="1514" t="n"/>
      <c r="P23" s="1515">
        <f>N23+O23</f>
        <v/>
      </c>
      <c r="Q23" s="1514" t="n"/>
      <c r="R23" s="1514" t="n"/>
      <c r="S23" s="1513">
        <f>Q23+R23</f>
        <v/>
      </c>
      <c r="T23" s="913">
        <f>IF(AND(Q23=0,N23=0),0,IF(AND(Q23=0,N23&gt;0),1,(N23-Q23)/Q23))</f>
        <v/>
      </c>
      <c r="U23" s="913">
        <f>IF(AND(S23=0,P23=0),0,IF(AND(S23=0,P23&gt;0),1,(P23-S23)/S23))</f>
        <v/>
      </c>
      <c r="V23" s="1516" t="n"/>
    </row>
    <row r="24" s="1296">
      <c r="A24" s="1332" t="inlineStr">
        <is>
          <t>合计</t>
        </is>
      </c>
      <c r="B24" s="1515">
        <f>SUM(B12:B23)</f>
        <v/>
      </c>
      <c r="C24" s="1515">
        <f>SUM(C12:C23)</f>
        <v/>
      </c>
      <c r="D24" s="1515">
        <f>SUM(D12:D23)</f>
        <v/>
      </c>
      <c r="E24" s="1515">
        <f>SUM(E12:E23)</f>
        <v/>
      </c>
      <c r="F24" s="1515">
        <f>SUM(F12:F23)</f>
        <v/>
      </c>
      <c r="G24" s="1515">
        <f>SUM(G12:G23)</f>
        <v/>
      </c>
      <c r="H24" s="1515">
        <f>SUM(H12:H23)</f>
        <v/>
      </c>
      <c r="I24" s="1515">
        <f>SUM(I12:I23)</f>
        <v/>
      </c>
      <c r="J24" s="1515">
        <f>SUM(J12:J23)</f>
        <v/>
      </c>
      <c r="K24" s="1515">
        <f>SUM(K12:K23)</f>
        <v/>
      </c>
      <c r="L24" s="1515">
        <f>SUM(L12:L23)</f>
        <v/>
      </c>
      <c r="M24" s="1515">
        <f>SUM(M12:M23)</f>
        <v/>
      </c>
      <c r="N24" s="1515">
        <f>SUM(N12:N23)</f>
        <v/>
      </c>
      <c r="O24" s="1515">
        <f>SUM(O12:O23)</f>
        <v/>
      </c>
      <c r="P24" s="1515">
        <f>SUM(P12:P23)</f>
        <v/>
      </c>
      <c r="Q24" s="1515">
        <f>SUM(Q12:Q23)</f>
        <v/>
      </c>
      <c r="R24" s="1515">
        <f>SUM(R12:R23)</f>
        <v/>
      </c>
      <c r="S24" s="1515">
        <f>SUM(S12:S23)</f>
        <v/>
      </c>
      <c r="T24" s="1085">
        <f>IF(AND(Q24=0,N24=0),0,IF(AND(Q24=0,N24&gt;0),1,(N24-Q24)/Q24))</f>
        <v/>
      </c>
      <c r="U24" s="1085">
        <f>IF(AND(S24=0,P24=0),0,IF(AND(S24=0,P24&gt;0),1,(P24-S24)/S24))</f>
        <v/>
      </c>
      <c r="V24" s="1520" t="n"/>
    </row>
    <row r="25" s="1296">
      <c r="A25" s="1521" t="inlineStr">
        <is>
          <t>各月比例</t>
        </is>
      </c>
      <c r="B25" s="1085">
        <f>IF($N$24=0,0,B24/$N$24)</f>
        <v/>
      </c>
      <c r="C25" s="1085">
        <f>IF($N$24=0,0,C24/$N$24)</f>
        <v/>
      </c>
      <c r="D25" s="1085">
        <f>IF($N$24=0,0,D24/$N$24)</f>
        <v/>
      </c>
      <c r="E25" s="1085">
        <f>IF($N$24=0,0,E24/$N$24)</f>
        <v/>
      </c>
      <c r="F25" s="1085">
        <f>IF($N$24=0,0,F24/$N$24)</f>
        <v/>
      </c>
      <c r="G25" s="1085">
        <f>IF($N$24=0,0,G24/$N$24)</f>
        <v/>
      </c>
      <c r="H25" s="1085">
        <f>IF($N$24=0,0,H24/$N$24)</f>
        <v/>
      </c>
      <c r="I25" s="1085">
        <f>IF($N$24=0,0,I24/$N$24)</f>
        <v/>
      </c>
      <c r="J25" s="1085">
        <f>IF($N$24=0,0,J24/$N$24)</f>
        <v/>
      </c>
      <c r="K25" s="1085">
        <f>IF($N$24=0,0,K24/$N$24)</f>
        <v/>
      </c>
      <c r="L25" s="1085">
        <f>IF($N$24=0,0,L24/$N$24)</f>
        <v/>
      </c>
      <c r="M25" s="1085">
        <f>IF($N$24=0,0,M24/$N$24)</f>
        <v/>
      </c>
      <c r="N25" s="1085">
        <f>IF($N$24=0,0,N24/$N$24)</f>
        <v/>
      </c>
      <c r="O25" s="1522" t="n"/>
      <c r="P25" s="1522" t="n"/>
      <c r="Q25" s="1522" t="n"/>
      <c r="R25" s="1522" t="n"/>
      <c r="S25" s="1522" t="n"/>
      <c r="T25" s="1522" t="n"/>
      <c r="U25" s="1522" t="n"/>
      <c r="V25" s="1523" t="n"/>
    </row>
    <row r="26" customFormat="1" s="488">
      <c r="A26" s="55" t="inlineStr">
        <is>
          <t>三、审计说明</t>
        </is>
      </c>
      <c r="B26" s="1090" t="n"/>
      <c r="C26" s="1090" t="n"/>
      <c r="D26" s="1090" t="n"/>
      <c r="E26" s="1090" t="n"/>
      <c r="F26" s="1090" t="n"/>
      <c r="G26" s="1090" t="n"/>
      <c r="H26" s="1090" t="n"/>
      <c r="I26" s="1090" t="n"/>
      <c r="J26" s="1090" t="n"/>
      <c r="K26" s="1090" t="n"/>
      <c r="L26" s="1090" t="n"/>
      <c r="M26" s="1090" t="n"/>
      <c r="N26" s="1090" t="n"/>
      <c r="O26" s="1090" t="n"/>
      <c r="P26" s="1090" t="n"/>
      <c r="Q26" s="1090" t="n"/>
      <c r="R26" s="1090" t="n"/>
      <c r="S26" s="1090" t="n"/>
      <c r="T26" s="1090" t="n"/>
      <c r="U26" s="1090" t="n"/>
      <c r="V26" s="1090" t="n"/>
    </row>
    <row r="27" customFormat="1" s="488">
      <c r="A27" s="1091" t="inlineStr">
        <is>
          <t>1.XX公司收入主要集中在第二季度和第四季度，主要原因是……，经查询同行业数据&lt;  &gt;，收入季节变化符合行业周期季节变化，季节性因素对公司各季度收入的影响合理。</t>
        </is>
      </c>
    </row>
    <row r="28" customFormat="1" s="488"/>
    <row r="29" customFormat="1" s="488"/>
    <row r="30" customFormat="1" s="488">
      <c r="A30" s="1092" t="inlineStr">
        <is>
          <t>四、审计结论</t>
        </is>
      </c>
    </row>
    <row r="31" customFormat="1" s="488"/>
    <row r="32" s="1296">
      <c r="A32" s="1524" t="inlineStr">
        <is>
          <t>提示1：根据项目需要，按照区域、品种等进行分类汇总。</t>
        </is>
      </c>
    </row>
  </sheetData>
  <mergeCells count="2">
    <mergeCell ref="A2:V2"/>
    <mergeCell ref="A1:V1"/>
  </mergeCells>
  <hyperlinks>
    <hyperlink ref="V3" location="底稿目录!Print_Area" display="D4-2"/>
  </hyperlinks>
  <pageMargins left="0.708333333333333" right="0.708333333333333" top="0.747916666666667" bottom="0.747916666666667" header="0.314583333333333" footer="0.314583333333333"/>
  <pageSetup orientation="landscape" paperSize="9" scale="56" blackAndWhite="1" horizontalDpi="1200" verticalDpi="1200"/>
  <headerFooter alignWithMargins="0">
    <oddHeader/>
    <oddFooter>&amp;C&amp;P/&amp;N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N34"/>
  <sheetViews>
    <sheetView view="pageBreakPreview" topLeftCell="A10" zoomScaleNormal="115" workbookViewId="0">
      <selection activeCell="B22" sqref="B22"/>
    </sheetView>
  </sheetViews>
  <sheetFormatPr baseColWidth="8" defaultColWidth="9.81818181818182" defaultRowHeight="20.1" customHeight="1"/>
  <cols>
    <col width="30.1090909090909" customWidth="1" style="1525" min="1" max="1"/>
    <col width="14.1818181818182" customWidth="1" style="1525" min="2" max="2"/>
    <col width="12.6545454545455" customWidth="1" style="1525" min="3" max="3"/>
    <col width="12.7636363636364" customWidth="1" style="1525" min="4" max="4"/>
    <col width="12.2181818181818" customWidth="1" style="1525" min="5" max="5"/>
    <col width="10.3636363636364" customWidth="1" style="1525" min="6" max="6"/>
    <col width="11.6727272727273" customWidth="1" style="1525" min="7" max="7"/>
    <col width="12.2181818181818" customWidth="1" style="1525" min="8" max="8"/>
    <col width="11.5636363636364" customWidth="1" style="1525" min="9" max="9"/>
    <col width="14.7272727272727" customWidth="1" style="1525" min="10" max="10"/>
    <col width="10.5818181818182" customWidth="1" style="1525" min="11" max="11"/>
    <col width="14.7272727272727" customWidth="1" style="1525" min="12" max="12"/>
    <col width="10.3636363636364" customWidth="1" style="1525" min="13" max="13"/>
    <col width="11.5636363636364" customWidth="1" style="1525" min="14" max="14"/>
    <col width="9.81818181818182" customWidth="1" style="1525" min="15" max="16384"/>
  </cols>
  <sheetData>
    <row r="1" customFormat="1" s="1526">
      <c r="A1" s="1527" t="inlineStr">
        <is>
          <t>致同会计师事务所</t>
        </is>
      </c>
    </row>
    <row r="2" customFormat="1" s="1526">
      <c r="A2" s="1527" t="inlineStr">
        <is>
          <t>其他业务收入明细表</t>
        </is>
      </c>
    </row>
    <row r="3" s="1296">
      <c r="A3" s="1500" t="inlineStr">
        <is>
          <t>被审计单位：</t>
        </is>
      </c>
      <c r="E3" s="1500" t="inlineStr">
        <is>
          <t>编制人：</t>
        </is>
      </c>
      <c r="I3" s="1525" t="inlineStr">
        <is>
          <t>编制日期：</t>
        </is>
      </c>
      <c r="M3" s="1525" t="inlineStr">
        <is>
          <t>索引号：</t>
        </is>
      </c>
      <c r="N3" s="1322" t="inlineStr">
        <is>
          <t>D4-3</t>
        </is>
      </c>
    </row>
    <row r="4" s="1296">
      <c r="A4" s="1500" t="inlineStr">
        <is>
          <t>会计期间：202X年度</t>
        </is>
      </c>
      <c r="E4" s="1500" t="inlineStr">
        <is>
          <t>复核人：</t>
        </is>
      </c>
      <c r="I4" s="1525" t="inlineStr">
        <is>
          <t>复核日期：</t>
        </is>
      </c>
      <c r="M4" s="1525" t="inlineStr">
        <is>
          <t>页次：</t>
        </is>
      </c>
      <c r="N4" s="1322" t="n"/>
    </row>
    <row r="5" customFormat="1" s="1031">
      <c r="A5" s="1035" t="inlineStr">
        <is>
          <t>一、审计目标：</t>
        </is>
      </c>
      <c r="B5" s="1035" t="n"/>
      <c r="C5" s="1035" t="n"/>
      <c r="D5" s="1035" t="n"/>
    </row>
    <row r="6" customFormat="1" s="1031">
      <c r="A6" s="1036" t="inlineStr">
        <is>
          <t>与其他业务收入有关的金额及其他数据已恰当记录，相关披露已得到恰当计量和描述。</t>
        </is>
      </c>
      <c r="B6" s="1037" t="n"/>
      <c r="C6" s="1037" t="n"/>
      <c r="D6" s="1037" t="n"/>
    </row>
    <row r="7" customFormat="1" s="1031">
      <c r="A7" s="1038" t="inlineStr">
        <is>
          <t>二、审计过程:</t>
        </is>
      </c>
      <c r="B7" s="1035" t="n"/>
      <c r="C7" s="1035" t="n"/>
      <c r="D7" s="1035" t="n"/>
    </row>
    <row r="8" customFormat="1" s="1031">
      <c r="A8" s="1039" t="inlineStr">
        <is>
          <t>1.……</t>
        </is>
      </c>
      <c r="B8" s="1037" t="n"/>
      <c r="C8" s="1037" t="n"/>
      <c r="D8" s="1037" t="n"/>
    </row>
    <row r="9" customFormat="1" s="1031">
      <c r="A9" s="1036" t="n"/>
      <c r="B9" s="1037" t="n"/>
      <c r="C9" s="1037" t="n"/>
      <c r="D9" s="1037" t="n"/>
    </row>
    <row r="10" customFormat="1" s="1031">
      <c r="A10" s="1036" t="n"/>
      <c r="B10" s="1037" t="n"/>
      <c r="C10" s="1037" t="n"/>
      <c r="D10" s="1037" t="n"/>
    </row>
    <row r="11" customFormat="1" s="1528">
      <c r="A11" s="1529" t="inlineStr">
        <is>
          <t>项目</t>
        </is>
      </c>
      <c r="B11" s="1529" t="inlineStr">
        <is>
          <t>本期数</t>
        </is>
      </c>
      <c r="C11" s="1327" t="n"/>
      <c r="D11" s="1327" t="n"/>
      <c r="E11" s="1328" t="n"/>
      <c r="F11" s="1530" t="n"/>
      <c r="G11" s="1529" t="inlineStr">
        <is>
          <t>上期数</t>
        </is>
      </c>
      <c r="H11" s="1327" t="n"/>
      <c r="I11" s="1327" t="n"/>
      <c r="J11" s="1327" t="n"/>
      <c r="K11" s="1328" t="n"/>
      <c r="L11" s="1530" t="inlineStr">
        <is>
          <t>本期数比上期增加（减少）</t>
        </is>
      </c>
      <c r="M11" s="1530" t="n"/>
      <c r="N11" s="1529" t="inlineStr">
        <is>
          <t>备注</t>
        </is>
      </c>
    </row>
    <row r="12" customFormat="1" s="1528">
      <c r="A12" s="1335" t="n"/>
      <c r="B12" s="1529" t="inlineStr">
        <is>
          <t>本期未审数</t>
        </is>
      </c>
      <c r="C12" s="1529" t="inlineStr">
        <is>
          <t>账项调整</t>
        </is>
      </c>
      <c r="D12" s="1529" t="inlineStr">
        <is>
          <t>重分类调整</t>
        </is>
      </c>
      <c r="E12" s="1529" t="inlineStr">
        <is>
          <t>本期审定数</t>
        </is>
      </c>
      <c r="F12" s="1529" t="inlineStr">
        <is>
          <t>结构比</t>
        </is>
      </c>
      <c r="G12" s="1529" t="inlineStr">
        <is>
          <t>上期未审数</t>
        </is>
      </c>
      <c r="H12" s="1529" t="inlineStr">
        <is>
          <t>账项调整</t>
        </is>
      </c>
      <c r="I12" s="1529" t="inlineStr">
        <is>
          <t>重分类调整</t>
        </is>
      </c>
      <c r="J12" s="1529" t="inlineStr">
        <is>
          <t>上期审定额</t>
        </is>
      </c>
      <c r="K12" s="1529" t="inlineStr">
        <is>
          <t>结构比</t>
        </is>
      </c>
      <c r="L12" s="1529" t="inlineStr">
        <is>
          <t>变动额</t>
        </is>
      </c>
      <c r="M12" s="1529" t="inlineStr">
        <is>
          <t>变动率</t>
        </is>
      </c>
      <c r="N12" s="1335" t="n"/>
    </row>
    <row r="13" s="1296">
      <c r="A13" s="1531" t="inlineStr">
        <is>
          <t>出租固定资产</t>
        </is>
      </c>
      <c r="B13" s="1532" t="n"/>
      <c r="C13" s="1532" t="n"/>
      <c r="D13" s="1532" t="n"/>
      <c r="E13" s="1533">
        <f>B13+C13+D13</f>
        <v/>
      </c>
      <c r="F13" s="1050">
        <f>IF(E13=0,0,E13/$E$20)</f>
        <v/>
      </c>
      <c r="G13" s="1532" t="n"/>
      <c r="H13" s="1532" t="n"/>
      <c r="I13" s="1532" t="n"/>
      <c r="J13" s="1533">
        <f>G13+H13+I13</f>
        <v/>
      </c>
      <c r="K13" s="1534">
        <f>IF(J13=0,0,J13/$J$20)</f>
        <v/>
      </c>
      <c r="L13" s="1533">
        <f>E13-J13</f>
        <v/>
      </c>
      <c r="M13" s="1050">
        <f>IF(AND(J13=0,L13=0),0,IF(AND(J13=0,L13&gt;0),1,L13/J13))</f>
        <v/>
      </c>
      <c r="N13" s="1535" t="n"/>
    </row>
    <row r="14" s="1296">
      <c r="A14" s="1531" t="inlineStr">
        <is>
          <t>出租无形资产</t>
        </is>
      </c>
      <c r="B14" s="1532" t="n"/>
      <c r="C14" s="1532" t="n"/>
      <c r="D14" s="1532" t="n"/>
      <c r="E14" s="1533">
        <f>B14+C14+D14</f>
        <v/>
      </c>
      <c r="F14" s="1050">
        <f>IF(E14=0,0,E14/$E$20)</f>
        <v/>
      </c>
      <c r="G14" s="1532" t="n"/>
      <c r="H14" s="1532" t="n"/>
      <c r="I14" s="1532" t="n"/>
      <c r="J14" s="1533">
        <f>G14+H14+I14</f>
        <v/>
      </c>
      <c r="K14" s="1534">
        <f>IF(J14=0,0,J14/$J$20)</f>
        <v/>
      </c>
      <c r="L14" s="1533">
        <f>E14-J14</f>
        <v/>
      </c>
      <c r="M14" s="1050">
        <f>IF(AND(J14=0,L14=0),0,IF(AND(J14=0,L14&gt;0),1,L14/J14))</f>
        <v/>
      </c>
      <c r="N14" s="1535" t="n"/>
    </row>
    <row r="15" s="1296">
      <c r="A15" s="1531" t="inlineStr">
        <is>
          <t>出租包装物和商品</t>
        </is>
      </c>
      <c r="B15" s="1532" t="n"/>
      <c r="C15" s="1532" t="n"/>
      <c r="D15" s="1532" t="n"/>
      <c r="E15" s="1533">
        <f>B15+C15+D15</f>
        <v/>
      </c>
      <c r="F15" s="1050">
        <f>IF(E15=0,0,E15/$E$20)</f>
        <v/>
      </c>
      <c r="G15" s="1536" t="n"/>
      <c r="H15" s="1536" t="n"/>
      <c r="I15" s="1536" t="n"/>
      <c r="J15" s="1533">
        <f>G15+H15+I15</f>
        <v/>
      </c>
      <c r="K15" s="1534">
        <f>IF(J15=0,0,J15/$J$20)</f>
        <v/>
      </c>
      <c r="L15" s="1533">
        <f>E15-J15</f>
        <v/>
      </c>
      <c r="M15" s="1050">
        <f>IF(AND(J15=0,L15=0),0,IF(AND(J15=0,L15&gt;0),1,L15/J15))</f>
        <v/>
      </c>
      <c r="N15" s="1535" t="n"/>
    </row>
    <row r="16" s="1296">
      <c r="A16" s="1531" t="inlineStr">
        <is>
          <t>销售材料</t>
        </is>
      </c>
      <c r="B16" s="1532" t="n"/>
      <c r="C16" s="1532" t="n"/>
      <c r="D16" s="1532" t="n"/>
      <c r="E16" s="1533">
        <f>B16+C16+D16</f>
        <v/>
      </c>
      <c r="F16" s="1050">
        <f>IF(E16=0,0,E16/$E$20)</f>
        <v/>
      </c>
      <c r="G16" s="1536" t="n"/>
      <c r="H16" s="1536" t="n"/>
      <c r="I16" s="1536" t="n"/>
      <c r="J16" s="1533">
        <f>G16+H16+I16</f>
        <v/>
      </c>
      <c r="K16" s="1534">
        <f>IF(J16=0,0,J16/$J$20)</f>
        <v/>
      </c>
      <c r="L16" s="1533">
        <f>E16-J16</f>
        <v/>
      </c>
      <c r="M16" s="1050">
        <f>IF(AND(J16=0,L16=0),0,IF(AND(J16=0,L16&gt;0),1,L16/J16))</f>
        <v/>
      </c>
      <c r="N16" s="1535" t="n"/>
    </row>
    <row r="17" s="1296">
      <c r="A17" s="1531" t="inlineStr">
        <is>
          <t>用材料进行非货币性交换</t>
        </is>
      </c>
      <c r="B17" s="1532" t="n"/>
      <c r="C17" s="1532" t="n"/>
      <c r="D17" s="1532" t="n"/>
      <c r="E17" s="1533">
        <f>B17+C17+D17</f>
        <v/>
      </c>
      <c r="F17" s="1050">
        <f>IF(E17=0,0,E17/$E$20)</f>
        <v/>
      </c>
      <c r="G17" s="1536" t="n"/>
      <c r="H17" s="1536" t="n"/>
      <c r="I17" s="1536" t="n"/>
      <c r="J17" s="1533">
        <f>G17+H17+I17</f>
        <v/>
      </c>
      <c r="K17" s="1534">
        <f>IF(J17=0,0,J17/$J$20)</f>
        <v/>
      </c>
      <c r="L17" s="1533">
        <f>E17-J17</f>
        <v/>
      </c>
      <c r="M17" s="1050">
        <f>IF(AND(J17=0,L17=0),0,IF(AND(J17=0,L17&gt;0),1,L17/J17))</f>
        <v/>
      </c>
      <c r="N17" s="1535" t="n"/>
    </row>
    <row r="18" s="1296">
      <c r="A18" s="1531" t="inlineStr">
        <is>
          <t>投资性房地产租金收入</t>
        </is>
      </c>
      <c r="B18" s="1532" t="n"/>
      <c r="C18" s="1532" t="n"/>
      <c r="D18" s="1532" t="n"/>
      <c r="E18" s="1533">
        <f>B18+C18+D18</f>
        <v/>
      </c>
      <c r="F18" s="1050">
        <f>IF(E18=0,0,E18/$E$20)</f>
        <v/>
      </c>
      <c r="G18" s="1536" t="n"/>
      <c r="H18" s="1536" t="n"/>
      <c r="I18" s="1536" t="n"/>
      <c r="J18" s="1533">
        <f>G18+H18+I18</f>
        <v/>
      </c>
      <c r="K18" s="1534">
        <f>IF(J18=0,0,J18/$J$20)</f>
        <v/>
      </c>
      <c r="L18" s="1533">
        <f>E18-J18</f>
        <v/>
      </c>
      <c r="M18" s="1050">
        <f>IF(AND(J18=0,L18=0),0,IF(AND(J18=0,L18&gt;0),1,L18/J18))</f>
        <v/>
      </c>
      <c r="N18" s="1535" t="n"/>
    </row>
    <row r="19" s="1296">
      <c r="A19" s="1537" t="inlineStr">
        <is>
          <t>……</t>
        </is>
      </c>
      <c r="B19" s="1532" t="n"/>
      <c r="C19" s="1532" t="n"/>
      <c r="D19" s="1532" t="n"/>
      <c r="E19" s="1533">
        <f>B19+C19+D19</f>
        <v/>
      </c>
      <c r="F19" s="1050">
        <f>IF(E19=0,0,E19/$E$20)</f>
        <v/>
      </c>
      <c r="G19" s="1536" t="n"/>
      <c r="H19" s="1536" t="n"/>
      <c r="I19" s="1536" t="n"/>
      <c r="J19" s="1533">
        <f>G19+H19+I19</f>
        <v/>
      </c>
      <c r="K19" s="1534">
        <f>IF(J19=0,0,J19/$J$20)</f>
        <v/>
      </c>
      <c r="L19" s="1533">
        <f>E19-J19</f>
        <v/>
      </c>
      <c r="M19" s="1050">
        <f>IF(AND(J19=0,L19=0),0,IF(AND(J19=0,L19&gt;0),1,L19/J19))</f>
        <v/>
      </c>
      <c r="N19" s="1535" t="n"/>
    </row>
    <row r="20" s="1296">
      <c r="A20" s="1529" t="inlineStr">
        <is>
          <t>合计</t>
        </is>
      </c>
      <c r="B20" s="1538">
        <f>SUM(B13:B19)</f>
        <v/>
      </c>
      <c r="C20" s="1538">
        <f>SUM(C13:C19)</f>
        <v/>
      </c>
      <c r="D20" s="1538">
        <f>SUM(D13:D19)</f>
        <v/>
      </c>
      <c r="E20" s="1538">
        <f>SUM(E13:E19)</f>
        <v/>
      </c>
      <c r="F20" s="1056">
        <f>IF(E20=0,0,E20/$E$20)</f>
        <v/>
      </c>
      <c r="G20" s="1538">
        <f>SUM(G13:G19)</f>
        <v/>
      </c>
      <c r="H20" s="1538">
        <f>SUM(H13:H19)</f>
        <v/>
      </c>
      <c r="I20" s="1538">
        <f>SUM(I13:I19)</f>
        <v/>
      </c>
      <c r="J20" s="1538">
        <f>SUM(J13:J19)</f>
        <v/>
      </c>
      <c r="K20" s="1539">
        <f>IF(J20=0,0,J20/$J$20)</f>
        <v/>
      </c>
      <c r="L20" s="1533">
        <f>E20-J20</f>
        <v/>
      </c>
      <c r="M20" s="1056">
        <f>IF(AND(J20=0,L20=0),0,IF(AND(J20=0,L20&gt;0),1,L20/J20))</f>
        <v/>
      </c>
      <c r="N20" s="1540" t="n"/>
    </row>
    <row r="21" customFormat="1" s="1031">
      <c r="A21" s="1059" t="inlineStr">
        <is>
          <t>三、审计说明：</t>
        </is>
      </c>
      <c r="B21" s="1059" t="n"/>
      <c r="C21" s="1059" t="n"/>
      <c r="D21" s="1059" t="n"/>
    </row>
    <row r="22" customFormat="1" s="1031"/>
    <row r="23" customFormat="1" s="1031"/>
    <row r="24" customFormat="1" s="1031"/>
    <row r="25" customFormat="1" s="1031">
      <c r="A25" s="1059" t="inlineStr">
        <is>
          <t>四、审计结论：</t>
        </is>
      </c>
      <c r="B25" s="1059" t="n"/>
      <c r="C25" s="1059" t="n"/>
      <c r="D25" s="1059" t="n"/>
    </row>
    <row r="26" customFormat="1" s="1031"/>
    <row r="27" customFormat="1" s="1031"/>
    <row r="28" customFormat="1" s="1031"/>
    <row r="29" s="1296">
      <c r="A29" s="1541" t="inlineStr">
        <is>
          <t>提示：</t>
        </is>
      </c>
      <c r="B29" s="1542" t="n"/>
      <c r="C29" s="1542" t="n"/>
      <c r="D29" s="1542" t="n"/>
    </row>
    <row r="30" s="1296">
      <c r="A30" s="1541" t="inlineStr">
        <is>
          <t>本科目核算企业确认的除主营业务活动以外的其他经营活动实现的收入，包括出租固定资产、出租无形资产、出租包装物和商品、销售材料、用材料进行非货币性交换（非货币性资产交换具有商业实质且公允价值能够可靠计量）或债务重组等实现的收入。</t>
        </is>
      </c>
      <c r="B30" s="1541" t="n"/>
      <c r="C30" s="1541" t="n"/>
      <c r="D30" s="1541" t="n"/>
    </row>
    <row r="31" s="1296">
      <c r="A31" s="1541" t="inlineStr">
        <is>
          <t>企业（保险）经营受托管理业务收取的管理费收入，也通过本科目核算。</t>
        </is>
      </c>
      <c r="B31" s="1541" t="n"/>
      <c r="C31" s="1541" t="n"/>
      <c r="D31" s="1541" t="n"/>
    </row>
    <row r="32" s="1296">
      <c r="B32" s="1541" t="n"/>
      <c r="C32" s="1541" t="n"/>
      <c r="D32" s="1541" t="n"/>
    </row>
    <row r="33" s="1296">
      <c r="A33" s="1541" t="n"/>
      <c r="B33" s="1541" t="n"/>
      <c r="C33" s="1541" t="n"/>
      <c r="D33" s="1541" t="n"/>
    </row>
    <row r="34" s="1296">
      <c r="A34" s="1541" t="n"/>
      <c r="B34" s="1541" t="n"/>
      <c r="C34" s="1541" t="n"/>
      <c r="D34" s="1541" t="n"/>
    </row>
  </sheetData>
  <mergeCells count="6">
    <mergeCell ref="A1:N1"/>
    <mergeCell ref="A2:N2"/>
    <mergeCell ref="G11:K11"/>
    <mergeCell ref="B11:E11"/>
    <mergeCell ref="A11:A12"/>
    <mergeCell ref="N11:N12"/>
  </mergeCells>
  <hyperlinks>
    <hyperlink ref="N3" location="底稿目录!A1" display="D4-3"/>
  </hyperlinks>
  <pageMargins left="0.708333333333333" right="0.708333333333333" top="0.747916666666667" bottom="0.747916666666667" header="0.314583333333333" footer="0.314583333333333"/>
  <pageSetup orientation="landscape" paperSize="9" scale="70" blackAndWhite="1" horizontalDpi="1200" verticalDpi="1200"/>
  <headerFooter alignWithMargins="0">
    <oddHeader/>
    <oddFooter>&amp;C&amp;P/&amp;N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23"/>
  <sheetViews>
    <sheetView view="pageBreakPreview" zoomScaleNormal="100" workbookViewId="0">
      <selection activeCell="C9" sqref="C9"/>
    </sheetView>
  </sheetViews>
  <sheetFormatPr baseColWidth="8" defaultColWidth="9.81818181818182" defaultRowHeight="20.1" customHeight="1"/>
  <cols>
    <col width="17.4545454545455" customWidth="1" style="1500" min="1" max="1"/>
    <col width="11.6727272727273" customWidth="1" style="1500" min="2" max="2"/>
    <col width="9.81818181818182" customWidth="1" style="1500" min="3" max="3"/>
    <col width="10.2545454545455" customWidth="1" style="1500" min="4" max="4"/>
    <col width="9.81818181818182" customWidth="1" style="1500" min="5" max="16384"/>
  </cols>
  <sheetData>
    <row r="1" s="1296">
      <c r="A1" s="1543" t="inlineStr">
        <is>
          <t>致同会计师事务所</t>
        </is>
      </c>
    </row>
    <row r="2" s="1296">
      <c r="A2" s="1544" t="inlineStr">
        <is>
          <t>营业收入调整分录汇总表</t>
        </is>
      </c>
    </row>
    <row r="3" s="1296">
      <c r="A3" s="1545" t="inlineStr">
        <is>
          <t>被审计单位：</t>
        </is>
      </c>
      <c r="B3" s="1545" t="n"/>
      <c r="C3" s="1545" t="n"/>
      <c r="D3" s="1545" t="inlineStr">
        <is>
          <t>编制人：</t>
        </is>
      </c>
      <c r="E3" s="1545" t="n"/>
      <c r="F3" s="1546" t="n"/>
      <c r="G3" s="1545" t="inlineStr">
        <is>
          <t>编制日期：</t>
        </is>
      </c>
      <c r="H3" s="1545" t="n"/>
      <c r="I3" s="1547" t="inlineStr">
        <is>
          <t>索引号：</t>
        </is>
      </c>
      <c r="J3" s="1322" t="inlineStr">
        <is>
          <t>D4-4</t>
        </is>
      </c>
    </row>
    <row r="4" s="1296">
      <c r="A4" s="1545" t="inlineStr">
        <is>
          <t>会计期间：202X年度</t>
        </is>
      </c>
      <c r="B4" s="1545" t="n"/>
      <c r="C4" s="1545" t="n"/>
      <c r="D4" s="1545" t="inlineStr">
        <is>
          <t>复核人：</t>
        </is>
      </c>
      <c r="E4" s="1545" t="n"/>
      <c r="F4" s="1546" t="n"/>
      <c r="G4" s="1545" t="inlineStr">
        <is>
          <t>复核日期：</t>
        </is>
      </c>
      <c r="H4" s="1545" t="n"/>
      <c r="I4" s="1547" t="inlineStr">
        <is>
          <t>页次：</t>
        </is>
      </c>
    </row>
    <row r="5" ht="45.75" customHeight="1" s="1296">
      <c r="A5" s="1548" t="inlineStr">
        <is>
          <t>调整事项说明</t>
        </is>
      </c>
      <c r="B5" s="1549" t="inlineStr">
        <is>
          <t>类别（报表调整/账项调整/其他）</t>
        </is>
      </c>
      <c r="C5" s="1550" t="inlineStr">
        <is>
          <t>报表项目</t>
        </is>
      </c>
      <c r="D5" s="1551" t="inlineStr">
        <is>
          <t>科目名称</t>
        </is>
      </c>
      <c r="E5" s="1551" t="inlineStr">
        <is>
          <t>附注项目</t>
        </is>
      </c>
      <c r="F5" s="1552" t="inlineStr">
        <is>
          <t>……</t>
        </is>
      </c>
      <c r="G5" s="1551" t="inlineStr">
        <is>
          <t>借方调整金额</t>
        </is>
      </c>
      <c r="H5" s="1551" t="inlineStr">
        <is>
          <t>贷方调整金额</t>
        </is>
      </c>
      <c r="I5" s="1551" t="inlineStr">
        <is>
          <t>索引</t>
        </is>
      </c>
      <c r="J5" s="1551" t="inlineStr">
        <is>
          <t>备注</t>
        </is>
      </c>
    </row>
    <row r="6" s="1296">
      <c r="A6" s="1024" t="n"/>
      <c r="B6" s="1024" t="n"/>
      <c r="C6" s="1024" t="n"/>
      <c r="D6" s="1024" t="n"/>
      <c r="E6" s="1024" t="n"/>
      <c r="F6" s="1024" t="n"/>
      <c r="G6" s="1553" t="n"/>
      <c r="H6" s="1553" t="n"/>
      <c r="I6" s="1026" t="n"/>
      <c r="J6" s="1024" t="n"/>
    </row>
    <row r="7" s="1296">
      <c r="A7" s="1024" t="n"/>
      <c r="B7" s="1024" t="n"/>
      <c r="C7" s="1024" t="n"/>
      <c r="D7" s="1024" t="n"/>
      <c r="E7" s="1024" t="n"/>
      <c r="F7" s="1024" t="n"/>
      <c r="G7" s="1553" t="n"/>
      <c r="H7" s="1553" t="n"/>
      <c r="I7" s="1026" t="n"/>
      <c r="J7" s="1024" t="n"/>
    </row>
    <row r="8" s="1296">
      <c r="A8" s="1024" t="n"/>
      <c r="B8" s="1024" t="n"/>
      <c r="C8" s="1024" t="n"/>
      <c r="D8" s="1024" t="n"/>
      <c r="E8" s="1024" t="n"/>
      <c r="F8" s="1024" t="n"/>
      <c r="G8" s="1553" t="n"/>
      <c r="H8" s="1553" t="n"/>
      <c r="I8" s="1026" t="n"/>
      <c r="J8" s="1024" t="n"/>
    </row>
    <row r="9" s="1296">
      <c r="A9" s="1024" t="n"/>
      <c r="B9" s="1024" t="n"/>
      <c r="C9" s="1024" t="n"/>
      <c r="D9" s="1024" t="n"/>
      <c r="E9" s="1024" t="n"/>
      <c r="F9" s="1024" t="n"/>
      <c r="G9" s="1553" t="n"/>
      <c r="H9" s="1553" t="n"/>
      <c r="I9" s="1026" t="n"/>
      <c r="J9" s="1024" t="n"/>
    </row>
    <row r="10" s="1296">
      <c r="A10" s="1024" t="n"/>
      <c r="B10" s="1024" t="n"/>
      <c r="C10" s="1024" t="n"/>
      <c r="D10" s="1024" t="n"/>
      <c r="E10" s="1024" t="n"/>
      <c r="F10" s="1024" t="n"/>
      <c r="G10" s="1553" t="n"/>
      <c r="H10" s="1553" t="n"/>
      <c r="I10" s="1026" t="n"/>
      <c r="J10" s="1024" t="n"/>
    </row>
    <row r="11" s="1296">
      <c r="A11" s="1024" t="n"/>
      <c r="B11" s="1024" t="n"/>
      <c r="C11" s="1024" t="n"/>
      <c r="D11" s="1024" t="n"/>
      <c r="E11" s="1024" t="n"/>
      <c r="F11" s="1024" t="n"/>
      <c r="G11" s="1553" t="n"/>
      <c r="H11" s="1553" t="n"/>
      <c r="I11" s="1026" t="n"/>
      <c r="J11" s="1024" t="n"/>
    </row>
    <row r="12" s="1296">
      <c r="A12" s="1024" t="n"/>
      <c r="B12" s="1024" t="n"/>
      <c r="C12" s="1024" t="n"/>
      <c r="D12" s="1024" t="n"/>
      <c r="E12" s="1024" t="n"/>
      <c r="F12" s="1024" t="n"/>
      <c r="G12" s="1553" t="n"/>
      <c r="H12" s="1553" t="n"/>
      <c r="I12" s="1026" t="n"/>
      <c r="J12" s="1024" t="n"/>
    </row>
    <row r="13" s="1296">
      <c r="A13" s="1024" t="n"/>
      <c r="B13" s="1024" t="n"/>
      <c r="C13" s="1024" t="n"/>
      <c r="D13" s="1024" t="n"/>
      <c r="E13" s="1024" t="n"/>
      <c r="F13" s="1024" t="n"/>
      <c r="G13" s="1553" t="n"/>
      <c r="H13" s="1553" t="n"/>
      <c r="I13" s="1026" t="n"/>
      <c r="J13" s="1024" t="n"/>
    </row>
    <row r="14" s="1296">
      <c r="A14" s="1024" t="n"/>
      <c r="B14" s="1024" t="n"/>
      <c r="C14" s="1024" t="n"/>
      <c r="D14" s="1024" t="n"/>
      <c r="E14" s="1024" t="n"/>
      <c r="F14" s="1024" t="n"/>
      <c r="G14" s="1553" t="n"/>
      <c r="H14" s="1553" t="n"/>
      <c r="I14" s="1026" t="n"/>
      <c r="J14" s="1024" t="n"/>
    </row>
    <row r="15" s="1296">
      <c r="A15" s="1024" t="n"/>
      <c r="B15" s="1024" t="n"/>
      <c r="C15" s="1024" t="n"/>
      <c r="D15" s="1024" t="n"/>
      <c r="E15" s="1024" t="n"/>
      <c r="F15" s="1024" t="n"/>
      <c r="G15" s="1553" t="n"/>
      <c r="H15" s="1553" t="n"/>
      <c r="I15" s="1026" t="n"/>
      <c r="J15" s="1024" t="n"/>
    </row>
    <row r="16" s="1296">
      <c r="A16" s="1024" t="n"/>
      <c r="B16" s="1024" t="n"/>
      <c r="C16" s="1024" t="n"/>
      <c r="D16" s="1024" t="n"/>
      <c r="E16" s="1024" t="n"/>
      <c r="F16" s="1024" t="n"/>
      <c r="G16" s="1553" t="n"/>
      <c r="H16" s="1553" t="n"/>
      <c r="I16" s="1026" t="n"/>
      <c r="J16" s="1024" t="n"/>
    </row>
    <row r="17" s="1296">
      <c r="A17" s="1024" t="n"/>
      <c r="B17" s="1024" t="n"/>
      <c r="C17" s="1024" t="n"/>
      <c r="D17" s="1024" t="n"/>
      <c r="E17" s="1024" t="n"/>
      <c r="F17" s="1024" t="n"/>
      <c r="G17" s="1553" t="n"/>
      <c r="H17" s="1553" t="n"/>
      <c r="I17" s="1026" t="n"/>
      <c r="J17" s="1024" t="n"/>
    </row>
    <row r="18" s="1296">
      <c r="A18" s="1024" t="n"/>
      <c r="B18" s="1024" t="n"/>
      <c r="C18" s="1024" t="n"/>
      <c r="D18" s="1024" t="n"/>
      <c r="E18" s="1024" t="n"/>
      <c r="F18" s="1024" t="n"/>
      <c r="G18" s="1553" t="n"/>
      <c r="H18" s="1553" t="n"/>
      <c r="I18" s="1026" t="n"/>
      <c r="J18" s="1024" t="n"/>
    </row>
    <row r="19" s="1296">
      <c r="A19" s="1024" t="n"/>
      <c r="B19" s="1024" t="n"/>
      <c r="C19" s="1024" t="n"/>
      <c r="D19" s="1024" t="n"/>
      <c r="E19" s="1024" t="n"/>
      <c r="F19" s="1024" t="n"/>
      <c r="G19" s="1553" t="n"/>
      <c r="H19" s="1553" t="n"/>
      <c r="I19" s="1026" t="n"/>
      <c r="J19" s="1024" t="n"/>
    </row>
    <row r="20" s="1296">
      <c r="A20" s="1024" t="n"/>
      <c r="B20" s="1024" t="n"/>
      <c r="C20" s="1024" t="n"/>
      <c r="D20" s="1024" t="n"/>
      <c r="E20" s="1024" t="n"/>
      <c r="F20" s="1024" t="n"/>
      <c r="G20" s="1553" t="n"/>
      <c r="H20" s="1553" t="n"/>
      <c r="I20" s="1026" t="n"/>
      <c r="J20" s="1024" t="n"/>
    </row>
    <row r="21" ht="34.5" customHeight="1" s="1296">
      <c r="A21" s="1554" t="inlineStr">
        <is>
          <t>提示：本底稿适用于调整分录较多、较复杂的项目，且仅列示与本报表项目相关的审计调整。项目组可根据项目实际情况选择是否使用该底稿。</t>
        </is>
      </c>
      <c r="B21" s="1555" t="n"/>
      <c r="C21" s="1555" t="n"/>
      <c r="D21" s="1555" t="n"/>
      <c r="E21" s="1555" t="n"/>
      <c r="F21" s="1555" t="n"/>
      <c r="G21" s="1555" t="n"/>
      <c r="H21" s="1555" t="n"/>
      <c r="I21" s="1555" t="n"/>
      <c r="J21" s="1555" t="n"/>
    </row>
    <row r="22" s="1296">
      <c r="A22" s="1556" t="n"/>
      <c r="B22" s="1556" t="n"/>
      <c r="C22" s="1556" t="n"/>
      <c r="D22" s="1556" t="n"/>
      <c r="E22" s="1556" t="n"/>
      <c r="F22" s="1556" t="n"/>
      <c r="G22" s="1556" t="n"/>
      <c r="H22" s="1556" t="n"/>
      <c r="I22" s="1556" t="n"/>
      <c r="J22" s="1556" t="n"/>
    </row>
    <row r="23" s="1296">
      <c r="A23" s="1556" t="n"/>
      <c r="B23" s="1556" t="n"/>
      <c r="C23" s="1556" t="n"/>
      <c r="D23" s="1556" t="n"/>
      <c r="E23" s="1556" t="n"/>
      <c r="F23" s="1556" t="n"/>
      <c r="G23" s="1556" t="n"/>
      <c r="H23" s="1556" t="n"/>
      <c r="I23" s="1556" t="n"/>
      <c r="J23" s="1556" t="n"/>
    </row>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Print_Area" display="D4-4"/>
  </hyperlinks>
  <pageMargins left="0.708333333333333" right="0.708333333333333" top="0.747916666666667" bottom="0.747916666666667" header="0.314583333333333" footer="0.314583333333333"/>
  <pageSetup orientation="portrait" paperSize="9" scale="80" blackAndWhite="1" horizontalDpi="1200" verticalDpi="1200"/>
  <headerFooter alignWithMargins="0">
    <oddHeader/>
    <oddFooter>&amp;C&amp;P/&amp;N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59"/>
  <sheetViews>
    <sheetView view="pageBreakPreview" zoomScaleNormal="130" workbookViewId="0">
      <selection activeCell="A1" sqref="A1:E1"/>
    </sheetView>
  </sheetViews>
  <sheetFormatPr baseColWidth="8" defaultColWidth="9.81818181818182" defaultRowHeight="20.1" customHeight="1"/>
  <cols>
    <col width="26.9090909090909" customWidth="1" style="1557" min="1" max="1"/>
    <col width="26.6636363636364" customWidth="1" style="1557" min="2" max="3"/>
    <col width="13.4545454545455" customWidth="1" style="1557" min="4" max="4"/>
    <col width="22.5454545454545" customWidth="1" style="1557" min="5" max="5"/>
    <col width="9.81818181818182" customWidth="1" style="1557" min="6" max="16384"/>
  </cols>
  <sheetData>
    <row r="1" s="1296">
      <c r="A1" s="1558" t="inlineStr">
        <is>
          <t>致同会计师事务所</t>
        </is>
      </c>
    </row>
    <row r="2" s="1296">
      <c r="A2" s="1559" t="inlineStr">
        <is>
          <t>营业收入会计政策检查</t>
        </is>
      </c>
    </row>
    <row r="3" s="1296">
      <c r="A3" s="771" t="inlineStr">
        <is>
          <t>被审计单位：</t>
        </is>
      </c>
      <c r="B3" s="771" t="inlineStr">
        <is>
          <t>编制人：</t>
        </is>
      </c>
      <c r="C3" s="771" t="inlineStr">
        <is>
          <t>编制日期：</t>
        </is>
      </c>
      <c r="D3" s="1560" t="inlineStr">
        <is>
          <t>索引号：</t>
        </is>
      </c>
      <c r="E3" s="1561" t="inlineStr">
        <is>
          <t>D4-5</t>
        </is>
      </c>
    </row>
    <row r="4" s="1296">
      <c r="A4" s="771" t="inlineStr">
        <is>
          <t>会计期间：202X年度</t>
        </is>
      </c>
      <c r="B4" s="771" t="inlineStr">
        <is>
          <t>复核人：</t>
        </is>
      </c>
      <c r="C4" s="771" t="inlineStr">
        <is>
          <t>复核日期：</t>
        </is>
      </c>
      <c r="D4" s="1560" t="inlineStr">
        <is>
          <t>页次：</t>
        </is>
      </c>
    </row>
    <row r="5" s="1296">
      <c r="A5" s="1002" t="inlineStr">
        <is>
          <t>一、审计目标</t>
        </is>
      </c>
      <c r="B5" s="1002" t="n"/>
      <c r="C5" s="1002" t="n"/>
      <c r="D5" s="1002" t="n"/>
      <c r="E5" s="1003" t="n"/>
    </row>
    <row r="6" s="1296">
      <c r="A6" s="1004" t="inlineStr">
        <is>
          <t>与营业收入有关的金额及其他数据已恰当记录，相关披露已得到恰当计量和描述</t>
        </is>
      </c>
      <c r="B6" s="1311" t="n"/>
      <c r="C6" s="1311" t="n"/>
      <c r="D6" s="1311" t="n"/>
      <c r="E6" s="1003" t="n"/>
    </row>
    <row r="7" s="1296">
      <c r="A7" s="1002" t="inlineStr">
        <is>
          <t>二、审计过程</t>
        </is>
      </c>
      <c r="B7" s="1002" t="n"/>
      <c r="C7" s="1002" t="n"/>
      <c r="D7" s="1002" t="n"/>
      <c r="E7" s="1003" t="n"/>
    </row>
    <row r="8" s="1296">
      <c r="A8" s="1005" t="inlineStr">
        <is>
          <t>1.访谈XX公司管理层XXX，了解XX公司业务类型、销售模式，针对不同业务或模式，检查收入确认政策的合理性及与前期的一致性</t>
        </is>
      </c>
      <c r="B8" s="1006" t="n"/>
      <c r="C8" s="1007" t="n"/>
      <c r="D8" s="1007" t="n"/>
      <c r="E8" s="1003" t="n"/>
    </row>
    <row r="9" s="1296">
      <c r="A9" s="1005" t="inlineStr">
        <is>
          <t>2.……</t>
        </is>
      </c>
      <c r="B9" s="1008" t="n"/>
      <c r="C9" s="1008" t="n"/>
      <c r="D9" s="1008" t="n"/>
      <c r="E9" s="1003" t="n"/>
    </row>
    <row r="10" s="1296">
      <c r="A10" s="1009" t="inlineStr">
        <is>
          <t>（一）经营模式</t>
        </is>
      </c>
      <c r="B10" s="1008" t="n"/>
      <c r="C10" s="1008" t="n"/>
      <c r="D10" s="1008" t="n"/>
      <c r="E10" s="1003" t="n"/>
    </row>
    <row r="11" s="1296">
      <c r="A11" s="1005" t="inlineStr">
        <is>
          <t>1.产品应用场景</t>
        </is>
      </c>
      <c r="B11" s="1008" t="n"/>
      <c r="C11" s="1008" t="n"/>
      <c r="D11" s="1008" t="n"/>
      <c r="E11" s="1003" t="n"/>
    </row>
    <row r="12" s="1296">
      <c r="A12" s="1005" t="inlineStr">
        <is>
          <t>2.订单获取方式/渠道，合同签订及履行方式</t>
        </is>
      </c>
      <c r="B12" s="1008" t="n"/>
      <c r="C12" s="1008" t="n"/>
      <c r="D12" s="1008" t="n"/>
      <c r="E12" s="1003" t="n"/>
    </row>
    <row r="13" s="1296">
      <c r="A13" s="1005" t="inlineStr">
        <is>
          <t>3.产销模式</t>
        </is>
      </c>
      <c r="B13" s="1008" t="n"/>
      <c r="C13" s="1008" t="n"/>
      <c r="D13" s="1008" t="n"/>
      <c r="E13" s="1003" t="n"/>
    </row>
    <row r="14" s="1296">
      <c r="A14" s="1005" t="inlineStr">
        <is>
          <t>4.销售模式</t>
        </is>
      </c>
      <c r="B14" s="1008" t="n"/>
      <c r="C14" s="1008" t="n"/>
      <c r="D14" s="1008" t="n"/>
      <c r="E14" s="1003" t="n"/>
    </row>
    <row r="15" s="1296">
      <c r="A15" s="1005" t="inlineStr">
        <is>
          <t>5.定价方式</t>
        </is>
      </c>
      <c r="B15" s="1008" t="n"/>
      <c r="C15" s="1008" t="n"/>
      <c r="D15" s="1008" t="n"/>
      <c r="E15" s="1003" t="n"/>
    </row>
    <row r="16" s="1296">
      <c r="A16" s="1005" t="inlineStr">
        <is>
          <t>6.交货方式</t>
        </is>
      </c>
      <c r="B16" s="1008" t="n"/>
      <c r="C16" s="1008" t="n"/>
      <c r="D16" s="1008" t="n"/>
      <c r="E16" s="1003" t="n"/>
    </row>
    <row r="17" s="1296">
      <c r="A17" s="1009" t="inlineStr">
        <is>
          <t>（二）会计政策（包括销售退回、质量保证、售后回购、主要责任人和代理人、授予知识产权许可等特殊交易）</t>
        </is>
      </c>
      <c r="B17" s="1010" t="n"/>
      <c r="C17" s="1010" t="n"/>
      <c r="D17" s="1010" t="n"/>
      <c r="E17" s="1003" t="n"/>
    </row>
    <row r="18" s="1296">
      <c r="A18" s="1009" t="inlineStr">
        <is>
          <t>1.销售商品收入</t>
        </is>
      </c>
      <c r="B18" s="1010" t="n"/>
      <c r="C18" s="1010" t="n"/>
      <c r="D18" s="1010" t="n"/>
      <c r="E18" s="1003" t="n"/>
    </row>
    <row r="19" s="1296">
      <c r="A19" s="1008" t="inlineStr">
        <is>
          <t>（1）收入会计政策</t>
        </is>
      </c>
      <c r="B19" s="1010" t="n"/>
      <c r="C19" s="1010" t="n"/>
      <c r="D19" s="1010" t="n"/>
      <c r="E19" s="1003" t="n"/>
    </row>
    <row r="20" s="1296">
      <c r="A20" s="1011" t="n"/>
      <c r="B20" s="1011" t="n"/>
      <c r="C20" s="1011" t="n"/>
      <c r="D20" s="1011" t="n"/>
      <c r="E20" s="1003" t="n"/>
    </row>
    <row r="21" s="1296">
      <c r="A21" s="1011" t="n"/>
      <c r="B21" s="1011" t="n"/>
      <c r="C21" s="1011" t="n"/>
      <c r="D21" s="1011" t="n"/>
      <c r="E21" s="1003" t="n"/>
    </row>
    <row r="22" s="1296">
      <c r="A22" s="1011" t="n"/>
      <c r="B22" s="1011" t="n"/>
      <c r="C22" s="1011" t="n"/>
      <c r="D22" s="1011" t="n"/>
      <c r="E22" s="1003" t="n"/>
    </row>
    <row r="23" s="1296">
      <c r="A23" s="1008" t="inlineStr">
        <is>
          <t>（2）同行业相关政策</t>
        </is>
      </c>
      <c r="B23" s="1008" t="n"/>
      <c r="C23" s="1008" t="n"/>
      <c r="D23" s="1008" t="n"/>
      <c r="E23" s="1003" t="n"/>
    </row>
    <row r="24" s="1296">
      <c r="A24" s="1008" t="n"/>
      <c r="B24" s="1008" t="n"/>
      <c r="C24" s="1008" t="n"/>
      <c r="D24" s="1008" t="n"/>
      <c r="E24" s="1003" t="n"/>
    </row>
    <row r="25" s="1296">
      <c r="A25" s="1011" t="n"/>
      <c r="B25" s="1011" t="n"/>
      <c r="C25" s="1011" t="n"/>
      <c r="D25" s="1011" t="n"/>
      <c r="E25" s="1003" t="n"/>
    </row>
    <row r="26" s="1296">
      <c r="A26" s="1011" t="n"/>
      <c r="B26" s="1011" t="n"/>
      <c r="C26" s="1011" t="n"/>
      <c r="D26" s="1011" t="n"/>
      <c r="E26" s="1003" t="n"/>
    </row>
    <row r="27" s="1296">
      <c r="A27" s="1010" t="inlineStr">
        <is>
          <t>（3）合理性分析</t>
        </is>
      </c>
      <c r="B27" s="1010" t="n"/>
      <c r="C27" s="1010" t="n"/>
      <c r="D27" s="1010" t="n"/>
      <c r="E27" s="1003" t="n"/>
    </row>
    <row r="28" s="1296">
      <c r="A28" s="1012" t="inlineStr">
        <is>
          <t xml:space="preserve">通过合同检查&lt;  &gt;、收入检查底稿&lt;&gt;,XX公司XX会计政策是合理的，理由如下： </t>
        </is>
      </c>
      <c r="B28" s="1010" t="n"/>
      <c r="C28" s="1010" t="n"/>
      <c r="D28" s="1010" t="n"/>
      <c r="E28" s="1003" t="n"/>
    </row>
    <row r="29" s="1296">
      <c r="A29" s="1012" t="inlineStr">
        <is>
          <t>①……</t>
        </is>
      </c>
      <c r="B29" s="1010" t="n"/>
      <c r="C29" s="1010" t="n"/>
      <c r="D29" s="1010" t="n"/>
      <c r="E29" s="1003" t="n"/>
    </row>
    <row r="30" s="1296">
      <c r="A30" s="1010" t="n"/>
      <c r="B30" s="1010" t="n"/>
      <c r="C30" s="1010" t="n"/>
      <c r="D30" s="1010" t="n"/>
      <c r="E30" s="1003" t="n"/>
    </row>
    <row r="31" s="1296">
      <c r="A31" s="1013" t="inlineStr">
        <is>
          <t>2.贸易业务</t>
        </is>
      </c>
      <c r="B31" s="1010" t="n"/>
      <c r="C31" s="1010" t="n"/>
      <c r="D31" s="1010" t="n"/>
      <c r="E31" s="1003" t="n"/>
    </row>
    <row r="32" s="1296">
      <c r="A32" s="1010" t="inlineStr">
        <is>
          <t>（1）总额法和净额法确认原则和具体判断标准</t>
        </is>
      </c>
      <c r="B32" s="1010" t="n"/>
      <c r="C32" s="1010" t="n"/>
      <c r="D32" s="1010" t="n"/>
      <c r="E32" s="1003" t="n"/>
    </row>
    <row r="33" s="1296">
      <c r="A33" s="1010" t="n"/>
      <c r="B33" s="1010" t="n"/>
      <c r="C33" s="1010" t="n"/>
      <c r="D33" s="1010" t="n"/>
      <c r="E33" s="1003" t="n"/>
    </row>
    <row r="34" s="1296">
      <c r="A34" s="1010" t="n"/>
      <c r="B34" s="1010" t="n"/>
      <c r="C34" s="1010" t="n"/>
      <c r="D34" s="1010" t="n"/>
      <c r="E34" s="1003" t="n"/>
    </row>
    <row r="35" s="1296">
      <c r="A35" s="1010" t="n"/>
      <c r="B35" s="1010" t="n"/>
      <c r="C35" s="1010" t="n"/>
      <c r="D35" s="1010" t="n"/>
      <c r="E35" s="1003" t="n"/>
    </row>
    <row r="36" s="1296">
      <c r="A36" s="1008" t="inlineStr">
        <is>
          <t>（2）同行业相关政策</t>
        </is>
      </c>
      <c r="B36" s="1010" t="n"/>
      <c r="C36" s="1010" t="n"/>
      <c r="D36" s="1010" t="n"/>
      <c r="E36" s="1003" t="n"/>
    </row>
    <row r="37" s="1296">
      <c r="A37" s="1008" t="n"/>
      <c r="B37" s="1010" t="n"/>
      <c r="C37" s="1010" t="n"/>
      <c r="D37" s="1010" t="n"/>
      <c r="E37" s="1003" t="n"/>
    </row>
    <row r="38" s="1296">
      <c r="A38" s="1008" t="n"/>
      <c r="B38" s="1010" t="n"/>
      <c r="C38" s="1010" t="n"/>
      <c r="D38" s="1010" t="n"/>
      <c r="E38" s="1003" t="n"/>
    </row>
    <row r="39" s="1296">
      <c r="A39" s="1010" t="n"/>
      <c r="B39" s="1010" t="n"/>
      <c r="C39" s="1010" t="n"/>
      <c r="D39" s="1010" t="n"/>
      <c r="E39" s="1003" t="n"/>
    </row>
    <row r="40" s="1296">
      <c r="A40" s="1010" t="inlineStr">
        <is>
          <t>（3）合理性分析</t>
        </is>
      </c>
      <c r="B40" s="1010" t="n"/>
      <c r="C40" s="1010" t="n"/>
      <c r="D40" s="1010" t="n"/>
      <c r="E40" s="1003" t="n"/>
    </row>
    <row r="41" s="1296">
      <c r="A41" s="1012" t="inlineStr">
        <is>
          <t xml:space="preserve">通过&lt;D4-11营业收入-合同检查&gt;底稿、贸易收入检查底稿&lt;&gt;,XX公司XX业务采用总额法核算是合理的，理由如下： </t>
        </is>
      </c>
      <c r="B41" s="1010" t="n"/>
      <c r="C41" s="1010" t="n"/>
      <c r="D41" s="1010" t="n"/>
      <c r="E41" s="1003" t="n"/>
    </row>
    <row r="42" s="1296">
      <c r="A42" s="1012" t="inlineStr">
        <is>
          <t>①……</t>
        </is>
      </c>
      <c r="B42" s="1010" t="n"/>
      <c r="C42" s="1010" t="n"/>
      <c r="D42" s="1010" t="n"/>
      <c r="E42" s="1003" t="n"/>
    </row>
    <row r="43" s="1296">
      <c r="A43" s="1012" t="n"/>
      <c r="B43" s="1010" t="n"/>
      <c r="C43" s="1010" t="n"/>
      <c r="D43" s="1010" t="n"/>
      <c r="E43" s="1003" t="n"/>
    </row>
    <row r="44" s="1296">
      <c r="A44" s="1012" t="n"/>
      <c r="B44" s="1010" t="n"/>
      <c r="C44" s="1010" t="n"/>
      <c r="D44" s="1010" t="n"/>
      <c r="E44" s="1003" t="n"/>
    </row>
    <row r="45" s="1296">
      <c r="A45" s="1012" t="inlineStr">
        <is>
          <t>3.……</t>
        </is>
      </c>
      <c r="B45" s="1010" t="n"/>
      <c r="C45" s="1010" t="n"/>
      <c r="D45" s="1010" t="n"/>
      <c r="E45" s="1003" t="n"/>
    </row>
    <row r="46" s="1296">
      <c r="A46" s="1012" t="n"/>
      <c r="B46" s="1010" t="n"/>
      <c r="C46" s="1010" t="n"/>
      <c r="D46" s="1010" t="n"/>
      <c r="E46" s="1003" t="n"/>
    </row>
    <row r="47" s="1296">
      <c r="A47" s="1013" t="inlineStr">
        <is>
          <t>（三）信用政策</t>
        </is>
      </c>
      <c r="B47" s="1010" t="n"/>
      <c r="C47" s="1010" t="n"/>
      <c r="D47" s="1010" t="n"/>
      <c r="E47" s="1003" t="n"/>
    </row>
    <row r="48" s="1296">
      <c r="A48" s="1013" t="n"/>
      <c r="B48" s="1010" t="n"/>
      <c r="C48" s="1010" t="n"/>
      <c r="D48" s="1010" t="n"/>
      <c r="E48" s="1003" t="n"/>
    </row>
    <row r="49" s="1296">
      <c r="A49" s="1013" t="n"/>
      <c r="B49" s="1010" t="n"/>
      <c r="C49" s="1010" t="n"/>
      <c r="D49" s="1010" t="n"/>
      <c r="E49" s="1003" t="n"/>
    </row>
    <row r="50" s="1296">
      <c r="A50" s="1013" t="n"/>
      <c r="B50" s="1010" t="n"/>
      <c r="C50" s="1010" t="n"/>
      <c r="D50" s="1010" t="n"/>
      <c r="E50" s="1003" t="n"/>
    </row>
    <row r="51" s="1296">
      <c r="A51" s="1014" t="inlineStr">
        <is>
          <t>三、审计说明</t>
        </is>
      </c>
      <c r="E51" s="1003" t="n"/>
    </row>
    <row r="52" s="1296">
      <c r="A52" s="1014" t="n"/>
      <c r="B52" s="1014" t="n"/>
      <c r="C52" s="1014" t="n"/>
      <c r="D52" s="1014" t="n"/>
      <c r="E52" s="1003" t="n"/>
    </row>
    <row r="53" s="1296">
      <c r="A53" s="1004" t="n"/>
      <c r="B53" s="1004" t="n"/>
      <c r="C53" s="1004" t="n"/>
      <c r="D53" s="1004" t="n"/>
      <c r="E53" s="1003" t="n"/>
    </row>
    <row r="54" s="1296">
      <c r="A54" s="1015" t="n"/>
      <c r="B54" s="1015" t="n"/>
      <c r="C54" s="1015" t="n"/>
      <c r="D54" s="1006" t="n"/>
      <c r="E54" s="1003" t="n"/>
    </row>
    <row r="55" s="1296">
      <c r="A55" s="1014" t="inlineStr">
        <is>
          <t>四、审计结论</t>
        </is>
      </c>
      <c r="E55" s="1003" t="n"/>
    </row>
    <row r="56" s="1296">
      <c r="A56" s="1005" t="inlineStr">
        <is>
          <t>被审计单位收入确认会计政策和会计估计与企业会计准则的规定一致，反映了被审计单位经济业务的实际情况，与同行业公司相比不存在显</t>
        </is>
      </c>
      <c r="B56" s="1011" t="n"/>
      <c r="C56" s="1011" t="n"/>
      <c r="D56" s="1011" t="n"/>
      <c r="E56" s="1003" t="n"/>
    </row>
    <row r="57" s="1296">
      <c r="A57" s="1005" t="inlineStr">
        <is>
          <t>著差异，且得到一贯性地执行。</t>
        </is>
      </c>
      <c r="B57" s="1011" t="n"/>
      <c r="C57" s="1011" t="n"/>
      <c r="D57" s="1011" t="n"/>
      <c r="E57" s="1003" t="n"/>
    </row>
    <row r="58" ht="48.75" customFormat="1" customHeight="1" s="1562">
      <c r="A58" s="1016" t="inlineStr">
        <is>
          <t>提示1：会计政策应描述收入确认和计量所采用的会计政策、对于确定收入确认的时点和金额具有重大影响的判断以及这些判断的变更，包括确定履约进度的方法及采用该方法的原因、评估客户取得所转让商品控制权时点的相关判断，在确定交易价格、估计计入交易价格的可变对价、分摊交易价格以及计量预期将退还给客户的款项等类似义务时所采用的方法、输入值和假设等。</t>
        </is>
      </c>
    </row>
    <row r="59" ht="185.25" customFormat="1" customHeight="1" s="1562">
      <c r="A59" s="1016" t="inlineStr">
        <is>
          <t>提示2：了解和记录经营模式时注意以下方面:
(1)产品应用场景，包括产品种类、行业协会（如有）、监管部门网站（如有）、用途、市场空间、行业前景等;
(2)订单获取方式/渠道，合同签订及履行方式应来源于销售部门，若有多条业务线，应全面了解；了解该内容，可以整体评估收入的可持续性、销售费用的完整性，并与同行业对比。实质性核查程序，应考虑该因素，如招投标、关联关系等；
(3)以销定产（加合理库存）模式，①要分析合理库存的制定方法、合理性、一惯性，存货是否积压，是否有减值迹象；②剔除合理库存后，存货是否有在手订单覆盖，业务是否可持续，存货是否会积压？③是否与产能匹配？以产定销，是否与产品的竞争力匹配，是否与同行业一致？
(4)如果被审计单位采用代理模式、经销商模式，了解其原因及合理性，并通过访谈获取被审计单位选择经销商的原则。部分形式上的直接销售，可能包含转销，要结合产品与客户的业务类型、规模、合同条款，分析识别。若识别不准确，将影响实质性检查程序及风险识别；经销、代销、转销，模式是否符合行业惯例，应穿透至最终客户检查；经销、代销、转销如何规定控制权转移，可能影响收入政策。
(5)了解并记录被审计单位定价方式时应分析主动权，并结合其他描述、同行业分析合理性。是否存在可变对价，可能影响收入政策。
(6)解并记录被审计单位送货还是取货，运输工具，途中耗时等；交货周期（合同签订至交付日），分析大额订单存货、生产周期是否匹配；被审计单位在货物流转前是否取得控制权；验收方式；退换货政策，质保政策。</t>
        </is>
      </c>
    </row>
  </sheetData>
  <mergeCells count="7">
    <mergeCell ref="A59:E59"/>
    <mergeCell ref="A6:D6"/>
    <mergeCell ref="A2:E2"/>
    <mergeCell ref="A55:D55"/>
    <mergeCell ref="A1:E1"/>
    <mergeCell ref="A51:D51"/>
    <mergeCell ref="A58:E58"/>
  </mergeCells>
  <printOptions horizontalCentered="1"/>
  <pageMargins left="0.708333333333333" right="0.708333333333333" top="0.747916666666667" bottom="0.747916666666667" header="0.314583333333333" footer="0.314583333333333"/>
  <pageSetup orientation="portrait" paperSize="9" scale="80" fitToHeight="0"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ColWidth="9.81818181818182" defaultRowHeight="17.1" customHeight="1"/>
  <cols>
    <col width="102.063636363636" customWidth="1" style="994" min="1" max="1"/>
    <col width="3.02727272727273" customWidth="1" style="994" min="2" max="2"/>
    <col width="2.66363636363636" customWidth="1" style="994" min="3" max="3"/>
    <col width="5.20909090909091" customWidth="1" style="994" min="4" max="4"/>
    <col width="27.0272727272727" customWidth="1" style="994" min="5" max="5"/>
    <col width="10.9090909090909" customWidth="1" style="994" min="6" max="6"/>
    <col width="9.81818181818182" customWidth="1" style="994" min="7" max="16384"/>
  </cols>
  <sheetData>
    <row r="1" ht="19.95" customHeight="1" s="1296">
      <c r="A1" s="974" t="inlineStr">
        <is>
          <t>1.底稿开列时，可先在以下单元格填写有关内容，以便其他底稿引用有关数据：</t>
        </is>
      </c>
      <c r="B1" s="975" t="n"/>
      <c r="C1" s="975" t="n"/>
      <c r="D1" s="975" t="n"/>
      <c r="E1" s="975" t="n"/>
      <c r="F1" s="975" t="n"/>
      <c r="G1" s="975" t="n"/>
    </row>
    <row r="2" ht="19.95" customHeight="1" s="1296">
      <c r="A2" s="976" t="inlineStr">
        <is>
          <t>被审计单位名称：</t>
        </is>
      </c>
      <c r="B2" s="977" t="n"/>
      <c r="C2" s="977" t="n"/>
      <c r="D2" s="978" t="inlineStr">
        <is>
          <t>序号</t>
        </is>
      </c>
      <c r="E2" s="978" t="inlineStr">
        <is>
          <t>内容</t>
        </is>
      </c>
      <c r="F2" s="978" t="inlineStr">
        <is>
          <t>索引号</t>
        </is>
      </c>
      <c r="G2" s="977" t="n"/>
    </row>
    <row r="3" ht="19.95" customHeight="1" s="1296">
      <c r="A3" s="157" t="inlineStr">
        <is>
          <t>会计期间：202X年度</t>
        </is>
      </c>
      <c r="B3" s="977" t="n"/>
      <c r="C3" s="977" t="n"/>
      <c r="D3" s="979" t="n">
        <v>1</v>
      </c>
      <c r="E3" s="980" t="inlineStr">
        <is>
          <t>重要指标分析</t>
        </is>
      </c>
      <c r="F3" s="981" t="inlineStr">
        <is>
          <t>D4-6</t>
        </is>
      </c>
      <c r="G3" s="982" t="n"/>
    </row>
    <row r="4" ht="19.95" customHeight="1" s="1296">
      <c r="A4" s="976" t="inlineStr">
        <is>
          <t>编制人：</t>
        </is>
      </c>
      <c r="B4" s="983" t="n"/>
      <c r="C4" s="983" t="n"/>
      <c r="D4" s="979" t="n">
        <v>2</v>
      </c>
      <c r="E4" s="980" t="inlineStr">
        <is>
          <t>毛利率分析表</t>
        </is>
      </c>
      <c r="F4" s="981" t="inlineStr">
        <is>
          <t>D4-7</t>
        </is>
      </c>
      <c r="G4" s="983" t="n"/>
    </row>
    <row r="5" ht="19.95" customHeight="1" s="1296">
      <c r="A5" s="976" t="inlineStr">
        <is>
          <t>编制日期：</t>
        </is>
      </c>
      <c r="B5" s="983" t="n"/>
      <c r="C5" s="983" t="n"/>
      <c r="D5" s="979" t="n">
        <v>3</v>
      </c>
      <c r="E5" s="980" t="inlineStr">
        <is>
          <t>重要产品毛利分析</t>
        </is>
      </c>
      <c r="F5" s="981" t="inlineStr">
        <is>
          <t>D4-8</t>
        </is>
      </c>
      <c r="G5" s="983" t="n"/>
    </row>
    <row r="6" ht="19.95" customHeight="1" s="1296">
      <c r="A6" s="984" t="inlineStr">
        <is>
          <t>复核人：</t>
        </is>
      </c>
      <c r="B6" s="983" t="n"/>
      <c r="C6" s="983" t="n"/>
      <c r="D6" s="979" t="n">
        <v>4</v>
      </c>
      <c r="E6" s="980" t="inlineStr">
        <is>
          <t>重要客户结构分析</t>
        </is>
      </c>
      <c r="F6" s="981" t="inlineStr">
        <is>
          <t>D4-9</t>
        </is>
      </c>
      <c r="G6" s="983" t="n"/>
    </row>
    <row r="7" ht="19.95" customHeight="1" s="1296">
      <c r="A7" s="984" t="inlineStr">
        <is>
          <t>复核日期：</t>
        </is>
      </c>
      <c r="B7" s="983" t="n"/>
      <c r="C7" s="983" t="n"/>
      <c r="D7" s="979" t="n">
        <v>5</v>
      </c>
      <c r="E7" s="980" t="inlineStr">
        <is>
          <t>重要客户销售价格分析</t>
        </is>
      </c>
      <c r="F7" s="981" t="inlineStr">
        <is>
          <t>D4-10</t>
        </is>
      </c>
      <c r="G7" s="983" t="n"/>
    </row>
    <row r="8" ht="19.95" customHeight="1" s="1296">
      <c r="A8" s="985" t="n"/>
      <c r="B8" s="983" t="n"/>
      <c r="C8" s="983" t="n"/>
      <c r="D8" s="979" t="n">
        <v>6</v>
      </c>
      <c r="E8" s="980" t="inlineStr">
        <is>
          <t>产品销售价格分析</t>
        </is>
      </c>
      <c r="F8" s="981" t="inlineStr">
        <is>
          <t>D4-11</t>
        </is>
      </c>
      <c r="G8" s="983" t="n"/>
    </row>
    <row r="9" ht="19.95" customHeight="1" s="1296">
      <c r="A9" s="986" t="inlineStr">
        <is>
          <t>关于工作底稿与审计程序索引号对应的说明</t>
        </is>
      </c>
      <c r="B9" s="983" t="n"/>
      <c r="C9" s="983" t="n"/>
      <c r="D9" s="987" t="n"/>
      <c r="E9" s="988" t="n"/>
      <c r="F9" s="989" t="n"/>
      <c r="G9" s="983" t="n"/>
    </row>
    <row r="10" ht="19.95" customHeight="1" s="1296">
      <c r="A10" s="990"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983" t="n"/>
      <c r="C10" s="983" t="n"/>
      <c r="D10" s="991" t="n"/>
      <c r="E10" s="992" t="n"/>
      <c r="F10" s="993" t="n"/>
      <c r="G10" s="983" t="n"/>
    </row>
    <row r="11" ht="19.95" customHeight="1" s="1296">
      <c r="A11" s="1311" t="n"/>
      <c r="B11" s="983" t="n"/>
      <c r="C11" s="983" t="n"/>
      <c r="D11" s="991" t="n"/>
      <c r="E11" s="992" t="n"/>
      <c r="F11" s="993" t="n"/>
      <c r="G11" s="983" t="n"/>
    </row>
    <row r="12" ht="19.95" customHeight="1" s="1296">
      <c r="A12" s="1311" t="n"/>
      <c r="B12" s="983" t="n"/>
      <c r="C12" s="983" t="n"/>
      <c r="D12" s="991" t="n"/>
      <c r="E12" s="992" t="n"/>
      <c r="F12" s="993" t="n"/>
      <c r="G12" s="982" t="n"/>
    </row>
    <row r="13" ht="19.95" customHeight="1" s="1296">
      <c r="A13" s="1311" t="n"/>
      <c r="B13" s="983" t="n"/>
      <c r="C13" s="983" t="n"/>
      <c r="D13" s="991" t="n"/>
      <c r="E13" s="992" t="n"/>
      <c r="F13" s="993" t="n"/>
      <c r="G13" s="982" t="n"/>
    </row>
    <row r="14" ht="19.95" customHeight="1" s="1296">
      <c r="A14" s="990"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983" t="n"/>
      <c r="C14" s="983" t="n"/>
      <c r="D14" s="994" t="n"/>
      <c r="E14" s="994" t="n"/>
      <c r="F14" s="994" t="n"/>
    </row>
    <row r="15" ht="19.95" customHeight="1" s="1296">
      <c r="A15" s="1311" t="n"/>
      <c r="B15" s="983" t="n"/>
      <c r="C15" s="983" t="n"/>
      <c r="D15" s="994" t="n"/>
      <c r="E15" s="994" t="n"/>
      <c r="F15" s="994" t="n"/>
    </row>
    <row r="16" ht="19.95" customHeight="1" s="1296">
      <c r="A16" s="1311" t="n"/>
      <c r="B16" s="983" t="n"/>
      <c r="C16" s="983" t="n"/>
      <c r="D16" s="994" t="n"/>
      <c r="E16" s="994" t="n"/>
      <c r="F16" s="994" t="n"/>
    </row>
    <row r="17" ht="19.95" customHeight="1" s="1296">
      <c r="A17" s="995" t="inlineStr">
        <is>
          <t>3.工作底稿索引号的编码规则：实质性程序索引号按循环从“D”到“N”,循环内账户以顺序号排列，模板中底稿索引号按账户顺序+自然数顺序（即模板中索引号按二级自然顺序排列，如D1-1、D1-2、D1-3、……D1-N）。</t>
        </is>
      </c>
      <c r="B17" s="983" t="n"/>
      <c r="C17" s="983" t="n"/>
      <c r="D17" s="994" t="n"/>
      <c r="E17" s="994" t="n"/>
      <c r="F17" s="994" t="n"/>
    </row>
    <row r="18" ht="19.95" customHeight="1" s="1296">
      <c r="A18" s="1311" t="n"/>
      <c r="B18" s="983" t="n"/>
      <c r="C18" s="983" t="n"/>
      <c r="D18" s="994" t="n"/>
      <c r="E18" s="994" t="n"/>
      <c r="F18" s="994" t="n"/>
    </row>
    <row r="19" ht="19.95" customHeight="1" s="1296">
      <c r="A19" s="1311" t="n"/>
      <c r="B19" s="983" t="n"/>
      <c r="C19" s="983" t="n"/>
      <c r="D19" s="994" t="n"/>
      <c r="E19" s="994" t="n"/>
      <c r="F19" s="994" t="n"/>
    </row>
    <row r="20" ht="19.95" customHeight="1" s="1296">
      <c r="A20" s="983" t="n"/>
      <c r="B20" s="983" t="n"/>
      <c r="C20" s="983" t="n"/>
      <c r="D20" s="994" t="n"/>
      <c r="E20" s="994" t="n"/>
      <c r="F20" s="994" t="n"/>
    </row>
    <row r="21" ht="19.95" customHeight="1" s="1296">
      <c r="A21" s="983" t="n"/>
      <c r="B21" s="983" t="n"/>
      <c r="C21" s="983" t="n"/>
      <c r="D21" s="994" t="n"/>
      <c r="E21" s="994" t="n"/>
      <c r="F21" s="994" t="n"/>
    </row>
    <row r="22" ht="19.95" customHeight="1" s="1296">
      <c r="A22" s="983" t="n"/>
      <c r="B22" s="983" t="n"/>
      <c r="C22" s="983" t="n"/>
      <c r="D22" s="996" t="n"/>
      <c r="E22" s="994" t="n"/>
      <c r="F22" s="994" t="n"/>
    </row>
    <row r="23" ht="19.95" customHeight="1" s="1296">
      <c r="A23" s="983" t="n"/>
      <c r="B23" s="983" t="n"/>
      <c r="C23" s="983" t="n"/>
    </row>
  </sheetData>
  <mergeCells count="3">
    <mergeCell ref="A14:A16"/>
    <mergeCell ref="A17:A19"/>
    <mergeCell ref="A10:A13"/>
  </mergeCells>
  <hyperlinks>
    <hyperlink ref="E3" location="'重要指标分析D4-6'!A1" display="重要指标分析"/>
    <hyperlink ref="E4" location="'毛利率分析表D4-7'!A1" display="毛利率分析表"/>
    <hyperlink ref="E5" location="'重要产品毛利分析D4-8'!A1" display="重要产品毛利分析"/>
    <hyperlink ref="E6" location="'重要客户结构分析D4-9'!A1" display="重要客户结构分析"/>
    <hyperlink ref="E7" location="'重要客户销售价格分析D4-10'!A1" display="重要客户销售价格分析"/>
    <hyperlink ref="E8" location="'产品销售价格分析D4-11'!A1" display="产品销售价格分析"/>
  </hyperlinks>
  <pageMargins left="0.7086614173228351" right="0.7086614173228351" top="0.748031496062992" bottom="0.748031496062992" header="0.31496062992126" footer="0.31496062992126"/>
  <pageSetup orientation="portrait" paperSize="9" scale="75" blackAndWhite="1"/>
  <headerFooter>
    <oddHeader/>
    <oddFooter>&amp;C&amp;P/&amp;N</oddFooter>
    <evenHeader/>
    <evenFooter/>
    <firstHeader/>
    <firstFooter/>
  </headerFooter>
  <colBreaks count="1" manualBreakCount="1">
    <brk id="6" min="0" max="14" man="1"/>
  </colBreaks>
</worksheet>
</file>

<file path=xl/worksheets/sheet11.xml><?xml version="1.0" encoding="utf-8"?>
<worksheet xmlns="http://schemas.openxmlformats.org/spreadsheetml/2006/main">
  <sheetPr>
    <outlinePr summaryBelow="1" summaryRight="1"/>
    <pageSetUpPr/>
  </sheetPr>
  <dimension ref="A1:J29"/>
  <sheetViews>
    <sheetView view="pageBreakPreview" zoomScaleNormal="100" workbookViewId="0">
      <selection activeCell="A1" sqref="A1:H1"/>
    </sheetView>
  </sheetViews>
  <sheetFormatPr baseColWidth="8" defaultColWidth="9.81818181818182" defaultRowHeight="20.1" customHeight="1"/>
  <cols>
    <col width="54.9090909090909" customWidth="1" style="1563" min="1" max="1"/>
    <col width="12.2363636363636" customWidth="1" style="1563" min="2" max="2"/>
    <col width="12.4818181818182" customWidth="1" style="1563" min="3" max="3"/>
    <col width="12.8454545454545" customWidth="1" style="1563" min="4" max="4"/>
    <col width="11.2727272727273" customWidth="1" style="1563" min="5" max="5"/>
    <col width="11.3909090909091" customWidth="1" style="1563" min="6" max="6"/>
    <col width="13.4545454545455" customWidth="1" style="1563" min="7" max="7"/>
    <col width="15.0272727272727" customWidth="1" style="1563" min="8" max="8"/>
    <col width="9.81818181818182" customWidth="1" style="1563" min="9" max="16384"/>
  </cols>
  <sheetData>
    <row r="1" customFormat="1" s="1316">
      <c r="A1" s="1317" t="inlineStr">
        <is>
          <t>致同会计师事务所</t>
        </is>
      </c>
    </row>
    <row r="2" customFormat="1" s="1316">
      <c r="A2" s="1318" t="inlineStr">
        <is>
          <t>重要指标分析表</t>
        </is>
      </c>
    </row>
    <row r="3" s="1296">
      <c r="A3" s="1563" t="inlineStr">
        <is>
          <t>被审计单位名称：</t>
        </is>
      </c>
      <c r="B3" s="1563" t="inlineStr">
        <is>
          <t>编制人：</t>
        </is>
      </c>
      <c r="C3" s="1564" t="n"/>
      <c r="E3" s="1563" t="inlineStr">
        <is>
          <t>编制日期：</t>
        </is>
      </c>
      <c r="G3" s="1565" t="inlineStr">
        <is>
          <t>索引号：</t>
        </is>
      </c>
      <c r="H3" s="1566" t="inlineStr">
        <is>
          <t>D4-6</t>
        </is>
      </c>
    </row>
    <row r="4" s="1296">
      <c r="A4" s="1563" t="inlineStr">
        <is>
          <t>会计期间：202X年度</t>
        </is>
      </c>
      <c r="B4" s="1563" t="inlineStr">
        <is>
          <t>复核人：</t>
        </is>
      </c>
      <c r="C4" s="1564" t="n"/>
      <c r="E4" s="1563" t="inlineStr">
        <is>
          <t>复核日期：</t>
        </is>
      </c>
      <c r="G4" s="1565" t="inlineStr">
        <is>
          <t>页次：</t>
        </is>
      </c>
    </row>
    <row r="5" s="1296">
      <c r="A5" s="415" t="inlineStr">
        <is>
          <t>一、审计目标</t>
        </is>
      </c>
      <c r="B5" s="416" t="n"/>
      <c r="C5" s="417" t="n"/>
      <c r="D5" s="418" t="n"/>
      <c r="E5" s="418" t="n"/>
      <c r="F5" s="418" t="n"/>
      <c r="G5" s="419" t="n"/>
      <c r="H5" s="419" t="n"/>
    </row>
    <row r="6" s="1296">
      <c r="A6" s="418" t="inlineStr">
        <is>
          <t>1.利润表中记录的营业收入已发生，且与被审计单位有关；2.所有应当记录的营业收入均已记录；</t>
        </is>
      </c>
      <c r="B6" s="420" t="n"/>
      <c r="C6" s="417" t="n"/>
      <c r="D6" s="418" t="n"/>
      <c r="E6" s="418" t="n"/>
      <c r="F6" s="418" t="n"/>
      <c r="G6" s="418" t="n"/>
      <c r="H6" s="419" t="n"/>
    </row>
    <row r="7" s="1296">
      <c r="A7" s="418" t="inlineStr">
        <is>
          <t>3.与营业收入有关的金额及其他数据已恰当记录，相关披露已得到恰当计量和描述。</t>
        </is>
      </c>
      <c r="B7" s="420" t="n"/>
      <c r="C7" s="417" t="n"/>
      <c r="D7" s="418" t="n"/>
      <c r="E7" s="418" t="n"/>
      <c r="F7" s="418" t="n"/>
      <c r="G7" s="418" t="n"/>
      <c r="H7" s="419" t="n"/>
    </row>
    <row r="8" s="1296">
      <c r="A8" s="421" t="inlineStr">
        <is>
          <t>二、审计过程</t>
        </is>
      </c>
      <c r="B8" s="418" t="n"/>
      <c r="C8" s="417" t="n"/>
      <c r="D8" s="418" t="n"/>
      <c r="E8" s="418" t="n"/>
      <c r="F8" s="418" t="n"/>
      <c r="G8" s="418" t="n"/>
      <c r="H8" s="419" t="n"/>
    </row>
    <row r="9" s="1296">
      <c r="A9" s="422" t="inlineStr">
        <is>
          <t>1.……</t>
        </is>
      </c>
      <c r="B9" s="418" t="n"/>
      <c r="C9" s="417" t="n"/>
      <c r="D9" s="418" t="n"/>
      <c r="E9" s="418" t="n"/>
      <c r="F9" s="418" t="n"/>
      <c r="G9" s="418" t="n"/>
      <c r="H9" s="419" t="n"/>
    </row>
    <row r="10" s="1296">
      <c r="A10" s="963" t="n"/>
      <c r="B10" s="418" t="n"/>
      <c r="C10" s="417" t="n"/>
      <c r="D10" s="418" t="n"/>
      <c r="E10" s="418" t="n"/>
      <c r="F10" s="418" t="n"/>
      <c r="G10" s="418" t="n"/>
      <c r="H10" s="419" t="n"/>
    </row>
    <row r="11" ht="31.5" customFormat="1" customHeight="1" s="1567">
      <c r="A11" s="1568" t="inlineStr">
        <is>
          <t>指标名称</t>
        </is>
      </c>
      <c r="B11" s="1569" t="inlineStr">
        <is>
          <t>本期</t>
        </is>
      </c>
      <c r="C11" s="1569" t="inlineStr">
        <is>
          <t>上期</t>
        </is>
      </c>
      <c r="D11" s="1569" t="inlineStr">
        <is>
          <t>差异1</t>
        </is>
      </c>
      <c r="E11" s="1570" t="inlineStr">
        <is>
          <t>变化原因及合理性分析1</t>
        </is>
      </c>
      <c r="F11" s="1570" t="inlineStr">
        <is>
          <t>同行业公司平均值</t>
        </is>
      </c>
      <c r="G11" s="1569" t="inlineStr">
        <is>
          <t>差异2</t>
        </is>
      </c>
      <c r="H11" s="1570" t="inlineStr">
        <is>
          <t>变化原因及合理性分析2</t>
        </is>
      </c>
      <c r="J11" s="1571" t="n"/>
    </row>
    <row r="12" ht="31.95" customFormat="1" customHeight="1" s="1567">
      <c r="A12" s="1335" t="n"/>
      <c r="B12" s="1572" t="inlineStr">
        <is>
          <t>①</t>
        </is>
      </c>
      <c r="C12" s="1572" t="inlineStr">
        <is>
          <t>②</t>
        </is>
      </c>
      <c r="D12" s="1572" t="inlineStr">
        <is>
          <t>③=(①-②)/②</t>
        </is>
      </c>
      <c r="E12" s="1572" t="inlineStr">
        <is>
          <t>④</t>
        </is>
      </c>
      <c r="F12" s="1572" t="inlineStr">
        <is>
          <t>⑤</t>
        </is>
      </c>
      <c r="G12" s="1572" t="inlineStr">
        <is>
          <t>⑥=（①-⑤）/⑤</t>
        </is>
      </c>
      <c r="H12" s="1572" t="inlineStr">
        <is>
          <t>⑦</t>
        </is>
      </c>
      <c r="J12" s="1571" t="n"/>
    </row>
    <row r="13" s="1296">
      <c r="A13" s="1573" t="inlineStr">
        <is>
          <t>应收账款/总资产</t>
        </is>
      </c>
      <c r="B13" s="1512" t="n"/>
      <c r="C13" s="1512" t="n"/>
      <c r="D13" s="1513">
        <f>IF(C13=0,0,(B13-C13)/C13)</f>
        <v/>
      </c>
      <c r="E13" s="1512" t="n"/>
      <c r="F13" s="1512" t="n"/>
      <c r="G13" s="1513">
        <f>IF(F13=0,0,(B13-F13)/F13)</f>
        <v/>
      </c>
      <c r="H13" s="1574" t="n"/>
    </row>
    <row r="14" s="1296">
      <c r="A14" s="1575" t="inlineStr">
        <is>
          <t>应收账款周转天数=应收账款平均余额/(销售收入/365)</t>
        </is>
      </c>
      <c r="B14" s="1512" t="n"/>
      <c r="C14" s="1512" t="n"/>
      <c r="D14" s="1513">
        <f>IF(C14=0,0,(B14-C14)/C14)</f>
        <v/>
      </c>
      <c r="E14" s="1512" t="n"/>
      <c r="F14" s="1512" t="n"/>
      <c r="G14" s="1513">
        <f>IF(F14=0,0,(B14-F14)/F14)</f>
        <v/>
      </c>
      <c r="H14" s="1574" t="n"/>
    </row>
    <row r="15" s="1296">
      <c r="A15" s="1575" t="inlineStr">
        <is>
          <t>应收账款周转次数=销售收入/应收账款平均余额</t>
        </is>
      </c>
      <c r="B15" s="1512" t="n"/>
      <c r="C15" s="1512" t="n"/>
      <c r="D15" s="1513">
        <f>IF(C15=0,0,(B15-C15)/C15)</f>
        <v/>
      </c>
      <c r="E15" s="1512" t="n"/>
      <c r="F15" s="1512" t="n"/>
      <c r="G15" s="1513">
        <f>IF(F15=0,0,(B15-F15)/F15)</f>
        <v/>
      </c>
      <c r="H15" s="1574" t="n"/>
    </row>
    <row r="16" s="1296">
      <c r="A16" s="1575" t="inlineStr">
        <is>
          <t>(末月/最后一个季度）销售情况/当期销售（金额或销量）</t>
        </is>
      </c>
      <c r="B16" s="1512" t="n"/>
      <c r="C16" s="1512" t="n"/>
      <c r="D16" s="1513">
        <f>IF(C16=0,0,(B16-C16)/C16)</f>
        <v/>
      </c>
      <c r="E16" s="1512" t="n"/>
      <c r="F16" s="1512" t="n"/>
      <c r="G16" s="1513">
        <f>IF(F16=0,0,(B16-F16)/F16)</f>
        <v/>
      </c>
      <c r="H16" s="1574" t="n"/>
    </row>
    <row r="17" s="1296">
      <c r="A17" s="1575" t="inlineStr">
        <is>
          <t>销售折扣/销售额</t>
        </is>
      </c>
      <c r="B17" s="1512" t="n"/>
      <c r="C17" s="1512" t="n"/>
      <c r="D17" s="1513">
        <f>IF(C17=0,0,(B17-C17)/C17)</f>
        <v/>
      </c>
      <c r="E17" s="1512" t="n"/>
      <c r="F17" s="1512" t="n"/>
      <c r="G17" s="1513">
        <f>IF(F17=0,0,(B17-F17)/F17)</f>
        <v/>
      </c>
      <c r="H17" s="1574" t="n"/>
    </row>
    <row r="18" s="1296">
      <c r="A18" s="1575" t="inlineStr">
        <is>
          <t>销售折让/销售额</t>
        </is>
      </c>
      <c r="B18" s="1512" t="n"/>
      <c r="C18" s="1512" t="n"/>
      <c r="D18" s="1513">
        <f>IF(C18=0,0,(B18-C18)/C18)</f>
        <v/>
      </c>
      <c r="E18" s="1512" t="n"/>
      <c r="F18" s="1512" t="n"/>
      <c r="G18" s="1513">
        <f>IF(F18=0,0,(B18-F18)/F18)</f>
        <v/>
      </c>
      <c r="H18" s="1574" t="n"/>
    </row>
    <row r="19" s="1296">
      <c r="A19" s="1575" t="inlineStr">
        <is>
          <t>销货退回/销售额</t>
        </is>
      </c>
      <c r="B19" s="1512" t="n"/>
      <c r="C19" s="1512" t="n"/>
      <c r="D19" s="1513">
        <f>IF(C19=0,0,(B19-C19)/C19)</f>
        <v/>
      </c>
      <c r="E19" s="1512" t="n"/>
      <c r="F19" s="1512" t="n"/>
      <c r="G19" s="1513">
        <f>IF(F19=0,0,(B19-F19)/F19)</f>
        <v/>
      </c>
      <c r="H19" s="1574" t="n"/>
    </row>
    <row r="20" s="1296">
      <c r="A20" s="1575" t="inlineStr">
        <is>
          <t>坏账准备余额/应收账款余额</t>
        </is>
      </c>
      <c r="B20" s="1512" t="n"/>
      <c r="C20" s="1512" t="n"/>
      <c r="D20" s="1513">
        <f>IF(C20=0,0,(B20-C20)/C20)</f>
        <v/>
      </c>
      <c r="E20" s="1512" t="n"/>
      <c r="F20" s="1512" t="n"/>
      <c r="G20" s="1513">
        <f>IF(F20=0,0,(B20-F20)/F20)</f>
        <v/>
      </c>
      <c r="H20" s="1574" t="n"/>
    </row>
    <row r="21" s="1296">
      <c r="A21" s="1576" t="inlineStr">
        <is>
          <t>人均创收=销售收入/员工总数</t>
        </is>
      </c>
      <c r="B21" s="1512" t="n"/>
      <c r="C21" s="1512" t="n"/>
      <c r="D21" s="1513">
        <f>IF(C21=0,0,(B21-C21)/C21)</f>
        <v/>
      </c>
      <c r="E21" s="1512" t="n"/>
      <c r="F21" s="1512" t="n"/>
      <c r="G21" s="1513">
        <f>IF(F21=0,0,(B21-F21)/F21)</f>
        <v/>
      </c>
      <c r="H21" s="1574" t="n"/>
    </row>
    <row r="22" s="1296">
      <c r="A22" s="1576" t="inlineStr">
        <is>
          <t>销售净利率=净利润/销售收入</t>
        </is>
      </c>
      <c r="B22" s="1512" t="n"/>
      <c r="C22" s="1512" t="n"/>
      <c r="D22" s="1513">
        <f>IF(C22=0,0,(B22-C22)/C22)</f>
        <v/>
      </c>
      <c r="E22" s="1512" t="n"/>
      <c r="F22" s="1512" t="n"/>
      <c r="G22" s="1513">
        <f>IF(F22=0,0,(B22-F22)/F22)</f>
        <v/>
      </c>
      <c r="H22" s="1574" t="n"/>
    </row>
    <row r="23" s="1296">
      <c r="A23" s="1576" t="inlineStr">
        <is>
          <t>人均创利=净利润/员工总数</t>
        </is>
      </c>
      <c r="B23" s="1512" t="n"/>
      <c r="C23" s="1512" t="n"/>
      <c r="D23" s="1513">
        <f>IF(C23=0,0,(B23-C23)/C23)</f>
        <v/>
      </c>
      <c r="E23" s="1512" t="n"/>
      <c r="F23" s="1512" t="n"/>
      <c r="G23" s="1513">
        <f>IF(F23=0,0,(B23-F23)/F23)</f>
        <v/>
      </c>
      <c r="H23" s="1574" t="n"/>
    </row>
    <row r="24" s="1296">
      <c r="A24" s="1576" t="inlineStr">
        <is>
          <t>当期销售金额/主要原材料采购金额</t>
        </is>
      </c>
      <c r="B24" s="1512" t="n"/>
      <c r="C24" s="1512" t="n"/>
      <c r="D24" s="1513">
        <f>IF(C24=0,0,(B24-C24)/C24)</f>
        <v/>
      </c>
      <c r="E24" s="1512" t="n"/>
      <c r="F24" s="1512" t="n"/>
      <c r="G24" s="1513">
        <f>IF(F24=0,0,(B24-F24)/F24)</f>
        <v/>
      </c>
      <c r="H24" s="1574" t="n"/>
    </row>
    <row r="25" s="1296">
      <c r="A25" s="888" t="inlineStr">
        <is>
          <t>三、审计说明</t>
        </is>
      </c>
      <c r="B25" s="418" t="n"/>
      <c r="C25" s="418" t="n"/>
      <c r="D25" s="418" t="n"/>
      <c r="E25" s="418" t="n"/>
      <c r="F25" s="418" t="n"/>
      <c r="G25" s="418" t="n"/>
      <c r="H25" s="418" t="n"/>
    </row>
    <row r="26" s="1296">
      <c r="A26" s="418" t="n"/>
      <c r="B26" s="418" t="n"/>
      <c r="C26" s="418" t="n"/>
      <c r="D26" s="418" t="n"/>
      <c r="E26" s="418" t="n"/>
      <c r="F26" s="418" t="n"/>
      <c r="G26" s="418" t="n"/>
      <c r="H26" s="418" t="n"/>
    </row>
    <row r="27" s="1296">
      <c r="A27" s="418" t="n"/>
      <c r="B27" s="418" t="n"/>
      <c r="C27" s="418" t="n"/>
      <c r="D27" s="418" t="n"/>
      <c r="E27" s="418" t="n"/>
      <c r="F27" s="418" t="n"/>
      <c r="G27" s="418" t="n"/>
      <c r="H27" s="418" t="n"/>
    </row>
    <row r="28" s="1296">
      <c r="A28" s="888" t="inlineStr">
        <is>
          <t>四、审计结论</t>
        </is>
      </c>
      <c r="B28" s="418" t="n"/>
      <c r="C28" s="418" t="n"/>
      <c r="D28" s="418" t="n"/>
      <c r="E28" s="418" t="n"/>
      <c r="F28" s="418" t="n"/>
      <c r="G28" s="418" t="n"/>
      <c r="H28" s="418" t="n"/>
    </row>
    <row r="29" s="1296">
      <c r="A29" s="888" t="n"/>
      <c r="B29" s="418" t="n"/>
      <c r="C29" s="418" t="n"/>
      <c r="D29" s="418" t="n"/>
      <c r="E29" s="418" t="n"/>
      <c r="F29" s="418" t="n"/>
      <c r="G29" s="418" t="n"/>
      <c r="H29" s="418" t="n"/>
    </row>
  </sheetData>
  <mergeCells count="3">
    <mergeCell ref="A2:H2"/>
    <mergeCell ref="A11:A12"/>
    <mergeCell ref="A1:H1"/>
  </mergeCells>
  <hyperlinks>
    <hyperlink ref="H3" location="底稿目录!A1" display="='D:\GT_plan\backend\wp_templates\D\[D4-6至D4-11营业收入 - 分析程序（Leap应对措施-分析程序）.xlsx]底稿目录'!F3"/>
  </hyperlinks>
  <pageMargins left="0.708333333333333" right="0.708333333333333" top="0.747916666666667" bottom="0.747916666666667" header="0.314583333333333" footer="0.314583333333333"/>
  <pageSetup orientation="portrait" paperSize="9" scale="64" blackAndWhite="1"/>
  <headerFooter>
    <oddHeader/>
    <oddFooter>&amp;C&amp;P/&amp;N</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W32"/>
  <sheetViews>
    <sheetView showZeros="0" view="pageBreakPreview" topLeftCell="A13" zoomScaleNormal="100" workbookViewId="0">
      <selection activeCell="V23" sqref="V23"/>
    </sheetView>
  </sheetViews>
  <sheetFormatPr baseColWidth="8" defaultColWidth="9.81818181818182" defaultRowHeight="20.1" customHeight="1"/>
  <cols>
    <col width="17.2090909090909" customWidth="1" style="796" min="1" max="1"/>
    <col width="10.0545454545455" customWidth="1" style="796" min="2" max="16"/>
    <col width="9.09090909090909" customWidth="1" style="796" min="17" max="17"/>
    <col width="9.45454545454546" customWidth="1" style="796" min="18" max="18"/>
    <col width="12.2363636363636" customWidth="1" style="796" min="19" max="19"/>
    <col width="14.0545454545455" customWidth="1" style="796" min="20" max="20"/>
    <col width="13.5727272727273" customWidth="1" style="796" min="21" max="21"/>
    <col width="8.72727272727273" customWidth="1" style="796" min="22" max="22"/>
    <col width="8.118181818181821" customWidth="1" style="796" min="23" max="23"/>
    <col width="9.81818181818182" customWidth="1" style="796" min="24" max="16384"/>
  </cols>
  <sheetData>
    <row r="1" customFormat="1" s="924">
      <c r="A1" s="134" t="inlineStr">
        <is>
          <t>致同会计师事务所</t>
        </is>
      </c>
    </row>
    <row r="2" customFormat="1" s="924">
      <c r="A2" s="135" t="inlineStr">
        <is>
          <t>主营业务收入毛利率分析表</t>
        </is>
      </c>
    </row>
    <row r="3" s="1296">
      <c r="A3" s="796" t="inlineStr">
        <is>
          <t>被审计单位名称：</t>
        </is>
      </c>
      <c r="I3" s="796" t="inlineStr">
        <is>
          <t>编制人：</t>
        </is>
      </c>
      <c r="Q3" s="796" t="inlineStr">
        <is>
          <t>编制日期：</t>
        </is>
      </c>
      <c r="V3" s="927" t="inlineStr">
        <is>
          <t>索引号：</t>
        </is>
      </c>
      <c r="W3" s="174" t="inlineStr">
        <is>
          <t>D4-7</t>
        </is>
      </c>
    </row>
    <row r="4" s="1296">
      <c r="A4" s="796" t="inlineStr">
        <is>
          <t>会计期间：202X年度</t>
        </is>
      </c>
      <c r="I4" s="796" t="inlineStr">
        <is>
          <t>复核人：</t>
        </is>
      </c>
      <c r="Q4" s="796" t="inlineStr">
        <is>
          <t>复核日期：</t>
        </is>
      </c>
      <c r="V4" s="927" t="inlineStr">
        <is>
          <t>页次：</t>
        </is>
      </c>
    </row>
    <row r="5" s="1296">
      <c r="A5" s="802" t="inlineStr">
        <is>
          <t>一、审计目标：</t>
        </is>
      </c>
      <c r="B5" s="802" t="n"/>
      <c r="C5" s="802" t="n"/>
      <c r="V5" s="927" t="n"/>
    </row>
    <row r="6" s="1296">
      <c r="A6" s="796" t="inlineStr">
        <is>
          <t>利润表中记录的营业收入已发生，且与被审计单位有关。</t>
        </is>
      </c>
      <c r="V6" s="927" t="n"/>
    </row>
    <row r="7" s="1296">
      <c r="A7" s="853" t="inlineStr">
        <is>
          <t>二、审计过程</t>
        </is>
      </c>
      <c r="B7" s="853" t="n"/>
      <c r="C7" s="853" t="n"/>
      <c r="V7" s="927" t="n"/>
    </row>
    <row r="8" s="1296">
      <c r="A8" s="1039" t="inlineStr">
        <is>
          <t>1.了解公司各月毛利、收入的构成及变化情况是否符合行业和市场同期的变化情况。了解公司的产品或服务价格、销量及变动趋势，了解市场上具有代表性企业的价格信息和趋势、行业协会发布的统计数据，并进行比较，确定是否存在显著异常</t>
        </is>
      </c>
      <c r="B8" s="929" t="n"/>
      <c r="C8" s="929" t="n"/>
      <c r="I8" s="930" t="n"/>
      <c r="J8" s="930" t="n"/>
      <c r="K8" s="930" t="n"/>
      <c r="V8" s="927" t="n"/>
    </row>
    <row r="9" s="1296">
      <c r="A9" s="1039" t="n"/>
      <c r="B9" s="929" t="n"/>
      <c r="C9" s="929" t="n"/>
      <c r="I9" s="930" t="n"/>
      <c r="J9" s="930" t="n"/>
      <c r="K9" s="930" t="n"/>
      <c r="V9" s="927" t="n"/>
    </row>
    <row r="10" s="1296">
      <c r="A10" s="1036" t="inlineStr">
        <is>
          <t>（一）月度毛利分析</t>
        </is>
      </c>
      <c r="B10" s="929" t="n"/>
      <c r="C10" s="929" t="n"/>
      <c r="I10" s="930" t="n"/>
      <c r="J10" s="930" t="n"/>
      <c r="K10" s="930" t="n"/>
      <c r="V10" s="927" t="n"/>
    </row>
    <row r="11" s="1296">
      <c r="A11" s="932" t="inlineStr">
        <is>
          <t>月份</t>
        </is>
      </c>
      <c r="B11" s="933" t="inlineStr">
        <is>
          <t>1月</t>
        </is>
      </c>
      <c r="C11" s="933" t="inlineStr">
        <is>
          <t>2月</t>
        </is>
      </c>
      <c r="D11" s="933" t="inlineStr">
        <is>
          <t>3月</t>
        </is>
      </c>
      <c r="E11" s="933" t="inlineStr">
        <is>
          <t>4月</t>
        </is>
      </c>
      <c r="F11" s="933" t="inlineStr">
        <is>
          <t>5月</t>
        </is>
      </c>
      <c r="G11" s="933" t="inlineStr">
        <is>
          <t>6月</t>
        </is>
      </c>
      <c r="H11" s="933" t="inlineStr">
        <is>
          <t>7月</t>
        </is>
      </c>
      <c r="I11" s="933" t="inlineStr">
        <is>
          <t>8月</t>
        </is>
      </c>
      <c r="J11" s="933" t="inlineStr">
        <is>
          <t>9月</t>
        </is>
      </c>
      <c r="K11" s="933" t="inlineStr">
        <is>
          <t>10月</t>
        </is>
      </c>
      <c r="L11" s="933" t="inlineStr">
        <is>
          <t>11月</t>
        </is>
      </c>
      <c r="M11" s="933" t="inlineStr">
        <is>
          <t>12月</t>
        </is>
      </c>
      <c r="N11" s="933" t="inlineStr">
        <is>
          <t>合计</t>
        </is>
      </c>
      <c r="O11" s="933" t="inlineStr">
        <is>
          <t>上期</t>
        </is>
      </c>
      <c r="P11" s="933" t="inlineStr">
        <is>
          <t>变动比例</t>
        </is>
      </c>
      <c r="V11" s="927" t="n"/>
    </row>
    <row r="12" s="1296">
      <c r="A12" s="934" t="inlineStr">
        <is>
          <t>主营业务收入</t>
        </is>
      </c>
      <c r="B12" s="935" t="n"/>
      <c r="C12" s="935" t="n"/>
      <c r="D12" s="936" t="n"/>
      <c r="E12" s="936" t="n"/>
      <c r="F12" s="936" t="n"/>
      <c r="G12" s="936" t="n"/>
      <c r="H12" s="936" t="n"/>
      <c r="I12" s="937" t="n"/>
      <c r="J12" s="937" t="n"/>
      <c r="K12" s="937" t="n"/>
      <c r="L12" s="936" t="n"/>
      <c r="M12" s="936" t="n"/>
      <c r="N12" s="1577">
        <f>SUM(B12:M12)</f>
        <v/>
      </c>
      <c r="O12" s="936" t="n"/>
      <c r="P12" s="939">
        <f>(N12-O12)/O12</f>
        <v/>
      </c>
      <c r="V12" s="927" t="n"/>
    </row>
    <row r="13" s="1296">
      <c r="A13" s="934" t="inlineStr">
        <is>
          <t>主营业务成本</t>
        </is>
      </c>
      <c r="B13" s="935" t="n"/>
      <c r="C13" s="935" t="n"/>
      <c r="D13" s="936" t="n"/>
      <c r="E13" s="936" t="n"/>
      <c r="F13" s="936" t="n"/>
      <c r="G13" s="936" t="n"/>
      <c r="H13" s="936" t="n"/>
      <c r="I13" s="937" t="n"/>
      <c r="J13" s="937" t="n"/>
      <c r="K13" s="937" t="n"/>
      <c r="L13" s="936" t="n"/>
      <c r="M13" s="936" t="n"/>
      <c r="N13" s="1577">
        <f>SUM(B13:M13)</f>
        <v/>
      </c>
      <c r="O13" s="936" t="n"/>
      <c r="P13" s="939">
        <f>(N13-O13)/O13</f>
        <v/>
      </c>
      <c r="V13" s="927" t="n"/>
    </row>
    <row r="14" s="1296">
      <c r="A14" s="934" t="inlineStr">
        <is>
          <t>毛利</t>
        </is>
      </c>
      <c r="B14" s="1577">
        <f>B12-B13</f>
        <v/>
      </c>
      <c r="C14" s="1577">
        <f>C12-C13</f>
        <v/>
      </c>
      <c r="D14" s="1577">
        <f>D12-D13</f>
        <v/>
      </c>
      <c r="E14" s="1577">
        <f>E12-E13</f>
        <v/>
      </c>
      <c r="F14" s="1577">
        <f>F12-F13</f>
        <v/>
      </c>
      <c r="G14" s="1577">
        <f>G12-G13</f>
        <v/>
      </c>
      <c r="H14" s="1577">
        <f>H12-H13</f>
        <v/>
      </c>
      <c r="I14" s="1577">
        <f>I12-I13</f>
        <v/>
      </c>
      <c r="J14" s="1577">
        <f>J12-J13</f>
        <v/>
      </c>
      <c r="K14" s="1577">
        <f>K12-K13</f>
        <v/>
      </c>
      <c r="L14" s="1577">
        <f>L12-L13</f>
        <v/>
      </c>
      <c r="M14" s="1577">
        <f>M12-M13</f>
        <v/>
      </c>
      <c r="N14" s="1577">
        <f>N12-N13</f>
        <v/>
      </c>
      <c r="O14" s="1577">
        <f>O12-O13</f>
        <v/>
      </c>
      <c r="P14" s="939">
        <f>(N14-O14)/O14</f>
        <v/>
      </c>
      <c r="V14" s="927" t="n"/>
    </row>
    <row r="15" s="1296">
      <c r="A15" s="934" t="inlineStr">
        <is>
          <t>毛利率</t>
        </is>
      </c>
      <c r="B15" s="940">
        <f>B14/B12</f>
        <v/>
      </c>
      <c r="C15" s="1577">
        <f>C14/C12</f>
        <v/>
      </c>
      <c r="D15" s="1577">
        <f>D14/D12</f>
        <v/>
      </c>
      <c r="E15" s="1577">
        <f>E14/E12</f>
        <v/>
      </c>
      <c r="F15" s="1577">
        <f>F14/F12</f>
        <v/>
      </c>
      <c r="G15" s="1577">
        <f>G14/G12</f>
        <v/>
      </c>
      <c r="H15" s="1577">
        <f>H14/H12</f>
        <v/>
      </c>
      <c r="I15" s="1577">
        <f>I14/I12</f>
        <v/>
      </c>
      <c r="J15" s="1577">
        <f>J14/J12</f>
        <v/>
      </c>
      <c r="K15" s="1577">
        <f>K14/K12</f>
        <v/>
      </c>
      <c r="L15" s="1577">
        <f>L14/L12</f>
        <v/>
      </c>
      <c r="M15" s="1577">
        <f>M14/M12</f>
        <v/>
      </c>
      <c r="N15" s="1577">
        <f>N14/N12</f>
        <v/>
      </c>
      <c r="O15" s="940">
        <f>O14/O12</f>
        <v/>
      </c>
      <c r="P15" s="1577" t="n"/>
      <c r="V15" s="927" t="n"/>
    </row>
    <row r="16" s="1296">
      <c r="A16" s="1039" t="n"/>
      <c r="B16" s="929" t="n"/>
      <c r="C16" s="929" t="n"/>
      <c r="I16" s="930" t="n"/>
      <c r="J16" s="930" t="n"/>
      <c r="K16" s="930" t="n"/>
      <c r="V16" s="927" t="n"/>
    </row>
    <row r="17" customFormat="1" s="925">
      <c r="A17" s="796" t="inlineStr">
        <is>
          <t>（二）按产品毛利分析</t>
        </is>
      </c>
    </row>
    <row r="18" customFormat="1" s="926">
      <c r="A18" s="31" t="inlineStr">
        <is>
          <t>产品名称</t>
        </is>
      </c>
      <c r="B18" s="31" t="inlineStr">
        <is>
          <t>本期</t>
        </is>
      </c>
      <c r="C18" s="1578" t="n"/>
      <c r="D18" s="1578" t="n"/>
      <c r="E18" s="1578" t="n"/>
      <c r="F18" s="1578" t="n"/>
      <c r="G18" s="1578" t="n"/>
      <c r="H18" s="1578" t="n"/>
      <c r="I18" s="1390" t="n"/>
      <c r="J18" s="31" t="inlineStr">
        <is>
          <t>上期</t>
        </is>
      </c>
      <c r="K18" s="1578" t="n"/>
      <c r="L18" s="1578" t="n"/>
      <c r="M18" s="1578" t="n"/>
      <c r="N18" s="1578" t="n"/>
      <c r="O18" s="1578" t="n"/>
      <c r="P18" s="1578" t="n"/>
      <c r="Q18" s="1390" t="n"/>
      <c r="R18" s="31" t="inlineStr">
        <is>
          <t>变动比例</t>
        </is>
      </c>
      <c r="S18" s="1578" t="n"/>
      <c r="T18" s="1578" t="n"/>
      <c r="U18" s="1578" t="n"/>
      <c r="V18" s="1390" t="n"/>
      <c r="W18" s="44" t="inlineStr">
        <is>
          <t>备注</t>
        </is>
      </c>
    </row>
    <row r="19" ht="28.05" customFormat="1" customHeight="1" s="926">
      <c r="A19" s="1579" t="n"/>
      <c r="B19" s="932" t="inlineStr">
        <is>
          <t>数量</t>
        </is>
      </c>
      <c r="C19" s="932" t="inlineStr">
        <is>
          <t>平均单价</t>
        </is>
      </c>
      <c r="D19" s="44" t="inlineStr">
        <is>
          <t>主营业务收入</t>
        </is>
      </c>
      <c r="E19" s="944" t="inlineStr">
        <is>
          <t>结构比</t>
        </is>
      </c>
      <c r="F19" s="44" t="inlineStr">
        <is>
          <t>单位成本</t>
        </is>
      </c>
      <c r="G19" s="44" t="inlineStr">
        <is>
          <t>主营业务成本</t>
        </is>
      </c>
      <c r="H19" s="44" t="inlineStr">
        <is>
          <t>毛利</t>
        </is>
      </c>
      <c r="I19" s="44" t="inlineStr">
        <is>
          <t>毛利率</t>
        </is>
      </c>
      <c r="J19" s="932" t="inlineStr">
        <is>
          <t>数量</t>
        </is>
      </c>
      <c r="K19" s="932" t="inlineStr">
        <is>
          <t>平均单价</t>
        </is>
      </c>
      <c r="L19" s="44" t="inlineStr">
        <is>
          <t>主营业务收入</t>
        </is>
      </c>
      <c r="M19" s="944" t="inlineStr">
        <is>
          <t>结构比</t>
        </is>
      </c>
      <c r="N19" s="44" t="inlineStr">
        <is>
          <t>单位成本</t>
        </is>
      </c>
      <c r="O19" s="44" t="inlineStr">
        <is>
          <t>主营业务成本</t>
        </is>
      </c>
      <c r="P19" s="44" t="inlineStr">
        <is>
          <t>毛利</t>
        </is>
      </c>
      <c r="Q19" s="44" t="inlineStr">
        <is>
          <t>毛利率</t>
        </is>
      </c>
      <c r="R19" s="932" t="inlineStr">
        <is>
          <t>平均单价</t>
        </is>
      </c>
      <c r="S19" s="44" t="inlineStr">
        <is>
          <t>单位成本</t>
        </is>
      </c>
      <c r="T19" s="44" t="inlineStr">
        <is>
          <t>主营业务收入</t>
        </is>
      </c>
      <c r="U19" s="44" t="inlineStr">
        <is>
          <t>主营业务成本</t>
        </is>
      </c>
      <c r="V19" s="44" t="inlineStr">
        <is>
          <t>毛利率</t>
        </is>
      </c>
      <c r="W19" s="1579" t="n"/>
    </row>
    <row r="20" s="1296">
      <c r="A20" s="945" t="n"/>
      <c r="B20" s="1580" t="n"/>
      <c r="C20" s="1581">
        <f>D20/B20</f>
        <v/>
      </c>
      <c r="D20" s="1582" t="n"/>
      <c r="E20" s="949">
        <f>D20/$D$26</f>
        <v/>
      </c>
      <c r="F20" s="1583">
        <f>G20/B20</f>
        <v/>
      </c>
      <c r="G20" s="1582" t="n"/>
      <c r="H20" s="1583">
        <f>D20-G20</f>
        <v/>
      </c>
      <c r="I20" s="910">
        <f>IF(D20=0,0,H20/D20)</f>
        <v/>
      </c>
      <c r="J20" s="1582" t="n"/>
      <c r="K20" s="1581">
        <f>L20/J20</f>
        <v/>
      </c>
      <c r="L20" s="1582" t="n"/>
      <c r="M20" s="949">
        <f>L20/$L$26</f>
        <v/>
      </c>
      <c r="N20" s="1583">
        <f>O20/J20</f>
        <v/>
      </c>
      <c r="O20" s="1582" t="n"/>
      <c r="P20" s="1583">
        <f>L20-O20</f>
        <v/>
      </c>
      <c r="Q20" s="910">
        <f>IF(L20=0,0,P20/L20)</f>
        <v/>
      </c>
      <c r="R20" s="939">
        <f>(C20-K20)/K20</f>
        <v/>
      </c>
      <c r="S20" s="939">
        <f>(F20-N20)/N20</f>
        <v/>
      </c>
      <c r="T20" s="939">
        <f>(D20-L20)/L20</f>
        <v/>
      </c>
      <c r="U20" s="939">
        <f>(G20-O20)/O20</f>
        <v/>
      </c>
      <c r="V20" s="910">
        <f>I20-Q20</f>
        <v/>
      </c>
      <c r="W20" s="951" t="n"/>
    </row>
    <row r="21" s="1296">
      <c r="A21" s="945" t="n"/>
      <c r="B21" s="1580" t="n"/>
      <c r="C21" s="1581">
        <f>D21/B21</f>
        <v/>
      </c>
      <c r="D21" s="1582" t="n"/>
      <c r="E21" s="949">
        <f>D21/$D$26</f>
        <v/>
      </c>
      <c r="F21" s="1583">
        <f>G21/B21</f>
        <v/>
      </c>
      <c r="G21" s="1582" t="n"/>
      <c r="H21" s="1583">
        <f>D21-G21</f>
        <v/>
      </c>
      <c r="I21" s="910">
        <f>IF(D21=0,0,H21/D21)</f>
        <v/>
      </c>
      <c r="J21" s="1582" t="n"/>
      <c r="K21" s="1581">
        <f>L21/J21</f>
        <v/>
      </c>
      <c r="L21" s="1582" t="n"/>
      <c r="M21" s="949">
        <f>L21/$L$26</f>
        <v/>
      </c>
      <c r="N21" s="1583">
        <f>O21/J21</f>
        <v/>
      </c>
      <c r="O21" s="1582" t="n"/>
      <c r="P21" s="1583">
        <f>L21-O21</f>
        <v/>
      </c>
      <c r="Q21" s="910">
        <f>IF(L21=0,0,P21/L21)</f>
        <v/>
      </c>
      <c r="R21" s="939">
        <f>(C21-K21)/K21</f>
        <v/>
      </c>
      <c r="S21" s="939">
        <f>(F21-N21)/N21</f>
        <v/>
      </c>
      <c r="T21" s="939">
        <f>(D21-L21)/L21</f>
        <v/>
      </c>
      <c r="U21" s="939">
        <f>(G21-O21)/O21</f>
        <v/>
      </c>
      <c r="V21" s="910">
        <f>I21-Q21</f>
        <v/>
      </c>
      <c r="W21" s="951" t="n"/>
    </row>
    <row r="22" s="1296">
      <c r="A22" s="945" t="n"/>
      <c r="B22" s="1580" t="n"/>
      <c r="C22" s="1581">
        <f>D22/B22</f>
        <v/>
      </c>
      <c r="D22" s="1582" t="n"/>
      <c r="E22" s="949">
        <f>D22/$D$26</f>
        <v/>
      </c>
      <c r="F22" s="1583">
        <f>G22/B22</f>
        <v/>
      </c>
      <c r="G22" s="1582" t="n"/>
      <c r="H22" s="1583">
        <f>D22-G22</f>
        <v/>
      </c>
      <c r="I22" s="910">
        <f>IF(D22=0,0,H22/D22)</f>
        <v/>
      </c>
      <c r="J22" s="1582" t="n"/>
      <c r="K22" s="1581">
        <f>L22/J22</f>
        <v/>
      </c>
      <c r="L22" s="1582" t="n"/>
      <c r="M22" s="949">
        <f>L22/$L$26</f>
        <v/>
      </c>
      <c r="N22" s="1583">
        <f>O22/J22</f>
        <v/>
      </c>
      <c r="O22" s="1582" t="n"/>
      <c r="P22" s="1583">
        <f>L22-O22</f>
        <v/>
      </c>
      <c r="Q22" s="910">
        <f>IF(L22=0,0,P22/L22)</f>
        <v/>
      </c>
      <c r="R22" s="939">
        <f>(C22-K22)/K22</f>
        <v/>
      </c>
      <c r="S22" s="939">
        <f>(F22-N22)/N22</f>
        <v/>
      </c>
      <c r="T22" s="939">
        <f>(D22-L22)/L22</f>
        <v/>
      </c>
      <c r="U22" s="939">
        <f>(G22-O22)/O22</f>
        <v/>
      </c>
      <c r="V22" s="910">
        <f>I22-Q22</f>
        <v/>
      </c>
      <c r="W22" s="951" t="n"/>
    </row>
    <row r="23" s="1296">
      <c r="A23" s="952" t="n"/>
      <c r="B23" s="1580" t="n"/>
      <c r="C23" s="1581">
        <f>D23/B23</f>
        <v/>
      </c>
      <c r="D23" s="1582" t="n"/>
      <c r="E23" s="949">
        <f>D23/$D$26</f>
        <v/>
      </c>
      <c r="F23" s="1583">
        <f>G23/B23</f>
        <v/>
      </c>
      <c r="G23" s="1582" t="n"/>
      <c r="H23" s="1583">
        <f>D23-G23</f>
        <v/>
      </c>
      <c r="I23" s="910">
        <f>IF(D23=0,0,H23/D23)</f>
        <v/>
      </c>
      <c r="J23" s="1582" t="n"/>
      <c r="K23" s="1581">
        <f>L23/J23</f>
        <v/>
      </c>
      <c r="L23" s="1582" t="n"/>
      <c r="M23" s="949">
        <f>L23/$L$26</f>
        <v/>
      </c>
      <c r="N23" s="1583">
        <f>O23/J23</f>
        <v/>
      </c>
      <c r="O23" s="1582" t="n"/>
      <c r="P23" s="1583">
        <f>L23-O23</f>
        <v/>
      </c>
      <c r="Q23" s="910">
        <f>IF(L23=0,0,P23/L23)</f>
        <v/>
      </c>
      <c r="R23" s="939">
        <f>(C23-K23)/K23</f>
        <v/>
      </c>
      <c r="S23" s="939">
        <f>(F23-N23)/N23</f>
        <v/>
      </c>
      <c r="T23" s="939">
        <f>(D23-L23)/L23</f>
        <v/>
      </c>
      <c r="U23" s="939">
        <f>(G23-O23)/O23</f>
        <v/>
      </c>
      <c r="V23" s="910">
        <f>I23-Q23</f>
        <v/>
      </c>
      <c r="W23" s="951" t="n"/>
    </row>
    <row r="24" s="1296">
      <c r="A24" s="952" t="n"/>
      <c r="B24" s="1580" t="n"/>
      <c r="C24" s="1581">
        <f>D24/B24</f>
        <v/>
      </c>
      <c r="D24" s="1582" t="n"/>
      <c r="E24" s="949">
        <f>D24/$D$26</f>
        <v/>
      </c>
      <c r="F24" s="1583">
        <f>G24/B24</f>
        <v/>
      </c>
      <c r="G24" s="1582" t="n"/>
      <c r="H24" s="1583">
        <f>D24-G24</f>
        <v/>
      </c>
      <c r="I24" s="910">
        <f>IF(D24=0,0,H24/D24)</f>
        <v/>
      </c>
      <c r="J24" s="1582" t="n"/>
      <c r="K24" s="1581">
        <f>L24/J24</f>
        <v/>
      </c>
      <c r="L24" s="1582" t="n"/>
      <c r="M24" s="949">
        <f>L24/$L$26</f>
        <v/>
      </c>
      <c r="N24" s="1583">
        <f>O24/J24</f>
        <v/>
      </c>
      <c r="O24" s="1582" t="n"/>
      <c r="P24" s="1583">
        <f>L24-O24</f>
        <v/>
      </c>
      <c r="Q24" s="910">
        <f>IF(L24=0,0,P24/L24)</f>
        <v/>
      </c>
      <c r="R24" s="939">
        <f>(C24-K24)/K24</f>
        <v/>
      </c>
      <c r="S24" s="939">
        <f>(F24-N24)/N24</f>
        <v/>
      </c>
      <c r="T24" s="939">
        <f>(D24-L24)/L24</f>
        <v/>
      </c>
      <c r="U24" s="939">
        <f>(G24-O24)/O24</f>
        <v/>
      </c>
      <c r="V24" s="910">
        <f>I24-Q24</f>
        <v/>
      </c>
      <c r="W24" s="951" t="n"/>
    </row>
    <row r="25" s="1296">
      <c r="A25" s="953" t="n"/>
      <c r="B25" s="1580" t="n"/>
      <c r="C25" s="1581">
        <f>D25/B25</f>
        <v/>
      </c>
      <c r="D25" s="1582" t="n"/>
      <c r="E25" s="949">
        <f>D25/$D$26</f>
        <v/>
      </c>
      <c r="F25" s="1583">
        <f>G25/B25</f>
        <v/>
      </c>
      <c r="G25" s="1582" t="n"/>
      <c r="H25" s="1583">
        <f>D25-G25</f>
        <v/>
      </c>
      <c r="I25" s="910">
        <f>IF(D25=0,0,H25/D25)</f>
        <v/>
      </c>
      <c r="J25" s="1582" t="n"/>
      <c r="K25" s="1581">
        <f>L25/J25</f>
        <v/>
      </c>
      <c r="L25" s="1582" t="n"/>
      <c r="M25" s="949">
        <f>L25/$L$26</f>
        <v/>
      </c>
      <c r="N25" s="1583">
        <f>O25/J25</f>
        <v/>
      </c>
      <c r="O25" s="1582" t="n"/>
      <c r="P25" s="1583">
        <f>L25-O25</f>
        <v/>
      </c>
      <c r="Q25" s="910">
        <f>IF(L25=0,0,P25/L25)</f>
        <v/>
      </c>
      <c r="R25" s="939">
        <f>(C25-K25)/K25</f>
        <v/>
      </c>
      <c r="S25" s="939">
        <f>(F25-N25)/N25</f>
        <v/>
      </c>
      <c r="T25" s="939">
        <f>(D25-L25)/L25</f>
        <v/>
      </c>
      <c r="U25" s="939">
        <f>(G25-O25)/O25</f>
        <v/>
      </c>
      <c r="V25" s="910">
        <f>I25-Q25</f>
        <v/>
      </c>
      <c r="W25" s="951" t="n"/>
    </row>
    <row r="26" customFormat="1" s="926">
      <c r="A26" s="44" t="inlineStr">
        <is>
          <t>合计</t>
        </is>
      </c>
      <c r="B26" s="1584">
        <f>SUM(B20:B25)</f>
        <v/>
      </c>
      <c r="C26" s="1585">
        <f>D26/B26</f>
        <v/>
      </c>
      <c r="D26" s="1584">
        <f>SUM(D20:D25)</f>
        <v/>
      </c>
      <c r="E26" s="956">
        <f>D26/$D$26</f>
        <v/>
      </c>
      <c r="F26" s="1584">
        <f>G26/B26</f>
        <v/>
      </c>
      <c r="G26" s="1584">
        <f>SUM(G20:G25)</f>
        <v/>
      </c>
      <c r="H26" s="1584">
        <f>SUM(H20:H25)</f>
        <v/>
      </c>
      <c r="I26" s="917">
        <f>IF(D26=0,0,H26/D26)</f>
        <v/>
      </c>
      <c r="J26" s="1584">
        <f>SUM(J20:J25)</f>
        <v/>
      </c>
      <c r="K26" s="1585">
        <f>L26/J26</f>
        <v/>
      </c>
      <c r="L26" s="1584">
        <f>SUM(L20:L25)</f>
        <v/>
      </c>
      <c r="M26" s="956">
        <f>L26/$L$26</f>
        <v/>
      </c>
      <c r="N26" s="1584">
        <f>O26/J26</f>
        <v/>
      </c>
      <c r="O26" s="1584">
        <f>SUM(O20:O25)</f>
        <v/>
      </c>
      <c r="P26" s="1584">
        <f>SUM(P20:P25)</f>
        <v/>
      </c>
      <c r="Q26" s="917">
        <f>IF(L26=0,0,P26/L26)</f>
        <v/>
      </c>
      <c r="R26" s="957">
        <f>(C26-K26)/K26</f>
        <v/>
      </c>
      <c r="S26" s="957">
        <f>(F26-N26)/N26</f>
        <v/>
      </c>
      <c r="T26" s="957">
        <f>(D26-L26)/L26</f>
        <v/>
      </c>
      <c r="U26" s="957">
        <f>(G26-O26)/O26</f>
        <v/>
      </c>
      <c r="V26" s="917">
        <f>I26-Q26</f>
        <v/>
      </c>
      <c r="W26" s="958" t="n"/>
    </row>
    <row r="27" s="1296">
      <c r="A27" s="802" t="inlineStr">
        <is>
          <t>三、审计说明</t>
        </is>
      </c>
      <c r="B27" s="926" t="n"/>
      <c r="C27" s="926" t="n"/>
    </row>
    <row r="28" s="1296">
      <c r="A28" s="925" t="inlineStr">
        <is>
          <t>1.毛利率变动异常原因：</t>
        </is>
      </c>
    </row>
    <row r="29" s="1296">
      <c r="A29" s="925" t="inlineStr">
        <is>
          <t>2.XX产品单价变动异常，采用审计抽样方法检查该类型产品单价变动的合理性，判断销售给关联方或关系密切的重要客户的产品价格是否合理，有无以低价或高价结算的方法，相互之间有无转移利润的现象，见&lt;产品销售价格分析D4-1&gt;。</t>
        </is>
      </c>
    </row>
    <row r="30" s="1296">
      <c r="A30" s="926" t="inlineStr">
        <is>
          <t>四、审计结论</t>
        </is>
      </c>
    </row>
    <row r="32" s="1296">
      <c r="A32" s="959" t="inlineStr">
        <is>
          <t>提示：除分析主要产品和服务之外，还需要考虑被审计单位是否有联产品和副产品产出；如有，应同时分析联产品和副产品的毛利变化情况，并结合营业成本的审计，判断联产品和副产品的成本分摊是否正确。</t>
        </is>
      </c>
      <c r="B32" s="960" t="n"/>
      <c r="C32" s="929" t="n"/>
      <c r="V32" s="927" t="n"/>
    </row>
  </sheetData>
  <mergeCells count="7">
    <mergeCell ref="B18:I18"/>
    <mergeCell ref="W18:W19"/>
    <mergeCell ref="A1:W1"/>
    <mergeCell ref="A2:W2"/>
    <mergeCell ref="J18:Q18"/>
    <mergeCell ref="A18:A19"/>
    <mergeCell ref="R18:V18"/>
  </mergeCells>
  <hyperlinks>
    <hyperlink ref="W3" location="底稿目录!A1" display="='D:\GT_plan\backend\wp_templates\D\[D4-6至D4-11营业收入 - 分析程序（Leap应对措施-分析程序）.xlsx]底稿目录'!F4"/>
  </hyperlinks>
  <pageMargins left="0.708333333333333" right="0.708333333333333" top="0.747916666666667" bottom="0.747916666666667" header="0.314583333333333" footer="0.314583333333333"/>
  <pageSetup orientation="landscape" paperSize="9" scale="54" blackAndWhite="1"/>
  <headerFooter>
    <oddHeader/>
    <oddFooter>&amp;C&amp;P/&amp;N</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X40"/>
  <sheetViews>
    <sheetView showZeros="0" view="pageBreakPreview" zoomScale="90" zoomScaleNormal="100" workbookViewId="0">
      <selection activeCell="A1" sqref="A1:X1"/>
    </sheetView>
  </sheetViews>
  <sheetFormatPr baseColWidth="8" defaultColWidth="9.81818181818182" defaultRowHeight="20.1" customHeight="1"/>
  <cols>
    <col width="6.66363636363636" customWidth="1" style="1563" min="1" max="1"/>
    <col width="9.572727272727271" customWidth="1" style="1563" min="2" max="2"/>
    <col width="10.6636363636364" customWidth="1" style="1563" min="3" max="3"/>
    <col width="10.9090909090909" customWidth="1" style="1563" min="4" max="4"/>
    <col width="10.0545454545455" customWidth="1" style="1563" min="5" max="5"/>
    <col width="10.1818181818182" customWidth="1" style="1563" min="6" max="6"/>
    <col width="10.6636363636364" customWidth="1" style="1563" min="7" max="8"/>
    <col width="8.36363636363636" customWidth="1" style="1563" min="9" max="9"/>
    <col width="9.81818181818182" customWidth="1" style="1563" min="10" max="10"/>
    <col width="9.81818181818182" customWidth="1" style="1563" min="11" max="16"/>
    <col width="7.75454545454545" customWidth="1" style="1563" min="17" max="17"/>
    <col width="9.81818181818182" customWidth="1" style="1563" min="18" max="22"/>
    <col width="7.50909090909091" customWidth="1" style="1563" min="23" max="23"/>
    <col width="9.81818181818182" customWidth="1" style="1563" min="24" max="16384"/>
  </cols>
  <sheetData>
    <row r="1" customFormat="1" s="1316">
      <c r="A1" s="1317" t="inlineStr">
        <is>
          <t>致同会计师事务所</t>
        </is>
      </c>
    </row>
    <row r="2" customFormat="1" s="1586">
      <c r="A2" s="1318" t="inlineStr">
        <is>
          <t>重要产品/服务毛利率分析表</t>
        </is>
      </c>
    </row>
    <row r="3" s="1296">
      <c r="A3" s="1563" t="inlineStr">
        <is>
          <t>被审计单位名称：</t>
        </is>
      </c>
      <c r="H3" s="1563" t="inlineStr">
        <is>
          <t>编制人：</t>
        </is>
      </c>
      <c r="N3" s="1563" t="inlineStr">
        <is>
          <t>编制日期：</t>
        </is>
      </c>
      <c r="O3" s="1564" t="n"/>
      <c r="W3" s="1565" t="inlineStr">
        <is>
          <t>索引号：</t>
        </is>
      </c>
      <c r="X3" s="1587" t="inlineStr">
        <is>
          <t>D4-8</t>
        </is>
      </c>
    </row>
    <row r="4" s="1296">
      <c r="A4" s="1563" t="inlineStr">
        <is>
          <t>会计期间：202X年度</t>
        </is>
      </c>
      <c r="H4" s="1563" t="inlineStr">
        <is>
          <t>复核人：</t>
        </is>
      </c>
      <c r="N4" s="1563" t="inlineStr">
        <is>
          <t>复核日期：</t>
        </is>
      </c>
      <c r="O4" s="1564" t="n"/>
      <c r="W4" s="1565" t="inlineStr">
        <is>
          <t>页次：</t>
        </is>
      </c>
    </row>
    <row r="5" customFormat="1" s="418">
      <c r="A5" s="415" t="inlineStr">
        <is>
          <t>一、审计目标</t>
        </is>
      </c>
      <c r="C5" s="415" t="n"/>
      <c r="G5" s="417" t="n"/>
    </row>
    <row r="6" customFormat="1" s="418">
      <c r="A6" s="416" t="inlineStr">
        <is>
          <t>1.利润表中记录的营业收入已发生，且与被审计单位有关；2.所有应当记录的营业收入均已记录；</t>
        </is>
      </c>
      <c r="B6" s="416" t="n"/>
      <c r="C6" s="415" t="n"/>
      <c r="G6" s="417" t="n"/>
    </row>
    <row r="7" customFormat="1" s="418">
      <c r="A7" s="416" t="inlineStr">
        <is>
          <t>3.与营业收入有关的金额及其他数据已恰当记录，相关披露已得到恰当计量和描述。</t>
        </is>
      </c>
      <c r="B7" s="416" t="n"/>
      <c r="C7" s="415" t="n"/>
      <c r="G7" s="417" t="n"/>
    </row>
    <row r="8" customFormat="1" s="418">
      <c r="A8" s="421" t="inlineStr">
        <is>
          <t>二、审计过程</t>
        </is>
      </c>
      <c r="B8" s="420" t="n"/>
      <c r="C8" s="421" t="n"/>
      <c r="G8" s="417" t="n"/>
    </row>
    <row r="9" customFormat="1" s="418">
      <c r="A9" s="886" t="inlineStr">
        <is>
          <t>1.……</t>
        </is>
      </c>
      <c r="B9" s="887" t="n"/>
      <c r="C9" s="887" t="n"/>
      <c r="G9" s="417" t="n"/>
    </row>
    <row r="10" customFormat="1" s="418">
      <c r="A10" s="887" t="n"/>
      <c r="B10" s="887" t="n"/>
      <c r="C10" s="887" t="n"/>
      <c r="G10" s="417" t="n"/>
    </row>
    <row r="11" customFormat="1" s="418">
      <c r="G11" s="417" t="n"/>
    </row>
    <row r="12" customFormat="1" s="418">
      <c r="A12" s="888" t="inlineStr">
        <is>
          <t xml:space="preserve">产品A： </t>
        </is>
      </c>
      <c r="B12" s="888" t="n"/>
      <c r="C12" s="888" t="n"/>
      <c r="G12" s="417" t="n"/>
    </row>
    <row r="13" s="1296">
      <c r="A13" s="1568" t="inlineStr">
        <is>
          <t>月份</t>
        </is>
      </c>
      <c r="B13" s="1568" t="inlineStr">
        <is>
          <t>本期数</t>
        </is>
      </c>
      <c r="C13" s="1327" t="n"/>
      <c r="D13" s="1327" t="n"/>
      <c r="E13" s="1327" t="n"/>
      <c r="F13" s="1327" t="n"/>
      <c r="G13" s="1327" t="n"/>
      <c r="H13" s="1327" t="n"/>
      <c r="I13" s="1328" t="n"/>
      <c r="J13" s="1568" t="inlineStr">
        <is>
          <t>上期数</t>
        </is>
      </c>
      <c r="K13" s="1327" t="n"/>
      <c r="L13" s="1327" t="n"/>
      <c r="M13" s="1327" t="n"/>
      <c r="N13" s="1327" t="n"/>
      <c r="O13" s="1327" t="n"/>
      <c r="P13" s="1327" t="n"/>
      <c r="Q13" s="1328" t="n"/>
      <c r="R13" s="1568" t="inlineStr">
        <is>
          <t>本期比上期增减变动分析</t>
        </is>
      </c>
      <c r="S13" s="1327" t="n"/>
      <c r="T13" s="1327" t="n"/>
      <c r="U13" s="1327" t="n"/>
      <c r="V13" s="1327" t="n"/>
      <c r="W13" s="1328" t="n"/>
      <c r="X13" s="1588" t="inlineStr">
        <is>
          <t>备注</t>
        </is>
      </c>
    </row>
    <row r="14" s="1296">
      <c r="A14" s="1589" t="n"/>
      <c r="B14" s="1569" t="inlineStr">
        <is>
          <t>营业收入</t>
        </is>
      </c>
      <c r="C14" s="1327" t="n"/>
      <c r="D14" s="1328" t="n"/>
      <c r="E14" s="1569" t="inlineStr">
        <is>
          <t>营业成本</t>
        </is>
      </c>
      <c r="F14" s="1327" t="n"/>
      <c r="G14" s="1328" t="n"/>
      <c r="H14" s="1590" t="inlineStr">
        <is>
          <t>毛利</t>
        </is>
      </c>
      <c r="I14" s="1590" t="inlineStr">
        <is>
          <t>毛利率</t>
        </is>
      </c>
      <c r="J14" s="1569" t="inlineStr">
        <is>
          <t>营业收入</t>
        </is>
      </c>
      <c r="K14" s="1327" t="n"/>
      <c r="L14" s="1328" t="n"/>
      <c r="M14" s="1569" t="inlineStr">
        <is>
          <t>营业成本</t>
        </is>
      </c>
      <c r="N14" s="1327" t="n"/>
      <c r="O14" s="1328" t="n"/>
      <c r="P14" s="1590" t="inlineStr">
        <is>
          <t>毛利</t>
        </is>
      </c>
      <c r="Q14" s="1590" t="inlineStr">
        <is>
          <t>毛利率</t>
        </is>
      </c>
      <c r="R14" s="932" t="inlineStr">
        <is>
          <t>平均单价</t>
        </is>
      </c>
      <c r="S14" s="44" t="inlineStr">
        <is>
          <t>单位成本</t>
        </is>
      </c>
      <c r="T14" s="44" t="inlineStr">
        <is>
          <t>主营业务收入</t>
        </is>
      </c>
      <c r="U14" s="44" t="inlineStr">
        <is>
          <t>主营业务成本</t>
        </is>
      </c>
      <c r="V14" s="31" t="inlineStr">
        <is>
          <t>毛利</t>
        </is>
      </c>
      <c r="W14" s="44" t="inlineStr">
        <is>
          <t>毛利率</t>
        </is>
      </c>
      <c r="X14" s="1589" t="n"/>
    </row>
    <row r="15" ht="36" customHeight="1" s="1296">
      <c r="A15" s="1335" t="n"/>
      <c r="B15" s="1569" t="inlineStr">
        <is>
          <t>销量</t>
        </is>
      </c>
      <c r="C15" s="1590" t="inlineStr">
        <is>
          <t>平均单价</t>
        </is>
      </c>
      <c r="D15" s="1590" t="inlineStr">
        <is>
          <t>金额</t>
        </is>
      </c>
      <c r="E15" s="1569" t="inlineStr">
        <is>
          <t>销量</t>
        </is>
      </c>
      <c r="F15" s="1590" t="inlineStr">
        <is>
          <t>平均单位成本</t>
        </is>
      </c>
      <c r="G15" s="1590" t="inlineStr">
        <is>
          <t>金额</t>
        </is>
      </c>
      <c r="H15" s="1579" t="n"/>
      <c r="I15" s="1579" t="n"/>
      <c r="J15" s="1569" t="inlineStr">
        <is>
          <t>销量</t>
        </is>
      </c>
      <c r="K15" s="1590" t="inlineStr">
        <is>
          <t>平均单价</t>
        </is>
      </c>
      <c r="L15" s="1590" t="inlineStr">
        <is>
          <t>金额</t>
        </is>
      </c>
      <c r="M15" s="1569" t="inlineStr">
        <is>
          <t>销量</t>
        </is>
      </c>
      <c r="N15" s="1590" t="inlineStr">
        <is>
          <t>平均单位成本</t>
        </is>
      </c>
      <c r="O15" s="1590" t="inlineStr">
        <is>
          <t>金额</t>
        </is>
      </c>
      <c r="P15" s="1579" t="n"/>
      <c r="Q15" s="1579" t="n"/>
      <c r="R15" s="1579" t="n"/>
      <c r="S15" s="1579" t="n"/>
      <c r="T15" s="1579" t="n"/>
      <c r="U15" s="1579" t="n"/>
      <c r="V15" s="1579" t="n"/>
      <c r="W15" s="1579" t="n"/>
      <c r="X15" s="1335" t="n"/>
    </row>
    <row r="16" s="1296">
      <c r="A16" s="906" t="n">
        <v>1</v>
      </c>
      <c r="B16" s="1591" t="n"/>
      <c r="C16" s="1591" t="n"/>
      <c r="D16" s="1592" t="n"/>
      <c r="E16" s="1591" t="n"/>
      <c r="F16" s="1591" t="n"/>
      <c r="G16" s="1592" t="n"/>
      <c r="H16" s="1593">
        <f>D16-G16</f>
        <v/>
      </c>
      <c r="I16" s="910">
        <f>IF(D16=0,0,H16/D16)</f>
        <v/>
      </c>
      <c r="J16" s="1591" t="n"/>
      <c r="K16" s="1591" t="n"/>
      <c r="L16" s="1592" t="n"/>
      <c r="M16" s="1591" t="n"/>
      <c r="N16" s="1591" t="n"/>
      <c r="O16" s="1592" t="n"/>
      <c r="P16" s="1593">
        <f>L16-O16</f>
        <v/>
      </c>
      <c r="Q16" s="910">
        <f>IF(L16=0,0,P16/L16)</f>
        <v/>
      </c>
      <c r="R16" s="911">
        <f>(C16-K16)/K16</f>
        <v/>
      </c>
      <c r="S16" s="911">
        <f>(F16-N16)/N16</f>
        <v/>
      </c>
      <c r="T16" s="912">
        <f>(D16-L16)/L16</f>
        <v/>
      </c>
      <c r="U16" s="912">
        <f>(G16-O16)/O16</f>
        <v/>
      </c>
      <c r="V16" s="912">
        <f>(H16-P16)/P16</f>
        <v/>
      </c>
      <c r="W16" s="913">
        <f>I16-Q16</f>
        <v/>
      </c>
      <c r="X16" s="914" t="n"/>
    </row>
    <row r="17" s="1296">
      <c r="A17" s="906" t="n">
        <v>2</v>
      </c>
      <c r="B17" s="1591" t="n"/>
      <c r="C17" s="1591" t="n"/>
      <c r="D17" s="1592" t="n"/>
      <c r="E17" s="1591" t="n"/>
      <c r="F17" s="1592" t="n"/>
      <c r="G17" s="1592" t="n"/>
      <c r="H17" s="1593">
        <f>D17-G17</f>
        <v/>
      </c>
      <c r="I17" s="910">
        <f>IF(D17=0,0,H17/D17)</f>
        <v/>
      </c>
      <c r="J17" s="1591" t="n"/>
      <c r="K17" s="1591" t="n"/>
      <c r="L17" s="1592" t="n"/>
      <c r="M17" s="1591" t="n"/>
      <c r="N17" s="1592" t="n"/>
      <c r="O17" s="1592" t="n"/>
      <c r="P17" s="1593">
        <f>L17-O17</f>
        <v/>
      </c>
      <c r="Q17" s="910">
        <f>IF(L17=0,0,P17/L17)</f>
        <v/>
      </c>
      <c r="R17" s="911">
        <f>(C17-K17)/K17</f>
        <v/>
      </c>
      <c r="S17" s="911">
        <f>(F17-N17)/N17</f>
        <v/>
      </c>
      <c r="T17" s="912">
        <f>(D17-L17)/L17</f>
        <v/>
      </c>
      <c r="U17" s="912">
        <f>(G17-O17)/O17</f>
        <v/>
      </c>
      <c r="V17" s="912">
        <f>(H17-P17)/P17</f>
        <v/>
      </c>
      <c r="W17" s="913">
        <f>I17-Q17</f>
        <v/>
      </c>
      <c r="X17" s="914" t="n"/>
    </row>
    <row r="18" s="1296">
      <c r="A18" s="906" t="n">
        <v>3</v>
      </c>
      <c r="B18" s="1591" t="n"/>
      <c r="C18" s="1591" t="n"/>
      <c r="D18" s="1592" t="n"/>
      <c r="E18" s="1591" t="n"/>
      <c r="F18" s="1592" t="n"/>
      <c r="G18" s="1592" t="n"/>
      <c r="H18" s="1593">
        <f>D18-G18</f>
        <v/>
      </c>
      <c r="I18" s="910">
        <f>IF(D18=0,0,H18/D18)</f>
        <v/>
      </c>
      <c r="J18" s="1591" t="n"/>
      <c r="K18" s="1591" t="n"/>
      <c r="L18" s="1592" t="n"/>
      <c r="M18" s="1591" t="n"/>
      <c r="N18" s="1592" t="n"/>
      <c r="O18" s="1592" t="n"/>
      <c r="P18" s="1593">
        <f>L18-O18</f>
        <v/>
      </c>
      <c r="Q18" s="910">
        <f>IF(L18=0,0,P18/L18)</f>
        <v/>
      </c>
      <c r="R18" s="911">
        <f>(C18-K18)/K18</f>
        <v/>
      </c>
      <c r="S18" s="911">
        <f>(F18-N18)/N18</f>
        <v/>
      </c>
      <c r="T18" s="912">
        <f>(D18-L18)/L18</f>
        <v/>
      </c>
      <c r="U18" s="912">
        <f>(G18-O18)/O18</f>
        <v/>
      </c>
      <c r="V18" s="912">
        <f>(H18-P18)/P18</f>
        <v/>
      </c>
      <c r="W18" s="913">
        <f>I18-Q18</f>
        <v/>
      </c>
      <c r="X18" s="914" t="n"/>
    </row>
    <row r="19" s="1296">
      <c r="A19" s="906" t="n">
        <v>4</v>
      </c>
      <c r="B19" s="1591" t="n"/>
      <c r="C19" s="1591" t="n"/>
      <c r="D19" s="1592" t="n"/>
      <c r="E19" s="1591" t="n"/>
      <c r="F19" s="1592" t="n"/>
      <c r="G19" s="1592" t="n"/>
      <c r="H19" s="1593">
        <f>D19-G19</f>
        <v/>
      </c>
      <c r="I19" s="910">
        <f>IF(D19=0,0,H19/D19)</f>
        <v/>
      </c>
      <c r="J19" s="1591" t="n"/>
      <c r="K19" s="1591" t="n"/>
      <c r="L19" s="1592" t="n"/>
      <c r="M19" s="1591" t="n"/>
      <c r="N19" s="1592" t="n"/>
      <c r="O19" s="1592" t="n"/>
      <c r="P19" s="1593">
        <f>L19-O19</f>
        <v/>
      </c>
      <c r="Q19" s="910">
        <f>IF(L19=0,0,P19/L19)</f>
        <v/>
      </c>
      <c r="R19" s="911">
        <f>(C19-K19)/K19</f>
        <v/>
      </c>
      <c r="S19" s="911">
        <f>(F19-N19)/N19</f>
        <v/>
      </c>
      <c r="T19" s="912">
        <f>(D19-L19)/L19</f>
        <v/>
      </c>
      <c r="U19" s="912">
        <f>(G19-O19)/O19</f>
        <v/>
      </c>
      <c r="V19" s="912">
        <f>(H19-P19)/P19</f>
        <v/>
      </c>
      <c r="W19" s="913">
        <f>I19-Q19</f>
        <v/>
      </c>
      <c r="X19" s="914" t="n"/>
    </row>
    <row r="20" s="1296">
      <c r="A20" s="906" t="n">
        <v>5</v>
      </c>
      <c r="B20" s="1591" t="n"/>
      <c r="C20" s="1591" t="n"/>
      <c r="D20" s="1592" t="n"/>
      <c r="E20" s="1591" t="n"/>
      <c r="F20" s="1592" t="n"/>
      <c r="G20" s="1592" t="n"/>
      <c r="H20" s="1593">
        <f>D20-G20</f>
        <v/>
      </c>
      <c r="I20" s="910">
        <f>IF(D20=0,0,H20/D20)</f>
        <v/>
      </c>
      <c r="J20" s="1591" t="n"/>
      <c r="K20" s="1591" t="n"/>
      <c r="L20" s="1592" t="n"/>
      <c r="M20" s="1591" t="n"/>
      <c r="N20" s="1592" t="n"/>
      <c r="O20" s="1592" t="n"/>
      <c r="P20" s="1593">
        <f>L20-O20</f>
        <v/>
      </c>
      <c r="Q20" s="910">
        <f>IF(L20=0,0,P20/L20)</f>
        <v/>
      </c>
      <c r="R20" s="911">
        <f>(C20-K20)/K20</f>
        <v/>
      </c>
      <c r="S20" s="911">
        <f>(F20-N20)/N20</f>
        <v/>
      </c>
      <c r="T20" s="912">
        <f>(D20-L20)/L20</f>
        <v/>
      </c>
      <c r="U20" s="912">
        <f>(G20-O20)/O20</f>
        <v/>
      </c>
      <c r="V20" s="912">
        <f>(H20-P20)/P20</f>
        <v/>
      </c>
      <c r="W20" s="913">
        <f>I20-Q20</f>
        <v/>
      </c>
      <c r="X20" s="914" t="n"/>
    </row>
    <row r="21" s="1296">
      <c r="A21" s="906" t="n">
        <v>6</v>
      </c>
      <c r="B21" s="1591" t="n"/>
      <c r="C21" s="1591" t="n"/>
      <c r="D21" s="1592" t="n"/>
      <c r="E21" s="1591" t="n"/>
      <c r="F21" s="1592" t="n"/>
      <c r="G21" s="1592" t="n"/>
      <c r="H21" s="1593">
        <f>D21-G21</f>
        <v/>
      </c>
      <c r="I21" s="910">
        <f>IF(D21=0,0,H21/D21)</f>
        <v/>
      </c>
      <c r="J21" s="1591" t="n"/>
      <c r="K21" s="1591" t="n"/>
      <c r="L21" s="1592" t="n"/>
      <c r="M21" s="1591" t="n"/>
      <c r="N21" s="1592" t="n"/>
      <c r="O21" s="1592" t="n"/>
      <c r="P21" s="1593">
        <f>L21-O21</f>
        <v/>
      </c>
      <c r="Q21" s="910">
        <f>IF(L21=0,0,P21/L21)</f>
        <v/>
      </c>
      <c r="R21" s="911">
        <f>(C21-K21)/K21</f>
        <v/>
      </c>
      <c r="S21" s="911">
        <f>(F21-N21)/N21</f>
        <v/>
      </c>
      <c r="T21" s="912">
        <f>(D21-L21)/L21</f>
        <v/>
      </c>
      <c r="U21" s="912">
        <f>(G21-O21)/O21</f>
        <v/>
      </c>
      <c r="V21" s="912">
        <f>(H21-P21)/P21</f>
        <v/>
      </c>
      <c r="W21" s="913">
        <f>I21-Q21</f>
        <v/>
      </c>
      <c r="X21" s="914" t="n"/>
    </row>
    <row r="22" s="1296">
      <c r="A22" s="906" t="n">
        <v>7</v>
      </c>
      <c r="B22" s="1591" t="n"/>
      <c r="C22" s="1591" t="n"/>
      <c r="D22" s="1592" t="n"/>
      <c r="E22" s="1591" t="n"/>
      <c r="F22" s="1592" t="n"/>
      <c r="G22" s="1592" t="n"/>
      <c r="H22" s="1593">
        <f>D22-G22</f>
        <v/>
      </c>
      <c r="I22" s="910">
        <f>IF(D22=0,0,H22/D22)</f>
        <v/>
      </c>
      <c r="J22" s="1591" t="n"/>
      <c r="K22" s="1591" t="n"/>
      <c r="L22" s="1592" t="n"/>
      <c r="M22" s="1591" t="n"/>
      <c r="N22" s="1592" t="n"/>
      <c r="O22" s="1592" t="n"/>
      <c r="P22" s="1593">
        <f>L22-O22</f>
        <v/>
      </c>
      <c r="Q22" s="910">
        <f>IF(L22=0,0,P22/L22)</f>
        <v/>
      </c>
      <c r="R22" s="911">
        <f>(C22-K22)/K22</f>
        <v/>
      </c>
      <c r="S22" s="911">
        <f>(F22-N22)/N22</f>
        <v/>
      </c>
      <c r="T22" s="912">
        <f>(D22-L22)/L22</f>
        <v/>
      </c>
      <c r="U22" s="912">
        <f>(G22-O22)/O22</f>
        <v/>
      </c>
      <c r="V22" s="912">
        <f>(H22-P22)/P22</f>
        <v/>
      </c>
      <c r="W22" s="913">
        <f>I22-Q22</f>
        <v/>
      </c>
      <c r="X22" s="914" t="n"/>
    </row>
    <row r="23" s="1296">
      <c r="A23" s="906" t="n">
        <v>8</v>
      </c>
      <c r="B23" s="1591" t="n"/>
      <c r="C23" s="1591" t="n"/>
      <c r="D23" s="1592" t="n"/>
      <c r="E23" s="1591" t="n"/>
      <c r="F23" s="1592" t="n"/>
      <c r="G23" s="1592" t="n"/>
      <c r="H23" s="1593">
        <f>D23-G23</f>
        <v/>
      </c>
      <c r="I23" s="910">
        <f>IF(D23=0,0,H23/D23)</f>
        <v/>
      </c>
      <c r="J23" s="1591" t="n"/>
      <c r="K23" s="1591" t="n"/>
      <c r="L23" s="1592" t="n"/>
      <c r="M23" s="1591" t="n"/>
      <c r="N23" s="1592" t="n"/>
      <c r="O23" s="1592" t="n"/>
      <c r="P23" s="1593">
        <f>L23-O23</f>
        <v/>
      </c>
      <c r="Q23" s="910">
        <f>IF(L23=0,0,P23/L23)</f>
        <v/>
      </c>
      <c r="R23" s="911">
        <f>(C23-K23)/K23</f>
        <v/>
      </c>
      <c r="S23" s="911">
        <f>(F23-N23)/N23</f>
        <v/>
      </c>
      <c r="T23" s="912">
        <f>(D23-L23)/L23</f>
        <v/>
      </c>
      <c r="U23" s="912">
        <f>(G23-O23)/O23</f>
        <v/>
      </c>
      <c r="V23" s="912">
        <f>(H23-P23)/P23</f>
        <v/>
      </c>
      <c r="W23" s="913">
        <f>I23-Q23</f>
        <v/>
      </c>
      <c r="X23" s="914" t="n"/>
    </row>
    <row r="24" s="1296">
      <c r="A24" s="906" t="n">
        <v>9</v>
      </c>
      <c r="B24" s="1591" t="n"/>
      <c r="C24" s="1591" t="n"/>
      <c r="D24" s="1592" t="n"/>
      <c r="E24" s="1591" t="n"/>
      <c r="F24" s="1592" t="n"/>
      <c r="G24" s="1592" t="n"/>
      <c r="H24" s="1593">
        <f>D24-G24</f>
        <v/>
      </c>
      <c r="I24" s="910">
        <f>IF(D24=0,0,H24/D24)</f>
        <v/>
      </c>
      <c r="J24" s="1591" t="n"/>
      <c r="K24" s="1591" t="n"/>
      <c r="L24" s="1592" t="n"/>
      <c r="M24" s="1591" t="n"/>
      <c r="N24" s="1592" t="n"/>
      <c r="O24" s="1592" t="n"/>
      <c r="P24" s="1593">
        <f>L24-O24</f>
        <v/>
      </c>
      <c r="Q24" s="910">
        <f>IF(L24=0,0,P24/L24)</f>
        <v/>
      </c>
      <c r="R24" s="911">
        <f>(C24-K24)/K24</f>
        <v/>
      </c>
      <c r="S24" s="911">
        <f>(F24-N24)/N24</f>
        <v/>
      </c>
      <c r="T24" s="912">
        <f>(D24-L24)/L24</f>
        <v/>
      </c>
      <c r="U24" s="912">
        <f>(G24-O24)/O24</f>
        <v/>
      </c>
      <c r="V24" s="912">
        <f>(H24-P24)/P24</f>
        <v/>
      </c>
      <c r="W24" s="913">
        <f>I24-Q24</f>
        <v/>
      </c>
      <c r="X24" s="914" t="n"/>
    </row>
    <row r="25" s="1296">
      <c r="A25" s="906" t="n">
        <v>10</v>
      </c>
      <c r="B25" s="1591" t="n"/>
      <c r="C25" s="1591" t="n"/>
      <c r="D25" s="1592" t="n"/>
      <c r="E25" s="1591" t="n"/>
      <c r="F25" s="1592" t="n"/>
      <c r="G25" s="1592" t="n"/>
      <c r="H25" s="1593">
        <f>D25-G25</f>
        <v/>
      </c>
      <c r="I25" s="910">
        <f>IF(D25=0,0,H25/D25)</f>
        <v/>
      </c>
      <c r="J25" s="1591" t="n"/>
      <c r="K25" s="1591" t="n"/>
      <c r="L25" s="1592" t="n"/>
      <c r="M25" s="1591" t="n"/>
      <c r="N25" s="1592" t="n"/>
      <c r="O25" s="1592" t="n"/>
      <c r="P25" s="1593">
        <f>L25-O25</f>
        <v/>
      </c>
      <c r="Q25" s="910">
        <f>IF(L25=0,0,P25/L25)</f>
        <v/>
      </c>
      <c r="R25" s="911">
        <f>(C25-K25)/K25</f>
        <v/>
      </c>
      <c r="S25" s="911">
        <f>(F25-N25)/N25</f>
        <v/>
      </c>
      <c r="T25" s="912">
        <f>(D25-L25)/L25</f>
        <v/>
      </c>
      <c r="U25" s="912">
        <f>(G25-O25)/O25</f>
        <v/>
      </c>
      <c r="V25" s="912">
        <f>(H25-P25)/P25</f>
        <v/>
      </c>
      <c r="W25" s="913">
        <f>I25-Q25</f>
        <v/>
      </c>
      <c r="X25" s="914" t="n"/>
    </row>
    <row r="26" s="1296">
      <c r="A26" s="906" t="n">
        <v>11</v>
      </c>
      <c r="B26" s="1591" t="n"/>
      <c r="C26" s="1591" t="n"/>
      <c r="D26" s="1592" t="n"/>
      <c r="E26" s="1591" t="n"/>
      <c r="F26" s="1592" t="n"/>
      <c r="G26" s="1592" t="n"/>
      <c r="H26" s="1593">
        <f>D26-G26</f>
        <v/>
      </c>
      <c r="I26" s="910">
        <f>IF(D26=0,0,H26/D26)</f>
        <v/>
      </c>
      <c r="J26" s="1591" t="n"/>
      <c r="K26" s="1591" t="n"/>
      <c r="L26" s="1592" t="n"/>
      <c r="M26" s="1591" t="n"/>
      <c r="N26" s="1592" t="n"/>
      <c r="O26" s="1592" t="n"/>
      <c r="P26" s="1593">
        <f>L26-O26</f>
        <v/>
      </c>
      <c r="Q26" s="910">
        <f>IF(L26=0,0,P26/L26)</f>
        <v/>
      </c>
      <c r="R26" s="911">
        <f>(C26-K26)/K26</f>
        <v/>
      </c>
      <c r="S26" s="911">
        <f>(F26-N26)/N26</f>
        <v/>
      </c>
      <c r="T26" s="912">
        <f>(D26-L26)/L26</f>
        <v/>
      </c>
      <c r="U26" s="912">
        <f>(G26-O26)/O26</f>
        <v/>
      </c>
      <c r="V26" s="912">
        <f>(H26-P26)/P26</f>
        <v/>
      </c>
      <c r="W26" s="913">
        <f>I26-Q26</f>
        <v/>
      </c>
      <c r="X26" s="914" t="n"/>
    </row>
    <row r="27" s="1296">
      <c r="A27" s="906" t="n">
        <v>12</v>
      </c>
      <c r="B27" s="1591" t="n"/>
      <c r="C27" s="1591" t="n"/>
      <c r="D27" s="1592" t="n"/>
      <c r="E27" s="1591" t="n"/>
      <c r="F27" s="1592" t="n"/>
      <c r="G27" s="1592" t="n"/>
      <c r="H27" s="1593">
        <f>D27-G27</f>
        <v/>
      </c>
      <c r="I27" s="910">
        <f>IF(D27=0,0,H27/D27)</f>
        <v/>
      </c>
      <c r="J27" s="1591" t="n"/>
      <c r="K27" s="1591" t="n"/>
      <c r="L27" s="1592" t="n"/>
      <c r="M27" s="1591" t="n"/>
      <c r="N27" s="1592" t="n"/>
      <c r="O27" s="1592" t="n"/>
      <c r="P27" s="1593">
        <f>L27-O27</f>
        <v/>
      </c>
      <c r="Q27" s="910">
        <f>IF(L27=0,0,P27/L27)</f>
        <v/>
      </c>
      <c r="R27" s="911">
        <f>(C27-K27)/K27</f>
        <v/>
      </c>
      <c r="S27" s="911">
        <f>(F27-N27)/N27</f>
        <v/>
      </c>
      <c r="T27" s="912">
        <f>(D27-L27)/L27</f>
        <v/>
      </c>
      <c r="U27" s="912">
        <f>(G27-O27)/O27</f>
        <v/>
      </c>
      <c r="V27" s="912">
        <f>(H27-P27)/P27</f>
        <v/>
      </c>
      <c r="W27" s="913">
        <f>I27-Q27</f>
        <v/>
      </c>
      <c r="X27" s="915" t="n"/>
    </row>
    <row r="28" s="1296">
      <c r="A28" s="1590" t="inlineStr">
        <is>
          <t>合计</t>
        </is>
      </c>
      <c r="B28" s="1594">
        <f>SUM(B16:B27)</f>
        <v/>
      </c>
      <c r="C28" s="1594">
        <f>IF(B28&lt;&gt;0,D28/B28,0)</f>
        <v/>
      </c>
      <c r="D28" s="1594">
        <f>SUM(D16:D27)</f>
        <v/>
      </c>
      <c r="E28" s="1594">
        <f>SUM(E16:E27)</f>
        <v/>
      </c>
      <c r="F28" s="1594">
        <f>IF(E28&lt;&gt;0,G28/E28,0)</f>
        <v/>
      </c>
      <c r="G28" s="1594">
        <f>SUM(G16:G27)</f>
        <v/>
      </c>
      <c r="H28" s="1594">
        <f>SUM(H16:H27)</f>
        <v/>
      </c>
      <c r="I28" s="917">
        <f>IF(D28=0,0,H28/D28)</f>
        <v/>
      </c>
      <c r="J28" s="1594">
        <f>SUM(J16:J27)</f>
        <v/>
      </c>
      <c r="K28" s="1594">
        <f>IF(J28&lt;&gt;0,L28/J28,0)</f>
        <v/>
      </c>
      <c r="L28" s="1594">
        <f>SUM(L16:L27)</f>
        <v/>
      </c>
      <c r="M28" s="1594">
        <f>SUM(M16:M27)</f>
        <v/>
      </c>
      <c r="N28" s="1594">
        <f>IF(M28&lt;&gt;0,O28/M28,0)</f>
        <v/>
      </c>
      <c r="O28" s="1594">
        <f>SUM(O16:O27)</f>
        <v/>
      </c>
      <c r="P28" s="1594">
        <f>SUM(P16:P27)</f>
        <v/>
      </c>
      <c r="Q28" s="917">
        <f>IF(L28=0,0,P28/L28)</f>
        <v/>
      </c>
      <c r="R28" s="911">
        <f>(C28-K28)/K28</f>
        <v/>
      </c>
      <c r="S28" s="911">
        <f>(F28-N28)/N28</f>
        <v/>
      </c>
      <c r="T28" s="912">
        <f>(D28-L28)/L28</f>
        <v/>
      </c>
      <c r="U28" s="912">
        <f>(G28-O28)/O28</f>
        <v/>
      </c>
      <c r="V28" s="912">
        <f>(H28-P28)/P28</f>
        <v/>
      </c>
      <c r="W28" s="913">
        <f>I28-Q28</f>
        <v/>
      </c>
      <c r="X28" s="936" t="n"/>
    </row>
    <row r="29" ht="27" customHeight="1" s="1296">
      <c r="A29" s="1595" t="inlineStr">
        <is>
          <t>同行业A企业</t>
        </is>
      </c>
      <c r="B29" s="1596" t="n"/>
      <c r="C29" s="1596" t="n"/>
      <c r="D29" s="1597" t="n"/>
      <c r="E29" s="1597" t="n"/>
      <c r="F29" s="1597" t="n"/>
      <c r="G29" s="1597" t="n"/>
      <c r="H29" s="1593">
        <f>D29-G29</f>
        <v/>
      </c>
      <c r="I29" s="910">
        <f>IF(D29=0,0,H29/D29)</f>
        <v/>
      </c>
      <c r="J29" s="1596" t="n"/>
      <c r="K29" s="1596" t="n"/>
      <c r="L29" s="1597" t="n"/>
      <c r="M29" s="1597" t="n"/>
      <c r="N29" s="1597" t="n"/>
      <c r="O29" s="1597" t="n"/>
      <c r="P29" s="1593">
        <f>L29-O29</f>
        <v/>
      </c>
      <c r="Q29" s="910">
        <f>IF(L29=0,0,P29/L29)</f>
        <v/>
      </c>
      <c r="R29" s="911">
        <f>(C29-K29)/K29</f>
        <v/>
      </c>
      <c r="S29" s="911">
        <f>(F29-N29)/N29</f>
        <v/>
      </c>
      <c r="T29" s="912">
        <f>(D29-L29)/L29</f>
        <v/>
      </c>
      <c r="U29" s="912">
        <f>(G29-O29)/O29</f>
        <v/>
      </c>
      <c r="V29" s="912">
        <f>(H29-P29)/P29</f>
        <v/>
      </c>
      <c r="W29" s="913">
        <f>I29-Q29</f>
        <v/>
      </c>
      <c r="X29" s="936" t="n"/>
    </row>
    <row r="30" ht="28.5" customHeight="1" s="1296">
      <c r="A30" s="1595" t="inlineStr">
        <is>
          <t>同行业B企业</t>
        </is>
      </c>
      <c r="B30" s="1596" t="n"/>
      <c r="C30" s="1596" t="n"/>
      <c r="D30" s="1597" t="n"/>
      <c r="E30" s="1597" t="n"/>
      <c r="F30" s="1597" t="n"/>
      <c r="G30" s="1597" t="n"/>
      <c r="H30" s="1593">
        <f>D30-G30</f>
        <v/>
      </c>
      <c r="I30" s="910">
        <f>IF(D30=0,0,H30/D30)</f>
        <v/>
      </c>
      <c r="J30" s="1596" t="n"/>
      <c r="K30" s="1596" t="n"/>
      <c r="L30" s="1597" t="n"/>
      <c r="M30" s="1597" t="n"/>
      <c r="N30" s="1597" t="n"/>
      <c r="O30" s="1597" t="n"/>
      <c r="P30" s="1593">
        <f>L30-O30</f>
        <v/>
      </c>
      <c r="Q30" s="910">
        <f>IF(L30=0,0,P30/L30)</f>
        <v/>
      </c>
      <c r="R30" s="911">
        <f>(C30-K30)/K30</f>
        <v/>
      </c>
      <c r="S30" s="911">
        <f>(F30-N30)/N30</f>
        <v/>
      </c>
      <c r="T30" s="912">
        <f>(D30-L30)/L30</f>
        <v/>
      </c>
      <c r="U30" s="912">
        <f>(G30-O30)/O30</f>
        <v/>
      </c>
      <c r="V30" s="912">
        <f>(H30-P30)/P30</f>
        <v/>
      </c>
      <c r="W30" s="913">
        <f>I30-Q30</f>
        <v/>
      </c>
      <c r="X30" s="936" t="n"/>
    </row>
    <row r="31" s="1296">
      <c r="A31" s="1595" t="inlineStr">
        <is>
          <t>行业平均水平</t>
        </is>
      </c>
      <c r="B31" s="1598" t="n"/>
      <c r="C31" s="1598" t="n"/>
      <c r="D31" s="1597" t="n"/>
      <c r="E31" s="1597" t="n"/>
      <c r="F31" s="1597" t="n"/>
      <c r="G31" s="1597" t="n"/>
      <c r="H31" s="1593">
        <f>D31-G31</f>
        <v/>
      </c>
      <c r="I31" s="910">
        <f>IF(D31=0,0,H31/D31)</f>
        <v/>
      </c>
      <c r="J31" s="1598" t="n"/>
      <c r="K31" s="1598" t="n"/>
      <c r="L31" s="1597" t="n"/>
      <c r="M31" s="1597" t="n"/>
      <c r="N31" s="1597" t="n"/>
      <c r="O31" s="1597" t="n"/>
      <c r="P31" s="1593">
        <f>L31-O31</f>
        <v/>
      </c>
      <c r="Q31" s="910">
        <f>IF(L31=0,0,P31/L31)</f>
        <v/>
      </c>
      <c r="R31" s="911">
        <f>(C31-K31)/K31</f>
        <v/>
      </c>
      <c r="S31" s="911">
        <f>(F31-N31)/N31</f>
        <v/>
      </c>
      <c r="T31" s="912">
        <f>(D31-L31)/L31</f>
        <v/>
      </c>
      <c r="U31" s="912">
        <f>(G31-O31)/O31</f>
        <v/>
      </c>
      <c r="V31" s="912">
        <f>(H31-P31)/P31</f>
        <v/>
      </c>
      <c r="W31" s="913">
        <f>I31-Q31</f>
        <v/>
      </c>
      <c r="X31" s="936" t="n"/>
    </row>
    <row r="32" customFormat="1" s="418">
      <c r="A32" s="923" t="inlineStr">
        <is>
          <t xml:space="preserve">产品B……（略）： </t>
        </is>
      </c>
      <c r="B32" s="888" t="n"/>
      <c r="C32" s="888" t="n"/>
      <c r="G32" s="417" t="n"/>
    </row>
    <row r="33" customFormat="1" s="418">
      <c r="A33" s="888" t="n"/>
      <c r="B33" s="888" t="n"/>
      <c r="C33" s="888" t="n"/>
      <c r="G33" s="417" t="n"/>
    </row>
    <row r="34" customFormat="1" s="418">
      <c r="A34" s="888" t="n"/>
      <c r="B34" s="888" t="n"/>
      <c r="C34" s="888" t="n"/>
      <c r="G34" s="417" t="n"/>
    </row>
    <row r="35" customFormat="1" s="418">
      <c r="A35" s="888" t="inlineStr">
        <is>
          <t>三、审计说明</t>
        </is>
      </c>
      <c r="B35" s="888" t="n"/>
      <c r="C35" s="888" t="n"/>
    </row>
    <row r="36" customFormat="1" s="418"/>
    <row r="37" customFormat="1" s="418"/>
    <row r="38" customFormat="1" s="418">
      <c r="A38" s="421" t="inlineStr">
        <is>
          <t>四、审计结论</t>
        </is>
      </c>
      <c r="B38" s="888" t="n"/>
      <c r="C38" s="888" t="n"/>
    </row>
    <row r="39" customFormat="1" s="418">
      <c r="A39" s="888" t="n"/>
      <c r="B39" s="888" t="n"/>
      <c r="C39" s="888" t="n"/>
    </row>
    <row r="40" s="1296">
      <c r="A40" s="796" t="n"/>
    </row>
  </sheetData>
  <mergeCells count="21">
    <mergeCell ref="B14:D14"/>
    <mergeCell ref="Q14:Q15"/>
    <mergeCell ref="S14:S15"/>
    <mergeCell ref="T14:T15"/>
    <mergeCell ref="J13:Q13"/>
    <mergeCell ref="A13:A15"/>
    <mergeCell ref="A2:X2"/>
    <mergeCell ref="M14:O14"/>
    <mergeCell ref="B13:I13"/>
    <mergeCell ref="I14:I15"/>
    <mergeCell ref="U14:U15"/>
    <mergeCell ref="W14:W15"/>
    <mergeCell ref="H14:H15"/>
    <mergeCell ref="X13:X15"/>
    <mergeCell ref="J14:L14"/>
    <mergeCell ref="P14:P15"/>
    <mergeCell ref="E14:G14"/>
    <mergeCell ref="R14:R15"/>
    <mergeCell ref="R13:W13"/>
    <mergeCell ref="A1:X1"/>
    <mergeCell ref="V14:V15"/>
  </mergeCells>
  <hyperlinks>
    <hyperlink ref="X3" location="底稿目录!A1" display="='D:\GT_plan\backend\wp_templates\D\[D4-6至D4-11营业收入 - 分析程序（Leap应对措施-分析程序）.xlsx]底稿目录'!F5"/>
  </hyperlinks>
  <pageMargins left="0.708333333333333" right="0.708333333333333" top="0.747916666666667" bottom="0.747916666666667" header="0.314583333333333" footer="0.314583333333333"/>
  <pageSetup orientation="landscape" paperSize="9" scale="60" blackAndWhite="1"/>
  <headerFooter>
    <oddHeader/>
    <oddFooter>&amp;C&amp;P/&amp;N</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S62"/>
  <sheetViews>
    <sheetView view="pageBreakPreview" zoomScaleNormal="100" workbookViewId="0">
      <selection activeCell="A1" sqref="A1:G1"/>
    </sheetView>
  </sheetViews>
  <sheetFormatPr baseColWidth="8" defaultColWidth="9.81818181818182" defaultRowHeight="20.1" customHeight="1"/>
  <cols>
    <col width="9.209090909090911" customWidth="1" style="795" min="1" max="1"/>
    <col width="14.6636363636364" customWidth="1" style="795" min="2" max="2"/>
    <col width="13.0909090909091" customWidth="1" style="795" min="3" max="3"/>
    <col width="12.8454545454545" customWidth="1" style="795" min="4" max="4"/>
    <col width="12.4818181818182" customWidth="1" style="795" min="5" max="5"/>
    <col width="12.8454545454545" customWidth="1" style="795" min="6" max="7"/>
    <col width="9.81818181818182" customWidth="1" style="795" min="8" max="16384"/>
  </cols>
  <sheetData>
    <row r="1" customFormat="1" s="794">
      <c r="A1" s="798" t="inlineStr">
        <is>
          <t>致同会计师事务所</t>
        </is>
      </c>
    </row>
    <row r="2" customFormat="1" s="794">
      <c r="A2" s="799" t="inlineStr">
        <is>
          <t>重要客户结构分析表</t>
        </is>
      </c>
    </row>
    <row r="3" s="1296">
      <c r="A3" s="796" t="inlineStr">
        <is>
          <t>被审计单位名称：</t>
        </is>
      </c>
      <c r="C3" s="796" t="inlineStr">
        <is>
          <t>编制人：</t>
        </is>
      </c>
      <c r="E3" s="796" t="inlineStr">
        <is>
          <t>编制日期：</t>
        </is>
      </c>
      <c r="F3" s="800" t="inlineStr">
        <is>
          <t>索引号：</t>
        </is>
      </c>
      <c r="G3" s="801" t="inlineStr">
        <is>
          <t>D4-9</t>
        </is>
      </c>
    </row>
    <row r="4" s="1296">
      <c r="A4" s="796" t="inlineStr">
        <is>
          <t>会计期间：202X年度</t>
        </is>
      </c>
      <c r="C4" s="796" t="inlineStr">
        <is>
          <t>复核人：</t>
        </is>
      </c>
      <c r="E4" s="796" t="inlineStr">
        <is>
          <t>复核日期：</t>
        </is>
      </c>
      <c r="F4" s="800" t="inlineStr">
        <is>
          <t>页次：</t>
        </is>
      </c>
    </row>
    <row r="5" customFormat="1" s="796">
      <c r="A5" s="802" t="inlineStr">
        <is>
          <t>一、审计目标</t>
        </is>
      </c>
      <c r="B5" s="868" t="n"/>
      <c r="C5" s="868" t="n"/>
      <c r="D5" s="868" t="n"/>
      <c r="E5" s="868" t="n"/>
      <c r="F5" s="868" t="n"/>
      <c r="G5" s="868" t="n"/>
      <c r="H5" s="868" t="n"/>
    </row>
    <row r="6" customFormat="1" s="796">
      <c r="A6" s="796" t="inlineStr">
        <is>
          <t>利润表中记录的营业收入已发生，且与被审计单位有关。</t>
        </is>
      </c>
      <c r="C6" s="868" t="n"/>
      <c r="D6" s="868" t="n"/>
      <c r="E6" s="868" t="n"/>
      <c r="F6" s="868" t="n"/>
      <c r="G6" s="868" t="n"/>
      <c r="H6" s="868" t="n"/>
    </row>
    <row r="7" customFormat="1" s="796">
      <c r="A7" s="802" t="inlineStr">
        <is>
          <t>二、审计过程</t>
        </is>
      </c>
      <c r="B7" s="868" t="n"/>
      <c r="C7" s="868" t="n"/>
      <c r="D7" s="868" t="n"/>
      <c r="E7" s="868" t="n"/>
      <c r="F7" s="868" t="n"/>
      <c r="G7" s="868" t="n"/>
      <c r="H7" s="868" t="n"/>
    </row>
    <row r="8" customFormat="1" s="796">
      <c r="A8" s="804" t="inlineStr">
        <is>
          <t>1.……</t>
        </is>
      </c>
      <c r="B8" s="868" t="n"/>
      <c r="C8" s="868" t="n"/>
      <c r="D8" s="868" t="n"/>
      <c r="E8" s="868" t="n"/>
      <c r="F8" s="868" t="n"/>
      <c r="G8" s="868" t="n"/>
      <c r="H8" s="868" t="n"/>
    </row>
    <row r="9" customFormat="1" s="796">
      <c r="A9" s="804" t="n"/>
      <c r="B9" s="868" t="n"/>
      <c r="C9" s="868" t="n"/>
      <c r="D9" s="868" t="n"/>
      <c r="E9" s="868" t="n"/>
      <c r="F9" s="868" t="n"/>
      <c r="G9" s="868" t="n"/>
      <c r="H9" s="868" t="n"/>
    </row>
    <row r="10" customFormat="1" s="796">
      <c r="A10" s="804" t="n"/>
      <c r="B10" s="868" t="n"/>
      <c r="C10" s="868" t="n"/>
      <c r="D10" s="868" t="n"/>
      <c r="E10" s="868" t="n"/>
      <c r="F10" s="868" t="n"/>
      <c r="G10" s="868" t="n"/>
      <c r="H10" s="868" t="n"/>
    </row>
    <row r="11" customFormat="1" s="796">
      <c r="A11" s="853" t="inlineStr">
        <is>
          <t>本期：</t>
        </is>
      </c>
      <c r="B11" s="868" t="n"/>
      <c r="C11" s="868" t="n"/>
      <c r="D11" s="868" t="n"/>
      <c r="E11" s="868" t="n"/>
      <c r="F11" s="868" t="n"/>
      <c r="G11" s="868" t="n"/>
      <c r="H11" s="868" t="n"/>
    </row>
    <row r="12" customFormat="1" s="796">
      <c r="A12" s="854" t="inlineStr">
        <is>
          <t>序号</t>
        </is>
      </c>
      <c r="B12" s="855" t="inlineStr">
        <is>
          <t>客户名称</t>
        </is>
      </c>
      <c r="C12" s="854" t="inlineStr">
        <is>
          <t>销售金额</t>
        </is>
      </c>
      <c r="D12" s="854" t="inlineStr">
        <is>
          <t>销售金额占比</t>
        </is>
      </c>
      <c r="E12" s="854" t="inlineStr">
        <is>
          <t>销售数量</t>
        </is>
      </c>
      <c r="F12" s="854" t="inlineStr">
        <is>
          <t>销售数量占比</t>
        </is>
      </c>
      <c r="G12" s="854" t="inlineStr">
        <is>
          <t>上期排名</t>
        </is>
      </c>
      <c r="H12" s="868" t="n"/>
    </row>
    <row r="13" customFormat="1" s="796">
      <c r="A13" s="856" t="n">
        <v>1</v>
      </c>
      <c r="B13" s="857" t="n"/>
      <c r="C13" s="1599" t="n"/>
      <c r="D13" s="836">
        <f>IF(C13=0,0,C13/$C$24)</f>
        <v/>
      </c>
      <c r="E13" s="1599" t="n"/>
      <c r="F13" s="836">
        <f>IF(E13=0,0,E13/$E$24)</f>
        <v/>
      </c>
      <c r="G13" s="859" t="n"/>
      <c r="H13" s="868" t="n"/>
    </row>
    <row r="14" customFormat="1" s="796">
      <c r="A14" s="856" t="n">
        <v>2</v>
      </c>
      <c r="B14" s="857" t="n"/>
      <c r="C14" s="1599" t="n"/>
      <c r="D14" s="836">
        <f>IF(C14=0,0,C14/$C$24)</f>
        <v/>
      </c>
      <c r="E14" s="1599" t="n"/>
      <c r="F14" s="836">
        <f>IF(E14=0,0,E14/$E$24)</f>
        <v/>
      </c>
      <c r="G14" s="859" t="n"/>
      <c r="H14" s="868" t="n"/>
    </row>
    <row r="15" customFormat="1" s="796">
      <c r="A15" s="856" t="n">
        <v>3</v>
      </c>
      <c r="B15" s="857" t="n"/>
      <c r="C15" s="1599" t="n"/>
      <c r="D15" s="836">
        <f>IF(C15=0,0,C15/$C$24)</f>
        <v/>
      </c>
      <c r="E15" s="1599" t="n"/>
      <c r="F15" s="836">
        <f>IF(E15=0,0,E15/$E$24)</f>
        <v/>
      </c>
      <c r="G15" s="859" t="n"/>
      <c r="H15" s="868" t="n"/>
    </row>
    <row r="16" customFormat="1" s="796">
      <c r="A16" s="856" t="n">
        <v>4</v>
      </c>
      <c r="B16" s="857" t="n"/>
      <c r="C16" s="1599" t="n"/>
      <c r="D16" s="836">
        <f>IF(C16=0,0,C16/$C$24)</f>
        <v/>
      </c>
      <c r="E16" s="1599" t="n"/>
      <c r="F16" s="836">
        <f>IF(E16=0,0,E16/$E$24)</f>
        <v/>
      </c>
      <c r="G16" s="859" t="n"/>
      <c r="H16" s="868" t="n"/>
    </row>
    <row r="17" customFormat="1" s="796">
      <c r="A17" s="856" t="n">
        <v>5</v>
      </c>
      <c r="B17" s="857" t="n"/>
      <c r="C17" s="1599" t="n"/>
      <c r="D17" s="836">
        <f>IF(C17=0,0,C17/$C$24)</f>
        <v/>
      </c>
      <c r="E17" s="1599" t="n"/>
      <c r="F17" s="836">
        <f>IF(E17=0,0,E17/$E$24)</f>
        <v/>
      </c>
      <c r="G17" s="859" t="n"/>
      <c r="H17" s="868" t="n"/>
    </row>
    <row r="18" customFormat="1" s="796">
      <c r="A18" s="856" t="n">
        <v>6</v>
      </c>
      <c r="B18" s="857" t="n"/>
      <c r="C18" s="1599" t="n"/>
      <c r="D18" s="836">
        <f>IF(C18=0,0,C18/$C$24)</f>
        <v/>
      </c>
      <c r="E18" s="1599" t="n"/>
      <c r="F18" s="836">
        <f>IF(E18=0,0,E18/$E$24)</f>
        <v/>
      </c>
      <c r="G18" s="859" t="n"/>
      <c r="H18" s="868" t="n"/>
    </row>
    <row r="19" customFormat="1" s="796">
      <c r="A19" s="856" t="n">
        <v>7</v>
      </c>
      <c r="B19" s="857" t="n"/>
      <c r="C19" s="1599" t="n"/>
      <c r="D19" s="836">
        <f>IF(C19=0,0,C19/$C$24)</f>
        <v/>
      </c>
      <c r="E19" s="1599" t="n"/>
      <c r="F19" s="836">
        <f>IF(E19=0,0,E19/$E$24)</f>
        <v/>
      </c>
      <c r="G19" s="859" t="n"/>
      <c r="H19" s="868" t="n"/>
    </row>
    <row r="20" customFormat="1" s="796">
      <c r="A20" s="856" t="n">
        <v>8</v>
      </c>
      <c r="B20" s="857" t="n"/>
      <c r="C20" s="1599" t="n"/>
      <c r="D20" s="836">
        <f>IF(C20=0,0,C20/$C$24)</f>
        <v/>
      </c>
      <c r="E20" s="1599" t="n"/>
      <c r="F20" s="836">
        <f>IF(E20=0,0,E20/$E$24)</f>
        <v/>
      </c>
      <c r="G20" s="859" t="n"/>
      <c r="H20" s="868" t="n"/>
    </row>
    <row r="21" customFormat="1" s="796">
      <c r="A21" s="856" t="n">
        <v>9</v>
      </c>
      <c r="B21" s="857" t="n"/>
      <c r="C21" s="1599" t="n"/>
      <c r="D21" s="836">
        <f>IF(C21=0,0,C21/$C$24)</f>
        <v/>
      </c>
      <c r="E21" s="1599" t="n"/>
      <c r="F21" s="836">
        <f>IF(E21=0,0,E21/$E$24)</f>
        <v/>
      </c>
      <c r="G21" s="859" t="n"/>
      <c r="H21" s="868" t="n"/>
    </row>
    <row r="22" customFormat="1" s="796">
      <c r="A22" s="856" t="n">
        <v>10</v>
      </c>
      <c r="B22" s="857" t="n"/>
      <c r="C22" s="1599" t="n"/>
      <c r="D22" s="836">
        <f>IF(C22=0,0,C22/$C$24)</f>
        <v/>
      </c>
      <c r="E22" s="1599" t="n"/>
      <c r="F22" s="836">
        <f>IF(E22=0,0,E22/$E$24)</f>
        <v/>
      </c>
      <c r="G22" s="859" t="n"/>
      <c r="H22" s="868" t="n"/>
    </row>
    <row r="23" customFormat="1" s="796">
      <c r="A23" s="854" t="inlineStr">
        <is>
          <t>合计</t>
        </is>
      </c>
      <c r="B23" s="1390" t="n"/>
      <c r="C23" s="1600">
        <f>SUM(C13:C22)</f>
        <v/>
      </c>
      <c r="D23" s="861">
        <f>IF(C23=0,0,C23/$C$24)</f>
        <v/>
      </c>
      <c r="E23" s="1601">
        <f>SUM(E13:E22)</f>
        <v/>
      </c>
      <c r="F23" s="861">
        <f>IF(E23=0,0,E23/$E$24)</f>
        <v/>
      </c>
      <c r="G23" s="863" t="n"/>
      <c r="H23" s="868" t="n"/>
    </row>
    <row r="24" customFormat="1" s="796">
      <c r="A24" s="864" t="inlineStr">
        <is>
          <t>本期销售总额</t>
        </is>
      </c>
      <c r="C24" s="1602" t="n">
        <v>0</v>
      </c>
      <c r="D24" s="866" t="n"/>
      <c r="E24" s="1603" t="n">
        <v>0</v>
      </c>
      <c r="F24" s="866" t="n"/>
      <c r="G24" s="868" t="n"/>
      <c r="H24" s="868" t="n"/>
    </row>
    <row r="25" customFormat="1" s="796">
      <c r="A25" s="853" t="inlineStr">
        <is>
          <t>上期：</t>
        </is>
      </c>
      <c r="B25" s="868" t="n"/>
      <c r="C25" s="868" t="n"/>
      <c r="D25" s="868" t="n"/>
      <c r="E25" s="868" t="n"/>
      <c r="F25" s="868" t="n"/>
      <c r="G25" s="868" t="n"/>
      <c r="H25" s="868" t="n"/>
    </row>
    <row r="26" customFormat="1" s="796">
      <c r="A26" s="854" t="inlineStr">
        <is>
          <t>序号</t>
        </is>
      </c>
      <c r="B26" s="855" t="inlineStr">
        <is>
          <t>客户名称</t>
        </is>
      </c>
      <c r="C26" s="854" t="inlineStr">
        <is>
          <t>销售金额</t>
        </is>
      </c>
      <c r="D26" s="854" t="inlineStr">
        <is>
          <t>销售金额占比</t>
        </is>
      </c>
      <c r="E26" s="854" t="inlineStr">
        <is>
          <t>销售数量</t>
        </is>
      </c>
      <c r="F26" s="854" t="inlineStr">
        <is>
          <t>销售数量占比</t>
        </is>
      </c>
      <c r="G26" s="854" t="inlineStr">
        <is>
          <t>上期排名</t>
        </is>
      </c>
      <c r="H26" s="868" t="n"/>
    </row>
    <row r="27" customFormat="1" s="796">
      <c r="A27" s="869" t="n">
        <v>1</v>
      </c>
      <c r="B27" s="857" t="n"/>
      <c r="C27" s="1604" t="n"/>
      <c r="D27" s="836">
        <f>IF(C27=0,0,C27/$C$38)</f>
        <v/>
      </c>
      <c r="E27" s="1604" t="n"/>
      <c r="F27" s="871">
        <f>IF(E27=0,0,E27/$E$38)</f>
        <v/>
      </c>
      <c r="G27" s="857" t="n"/>
      <c r="H27" s="868" t="n"/>
    </row>
    <row r="28" customFormat="1" s="796">
      <c r="A28" s="869" t="n">
        <v>2</v>
      </c>
      <c r="B28" s="857" t="n"/>
      <c r="C28" s="1604" t="n"/>
      <c r="D28" s="836">
        <f>IF(C28=0,0,C28/$C$38)</f>
        <v/>
      </c>
      <c r="E28" s="1604" t="n"/>
      <c r="F28" s="871">
        <f>IF(E28=0,0,E28/$E$38)</f>
        <v/>
      </c>
      <c r="G28" s="857" t="n"/>
      <c r="H28" s="868" t="n"/>
    </row>
    <row r="29" customFormat="1" s="796">
      <c r="A29" s="869" t="n">
        <v>3</v>
      </c>
      <c r="B29" s="857" t="n"/>
      <c r="C29" s="1604" t="n"/>
      <c r="D29" s="836">
        <f>IF(C29=0,0,C29/$C$38)</f>
        <v/>
      </c>
      <c r="E29" s="1604" t="n"/>
      <c r="F29" s="871">
        <f>IF(E29=0,0,E29/$E$38)</f>
        <v/>
      </c>
      <c r="G29" s="857" t="n"/>
      <c r="H29" s="868" t="n"/>
    </row>
    <row r="30" customFormat="1" s="796">
      <c r="A30" s="869" t="n">
        <v>4</v>
      </c>
      <c r="B30" s="857" t="n"/>
      <c r="C30" s="1604" t="n"/>
      <c r="D30" s="836">
        <f>IF(C30=0,0,C30/$C$38)</f>
        <v/>
      </c>
      <c r="E30" s="1604" t="n"/>
      <c r="F30" s="871">
        <f>IF(E30=0,0,E30/$E$38)</f>
        <v/>
      </c>
      <c r="G30" s="857" t="n"/>
      <c r="H30" s="868" t="n"/>
    </row>
    <row r="31" customFormat="1" s="796">
      <c r="A31" s="869" t="n">
        <v>5</v>
      </c>
      <c r="B31" s="857" t="n"/>
      <c r="C31" s="1604" t="n"/>
      <c r="D31" s="836">
        <f>IF(C31=0,0,C31/$C$38)</f>
        <v/>
      </c>
      <c r="E31" s="1604" t="n"/>
      <c r="F31" s="871">
        <f>IF(E31=0,0,E31/$E$38)</f>
        <v/>
      </c>
      <c r="G31" s="857" t="n"/>
      <c r="H31" s="868" t="n"/>
    </row>
    <row r="32" customFormat="1" s="796">
      <c r="A32" s="869" t="n">
        <v>6</v>
      </c>
      <c r="B32" s="857" t="n"/>
      <c r="C32" s="1604" t="n"/>
      <c r="D32" s="836">
        <f>IF(C32=0,0,C32/$C$38)</f>
        <v/>
      </c>
      <c r="E32" s="1604" t="n"/>
      <c r="F32" s="871">
        <f>IF(E32=0,0,E32/$E$38)</f>
        <v/>
      </c>
      <c r="G32" s="857" t="n"/>
      <c r="H32" s="868" t="n"/>
    </row>
    <row r="33" customFormat="1" s="796">
      <c r="A33" s="869" t="n">
        <v>7</v>
      </c>
      <c r="B33" s="857" t="n"/>
      <c r="C33" s="1604" t="n"/>
      <c r="D33" s="836">
        <f>IF(C33=0,0,C33/$C$38)</f>
        <v/>
      </c>
      <c r="E33" s="1604" t="n"/>
      <c r="F33" s="871">
        <f>IF(E33=0,0,E33/$E$38)</f>
        <v/>
      </c>
      <c r="G33" s="857" t="n"/>
      <c r="H33" s="868" t="n"/>
    </row>
    <row r="34" customFormat="1" s="796">
      <c r="A34" s="869" t="n">
        <v>8</v>
      </c>
      <c r="B34" s="857" t="n"/>
      <c r="C34" s="1604" t="n"/>
      <c r="D34" s="836">
        <f>IF(C34=0,0,C34/$C$38)</f>
        <v/>
      </c>
      <c r="E34" s="1604" t="n"/>
      <c r="F34" s="871">
        <f>IF(E34=0,0,E34/$E$38)</f>
        <v/>
      </c>
      <c r="G34" s="857" t="n"/>
      <c r="H34" s="868" t="n"/>
    </row>
    <row r="35" customFormat="1" s="796">
      <c r="A35" s="869" t="n">
        <v>9</v>
      </c>
      <c r="B35" s="857" t="n"/>
      <c r="C35" s="1604" t="n"/>
      <c r="D35" s="836">
        <f>IF(C35=0,0,C35/$C$38)</f>
        <v/>
      </c>
      <c r="E35" s="1604" t="n"/>
      <c r="F35" s="871">
        <f>IF(E35=0,0,E35/$E$38)</f>
        <v/>
      </c>
      <c r="G35" s="857" t="n"/>
      <c r="H35" s="868" t="n"/>
    </row>
    <row r="36" customFormat="1" s="796">
      <c r="A36" s="869" t="n">
        <v>10</v>
      </c>
      <c r="B36" s="857" t="n"/>
      <c r="C36" s="1604" t="n"/>
      <c r="D36" s="836">
        <f>IF(C36=0,0,C36/$C$38)</f>
        <v/>
      </c>
      <c r="E36" s="1604" t="n"/>
      <c r="F36" s="871">
        <f>IF(E36=0,0,E36/$E$38)</f>
        <v/>
      </c>
      <c r="G36" s="857" t="n"/>
      <c r="H36" s="868" t="n"/>
    </row>
    <row r="37" customFormat="1" s="796">
      <c r="A37" s="854" t="inlineStr">
        <is>
          <t>合计</t>
        </is>
      </c>
      <c r="B37" s="1390" t="n"/>
      <c r="C37" s="1600">
        <f>SUM(C27:C36)</f>
        <v/>
      </c>
      <c r="D37" s="861">
        <f>IF(C37=0,0,C37/$C$38)</f>
        <v/>
      </c>
      <c r="E37" s="1601">
        <f>SUM(E27:E36)</f>
        <v/>
      </c>
      <c r="F37" s="861">
        <f>IF(E37=0,0,E37/$E$38)</f>
        <v/>
      </c>
      <c r="G37" s="872" t="n"/>
      <c r="H37" s="868" t="n"/>
    </row>
    <row r="38" customFormat="1" s="796">
      <c r="A38" s="873" t="inlineStr">
        <is>
          <t>本期销售总额</t>
        </is>
      </c>
      <c r="B38" s="1390" t="n"/>
      <c r="C38" s="874" t="n">
        <v>0</v>
      </c>
      <c r="D38" s="875" t="n"/>
      <c r="E38" s="874" t="n">
        <v>0</v>
      </c>
      <c r="F38" s="875" t="n"/>
      <c r="G38" s="857" t="n"/>
      <c r="H38" s="868" t="n"/>
    </row>
    <row r="39" customFormat="1" s="796">
      <c r="A39" s="802" t="inlineStr">
        <is>
          <t>三、审计说明</t>
        </is>
      </c>
      <c r="B39" s="868" t="n"/>
      <c r="C39" s="868" t="n"/>
      <c r="D39" s="868" t="n"/>
      <c r="E39" s="868" t="n"/>
      <c r="F39" s="868" t="n"/>
      <c r="G39" s="868" t="n"/>
      <c r="H39" s="868" t="n"/>
    </row>
    <row r="40" customFormat="1" s="796">
      <c r="A40" s="868" t="inlineStr">
        <is>
          <t>本年前十名客户的销售额较去年增加%，大于本年营业收入比去年营业收入增加的比率%</t>
        </is>
      </c>
      <c r="C40" s="868" t="n"/>
      <c r="D40" s="868" t="n"/>
      <c r="E40" s="868" t="n"/>
      <c r="F40" s="868" t="n"/>
      <c r="G40" s="868" t="n"/>
      <c r="H40" s="868" t="n"/>
    </row>
    <row r="41" customFormat="1" s="796">
      <c r="A41" s="804" t="inlineStr">
        <is>
          <t>主要是因为…………</t>
        </is>
      </c>
      <c r="C41" s="868" t="n"/>
      <c r="D41" s="868" t="n"/>
      <c r="E41" s="868" t="n"/>
      <c r="F41" s="868" t="n"/>
      <c r="G41" s="868" t="n"/>
      <c r="H41" s="868" t="n"/>
    </row>
    <row r="42" customFormat="1" s="796">
      <c r="A42" s="868" t="inlineStr">
        <is>
          <t>本年前十名客户的销售额较去年减少%，小于本年营业收入比去年营业收入减少的比率%</t>
        </is>
      </c>
      <c r="C42" s="868" t="n"/>
      <c r="D42" s="868" t="n"/>
      <c r="E42" s="868" t="n"/>
      <c r="F42" s="868" t="n"/>
      <c r="G42" s="868" t="n"/>
      <c r="H42" s="868" t="n"/>
    </row>
    <row r="43" customFormat="1" s="796">
      <c r="A43" s="804" t="inlineStr">
        <is>
          <t>主要是因为…………</t>
        </is>
      </c>
      <c r="C43" s="868" t="n"/>
      <c r="D43" s="868" t="n"/>
      <c r="E43" s="868" t="n"/>
      <c r="F43" s="868" t="n"/>
      <c r="G43" s="868" t="n"/>
      <c r="H43" s="868" t="n"/>
    </row>
    <row r="44" customFormat="1" s="796">
      <c r="A44" s="802" t="inlineStr">
        <is>
          <t>四、审计结论</t>
        </is>
      </c>
      <c r="B44" s="868" t="n"/>
      <c r="C44" s="868" t="n"/>
      <c r="D44" s="868" t="n"/>
      <c r="E44" s="868" t="n"/>
      <c r="F44" s="868" t="n"/>
      <c r="G44" s="868" t="n"/>
      <c r="H44" s="868" t="n"/>
    </row>
    <row r="45" customFormat="1" s="796">
      <c r="A45" s="802" t="n"/>
      <c r="B45" s="868" t="n"/>
      <c r="C45" s="868" t="n"/>
      <c r="D45" s="868" t="n"/>
      <c r="E45" s="868" t="n"/>
      <c r="F45" s="868" t="n"/>
      <c r="G45" s="868" t="n"/>
      <c r="H45" s="868" t="n"/>
    </row>
    <row r="46" s="1296">
      <c r="A46" s="876" t="inlineStr">
        <is>
          <t>提示：对于IPO、上市公司等审计业务，考虑：</t>
        </is>
      </c>
      <c r="B46" s="877" t="n"/>
      <c r="C46" s="878" t="n"/>
      <c r="D46" s="175" t="n"/>
      <c r="E46" s="878" t="n"/>
      <c r="F46" s="175" t="n"/>
      <c r="G46" s="175" t="n"/>
    </row>
    <row r="47" s="1296">
      <c r="A47" s="876" t="inlineStr">
        <is>
          <t>1. 如果发行人的客户为公众公司，可获取客户的信息披露文件，与客户披露的采购金额核对，同时分析客户的偿债能力；</t>
        </is>
      </c>
      <c r="B47" s="877" t="n"/>
      <c r="C47" s="175" t="n"/>
      <c r="D47" s="175" t="n"/>
      <c r="E47" s="175" t="n"/>
      <c r="F47" s="175" t="n"/>
      <c r="G47" s="175" t="n"/>
    </row>
    <row r="48" s="1296">
      <c r="A48" s="876" t="inlineStr">
        <is>
          <t>2.结合发行人业务特点和主要客户基本经营信息，分析客户购买力、结算周期和销售波动情况，是否存在客户异常采购的情况；</t>
        </is>
      </c>
    </row>
    <row r="49" s="1296">
      <c r="A49" s="876" t="inlineStr">
        <is>
          <t>3.对当期销售占比较大的客户，了解大客户大量采购的原因，以及最终销售情况；对于重要客户为经销商的情况，关注终端客户同经销商地域的匹配性。</t>
        </is>
      </c>
    </row>
    <row r="50" s="1296">
      <c r="A50" s="876" t="inlineStr">
        <is>
          <t>4.关注公司及其实际控制人与大客户是否存在除购销关系外的其他关系。</t>
        </is>
      </c>
    </row>
    <row r="51" s="1296">
      <c r="A51" s="831" t="n"/>
    </row>
    <row r="52" s="1296">
      <c r="A52" s="831" t="n"/>
    </row>
    <row r="53" s="1296">
      <c r="B53" s="831" t="n"/>
      <c r="C53" s="831" t="n"/>
      <c r="D53" s="831" t="n"/>
      <c r="E53" s="831" t="n"/>
      <c r="F53" s="824" t="n"/>
      <c r="G53" s="831" t="n"/>
      <c r="H53" s="824" t="n"/>
      <c r="I53" s="824" t="n"/>
      <c r="J53" s="824" t="n"/>
      <c r="K53" s="824" t="n"/>
      <c r="L53" s="824" t="n"/>
      <c r="M53" s="824" t="n"/>
      <c r="N53" s="824" t="n"/>
      <c r="O53" s="824" t="n"/>
      <c r="P53" s="824" t="n"/>
      <c r="Q53" s="824" t="n"/>
      <c r="R53" s="824" t="n"/>
      <c r="S53" s="824" t="n"/>
    </row>
    <row r="54" s="1296">
      <c r="B54" s="831" t="n"/>
      <c r="C54" s="831" t="n"/>
      <c r="D54" s="831" t="n"/>
      <c r="E54" s="831" t="n"/>
      <c r="G54" s="831" t="n"/>
      <c r="H54" s="824" t="n"/>
      <c r="I54" s="824" t="n"/>
      <c r="J54" s="824" t="n"/>
      <c r="K54" s="824" t="n"/>
      <c r="L54" s="824" t="n"/>
      <c r="M54" s="824" t="n"/>
      <c r="N54" s="824" t="n"/>
      <c r="O54" s="824" t="n"/>
      <c r="P54" s="824" t="n"/>
      <c r="Q54" s="824" t="n"/>
      <c r="R54" s="824" t="n"/>
      <c r="S54" s="824" t="n"/>
    </row>
    <row r="55" s="1296">
      <c r="B55" s="831" t="n"/>
      <c r="C55" s="831" t="n"/>
      <c r="D55" s="831" t="n"/>
      <c r="E55" s="831" t="n"/>
      <c r="G55" s="831" t="n"/>
      <c r="H55" s="824" t="n"/>
      <c r="I55" s="824" t="n"/>
      <c r="J55" s="824" t="n"/>
      <c r="K55" s="824" t="n"/>
      <c r="L55" s="824" t="n"/>
      <c r="M55" s="824" t="n"/>
      <c r="N55" s="824" t="n"/>
      <c r="O55" s="824" t="n"/>
      <c r="P55" s="824" t="n"/>
      <c r="Q55" s="824" t="n"/>
      <c r="R55" s="824" t="n"/>
      <c r="S55" s="824" t="n"/>
    </row>
    <row r="56" s="1296">
      <c r="B56" s="831" t="n"/>
      <c r="C56" s="831" t="n"/>
      <c r="D56" s="831" t="n"/>
      <c r="E56" s="831" t="n"/>
      <c r="F56" s="831" t="n"/>
      <c r="G56" s="831" t="n"/>
      <c r="H56" s="824" t="n"/>
      <c r="I56" s="824" t="n"/>
      <c r="J56" s="824" t="n"/>
      <c r="K56" s="824" t="n"/>
      <c r="L56" s="824" t="n"/>
      <c r="M56" s="824" t="n"/>
      <c r="N56" s="824" t="n"/>
      <c r="O56" s="824" t="n"/>
      <c r="P56" s="824" t="n"/>
      <c r="Q56" s="824" t="n"/>
      <c r="R56" s="824" t="n"/>
      <c r="S56" s="824" t="n"/>
    </row>
    <row r="57" s="1296">
      <c r="B57" s="824" t="n"/>
      <c r="C57" s="824" t="n"/>
      <c r="D57" s="824" t="n"/>
      <c r="E57" s="824" t="n"/>
      <c r="F57" s="824" t="n"/>
      <c r="G57" s="824" t="n"/>
      <c r="H57" s="824" t="n"/>
      <c r="I57" s="824" t="n"/>
      <c r="J57" s="824" t="n"/>
      <c r="K57" s="824" t="n"/>
      <c r="L57" s="824" t="n"/>
      <c r="M57" s="824" t="n"/>
      <c r="N57" s="824" t="n"/>
      <c r="O57" s="824" t="n"/>
      <c r="P57" s="824" t="n"/>
      <c r="Q57" s="824" t="n"/>
      <c r="R57" s="824" t="n"/>
      <c r="S57" s="824" t="n"/>
    </row>
    <row r="58" s="1296">
      <c r="A58" s="1605" t="n"/>
      <c r="B58" s="1606" t="n"/>
    </row>
    <row r="59" s="1296">
      <c r="A59" s="1605" t="n"/>
      <c r="B59" s="1606" t="n"/>
    </row>
    <row r="60" s="1296">
      <c r="A60" s="1605" t="n"/>
      <c r="B60" s="1606" t="n"/>
    </row>
    <row r="61" s="1296">
      <c r="A61" s="1605" t="n"/>
      <c r="B61" s="1606" t="n"/>
    </row>
    <row r="62" s="1296">
      <c r="A62" s="824" t="n"/>
      <c r="B62" s="824" t="n"/>
    </row>
  </sheetData>
  <mergeCells count="6">
    <mergeCell ref="A24:B24"/>
    <mergeCell ref="A38:B38"/>
    <mergeCell ref="A1:G1"/>
    <mergeCell ref="A37:B37"/>
    <mergeCell ref="A2:G2"/>
    <mergeCell ref="A23:B23"/>
  </mergeCells>
  <hyperlinks>
    <hyperlink ref="G3" location="底稿目录!A1" display="='D:\GT_plan\backend\wp_templates\D\[D4-6至D4-11营业收入 - 分析程序（Leap应对措施-分析程序）.xlsx]底稿目录'!F6"/>
  </hyperlinks>
  <pageMargins left="0.708333333333333" right="0.708333333333333" top="0.747916666666667" bottom="0.747916666666667" header="0.314583333333333" footer="0.314583333333333"/>
  <pageSetup orientation="portrait" paperSize="9" blackAndWhite="1"/>
  <headerFooter>
    <oddHeader/>
    <oddFooter>&amp;C&amp;P/&amp;N</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T49"/>
  <sheetViews>
    <sheetView view="pageBreakPreview" zoomScaleNormal="100" workbookViewId="0">
      <selection activeCell="A1" sqref="A1:N1"/>
    </sheetView>
  </sheetViews>
  <sheetFormatPr baseColWidth="8" defaultColWidth="9.81818181818182" defaultRowHeight="20.1" customHeight="1"/>
  <cols>
    <col width="9.81818181818182" customWidth="1" style="824" min="1" max="1"/>
    <col width="11.3909090909091" customWidth="1" style="824" min="2" max="2"/>
    <col width="9.81818181818182" customWidth="1" style="824" min="3" max="6"/>
    <col width="13.3272727272727" customWidth="1" style="824" min="7" max="7"/>
    <col width="11.0272727272727" customWidth="1" style="824" min="8" max="8"/>
    <col width="13.0909090909091" customWidth="1" style="824" min="9" max="9"/>
    <col width="9.81818181818182" customWidth="1" style="824" min="10" max="16384"/>
  </cols>
  <sheetData>
    <row r="1" s="1296">
      <c r="A1" s="1317" t="inlineStr">
        <is>
          <t>致同会计师事务所</t>
        </is>
      </c>
    </row>
    <row r="2" s="1296">
      <c r="A2" s="1318" t="inlineStr">
        <is>
          <t>重要客户销售价格分析</t>
        </is>
      </c>
    </row>
    <row r="3" s="1296">
      <c r="A3" s="1563" t="inlineStr">
        <is>
          <t>被审计单位名称：</t>
        </is>
      </c>
      <c r="B3" s="1607" t="n"/>
      <c r="C3" s="1607" t="n"/>
      <c r="F3" s="1563" t="inlineStr">
        <is>
          <t>编制人：</t>
        </is>
      </c>
      <c r="G3" s="1607" t="n"/>
      <c r="H3" s="1607" t="n"/>
      <c r="I3" s="1563" t="inlineStr">
        <is>
          <t>编制日期：</t>
        </is>
      </c>
      <c r="L3" s="1608" t="n"/>
      <c r="M3" s="1565" t="inlineStr">
        <is>
          <t>索引号：</t>
        </is>
      </c>
      <c r="N3" s="1587" t="inlineStr">
        <is>
          <t>D4-10</t>
        </is>
      </c>
    </row>
    <row r="4" s="1296">
      <c r="A4" s="1563" t="inlineStr">
        <is>
          <t>会计期间：2024年度</t>
        </is>
      </c>
      <c r="B4" s="1607" t="n"/>
      <c r="C4" s="1607" t="n"/>
      <c r="F4" s="1563" t="inlineStr">
        <is>
          <t>复核人：</t>
        </is>
      </c>
      <c r="G4" s="1607" t="n"/>
      <c r="H4" s="1607" t="n"/>
      <c r="I4" s="1563" t="inlineStr">
        <is>
          <t>复核日期：</t>
        </is>
      </c>
      <c r="L4" s="1607" t="n"/>
      <c r="M4" s="1565" t="inlineStr">
        <is>
          <t>页次：</t>
        </is>
      </c>
      <c r="N4" s="1607" t="n"/>
    </row>
    <row r="5" customFormat="1" s="824">
      <c r="A5" s="415" t="inlineStr">
        <is>
          <t>一、审计目标：</t>
        </is>
      </c>
      <c r="B5" s="416" t="n"/>
      <c r="C5" s="416" t="n"/>
      <c r="D5" s="416" t="n"/>
      <c r="E5" s="416" t="n"/>
      <c r="F5" s="416" t="n"/>
      <c r="G5" s="416" t="n"/>
      <c r="H5" s="416" t="n"/>
      <c r="I5" s="416" t="n"/>
      <c r="J5" s="416" t="n"/>
      <c r="K5" s="416" t="n"/>
      <c r="L5" s="416" t="n"/>
      <c r="M5" s="416" t="n"/>
      <c r="N5" s="416" t="n"/>
    </row>
    <row r="6" customFormat="1" s="824">
      <c r="A6" s="416" t="inlineStr">
        <is>
          <t>利润表中记录的营业收入已发生，且与被审计单位有关，已记录于恰当的账户。</t>
        </is>
      </c>
      <c r="B6" s="416" t="n"/>
      <c r="C6" s="416" t="n"/>
      <c r="D6" s="416" t="n"/>
      <c r="E6" s="416" t="n"/>
      <c r="F6" s="416" t="n"/>
      <c r="G6" s="416" t="n"/>
      <c r="H6" s="416" t="n"/>
      <c r="I6" s="416" t="n"/>
      <c r="J6" s="416" t="n"/>
      <c r="K6" s="416" t="n"/>
      <c r="L6" s="416" t="n"/>
      <c r="M6" s="416" t="n"/>
      <c r="N6" s="416" t="n"/>
    </row>
    <row r="7" customFormat="1" s="824">
      <c r="A7" s="415" t="inlineStr">
        <is>
          <t>二、审计过程</t>
        </is>
      </c>
      <c r="B7" s="416" t="n"/>
      <c r="C7" s="416" t="n"/>
      <c r="D7" s="416" t="n"/>
      <c r="E7" s="416" t="n"/>
      <c r="F7" s="416" t="n"/>
      <c r="G7" s="416" t="n"/>
      <c r="H7" s="416" t="n"/>
      <c r="I7" s="416" t="n"/>
      <c r="J7" s="416" t="n"/>
      <c r="K7" s="416" t="n"/>
      <c r="L7" s="416" t="n"/>
      <c r="M7" s="416" t="n"/>
      <c r="N7" s="416" t="n"/>
    </row>
    <row r="8" customFormat="1" s="824">
      <c r="A8" s="831" t="inlineStr">
        <is>
          <t>1.……</t>
        </is>
      </c>
      <c r="B8" s="418" t="n"/>
      <c r="C8" s="416" t="n"/>
      <c r="D8" s="416" t="n"/>
      <c r="E8" s="416" t="n"/>
      <c r="F8" s="416" t="n"/>
      <c r="G8" s="416" t="n"/>
      <c r="H8" s="416" t="n"/>
      <c r="I8" s="416" t="n"/>
      <c r="J8" s="416" t="n"/>
      <c r="K8" s="416" t="n"/>
      <c r="L8" s="416" t="n"/>
      <c r="M8" s="416" t="n"/>
      <c r="N8" s="416" t="n"/>
    </row>
    <row r="9" customFormat="1" s="824">
      <c r="A9" s="831" t="n"/>
      <c r="B9" s="416" t="n"/>
      <c r="C9" s="416" t="n"/>
      <c r="D9" s="416" t="n"/>
      <c r="E9" s="416" t="n"/>
      <c r="F9" s="416" t="n"/>
      <c r="G9" s="416" t="n"/>
      <c r="H9" s="416" t="n"/>
      <c r="I9" s="416" t="n"/>
      <c r="J9" s="416" t="n"/>
      <c r="K9" s="416" t="n"/>
      <c r="L9" s="416" t="n"/>
      <c r="M9" s="416" t="n"/>
      <c r="N9" s="416" t="n"/>
    </row>
    <row r="10" customFormat="1" s="824">
      <c r="A10" s="416" t="n"/>
      <c r="B10" s="416" t="n"/>
      <c r="C10" s="416" t="n"/>
      <c r="D10" s="416" t="n"/>
      <c r="E10" s="416" t="n"/>
      <c r="F10" s="416" t="n"/>
      <c r="G10" s="416" t="n"/>
      <c r="H10" s="416" t="n"/>
      <c r="I10" s="416" t="n"/>
      <c r="J10" s="416" t="n"/>
      <c r="K10" s="416" t="n"/>
      <c r="L10" s="416" t="n"/>
      <c r="M10" s="416" t="n"/>
      <c r="N10" s="416" t="n"/>
    </row>
    <row r="11" s="1296">
      <c r="A11" s="854" t="inlineStr">
        <is>
          <t>序号</t>
        </is>
      </c>
      <c r="B11" s="855" t="inlineStr">
        <is>
          <t>客户名称</t>
        </is>
      </c>
      <c r="C11" s="854" t="inlineStr">
        <is>
          <t>产品种类</t>
        </is>
      </c>
      <c r="D11" s="854" t="inlineStr">
        <is>
          <t>销售情况</t>
        </is>
      </c>
      <c r="E11" s="1578" t="n"/>
      <c r="F11" s="1578" t="n"/>
      <c r="G11" s="1390" t="n"/>
      <c r="H11" s="854" t="inlineStr">
        <is>
          <t>销售单价分析</t>
        </is>
      </c>
      <c r="I11" s="1578" t="n"/>
      <c r="J11" s="1578" t="n"/>
      <c r="K11" s="1578" t="n"/>
      <c r="L11" s="1578" t="n"/>
      <c r="M11" s="1578" t="n"/>
      <c r="N11" s="1390" t="n"/>
    </row>
    <row r="12" ht="27" customHeight="1" s="1296">
      <c r="A12" s="1579" t="n"/>
      <c r="B12" s="1579" t="n"/>
      <c r="C12" s="1579" t="n"/>
      <c r="D12" s="829" t="inlineStr">
        <is>
          <t>销售金额</t>
        </is>
      </c>
      <c r="E12" s="829" t="inlineStr">
        <is>
          <t>占比</t>
        </is>
      </c>
      <c r="F12" s="829" t="inlineStr">
        <is>
          <t>销售数量</t>
        </is>
      </c>
      <c r="G12" s="829" t="inlineStr">
        <is>
          <t>占比</t>
        </is>
      </c>
      <c r="H12" s="829" t="inlineStr">
        <is>
          <t>销售单价</t>
        </is>
      </c>
      <c r="I12" s="855" t="inlineStr">
        <is>
          <t>年度均价
（或销售指导价格）</t>
        </is>
      </c>
      <c r="J12" s="829" t="inlineStr">
        <is>
          <t>与均价差异</t>
        </is>
      </c>
      <c r="K12" s="854" t="inlineStr">
        <is>
          <t>差异原因</t>
        </is>
      </c>
      <c r="L12" s="854" t="inlineStr">
        <is>
          <t>市场价格</t>
        </is>
      </c>
      <c r="M12" s="829" t="inlineStr">
        <is>
          <t>与均价差异</t>
        </is>
      </c>
      <c r="N12" s="854" t="inlineStr">
        <is>
          <t>差异原因</t>
        </is>
      </c>
      <c r="R12" s="831" t="n"/>
      <c r="S12" s="831" t="n"/>
      <c r="T12" s="831" t="n"/>
    </row>
    <row r="13" s="1296">
      <c r="A13" s="856" t="n">
        <v>1</v>
      </c>
      <c r="B13" s="833" t="inlineStr">
        <is>
          <t>大额客户一</t>
        </is>
      </c>
      <c r="C13" s="859" t="inlineStr">
        <is>
          <t>产品1</t>
        </is>
      </c>
      <c r="D13" s="1609" t="n"/>
      <c r="E13" s="836">
        <f>IF(D13=0,0,D13/$D$34)</f>
        <v/>
      </c>
      <c r="F13" s="1610" t="n"/>
      <c r="G13" s="836">
        <f>IF(F13=0,0,F13/$F$34)</f>
        <v/>
      </c>
      <c r="H13" s="1611" t="n">
        <v>0</v>
      </c>
      <c r="I13" s="1612" t="n"/>
      <c r="J13" s="840">
        <f>IF(AND(I13=0,H13=0),0,IF(AND(I13=0,H13&gt;0),1,(H13-I13)/I13))</f>
        <v/>
      </c>
      <c r="K13" s="841" t="n"/>
      <c r="L13" s="841" t="n"/>
      <c r="M13" s="840">
        <f>IF(AND(L13=0,H13=0),0,IF(AND(L13=0,H13&gt;0),1,(H13-L13)/L13))</f>
        <v/>
      </c>
      <c r="N13" s="841" t="n"/>
      <c r="R13" s="831" t="n"/>
      <c r="S13" s="831" t="n"/>
      <c r="T13" s="831" t="n"/>
    </row>
    <row r="14" s="1296">
      <c r="A14" s="856" t="n"/>
      <c r="B14" s="842" t="n"/>
      <c r="C14" s="859" t="inlineStr">
        <is>
          <t>产品2</t>
        </is>
      </c>
      <c r="D14" s="1609" t="n"/>
      <c r="E14" s="836">
        <f>IF(D14=0,0,D14/$D$34)</f>
        <v/>
      </c>
      <c r="F14" s="1610" t="n"/>
      <c r="G14" s="836">
        <f>IF(F14=0,0,F14/$F$34)</f>
        <v/>
      </c>
      <c r="H14" s="1611" t="n">
        <v>0</v>
      </c>
      <c r="I14" s="1612" t="n"/>
      <c r="J14" s="840">
        <f>IF(AND(I14=0,H14=0),0,IF(AND(I14=0,H14&gt;0),1,(H14-I14)/I14))</f>
        <v/>
      </c>
      <c r="K14" s="841" t="n"/>
      <c r="L14" s="841" t="n"/>
      <c r="M14" s="840">
        <f>IF(AND(L14=0,H14=0),0,IF(AND(L14=0,H14&gt;0),1,(H14-L14)/L14))</f>
        <v/>
      </c>
      <c r="N14" s="841" t="n"/>
      <c r="R14" s="831" t="n"/>
      <c r="S14" s="831" t="n"/>
      <c r="T14" s="831" t="n"/>
    </row>
    <row r="15" s="1296">
      <c r="A15" s="856" t="n"/>
      <c r="B15" s="842" t="n"/>
      <c r="C15" s="859" t="inlineStr">
        <is>
          <t>产品3</t>
        </is>
      </c>
      <c r="D15" s="1609" t="n"/>
      <c r="E15" s="836">
        <f>IF(D15=0,0,D15/$D$34)</f>
        <v/>
      </c>
      <c r="F15" s="1610" t="n"/>
      <c r="G15" s="836">
        <f>IF(F15=0,0,F15/$F$34)</f>
        <v/>
      </c>
      <c r="H15" s="1611" t="n">
        <v>0</v>
      </c>
      <c r="I15" s="1612" t="n"/>
      <c r="J15" s="840">
        <f>IF(AND(I15=0,H15=0),0,IF(AND(I15=0,H15&gt;0),1,(H15-I15)/I15))</f>
        <v/>
      </c>
      <c r="K15" s="841" t="n"/>
      <c r="L15" s="841" t="n"/>
      <c r="M15" s="840">
        <f>IF(AND(L15=0,H15=0),0,IF(AND(L15=0,H15&gt;0),1,(H15-L15)/L15))</f>
        <v/>
      </c>
      <c r="N15" s="841" t="n"/>
      <c r="R15" s="831" t="n"/>
      <c r="S15" s="831" t="n"/>
      <c r="T15" s="831" t="n"/>
    </row>
    <row r="16" s="1296">
      <c r="A16" s="856" t="n">
        <v>2</v>
      </c>
      <c r="B16" s="833" t="inlineStr">
        <is>
          <t>大额客户二</t>
        </is>
      </c>
      <c r="C16" s="859" t="inlineStr">
        <is>
          <t>产品1</t>
        </is>
      </c>
      <c r="D16" s="1609" t="n"/>
      <c r="E16" s="836">
        <f>IF(D16=0,0,D16/$D$34)</f>
        <v/>
      </c>
      <c r="F16" s="1610" t="n"/>
      <c r="G16" s="836">
        <f>IF(F16=0,0,F16/$F$34)</f>
        <v/>
      </c>
      <c r="H16" s="1611" t="n">
        <v>0</v>
      </c>
      <c r="I16" s="1612" t="n"/>
      <c r="J16" s="840">
        <f>IF(AND(I16=0,H16=0),0,IF(AND(I16=0,H16&gt;0),1,(H16-I16)/I16))</f>
        <v/>
      </c>
      <c r="K16" s="841" t="n"/>
      <c r="L16" s="841" t="n"/>
      <c r="M16" s="840">
        <f>IF(AND(L16=0,H16=0),0,IF(AND(L16=0,H16&gt;0),1,(H16-L16)/L16))</f>
        <v/>
      </c>
      <c r="N16" s="841" t="n"/>
    </row>
    <row r="17" s="1296">
      <c r="A17" s="856" t="n"/>
      <c r="B17" s="842" t="n"/>
      <c r="C17" s="859" t="inlineStr">
        <is>
          <t>产品2</t>
        </is>
      </c>
      <c r="D17" s="1609" t="n"/>
      <c r="E17" s="836">
        <f>IF(D17=0,0,D17/$D$34)</f>
        <v/>
      </c>
      <c r="F17" s="1610" t="n"/>
      <c r="G17" s="836">
        <f>IF(F17=0,0,F17/$F$34)</f>
        <v/>
      </c>
      <c r="H17" s="1611" t="n">
        <v>0</v>
      </c>
      <c r="I17" s="1612" t="n"/>
      <c r="J17" s="840">
        <f>IF(AND(I17=0,H17=0),0,IF(AND(I17=0,H17&gt;0),1,(H17-I17)/I17))</f>
        <v/>
      </c>
      <c r="K17" s="841" t="n"/>
      <c r="L17" s="841" t="n"/>
      <c r="M17" s="840">
        <f>IF(AND(L17=0,H17=0),0,IF(AND(L17=0,H17&gt;0),1,(H17-L17)/L17))</f>
        <v/>
      </c>
      <c r="N17" s="841" t="n"/>
    </row>
    <row r="18" s="1296">
      <c r="A18" s="856" t="n"/>
      <c r="B18" s="842" t="n"/>
      <c r="C18" s="859" t="inlineStr">
        <is>
          <t>产品3</t>
        </is>
      </c>
      <c r="D18" s="1609" t="n"/>
      <c r="E18" s="836">
        <f>IF(D18=0,0,D18/$D$34)</f>
        <v/>
      </c>
      <c r="F18" s="1610" t="n"/>
      <c r="G18" s="836">
        <f>IF(F18=0,0,F18/$F$34)</f>
        <v/>
      </c>
      <c r="H18" s="1611" t="n">
        <v>0</v>
      </c>
      <c r="I18" s="1612" t="n"/>
      <c r="J18" s="840">
        <f>IF(AND(I18=0,H18=0),0,IF(AND(I18=0,H18&gt;0),1,(H18-I18)/I18))</f>
        <v/>
      </c>
      <c r="K18" s="841" t="n"/>
      <c r="L18" s="841" t="n"/>
      <c r="M18" s="840">
        <f>IF(AND(L18=0,H18=0),0,IF(AND(L18=0,H18&gt;0),1,(H18-L18)/L18))</f>
        <v/>
      </c>
      <c r="N18" s="841" t="n"/>
    </row>
    <row r="19" s="1296">
      <c r="A19" s="856" t="n">
        <v>3</v>
      </c>
      <c r="B19" s="833" t="inlineStr">
        <is>
          <t>大额客户三</t>
        </is>
      </c>
      <c r="C19" s="859" t="inlineStr">
        <is>
          <t>产品1</t>
        </is>
      </c>
      <c r="D19" s="1609" t="n"/>
      <c r="E19" s="836">
        <f>IF(D19=0,0,D19/$D$34)</f>
        <v/>
      </c>
      <c r="F19" s="1610" t="n"/>
      <c r="G19" s="836">
        <f>IF(F19=0,0,F19/$F$34)</f>
        <v/>
      </c>
      <c r="H19" s="1611" t="n">
        <v>0</v>
      </c>
      <c r="I19" s="1612" t="n"/>
      <c r="J19" s="840">
        <f>IF(AND(I19=0,H19=0),0,IF(AND(I19=0,H19&gt;0),1,(H19-I19)/I19))</f>
        <v/>
      </c>
      <c r="K19" s="841" t="n"/>
      <c r="L19" s="841" t="n"/>
      <c r="M19" s="840">
        <f>IF(AND(L19=0,H19=0),0,IF(AND(L19=0,H19&gt;0),1,(H19-L19)/L19))</f>
        <v/>
      </c>
      <c r="N19" s="841" t="n"/>
    </row>
    <row r="20" s="1296">
      <c r="A20" s="856" t="n"/>
      <c r="B20" s="842" t="n"/>
      <c r="C20" s="859" t="inlineStr">
        <is>
          <t>产品2</t>
        </is>
      </c>
      <c r="D20" s="1609" t="n"/>
      <c r="E20" s="836">
        <f>IF(D20=0,0,D20/$D$34)</f>
        <v/>
      </c>
      <c r="F20" s="1610" t="n"/>
      <c r="G20" s="836">
        <f>IF(F20=0,0,F20/$F$34)</f>
        <v/>
      </c>
      <c r="H20" s="1611" t="n">
        <v>0</v>
      </c>
      <c r="I20" s="1612" t="n"/>
      <c r="J20" s="840">
        <f>IF(AND(I20=0,H20=0),0,IF(AND(I20=0,H20&gt;0),1,(H20-I20)/I20))</f>
        <v/>
      </c>
      <c r="K20" s="841" t="n"/>
      <c r="L20" s="841" t="n"/>
      <c r="M20" s="840">
        <f>IF(AND(L20=0,H20=0),0,IF(AND(L20=0,H20&gt;0),1,(H20-L20)/L20))</f>
        <v/>
      </c>
      <c r="N20" s="841" t="n"/>
    </row>
    <row r="21" s="1296">
      <c r="A21" s="856" t="n"/>
      <c r="B21" s="842" t="n"/>
      <c r="C21" s="859" t="inlineStr">
        <is>
          <t>产品3</t>
        </is>
      </c>
      <c r="D21" s="1609" t="n"/>
      <c r="E21" s="836">
        <f>IF(D21=0,0,D21/$D$34)</f>
        <v/>
      </c>
      <c r="F21" s="1610" t="n"/>
      <c r="G21" s="836">
        <f>IF(F21=0,0,F21/$F$34)</f>
        <v/>
      </c>
      <c r="H21" s="1611" t="n">
        <v>0</v>
      </c>
      <c r="I21" s="1612" t="n"/>
      <c r="J21" s="840">
        <f>IF(AND(I21=0,H21=0),0,IF(AND(I21=0,H21&gt;0),1,(H21-I21)/I21))</f>
        <v/>
      </c>
      <c r="K21" s="841" t="n"/>
      <c r="L21" s="841" t="n"/>
      <c r="M21" s="840">
        <f>IF(AND(L21=0,H21=0),0,IF(AND(L21=0,H21&gt;0),1,(H21-L21)/L21))</f>
        <v/>
      </c>
      <c r="N21" s="841" t="n"/>
    </row>
    <row r="22" s="1296">
      <c r="A22" s="856" t="n">
        <v>4</v>
      </c>
      <c r="B22" s="833" t="inlineStr">
        <is>
          <t>大额客户四</t>
        </is>
      </c>
      <c r="C22" s="859" t="inlineStr">
        <is>
          <t>产品1</t>
        </is>
      </c>
      <c r="D22" s="1609" t="n"/>
      <c r="E22" s="836">
        <f>IF(D22=0,0,D22/$D$34)</f>
        <v/>
      </c>
      <c r="F22" s="1610" t="n"/>
      <c r="G22" s="836">
        <f>IF(F22=0,0,F22/$F$34)</f>
        <v/>
      </c>
      <c r="H22" s="1611" t="n">
        <v>0</v>
      </c>
      <c r="I22" s="1612" t="n"/>
      <c r="J22" s="840">
        <f>IF(AND(I22=0,H22=0),0,IF(AND(I22=0,H22&gt;0),1,(H22-I22)/I22))</f>
        <v/>
      </c>
      <c r="K22" s="841" t="n"/>
      <c r="L22" s="841" t="n"/>
      <c r="M22" s="840">
        <f>IF(AND(L22=0,H22=0),0,IF(AND(L22=0,H22&gt;0),1,(H22-L22)/L22))</f>
        <v/>
      </c>
      <c r="N22" s="841" t="n"/>
    </row>
    <row r="23" s="1296">
      <c r="A23" s="856" t="n"/>
      <c r="B23" s="842" t="n"/>
      <c r="C23" s="859" t="inlineStr">
        <is>
          <t>产品2</t>
        </is>
      </c>
      <c r="D23" s="1609" t="n"/>
      <c r="E23" s="836">
        <f>IF(D23=0,0,D23/$D$34)</f>
        <v/>
      </c>
      <c r="F23" s="1610" t="n"/>
      <c r="G23" s="836">
        <f>IF(F23=0,0,F23/$F$34)</f>
        <v/>
      </c>
      <c r="H23" s="1611" t="n">
        <v>0</v>
      </c>
      <c r="I23" s="1612" t="n"/>
      <c r="J23" s="840">
        <f>IF(AND(I23=0,H23=0),0,IF(AND(I23=0,H23&gt;0),1,(H23-I23)/I23))</f>
        <v/>
      </c>
      <c r="K23" s="841" t="n"/>
      <c r="L23" s="841" t="n"/>
      <c r="M23" s="840">
        <f>IF(AND(L23=0,H23=0),0,IF(AND(L23=0,H23&gt;0),1,(H23-L23)/L23))</f>
        <v/>
      </c>
      <c r="N23" s="841" t="n"/>
    </row>
    <row r="24" s="1296">
      <c r="A24" s="856" t="n"/>
      <c r="B24" s="842" t="n"/>
      <c r="C24" s="859" t="inlineStr">
        <is>
          <t>产品3</t>
        </is>
      </c>
      <c r="D24" s="1609" t="n"/>
      <c r="E24" s="836">
        <f>IF(D24=0,0,D24/$D$34)</f>
        <v/>
      </c>
      <c r="F24" s="1610" t="n"/>
      <c r="G24" s="836">
        <f>IF(F24=0,0,F24/$F$34)</f>
        <v/>
      </c>
      <c r="H24" s="1611" t="n">
        <v>0</v>
      </c>
      <c r="I24" s="1612" t="n"/>
      <c r="J24" s="840">
        <f>IF(AND(I24=0,H24=0),0,IF(AND(I24=0,H24&gt;0),1,(H24-I24)/I24))</f>
        <v/>
      </c>
      <c r="K24" s="841" t="n"/>
      <c r="L24" s="841" t="n"/>
      <c r="M24" s="840">
        <f>IF(AND(L24=0,H24=0),0,IF(AND(L24=0,H24&gt;0),1,(H24-L24)/L24))</f>
        <v/>
      </c>
      <c r="N24" s="841" t="n"/>
    </row>
    <row r="25" s="1296">
      <c r="A25" s="856" t="n">
        <v>5</v>
      </c>
      <c r="B25" s="833" t="inlineStr">
        <is>
          <t>大额客户五</t>
        </is>
      </c>
      <c r="C25" s="859" t="inlineStr">
        <is>
          <t>产品1</t>
        </is>
      </c>
      <c r="D25" s="1609" t="n"/>
      <c r="E25" s="836">
        <f>IF(D25=0,0,D25/$D$34)</f>
        <v/>
      </c>
      <c r="F25" s="1610" t="n"/>
      <c r="G25" s="836">
        <f>IF(F25=0,0,F25/$F$34)</f>
        <v/>
      </c>
      <c r="H25" s="1611" t="n">
        <v>0</v>
      </c>
      <c r="I25" s="1612" t="n"/>
      <c r="J25" s="840">
        <f>IF(AND(I25=0,H25=0),0,IF(AND(I25=0,H25&gt;0),1,(H25-I25)/I25))</f>
        <v/>
      </c>
      <c r="K25" s="841" t="n"/>
      <c r="L25" s="841" t="n"/>
      <c r="M25" s="840">
        <f>IF(AND(L25=0,H25=0),0,IF(AND(L25=0,H25&gt;0),1,(H25-L25)/L25))</f>
        <v/>
      </c>
      <c r="N25" s="841" t="n"/>
    </row>
    <row r="26" s="1296">
      <c r="A26" s="856" t="n"/>
      <c r="B26" s="842" t="n"/>
      <c r="C26" s="859" t="inlineStr">
        <is>
          <t>产品2</t>
        </is>
      </c>
      <c r="D26" s="1609" t="n"/>
      <c r="E26" s="836">
        <f>IF(D26=0,0,D26/$D$34)</f>
        <v/>
      </c>
      <c r="F26" s="1610" t="n"/>
      <c r="G26" s="836">
        <f>IF(F26=0,0,F26/$F$34)</f>
        <v/>
      </c>
      <c r="H26" s="1611" t="n">
        <v>0</v>
      </c>
      <c r="I26" s="1612" t="n"/>
      <c r="J26" s="840">
        <f>IF(AND(I26=0,H26=0),0,IF(AND(I26=0,H26&gt;0),1,(H26-I26)/I26))</f>
        <v/>
      </c>
      <c r="K26" s="841" t="n"/>
      <c r="L26" s="841" t="n"/>
      <c r="M26" s="840">
        <f>IF(AND(L26=0,H26=0),0,IF(AND(L26=0,H26&gt;0),1,(H26-L26)/L26))</f>
        <v/>
      </c>
      <c r="N26" s="841" t="n"/>
    </row>
    <row r="27" s="1296">
      <c r="A27" s="856" t="n"/>
      <c r="B27" s="842" t="n"/>
      <c r="C27" s="859" t="inlineStr">
        <is>
          <t>产品3</t>
        </is>
      </c>
      <c r="D27" s="1609" t="n"/>
      <c r="E27" s="836">
        <f>IF(D27=0,0,D27/$D$34)</f>
        <v/>
      </c>
      <c r="F27" s="1610" t="n"/>
      <c r="G27" s="836">
        <f>IF(F27=0,0,F27/$F$34)</f>
        <v/>
      </c>
      <c r="H27" s="1611" t="n">
        <v>0</v>
      </c>
      <c r="I27" s="1612" t="n"/>
      <c r="J27" s="840">
        <f>IF(AND(I27=0,H27=0),0,IF(AND(I27=0,H27&gt;0),1,(H27-I27)/I27))</f>
        <v/>
      </c>
      <c r="K27" s="841" t="n"/>
      <c r="L27" s="841" t="n"/>
      <c r="M27" s="840">
        <f>IF(AND(L27=0,H27=0),0,IF(AND(L27=0,H27&gt;0),1,(H27-L27)/L27))</f>
        <v/>
      </c>
      <c r="N27" s="841" t="n"/>
    </row>
    <row r="28" s="1296">
      <c r="A28" s="856" t="n">
        <v>6</v>
      </c>
      <c r="B28" s="842" t="inlineStr">
        <is>
          <t>异常客户X</t>
        </is>
      </c>
      <c r="C28" s="859" t="inlineStr">
        <is>
          <t>产品1</t>
        </is>
      </c>
      <c r="D28" s="1609" t="n"/>
      <c r="E28" s="836">
        <f>IF(D28=0,0,D28/$D$34)</f>
        <v/>
      </c>
      <c r="F28" s="1610" t="n"/>
      <c r="G28" s="836">
        <f>IF(F28=0,0,F28/$F$34)</f>
        <v/>
      </c>
      <c r="H28" s="1611" t="n">
        <v>0</v>
      </c>
      <c r="I28" s="1612" t="n"/>
      <c r="J28" s="840">
        <f>IF(AND(I28=0,H28=0),0,IF(AND(I28=0,H28&gt;0),1,(H28-I28)/I28))</f>
        <v/>
      </c>
      <c r="K28" s="841" t="n"/>
      <c r="L28" s="841" t="n"/>
      <c r="M28" s="840">
        <f>IF(AND(L28=0,H28=0),0,IF(AND(L28=0,H28&gt;0),1,(H28-L28)/L28))</f>
        <v/>
      </c>
      <c r="N28" s="841" t="n"/>
    </row>
    <row r="29" s="1296">
      <c r="A29" s="856" t="n"/>
      <c r="B29" s="842" t="n"/>
      <c r="C29" s="859" t="inlineStr">
        <is>
          <t>产品2</t>
        </is>
      </c>
      <c r="D29" s="1609" t="n"/>
      <c r="E29" s="836">
        <f>IF(D29=0,0,D29/$D$34)</f>
        <v/>
      </c>
      <c r="F29" s="1610" t="n"/>
      <c r="G29" s="836">
        <f>IF(F29=0,0,F29/$F$34)</f>
        <v/>
      </c>
      <c r="H29" s="1611" t="n">
        <v>0</v>
      </c>
      <c r="I29" s="1612" t="n"/>
      <c r="J29" s="840">
        <f>IF(AND(I29=0,H29=0),0,IF(AND(I29=0,H29&gt;0),1,(H29-I29)/I29))</f>
        <v/>
      </c>
      <c r="K29" s="841" t="n"/>
      <c r="L29" s="841" t="n"/>
      <c r="M29" s="840">
        <f>IF(AND(L29=0,H29=0),0,IF(AND(L29=0,H29&gt;0),1,(H29-L29)/L29))</f>
        <v/>
      </c>
      <c r="N29" s="841" t="n"/>
    </row>
    <row r="30" s="1296">
      <c r="A30" s="856" t="n"/>
      <c r="B30" s="842" t="n"/>
      <c r="C30" s="859" t="inlineStr">
        <is>
          <t>产品3</t>
        </is>
      </c>
      <c r="D30" s="1609" t="n"/>
      <c r="E30" s="836">
        <f>IF(D30=0,0,D30/$D$34)</f>
        <v/>
      </c>
      <c r="F30" s="1610" t="n"/>
      <c r="G30" s="836">
        <f>IF(F30=0,0,F30/$F$34)</f>
        <v/>
      </c>
      <c r="H30" s="1611" t="n">
        <v>0</v>
      </c>
      <c r="I30" s="1612" t="n"/>
      <c r="J30" s="840">
        <f>IF(AND(I30=0,H30=0),0,IF(AND(I30=0,H30&gt;0),1,(H30-I30)/I30))</f>
        <v/>
      </c>
      <c r="K30" s="841" t="n"/>
      <c r="L30" s="841" t="n"/>
      <c r="M30" s="840">
        <f>IF(AND(L30=0,H30=0),0,IF(AND(L30=0,H30&gt;0),1,(H30-L30)/L30))</f>
        <v/>
      </c>
      <c r="N30" s="841" t="n"/>
    </row>
    <row r="31" s="1296">
      <c r="A31" s="856" t="n">
        <v>7</v>
      </c>
      <c r="B31" s="842" t="inlineStr">
        <is>
          <t>异常客户Y</t>
        </is>
      </c>
      <c r="C31" s="859" t="inlineStr">
        <is>
          <t>产品1</t>
        </is>
      </c>
      <c r="D31" s="1609" t="n"/>
      <c r="E31" s="836">
        <f>IF(D31=0,0,D31/$D$34)</f>
        <v/>
      </c>
      <c r="F31" s="1610" t="n"/>
      <c r="G31" s="836">
        <f>IF(F31=0,0,F31/$F$34)</f>
        <v/>
      </c>
      <c r="H31" s="1611" t="n">
        <v>0</v>
      </c>
      <c r="I31" s="1612" t="n"/>
      <c r="J31" s="840">
        <f>IF(AND(I31=0,H31=0),0,IF(AND(I31=0,H31&gt;0),1,(H31-I31)/I31))</f>
        <v/>
      </c>
      <c r="K31" s="841" t="n"/>
      <c r="L31" s="841" t="n"/>
      <c r="M31" s="840">
        <f>IF(AND(L31=0,H31=0),0,IF(AND(L31=0,H31&gt;0),1,(H31-L31)/L31))</f>
        <v/>
      </c>
      <c r="N31" s="841" t="n"/>
    </row>
    <row r="32" s="1296">
      <c r="A32" s="856" t="n"/>
      <c r="B32" s="842" t="n"/>
      <c r="C32" s="859" t="inlineStr">
        <is>
          <t>产品2</t>
        </is>
      </c>
      <c r="D32" s="1609" t="n"/>
      <c r="E32" s="836">
        <f>IF(D32=0,0,D32/$D$34)</f>
        <v/>
      </c>
      <c r="F32" s="1610" t="n"/>
      <c r="G32" s="836">
        <f>IF(F32=0,0,F32/$F$34)</f>
        <v/>
      </c>
      <c r="H32" s="1611" t="n">
        <v>0</v>
      </c>
      <c r="I32" s="1612" t="n"/>
      <c r="J32" s="840">
        <f>IF(AND(I32=0,H32=0),0,IF(AND(I32=0,H32&gt;0),1,(H32-I32)/I32))</f>
        <v/>
      </c>
      <c r="K32" s="841" t="n"/>
      <c r="L32" s="841" t="n"/>
      <c r="M32" s="840">
        <f>IF(AND(L32=0,H32=0),0,IF(AND(L32=0,H32&gt;0),1,(H32-L32)/L32))</f>
        <v/>
      </c>
      <c r="N32" s="841" t="n"/>
    </row>
    <row r="33" s="1296">
      <c r="A33" s="856" t="n"/>
      <c r="B33" s="859" t="n"/>
      <c r="C33" s="859" t="inlineStr">
        <is>
          <t>产品3</t>
        </is>
      </c>
      <c r="D33" s="1609" t="n"/>
      <c r="E33" s="836">
        <f>IF(D33=0,0,D33/$D$34)</f>
        <v/>
      </c>
      <c r="F33" s="1610" t="n"/>
      <c r="G33" s="836">
        <f>IF(F33=0,0,F33/$F$34)</f>
        <v/>
      </c>
      <c r="H33" s="1611" t="n">
        <v>0</v>
      </c>
      <c r="I33" s="1612" t="n"/>
      <c r="J33" s="840">
        <f>IF(AND(I33=0,H33=0),0,IF(AND(I33=0,H33&gt;0),1,(H33-I33)/I33))</f>
        <v/>
      </c>
      <c r="K33" s="841" t="n"/>
      <c r="L33" s="841" t="n"/>
      <c r="M33" s="840">
        <f>IF(AND(L33=0,H33=0),0,IF(AND(L33=0,H33&gt;0),1,(H33-L33)/L33))</f>
        <v/>
      </c>
      <c r="N33" s="841" t="n"/>
    </row>
    <row r="34" s="1296">
      <c r="A34" s="843" t="inlineStr">
        <is>
          <t>本期销售总额</t>
        </is>
      </c>
      <c r="B34" s="1578" t="n"/>
      <c r="C34" s="1390" t="n"/>
      <c r="D34" s="1292" t="inlineStr">
        <is>
          <t>--</t>
        </is>
      </c>
      <c r="E34" s="844" t="n"/>
      <c r="F34" s="1292" t="inlineStr">
        <is>
          <t>--</t>
        </is>
      </c>
      <c r="G34" s="844" t="n"/>
      <c r="H34" s="844" t="n"/>
      <c r="I34" s="844" t="n"/>
      <c r="J34" s="844" t="n"/>
      <c r="K34" s="841" t="n"/>
      <c r="L34" s="841" t="n"/>
      <c r="M34" s="841" t="n"/>
      <c r="N34" s="841" t="n"/>
    </row>
    <row r="35" customFormat="1" s="824">
      <c r="A35" s="415" t="inlineStr">
        <is>
          <t>三、审计说明</t>
        </is>
      </c>
      <c r="B35" s="820" t="n"/>
      <c r="C35" s="820" t="n"/>
      <c r="D35" s="845" t="n"/>
      <c r="E35" s="845" t="n"/>
      <c r="F35" s="845" t="n"/>
      <c r="G35" s="845" t="n"/>
      <c r="H35" s="845" t="n"/>
      <c r="I35" s="845" t="n"/>
      <c r="J35" s="845" t="n"/>
      <c r="K35" s="846" t="n"/>
      <c r="L35" s="846" t="n"/>
      <c r="M35" s="846" t="n"/>
      <c r="N35" s="846" t="n"/>
    </row>
    <row r="36" customFormat="1" s="824">
      <c r="A36" s="820" t="n"/>
      <c r="B36" s="820" t="n"/>
      <c r="C36" s="820" t="n"/>
      <c r="D36" s="845" t="n"/>
      <c r="E36" s="845" t="n"/>
      <c r="F36" s="845" t="n"/>
      <c r="G36" s="845" t="n"/>
      <c r="H36" s="845" t="n"/>
      <c r="I36" s="845" t="n"/>
      <c r="J36" s="845" t="n"/>
      <c r="K36" s="846" t="n"/>
      <c r="L36" s="846" t="n"/>
      <c r="M36" s="846" t="n"/>
      <c r="N36" s="846" t="n"/>
    </row>
    <row r="37" customFormat="1" s="824">
      <c r="A37" s="821" t="n"/>
      <c r="B37" s="418" t="n"/>
      <c r="C37" s="418" t="n"/>
      <c r="D37" s="416" t="n"/>
      <c r="E37" s="416" t="n"/>
      <c r="F37" s="416" t="n"/>
      <c r="G37" s="416" t="n"/>
      <c r="H37" s="416" t="n"/>
      <c r="I37" s="416" t="n"/>
      <c r="J37" s="416" t="n"/>
      <c r="K37" s="416" t="n"/>
      <c r="L37" s="416" t="n"/>
      <c r="M37" s="416" t="n"/>
      <c r="N37" s="416" t="n"/>
    </row>
    <row r="38" customFormat="1" s="824">
      <c r="A38" s="415" t="inlineStr">
        <is>
          <t>四、审计结论</t>
        </is>
      </c>
      <c r="B38" s="418" t="n"/>
      <c r="C38" s="418" t="n"/>
      <c r="D38" s="416" t="n"/>
      <c r="E38" s="416" t="n"/>
      <c r="F38" s="416" t="n"/>
      <c r="G38" s="416" t="n"/>
      <c r="H38" s="416" t="n"/>
      <c r="I38" s="416" t="n"/>
      <c r="J38" s="416" t="n"/>
      <c r="K38" s="416" t="n"/>
      <c r="L38" s="416" t="n"/>
      <c r="M38" s="416" t="n"/>
      <c r="N38" s="416" t="n"/>
    </row>
    <row r="39" customFormat="1" s="824">
      <c r="A39" s="821" t="n"/>
      <c r="B39" s="847" t="n"/>
      <c r="C39" s="416" t="n"/>
      <c r="D39" s="416" t="n"/>
      <c r="E39" s="416" t="n"/>
      <c r="F39" s="416" t="n"/>
      <c r="G39" s="416" t="n"/>
      <c r="H39" s="416" t="n"/>
      <c r="I39" s="416" t="n"/>
      <c r="J39" s="416" t="n"/>
      <c r="K39" s="416" t="n"/>
      <c r="L39" s="416" t="n"/>
      <c r="M39" s="416" t="n"/>
      <c r="N39" s="416" t="n"/>
    </row>
    <row r="40" s="1296">
      <c r="A40" s="848" t="inlineStr">
        <is>
          <t>提示：根据《中国注册会计师审计准则问题解答第18号——识别和应对第三方配合实施财务舞弊》，项目组在分析主要客户销售产品价格时关注：</t>
        </is>
      </c>
    </row>
    <row r="41" s="1296">
      <c r="A41" s="848" t="inlineStr">
        <is>
          <t>在第三方配合下，进行显失公允的交易。例如，以明显高于其他客户的价格向第三方销售商品。再如，与同一客户或同受一方控制的多个客户在各期发生多次交易，</t>
        </is>
      </c>
    </row>
    <row r="42" s="1296">
      <c r="A42" s="848" t="inlineStr">
        <is>
          <t>在客户配合下，通过调节各次交易的商品销售价格，调节各期销售收入金额。</t>
        </is>
      </c>
    </row>
    <row r="44" s="1296">
      <c r="A44" s="1613" t="n"/>
      <c r="B44" s="1605" t="n"/>
      <c r="C44" s="1606" t="n"/>
      <c r="D44" s="1606" t="n"/>
      <c r="E44" s="1606" t="n"/>
      <c r="F44" s="1606" t="n"/>
      <c r="G44" s="1606" t="n"/>
      <c r="H44" s="1606" t="n"/>
      <c r="I44" s="1606" t="n"/>
      <c r="J44" s="1606" t="n"/>
      <c r="K44" s="1606" t="n"/>
      <c r="L44" s="1606" t="n"/>
      <c r="M44" s="1606" t="n"/>
      <c r="N44" s="1606" t="n"/>
    </row>
    <row r="45" s="1296">
      <c r="A45" s="1614" t="n"/>
      <c r="B45" s="1606" t="n"/>
      <c r="C45" s="1606" t="n"/>
      <c r="D45" s="1606" t="n"/>
      <c r="E45" s="1606" t="n"/>
      <c r="F45" s="1606" t="n"/>
      <c r="G45" s="1606" t="n"/>
      <c r="H45" s="1606" t="n"/>
      <c r="I45" s="1606" t="n"/>
      <c r="J45" s="1606" t="n"/>
      <c r="K45" s="1606" t="n"/>
      <c r="L45" s="1606" t="n"/>
      <c r="M45" s="1606" t="n"/>
      <c r="N45" s="1606" t="n"/>
    </row>
    <row r="46" s="1296">
      <c r="C46" s="1606" t="n"/>
      <c r="D46" s="1606" t="n"/>
      <c r="E46" s="1606" t="n"/>
      <c r="F46" s="1606" t="n"/>
      <c r="G46" s="1606" t="n"/>
      <c r="H46" s="1606" t="n"/>
      <c r="I46" s="1606" t="n"/>
      <c r="J46" s="1606" t="n"/>
      <c r="K46" s="1606" t="n"/>
      <c r="L46" s="1606" t="n"/>
      <c r="M46" s="1606" t="n"/>
      <c r="N46" s="1606" t="n"/>
    </row>
    <row r="47" s="1296">
      <c r="C47" s="1563" t="n"/>
      <c r="D47" s="1563" t="n"/>
      <c r="E47" s="1563" t="n"/>
      <c r="F47" s="1563" t="n"/>
      <c r="G47" s="1563" t="n"/>
      <c r="H47" s="1563" t="n"/>
      <c r="I47" s="1563" t="n"/>
      <c r="J47" s="1563" t="n"/>
      <c r="K47" s="1563" t="n"/>
      <c r="L47" s="1563" t="n"/>
      <c r="M47" s="1563" t="n"/>
      <c r="N47" s="1563" t="n"/>
    </row>
    <row r="48" s="1296">
      <c r="C48" s="1607" t="n"/>
      <c r="D48" s="1607" t="n"/>
      <c r="E48" s="1607" t="n"/>
      <c r="F48" s="1607" t="n"/>
      <c r="G48" s="1607" t="n"/>
      <c r="H48" s="1607" t="n"/>
      <c r="I48" s="1607" t="n"/>
      <c r="J48" s="1607" t="n"/>
      <c r="K48" s="1607" t="n"/>
      <c r="L48" s="1607" t="n"/>
      <c r="M48" s="1607" t="n"/>
      <c r="N48" s="1607" t="n"/>
    </row>
    <row r="49" s="1296">
      <c r="C49" s="1607" t="n"/>
      <c r="D49" s="1607" t="n"/>
      <c r="E49" s="1607" t="n"/>
      <c r="F49" s="1607" t="n"/>
      <c r="G49" s="1607" t="n"/>
      <c r="H49" s="1607" t="n"/>
      <c r="I49" s="1607" t="n"/>
      <c r="J49" s="1607" t="n"/>
      <c r="K49" s="1607" t="n"/>
      <c r="L49" s="1607" t="n"/>
      <c r="M49" s="1607" t="n"/>
      <c r="N49" s="1607" t="n"/>
    </row>
  </sheetData>
  <mergeCells count="8">
    <mergeCell ref="A2:N2"/>
    <mergeCell ref="H11:N11"/>
    <mergeCell ref="B11:B12"/>
    <mergeCell ref="C11:C12"/>
    <mergeCell ref="D11:G11"/>
    <mergeCell ref="A34:C34"/>
    <mergeCell ref="A11:A12"/>
    <mergeCell ref="A1:N1"/>
  </mergeCells>
  <hyperlinks>
    <hyperlink ref="N3" location="底稿目录!A1" display="='D:\GT_plan\backend\wp_templates\D\[D4-6至D4-11营业收入 - 分析程序（Leap应对措施-分析程序）.xlsx]底稿目录'!F7"/>
  </hyperlinks>
  <pageMargins left="0.708333333333333" right="0.708333333333333" top="0.747916666666667" bottom="0.747916666666667" header="0.314583333333333" footer="0.314583333333333"/>
  <pageSetup orientation="portrait" paperSize="9" scale="63" blackAndWhite="1"/>
  <headerFooter>
    <oddHeader/>
    <oddFooter>&amp;C&amp;P/&amp;N</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O27"/>
  <sheetViews>
    <sheetView view="pageBreakPreview" zoomScaleNormal="100" workbookViewId="0">
      <selection activeCell="A1" sqref="A1:O1"/>
    </sheetView>
  </sheetViews>
  <sheetFormatPr baseColWidth="8" defaultColWidth="9.81818181818182" defaultRowHeight="20.1" customHeight="1"/>
  <cols>
    <col width="9.81818181818182" customWidth="1" style="994" min="1" max="13"/>
    <col width="11.7545454545455" customWidth="1" style="994" min="14" max="14"/>
    <col width="9.81818181818182" customWidth="1" style="994" min="15" max="16384"/>
  </cols>
  <sheetData>
    <row r="1" customFormat="1" s="794">
      <c r="A1" s="798" t="inlineStr">
        <is>
          <t>致同会计师事务所</t>
        </is>
      </c>
    </row>
    <row r="2" customFormat="1" s="794">
      <c r="A2" s="799" t="inlineStr">
        <is>
          <t>产品销售价格分析</t>
        </is>
      </c>
    </row>
    <row r="3" customFormat="1" s="795">
      <c r="A3" s="796" t="inlineStr">
        <is>
          <t>被审计单位名称：</t>
        </is>
      </c>
      <c r="F3" s="796" t="inlineStr">
        <is>
          <t>编制人：</t>
        </is>
      </c>
      <c r="J3" s="796" t="inlineStr">
        <is>
          <t>编制日期：</t>
        </is>
      </c>
      <c r="N3" s="800" t="inlineStr">
        <is>
          <t>索引号：</t>
        </is>
      </c>
      <c r="O3" s="801" t="inlineStr">
        <is>
          <t>D4-11</t>
        </is>
      </c>
    </row>
    <row r="4" customFormat="1" s="795">
      <c r="A4" s="796" t="inlineStr">
        <is>
          <t>会计期间：202X年度</t>
        </is>
      </c>
      <c r="F4" s="796" t="inlineStr">
        <is>
          <t>复核人：</t>
        </is>
      </c>
      <c r="J4" s="796" t="inlineStr">
        <is>
          <t>复核日期：</t>
        </is>
      </c>
      <c r="N4" s="800" t="inlineStr">
        <is>
          <t>页次：</t>
        </is>
      </c>
    </row>
    <row r="5" customFormat="1" s="796">
      <c r="A5" s="802" t="inlineStr">
        <is>
          <t>一、审计目标</t>
        </is>
      </c>
      <c r="B5" s="868" t="n"/>
      <c r="C5" s="868" t="n"/>
      <c r="D5" s="868" t="n"/>
      <c r="E5" s="868" t="n"/>
      <c r="F5" s="868" t="n"/>
      <c r="G5" s="868" t="n"/>
      <c r="H5" s="868" t="n"/>
    </row>
    <row r="6" customFormat="1" s="796">
      <c r="A6" s="796" t="inlineStr">
        <is>
          <t>利润表中记录的营业收入已发生，且与被审计单位有关。</t>
        </is>
      </c>
      <c r="C6" s="868" t="n"/>
      <c r="D6" s="868" t="n"/>
      <c r="E6" s="868" t="n"/>
      <c r="F6" s="868" t="n"/>
      <c r="G6" s="868" t="n"/>
      <c r="H6" s="868" t="n"/>
    </row>
    <row r="7" customFormat="1" s="796">
      <c r="A7" s="802" t="inlineStr">
        <is>
          <t>二、审计过程</t>
        </is>
      </c>
      <c r="B7" s="868" t="n"/>
      <c r="C7" s="868" t="n"/>
      <c r="D7" s="868" t="n"/>
      <c r="E7" s="868" t="n"/>
      <c r="F7" s="868" t="n"/>
      <c r="G7" s="868" t="n"/>
      <c r="H7" s="868" t="n"/>
    </row>
    <row r="8" customFormat="1" s="796">
      <c r="A8" s="804" t="inlineStr">
        <is>
          <t>1.……</t>
        </is>
      </c>
      <c r="B8" s="868" t="n"/>
      <c r="C8" s="868" t="n"/>
      <c r="D8" s="868" t="n"/>
      <c r="E8" s="868" t="n"/>
      <c r="F8" s="868" t="n"/>
      <c r="G8" s="868" t="n"/>
      <c r="H8" s="868" t="n"/>
    </row>
    <row r="9" s="1296">
      <c r="A9" s="805" t="n"/>
      <c r="C9" s="805" t="n"/>
      <c r="D9" s="805" t="n"/>
      <c r="E9" s="805" t="n"/>
    </row>
    <row r="10" s="1296">
      <c r="A10" s="805" t="n"/>
      <c r="C10" s="805" t="n"/>
      <c r="D10" s="805" t="n"/>
      <c r="E10" s="805" t="n"/>
    </row>
    <row r="11" ht="51" customHeight="1" s="1296">
      <c r="A11" s="854" t="inlineStr">
        <is>
          <t>序号</t>
        </is>
      </c>
      <c r="B11" s="854" t="inlineStr">
        <is>
          <t>客户名称</t>
        </is>
      </c>
      <c r="C11" s="854" t="inlineStr">
        <is>
          <t>品种/规格</t>
        </is>
      </c>
      <c r="D11" s="854" t="inlineStr">
        <is>
          <t>销售单价</t>
        </is>
      </c>
      <c r="E11" s="854" t="inlineStr">
        <is>
          <t>销售数量</t>
        </is>
      </c>
      <c r="F11" s="854" t="inlineStr">
        <is>
          <t>开票日期</t>
        </is>
      </c>
      <c r="G11" s="855" t="inlineStr">
        <is>
          <t>销售订单
（销售凭证）</t>
        </is>
      </c>
      <c r="H11" s="854" t="inlineStr">
        <is>
          <t>订单日期</t>
        </is>
      </c>
      <c r="I11" s="855" t="inlineStr">
        <is>
          <t>商品销售价格表所列单价</t>
        </is>
      </c>
      <c r="J11" s="855" t="inlineStr">
        <is>
          <t>与定价政策差异</t>
        </is>
      </c>
      <c r="K11" s="855" t="inlineStr">
        <is>
          <t>同期市场价格</t>
        </is>
      </c>
      <c r="L11" s="855" t="inlineStr">
        <is>
          <t>与市价差异</t>
        </is>
      </c>
      <c r="M11" s="855" t="inlineStr">
        <is>
          <t>差异原因分析</t>
        </is>
      </c>
      <c r="N11" s="855" t="inlineStr">
        <is>
          <t>同期市场价格来源（索引号）</t>
        </is>
      </c>
      <c r="O11" s="854" t="inlineStr">
        <is>
          <t>备注</t>
        </is>
      </c>
    </row>
    <row r="12" s="1296">
      <c r="A12" s="808" t="n">
        <v>1</v>
      </c>
      <c r="B12" s="809" t="n"/>
      <c r="C12" s="810" t="n"/>
      <c r="D12" s="1615" t="n"/>
      <c r="E12" s="1616" t="n"/>
      <c r="F12" s="813" t="n"/>
      <c r="G12" s="810" t="n"/>
      <c r="H12" s="813" t="n"/>
      <c r="I12" s="1616" t="n"/>
      <c r="J12" s="1611" t="n">
        <v>0</v>
      </c>
      <c r="K12" s="1616" t="n"/>
      <c r="L12" s="1611" t="n">
        <v>0</v>
      </c>
      <c r="M12" s="1617" t="n"/>
      <c r="N12" s="1617" t="n"/>
      <c r="O12" s="1618" t="n"/>
    </row>
    <row r="13" s="1296">
      <c r="A13" s="808" t="n">
        <v>2</v>
      </c>
      <c r="B13" s="809" t="n"/>
      <c r="C13" s="810" t="n"/>
      <c r="D13" s="1615" t="n"/>
      <c r="E13" s="1616" t="n"/>
      <c r="F13" s="813" t="n"/>
      <c r="G13" s="810" t="n"/>
      <c r="H13" s="813" t="n"/>
      <c r="I13" s="1616" t="n"/>
      <c r="J13" s="1611" t="n">
        <v>0</v>
      </c>
      <c r="K13" s="1616" t="n"/>
      <c r="L13" s="1611" t="n">
        <v>0</v>
      </c>
      <c r="M13" s="1617" t="n"/>
      <c r="N13" s="1617" t="n"/>
      <c r="O13" s="1618" t="n"/>
    </row>
    <row r="14" s="1296">
      <c r="A14" s="808" t="n">
        <v>3</v>
      </c>
      <c r="B14" s="809" t="n"/>
      <c r="C14" s="810" t="n"/>
      <c r="D14" s="1615" t="n"/>
      <c r="E14" s="1616" t="n"/>
      <c r="F14" s="813" t="n"/>
      <c r="G14" s="810" t="n"/>
      <c r="H14" s="813" t="n"/>
      <c r="I14" s="1616" t="n"/>
      <c r="J14" s="1611" t="n">
        <v>0</v>
      </c>
      <c r="K14" s="1616" t="n"/>
      <c r="L14" s="1611" t="n">
        <v>0</v>
      </c>
      <c r="M14" s="1617" t="n"/>
      <c r="N14" s="1617" t="n"/>
      <c r="O14" s="1618" t="n"/>
    </row>
    <row r="15" s="1296">
      <c r="A15" s="808" t="n">
        <v>4</v>
      </c>
      <c r="B15" s="809" t="n"/>
      <c r="C15" s="810" t="n"/>
      <c r="D15" s="1615" t="n"/>
      <c r="E15" s="1616" t="n"/>
      <c r="F15" s="813" t="n"/>
      <c r="G15" s="810" t="n"/>
      <c r="H15" s="813" t="n"/>
      <c r="I15" s="1616" t="n"/>
      <c r="J15" s="1611" t="n">
        <v>0</v>
      </c>
      <c r="K15" s="1616" t="n"/>
      <c r="L15" s="1611" t="n">
        <v>0</v>
      </c>
      <c r="M15" s="1617" t="n"/>
      <c r="N15" s="1617" t="n"/>
      <c r="O15" s="1618" t="n"/>
    </row>
    <row r="16" s="1296">
      <c r="A16" s="808" t="n">
        <v>5</v>
      </c>
      <c r="B16" s="809" t="n"/>
      <c r="C16" s="810" t="n"/>
      <c r="D16" s="1615" t="n"/>
      <c r="E16" s="1616" t="n"/>
      <c r="F16" s="813" t="n"/>
      <c r="G16" s="810" t="n"/>
      <c r="H16" s="813" t="n"/>
      <c r="I16" s="1616" t="n"/>
      <c r="J16" s="1611" t="n">
        <v>0</v>
      </c>
      <c r="K16" s="1616" t="n"/>
      <c r="L16" s="1611" t="n">
        <v>0</v>
      </c>
      <c r="M16" s="1617" t="n"/>
      <c r="N16" s="1617" t="n"/>
      <c r="O16" s="1618" t="n"/>
    </row>
    <row r="17" s="1296">
      <c r="A17" s="808" t="n">
        <v>6</v>
      </c>
      <c r="B17" s="809" t="n"/>
      <c r="C17" s="810" t="n"/>
      <c r="D17" s="1615" t="n"/>
      <c r="E17" s="1616" t="n"/>
      <c r="F17" s="813" t="n"/>
      <c r="G17" s="810" t="n"/>
      <c r="H17" s="813" t="n"/>
      <c r="I17" s="1616" t="n"/>
      <c r="J17" s="1611" t="n">
        <v>0</v>
      </c>
      <c r="K17" s="1616" t="n"/>
      <c r="L17" s="1611" t="n">
        <v>0</v>
      </c>
      <c r="M17" s="1617" t="n"/>
      <c r="N17" s="1617" t="n"/>
      <c r="O17" s="1618" t="n"/>
    </row>
    <row r="18" s="1296">
      <c r="A18" s="808" t="n">
        <v>7</v>
      </c>
      <c r="B18" s="809" t="n"/>
      <c r="C18" s="810" t="n"/>
      <c r="D18" s="1615" t="n"/>
      <c r="E18" s="1616" t="n"/>
      <c r="F18" s="813" t="n"/>
      <c r="G18" s="810" t="n"/>
      <c r="H18" s="813" t="n"/>
      <c r="I18" s="1616" t="n"/>
      <c r="J18" s="1611" t="n">
        <v>0</v>
      </c>
      <c r="K18" s="1616" t="n"/>
      <c r="L18" s="1611" t="n">
        <v>0</v>
      </c>
      <c r="M18" s="1617" t="n"/>
      <c r="N18" s="1617" t="n"/>
      <c r="O18" s="1618" t="n"/>
    </row>
    <row r="19" s="1296">
      <c r="A19" s="808" t="n">
        <v>8</v>
      </c>
      <c r="B19" s="809" t="n"/>
      <c r="C19" s="810" t="n"/>
      <c r="D19" s="1615" t="n"/>
      <c r="E19" s="1616" t="n"/>
      <c r="F19" s="813" t="n"/>
      <c r="G19" s="810" t="n"/>
      <c r="H19" s="813" t="n"/>
      <c r="I19" s="1616" t="n"/>
      <c r="J19" s="1611" t="n">
        <v>0</v>
      </c>
      <c r="K19" s="1616" t="n"/>
      <c r="L19" s="1611" t="n">
        <v>0</v>
      </c>
      <c r="M19" s="1617" t="n"/>
      <c r="N19" s="1617" t="n"/>
      <c r="O19" s="1618" t="n"/>
    </row>
    <row r="20" s="1296">
      <c r="A20" s="808" t="n">
        <v>9</v>
      </c>
      <c r="B20" s="809" t="n"/>
      <c r="C20" s="810" t="n"/>
      <c r="D20" s="1615" t="n"/>
      <c r="E20" s="1616" t="n"/>
      <c r="F20" s="813" t="n"/>
      <c r="G20" s="810" t="n"/>
      <c r="H20" s="813" t="n"/>
      <c r="I20" s="1616" t="n"/>
      <c r="J20" s="1611" t="n">
        <v>0</v>
      </c>
      <c r="K20" s="1616" t="n"/>
      <c r="L20" s="1611" t="n">
        <v>0</v>
      </c>
      <c r="M20" s="1617" t="n"/>
      <c r="N20" s="1617" t="n"/>
      <c r="O20" s="1618" t="n"/>
    </row>
    <row r="21" s="1296">
      <c r="A21" s="808" t="n">
        <v>10</v>
      </c>
      <c r="B21" s="809" t="n"/>
      <c r="C21" s="810" t="n"/>
      <c r="D21" s="1615" t="n"/>
      <c r="E21" s="1616" t="n"/>
      <c r="F21" s="813" t="n"/>
      <c r="G21" s="810" t="n"/>
      <c r="H21" s="813" t="n"/>
      <c r="I21" s="1616" t="n"/>
      <c r="J21" s="1611" t="n">
        <v>0</v>
      </c>
      <c r="K21" s="1616" t="n"/>
      <c r="L21" s="1611" t="n">
        <v>0</v>
      </c>
      <c r="M21" s="1617" t="n"/>
      <c r="N21" s="1617" t="n"/>
      <c r="O21" s="1618" t="n"/>
    </row>
    <row r="22" customFormat="1" s="994">
      <c r="A22" s="415" t="inlineStr">
        <is>
          <t>三、审计说明</t>
        </is>
      </c>
      <c r="B22" s="817" t="n"/>
      <c r="C22" s="818" t="n"/>
      <c r="D22" s="818" t="n"/>
      <c r="E22" s="818" t="n"/>
      <c r="F22" s="818" t="n"/>
      <c r="G22" s="818" t="n"/>
      <c r="H22" s="818" t="n"/>
      <c r="I22" s="818" t="n"/>
      <c r="J22" s="818" t="n"/>
      <c r="K22" s="818" t="n"/>
      <c r="L22" s="818" t="n"/>
      <c r="M22" s="818" t="n"/>
      <c r="N22" s="818" t="n"/>
      <c r="O22" s="819" t="n"/>
    </row>
    <row r="23" customFormat="1" s="994">
      <c r="A23" s="820" t="n"/>
      <c r="B23" s="817" t="n"/>
      <c r="C23" s="818" t="n"/>
      <c r="D23" s="818" t="n"/>
      <c r="E23" s="818" t="n"/>
      <c r="F23" s="818" t="n"/>
      <c r="G23" s="818" t="n"/>
      <c r="H23" s="818" t="n"/>
      <c r="I23" s="818" t="n"/>
      <c r="J23" s="818" t="n"/>
      <c r="K23" s="818" t="n"/>
      <c r="L23" s="818" t="n"/>
      <c r="M23" s="818" t="n"/>
      <c r="N23" s="818" t="n"/>
      <c r="O23" s="819" t="n"/>
    </row>
    <row r="24" customFormat="1" s="994">
      <c r="A24" s="821" t="n"/>
    </row>
    <row r="25" customFormat="1" s="994">
      <c r="A25" s="415" t="inlineStr">
        <is>
          <t>四、审计结论</t>
        </is>
      </c>
    </row>
    <row r="26" customFormat="1" s="994"/>
    <row r="27" s="1296">
      <c r="A27" s="822" t="n"/>
    </row>
  </sheetData>
  <mergeCells count="2">
    <mergeCell ref="A1:O1"/>
    <mergeCell ref="A2:O2"/>
  </mergeCells>
  <hyperlinks>
    <hyperlink ref="O3" location="底稿目录!A1" display="='D:\GT_plan\backend\wp_templates\D\[D4-6至D4-11营业收入 - 分析程序（Leap应对措施-分析程序）.xlsx]底稿目录'!F8"/>
  </hyperlinks>
  <pageMargins left="0.708333333333333" right="0.708333333333333" top="0.747916666666667" bottom="0.747916666666667" header="0.314583333333333" footer="0.314583333333333"/>
  <pageSetup orientation="portrait" paperSize="9" scale="62" blackAndWhite="1"/>
  <headerFooter>
    <oddHeader/>
    <oddFooter>&amp;C&amp;P/&amp;N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K57"/>
  <sheetViews>
    <sheetView view="pageBreakPreview" zoomScaleNormal="100" workbookViewId="0">
      <selection activeCell="A1" sqref="A1:K1"/>
    </sheetView>
  </sheetViews>
  <sheetFormatPr baseColWidth="8" defaultColWidth="9.81818181818182" defaultRowHeight="20.1" customHeight="1"/>
  <cols>
    <col width="23.2727272727273" customWidth="1" style="1619" min="1" max="1"/>
    <col width="13.5727272727273" customWidth="1" style="1620" min="2" max="4"/>
    <col width="13.5727272727273" customWidth="1" style="1621" min="5" max="5"/>
    <col width="13.5727272727273" customWidth="1" style="1620" min="6" max="6"/>
    <col width="15.1454545454545" customWidth="1" style="1620" min="7" max="8"/>
    <col width="13.8181818181818" customWidth="1" style="1620" min="9" max="9"/>
    <col width="15.1454545454545" customWidth="1" style="1620" min="10" max="10"/>
    <col width="12.2363636363636" customWidth="1" style="1620" min="11" max="11"/>
    <col width="9.81818181818182" customWidth="1" style="1620" min="12" max="16384"/>
  </cols>
  <sheetData>
    <row r="1" customFormat="1" s="1622">
      <c r="A1" s="1623" t="inlineStr">
        <is>
          <t>致同会计师事务所</t>
        </is>
      </c>
      <c r="B1" s="1311" t="n"/>
      <c r="C1" s="1311" t="n"/>
      <c r="D1" s="1311" t="n"/>
      <c r="E1" s="1311" t="n"/>
      <c r="F1" s="1311" t="n"/>
      <c r="G1" s="1311" t="n"/>
      <c r="H1" s="1311" t="n"/>
      <c r="I1" s="1311" t="n"/>
      <c r="J1" s="1311" t="n"/>
      <c r="K1" s="1311" t="n"/>
    </row>
    <row r="2" s="1296">
      <c r="A2" s="1624" t="inlineStr">
        <is>
          <t>合同检查表</t>
        </is>
      </c>
    </row>
    <row r="3" customFormat="1" s="1625">
      <c r="A3" s="771" t="inlineStr">
        <is>
          <t>被审计单位：</t>
        </is>
      </c>
      <c r="B3" s="1363" t="n"/>
      <c r="D3" s="771" t="inlineStr">
        <is>
          <t>编制人：</t>
        </is>
      </c>
      <c r="G3" s="771" t="inlineStr">
        <is>
          <t>编制日期：</t>
        </is>
      </c>
      <c r="H3" s="1626" t="n"/>
      <c r="I3" s="1626" t="n"/>
      <c r="J3" s="1627" t="inlineStr">
        <is>
          <t>索引号：</t>
        </is>
      </c>
      <c r="K3" s="1628" t="inlineStr">
        <is>
          <t>D4-12</t>
        </is>
      </c>
    </row>
    <row r="4" customFormat="1" s="1625">
      <c r="A4" s="771" t="inlineStr">
        <is>
          <t>会计期间：202X年度</t>
        </is>
      </c>
      <c r="B4" s="645" t="n"/>
      <c r="D4" s="771" t="inlineStr">
        <is>
          <t>复核人：</t>
        </is>
      </c>
      <c r="G4" s="771" t="inlineStr">
        <is>
          <t>复核日期：</t>
        </is>
      </c>
      <c r="J4" s="1627" t="inlineStr">
        <is>
          <t>页次：</t>
        </is>
      </c>
    </row>
    <row r="5" customFormat="1" s="764">
      <c r="A5" s="20" t="inlineStr">
        <is>
          <t>一、审计目标</t>
        </is>
      </c>
      <c r="B5" s="171" t="n"/>
      <c r="C5" s="172" t="n"/>
      <c r="E5" s="171" t="n"/>
    </row>
    <row r="6" customFormat="1" s="764">
      <c r="A6" s="494" t="inlineStr">
        <is>
          <t>1.利润表中记录的营业收入已发生，且与被审计单位有关，已记录于恰当的账户；2.与营业收入有关的金额及其他数据已恰当记录，相关披露已得到恰当计量和描述</t>
        </is>
      </c>
      <c r="B6" s="775" t="n"/>
      <c r="C6" s="775" t="n"/>
      <c r="D6" s="775" t="n"/>
      <c r="E6" s="775" t="n"/>
      <c r="F6" s="775" t="n"/>
      <c r="G6" s="775" t="n"/>
      <c r="H6" s="775" t="n"/>
      <c r="I6" s="775" t="n"/>
      <c r="J6" s="775" t="n"/>
      <c r="K6" s="775" t="n"/>
    </row>
    <row r="7" customFormat="1" s="764">
      <c r="A7" s="20" t="inlineStr">
        <is>
          <t>二、审计过程</t>
        </is>
      </c>
      <c r="B7" s="171" t="n"/>
      <c r="C7" s="172" t="n"/>
      <c r="E7" s="171" t="n"/>
    </row>
    <row r="8" customFormat="1" s="764">
      <c r="A8" s="776" t="inlineStr">
        <is>
          <t>1.……</t>
        </is>
      </c>
      <c r="B8" s="171" t="n"/>
      <c r="C8" s="172" t="n"/>
      <c r="E8" s="171" t="n"/>
    </row>
    <row r="9" customFormat="1" s="764">
      <c r="A9" s="777" t="n"/>
      <c r="B9" s="171" t="n"/>
      <c r="C9" s="172" t="n"/>
      <c r="E9" s="171" t="n"/>
    </row>
    <row r="10" s="1296">
      <c r="A10" s="1629" t="inlineStr">
        <is>
          <t>索引号</t>
        </is>
      </c>
      <c r="B10" s="779" t="inlineStr">
        <is>
          <t>D4-12-1</t>
        </is>
      </c>
      <c r="C10" s="779" t="inlineStr">
        <is>
          <t>D4-12-2</t>
        </is>
      </c>
      <c r="D10" s="779" t="inlineStr">
        <is>
          <t>D4-12-3</t>
        </is>
      </c>
      <c r="E10" s="779" t="inlineStr">
        <is>
          <t>D4-12-4</t>
        </is>
      </c>
      <c r="F10" s="779" t="inlineStr">
        <is>
          <t>D4-12-5</t>
        </is>
      </c>
      <c r="G10" s="779" t="inlineStr">
        <is>
          <t>D4-12-6</t>
        </is>
      </c>
      <c r="H10" s="779" t="inlineStr">
        <is>
          <t>D4-12-7</t>
        </is>
      </c>
      <c r="I10" s="779" t="inlineStr">
        <is>
          <t>D4-12-8</t>
        </is>
      </c>
      <c r="J10" s="779" t="inlineStr">
        <is>
          <t>D4-12-9</t>
        </is>
      </c>
      <c r="K10" s="779" t="inlineStr">
        <is>
          <t>D4-12-10</t>
        </is>
      </c>
    </row>
    <row r="11" s="1296">
      <c r="A11" s="1629" t="inlineStr">
        <is>
          <t>合同编号</t>
        </is>
      </c>
      <c r="B11" s="780" t="n"/>
      <c r="C11" s="780" t="n"/>
      <c r="D11" s="780" t="n"/>
      <c r="E11" s="780" t="n"/>
      <c r="F11" s="780" t="n"/>
      <c r="G11" s="780" t="n"/>
      <c r="H11" s="780" t="n"/>
      <c r="I11" s="780" t="n"/>
      <c r="J11" s="780" t="n"/>
      <c r="K11" s="780" t="n"/>
    </row>
    <row r="12" s="1296">
      <c r="A12" s="1629" t="inlineStr">
        <is>
          <t>交易对方名称</t>
        </is>
      </c>
      <c r="B12" s="781" t="n"/>
      <c r="C12" s="781" t="n"/>
      <c r="D12" s="781" t="n"/>
      <c r="E12" s="781" t="n"/>
      <c r="F12" s="781" t="n"/>
      <c r="G12" s="781" t="n"/>
      <c r="H12" s="781" t="n"/>
      <c r="I12" s="781" t="n"/>
      <c r="J12" s="781" t="n"/>
      <c r="K12" s="781" t="n"/>
    </row>
    <row r="13" s="1296">
      <c r="A13" s="1629" t="inlineStr">
        <is>
          <t>合同签订日期</t>
        </is>
      </c>
      <c r="B13" s="782" t="n"/>
      <c r="C13" s="782" t="n"/>
      <c r="D13" s="782" t="n"/>
      <c r="E13" s="782" t="n"/>
      <c r="F13" s="782" t="n"/>
      <c r="G13" s="782" t="n"/>
      <c r="H13" s="782" t="n"/>
      <c r="I13" s="782" t="n"/>
      <c r="J13" s="782" t="n"/>
      <c r="K13" s="782" t="n"/>
    </row>
    <row r="14" ht="19.5" customHeight="1" s="1296">
      <c r="A14" s="1629" t="inlineStr">
        <is>
          <t>服务内容/提供产品名称</t>
        </is>
      </c>
      <c r="B14" s="781" t="n"/>
      <c r="C14" s="781" t="n"/>
      <c r="D14" s="781" t="n"/>
      <c r="E14" s="781" t="n"/>
      <c r="F14" s="781" t="n"/>
      <c r="G14" s="781" t="n"/>
      <c r="H14" s="781" t="n"/>
      <c r="I14" s="781" t="n"/>
      <c r="J14" s="781" t="n"/>
      <c r="K14" s="781" t="n"/>
    </row>
    <row r="15" s="1296">
      <c r="A15" s="1629" t="inlineStr">
        <is>
          <t>合同金额</t>
        </is>
      </c>
      <c r="B15" s="1630" t="n"/>
      <c r="C15" s="1630" t="n"/>
      <c r="D15" s="1630" t="n"/>
      <c r="E15" s="1630" t="n"/>
      <c r="F15" s="1630" t="n"/>
      <c r="G15" s="1630" t="n"/>
      <c r="H15" s="1630" t="n"/>
      <c r="I15" s="1630" t="n"/>
      <c r="J15" s="1630" t="n"/>
      <c r="K15" s="1630" t="n"/>
    </row>
    <row r="16" s="1296">
      <c r="A16" s="1629" t="inlineStr">
        <is>
          <t>交货时间/服务期间</t>
        </is>
      </c>
      <c r="B16" s="781" t="n"/>
      <c r="C16" s="781" t="n"/>
      <c r="D16" s="781" t="n"/>
      <c r="E16" s="781" t="n"/>
      <c r="F16" s="781" t="n"/>
      <c r="G16" s="781" t="n"/>
      <c r="H16" s="781" t="n"/>
      <c r="I16" s="781" t="n"/>
      <c r="J16" s="781" t="n"/>
      <c r="K16" s="781" t="n"/>
    </row>
    <row r="17" s="1296">
      <c r="A17" s="1629" t="inlineStr">
        <is>
          <t>交货方式/提供服务方式</t>
        </is>
      </c>
      <c r="B17" s="781" t="n"/>
      <c r="C17" s="781" t="n"/>
      <c r="D17" s="781" t="n"/>
      <c r="E17" s="781" t="n"/>
      <c r="F17" s="781" t="n"/>
      <c r="G17" s="781" t="n"/>
      <c r="H17" s="781" t="n"/>
      <c r="I17" s="781" t="n"/>
      <c r="J17" s="781" t="n"/>
      <c r="K17" s="781" t="n"/>
    </row>
    <row r="18" s="1296">
      <c r="A18" s="1629" t="inlineStr">
        <is>
          <t>结算方式</t>
        </is>
      </c>
      <c r="B18" s="781" t="n"/>
      <c r="C18" s="781" t="n"/>
      <c r="D18" s="781" t="n"/>
      <c r="E18" s="781" t="n"/>
      <c r="F18" s="781" t="n"/>
      <c r="G18" s="781" t="n"/>
      <c r="H18" s="781" t="n"/>
      <c r="I18" s="781" t="n"/>
      <c r="J18" s="781" t="n"/>
      <c r="K18" s="781" t="n"/>
    </row>
    <row r="19" s="1296">
      <c r="A19" s="1629" t="inlineStr">
        <is>
          <t>结算时间</t>
        </is>
      </c>
      <c r="B19" s="780" t="n"/>
      <c r="C19" s="780" t="n"/>
      <c r="D19" s="780" t="n"/>
      <c r="E19" s="780" t="n"/>
      <c r="F19" s="780" t="n"/>
      <c r="G19" s="780" t="n"/>
      <c r="H19" s="780" t="n"/>
      <c r="I19" s="780" t="n"/>
      <c r="J19" s="780" t="n"/>
      <c r="K19" s="780" t="n"/>
    </row>
    <row r="20" ht="19.5" customHeight="1" s="1296">
      <c r="A20" s="1629" t="inlineStr">
        <is>
          <t>质量保证条款</t>
        </is>
      </c>
      <c r="B20" s="781" t="n"/>
      <c r="C20" s="781" t="n"/>
      <c r="D20" s="781" t="n"/>
      <c r="E20" s="781" t="n"/>
      <c r="F20" s="781" t="n"/>
      <c r="G20" s="781" t="n"/>
      <c r="H20" s="781" t="n"/>
      <c r="I20" s="781" t="n"/>
      <c r="J20" s="781" t="n"/>
      <c r="K20" s="781" t="n"/>
    </row>
    <row r="21" ht="19.5" customHeight="1" s="1296">
      <c r="A21" s="1629" t="inlineStr">
        <is>
          <t>销售退回条款</t>
        </is>
      </c>
      <c r="B21" s="781" t="n"/>
      <c r="C21" s="781" t="n"/>
      <c r="D21" s="781" t="n"/>
      <c r="E21" s="781" t="n"/>
      <c r="F21" s="781" t="n"/>
      <c r="G21" s="781" t="n"/>
      <c r="H21" s="781" t="n"/>
      <c r="I21" s="781" t="n"/>
      <c r="J21" s="781" t="n"/>
      <c r="K21" s="781" t="n"/>
    </row>
    <row r="22" ht="19.5" customHeight="1" s="1296">
      <c r="A22" s="1629" t="inlineStr">
        <is>
          <t>违约条款</t>
        </is>
      </c>
      <c r="B22" s="781" t="n"/>
      <c r="C22" s="781" t="n"/>
      <c r="D22" s="781" t="n"/>
      <c r="E22" s="781" t="n"/>
      <c r="F22" s="781" t="n"/>
      <c r="G22" s="781" t="n"/>
      <c r="H22" s="781" t="n"/>
      <c r="I22" s="781" t="n"/>
      <c r="J22" s="781" t="n"/>
      <c r="K22" s="781" t="n"/>
    </row>
    <row r="23" ht="65" customHeight="1" s="1296">
      <c r="A23" s="1629" t="inlineStr">
        <is>
          <t>特殊约定（如信用期、运输方式、结算方式、合同模板不同于惯例，或质保、退换货条款等与同行业公司不同，等等）</t>
        </is>
      </c>
      <c r="B23" s="781" t="n"/>
      <c r="C23" s="781" t="n"/>
      <c r="D23" s="781" t="n"/>
      <c r="E23" s="781" t="n"/>
      <c r="F23" s="781" t="n"/>
      <c r="G23" s="781" t="n"/>
      <c r="H23" s="781" t="n"/>
      <c r="I23" s="781" t="n"/>
      <c r="J23" s="781" t="n"/>
      <c r="K23" s="781" t="n"/>
    </row>
    <row r="24" s="1296">
      <c r="A24" s="1629" t="inlineStr">
        <is>
          <t>订立双方是否签字</t>
        </is>
      </c>
      <c r="B24" s="781" t="n"/>
      <c r="C24" s="781" t="n"/>
      <c r="D24" s="781" t="n"/>
      <c r="E24" s="781" t="n"/>
      <c r="F24" s="781" t="n"/>
      <c r="G24" s="781" t="n"/>
      <c r="H24" s="781" t="n"/>
      <c r="I24" s="781" t="n"/>
      <c r="J24" s="781" t="n"/>
      <c r="K24" s="781" t="n"/>
    </row>
    <row r="25" s="1296">
      <c r="A25" s="1629" t="inlineStr">
        <is>
          <t>订立双方是否盖章</t>
        </is>
      </c>
      <c r="B25" s="781" t="n"/>
      <c r="C25" s="781" t="n"/>
      <c r="D25" s="781" t="n"/>
      <c r="E25" s="781" t="n"/>
      <c r="F25" s="781" t="n"/>
      <c r="G25" s="781" t="n"/>
      <c r="H25" s="781" t="n"/>
      <c r="I25" s="781" t="n"/>
      <c r="J25" s="781" t="n"/>
      <c r="K25" s="781" t="n"/>
    </row>
    <row r="26" s="1296">
      <c r="A26" s="1629" t="inlineStr">
        <is>
          <t>时段法/时点法</t>
        </is>
      </c>
      <c r="B26" s="781" t="n"/>
      <c r="C26" s="781" t="n"/>
      <c r="D26" s="781" t="n"/>
      <c r="E26" s="781" t="n"/>
      <c r="F26" s="781" t="n"/>
      <c r="G26" s="781" t="n"/>
      <c r="H26" s="781" t="n"/>
      <c r="I26" s="781" t="n"/>
      <c r="J26" s="781" t="n"/>
      <c r="K26" s="781" t="n"/>
    </row>
    <row r="27" s="1296">
      <c r="A27" s="1629" t="inlineStr">
        <is>
          <t>验收条款</t>
        </is>
      </c>
      <c r="B27" s="781" t="n"/>
      <c r="C27" s="781" t="n"/>
      <c r="D27" s="781" t="n"/>
      <c r="E27" s="781" t="n"/>
      <c r="F27" s="781" t="n"/>
      <c r="G27" s="781" t="n"/>
      <c r="H27" s="781" t="n"/>
      <c r="I27" s="781" t="n"/>
      <c r="J27" s="781" t="n"/>
      <c r="K27" s="781" t="n"/>
    </row>
    <row r="28" s="1296">
      <c r="A28" s="1629" t="inlineStr">
        <is>
          <t>收入确认时间</t>
        </is>
      </c>
      <c r="B28" s="782" t="n"/>
      <c r="C28" s="782" t="n"/>
      <c r="D28" s="782" t="n"/>
      <c r="E28" s="782" t="n"/>
      <c r="F28" s="782" t="n"/>
      <c r="G28" s="782" t="n"/>
      <c r="H28" s="782" t="n"/>
      <c r="I28" s="782" t="n"/>
      <c r="J28" s="782" t="n"/>
      <c r="K28" s="782" t="n"/>
    </row>
    <row r="29" ht="29.25" customHeight="1" s="1296">
      <c r="A29" s="1629" t="inlineStr">
        <is>
          <t>表明控制权转移的单据名称</t>
        </is>
      </c>
      <c r="B29" s="781" t="n"/>
      <c r="C29" s="781" t="n"/>
      <c r="D29" s="781" t="n"/>
      <c r="E29" s="781" t="n"/>
      <c r="F29" s="781" t="n"/>
      <c r="G29" s="781" t="n"/>
      <c r="H29" s="781" t="n"/>
      <c r="I29" s="781" t="n"/>
      <c r="J29" s="781" t="n"/>
      <c r="K29" s="781" t="n"/>
    </row>
    <row r="30" ht="106.5" customHeight="1" s="1296">
      <c r="A30" s="1629" t="inlineStr">
        <is>
          <t>是否涉及特定交易（附有质量保证条款的销售\附有销售退回条款的销售\主要责任人和代理人\售后回购交易\分期收款销售\寄售商品\以旧换新\授予知识产权，客户未行使的权利等）以及相关说明</t>
        </is>
      </c>
      <c r="B30" s="781" t="n"/>
      <c r="C30" s="781" t="n"/>
      <c r="D30" s="781" t="n"/>
      <c r="E30" s="781" t="n"/>
      <c r="F30" s="781" t="n"/>
      <c r="G30" s="781" t="n"/>
      <c r="H30" s="781" t="n"/>
      <c r="I30" s="781" t="n"/>
      <c r="J30" s="781" t="n"/>
      <c r="K30" s="781" t="n"/>
    </row>
    <row r="31" ht="39" customHeight="1" s="1296">
      <c r="A31" s="1629" t="inlineStr">
        <is>
          <t>结论（关注合同条款是否符合行业惯例、不同期间和不同客户是否保持一致）</t>
        </is>
      </c>
      <c r="B31" s="781" t="n"/>
      <c r="C31" s="781" t="n"/>
      <c r="D31" s="781" t="n"/>
      <c r="E31" s="781" t="n"/>
      <c r="F31" s="781" t="n"/>
      <c r="G31" s="781" t="n"/>
      <c r="H31" s="781" t="n"/>
      <c r="I31" s="781" t="n"/>
      <c r="J31" s="781" t="n"/>
      <c r="K31" s="781" t="n"/>
    </row>
    <row r="32" customFormat="1" s="765">
      <c r="A32" s="785" t="inlineStr">
        <is>
          <t>三、审计说明</t>
        </is>
      </c>
      <c r="B32" s="786" t="n"/>
      <c r="C32" s="786" t="n"/>
      <c r="D32" s="786" t="n"/>
      <c r="E32" s="787" t="n"/>
      <c r="F32" s="787" t="n"/>
      <c r="G32" s="787" t="n"/>
      <c r="H32" s="787" t="n"/>
      <c r="I32" s="787" t="n"/>
      <c r="J32" s="787" t="n"/>
      <c r="K32" s="787" t="n"/>
    </row>
    <row r="33" customFormat="1" s="765">
      <c r="A33" s="785" t="n"/>
      <c r="B33" s="786" t="n"/>
      <c r="C33" s="786" t="n"/>
      <c r="D33" s="786" t="n"/>
      <c r="E33" s="787" t="n"/>
      <c r="F33" s="787" t="n"/>
      <c r="G33" s="787" t="n"/>
      <c r="H33" s="787" t="n"/>
      <c r="I33" s="787" t="n"/>
      <c r="J33" s="787" t="n"/>
      <c r="K33" s="787" t="n"/>
    </row>
    <row r="34" customFormat="1" s="765">
      <c r="A34" s="785" t="n"/>
      <c r="B34" s="786" t="n"/>
      <c r="C34" s="786" t="n"/>
      <c r="D34" s="786" t="n"/>
      <c r="E34" s="787" t="n"/>
      <c r="F34" s="787" t="n"/>
      <c r="G34" s="787" t="n"/>
      <c r="H34" s="787" t="n"/>
      <c r="I34" s="787" t="n"/>
      <c r="J34" s="787" t="n"/>
      <c r="K34" s="787" t="n"/>
    </row>
    <row r="35" customFormat="1" s="765">
      <c r="A35" s="788" t="n"/>
      <c r="B35" s="786" t="n"/>
      <c r="C35" s="786" t="n"/>
      <c r="D35" s="786" t="n"/>
      <c r="E35" s="787" t="n"/>
      <c r="F35" s="787" t="n"/>
      <c r="G35" s="787" t="n"/>
      <c r="H35" s="787" t="n"/>
      <c r="I35" s="787" t="n"/>
      <c r="J35" s="787" t="n"/>
      <c r="K35" s="787" t="n"/>
    </row>
    <row r="36" customFormat="1" s="765">
      <c r="A36" s="785" t="inlineStr">
        <is>
          <t>四、审计结论</t>
        </is>
      </c>
      <c r="B36" s="786" t="n"/>
      <c r="C36" s="786" t="n"/>
      <c r="D36" s="786" t="n"/>
      <c r="E36" s="787" t="n"/>
      <c r="F36" s="787" t="n"/>
      <c r="G36" s="787" t="n"/>
      <c r="H36" s="787" t="n"/>
      <c r="I36" s="787" t="n"/>
      <c r="J36" s="787" t="n"/>
      <c r="K36" s="787" t="n"/>
    </row>
    <row r="37" customFormat="1" s="765">
      <c r="A37" s="788" t="n"/>
      <c r="B37" s="786" t="n"/>
      <c r="C37" s="786" t="n"/>
      <c r="D37" s="786" t="n"/>
      <c r="E37" s="787" t="n"/>
      <c r="F37" s="787" t="n"/>
      <c r="G37" s="787" t="n"/>
      <c r="H37" s="787" t="n"/>
      <c r="I37" s="787" t="n"/>
      <c r="J37" s="787" t="n"/>
      <c r="K37" s="787" t="n"/>
    </row>
    <row r="38" s="1296">
      <c r="A38" s="789" t="inlineStr">
        <is>
          <t>提示1：表明销售合同异常举例如下：</t>
        </is>
      </c>
    </row>
    <row r="39" s="1296">
      <c r="A39" s="789" t="inlineStr">
        <is>
          <t>（1）销售合同未签字盖章，或者销售合同上加盖的公章并不属于合同所指定的客户。</t>
        </is>
      </c>
    </row>
    <row r="40" s="1296">
      <c r="A40" s="789" t="inlineStr">
        <is>
          <t>（2）销售合同中重要条款（例如，交货地点、付款条件）缺失或含糊。</t>
        </is>
      </c>
    </row>
    <row r="41" s="1296">
      <c r="A41" s="789" t="inlineStr">
        <is>
          <t>（3）销售合同中部分条款或条件不同于被审计单位的标准销售合同，或过于复杂。</t>
        </is>
      </c>
    </row>
    <row r="42" s="1296">
      <c r="A42" s="789" t="inlineStr">
        <is>
          <t>（4）销售合同或发运单上的日期被更改。</t>
        </is>
      </c>
    </row>
    <row r="43" s="1296">
      <c r="A43" s="789" t="inlineStr">
        <is>
          <t>提示2：根据《中国注册会计师审计准则问题解答第18号——识别和应对第三方配合实施财务舞弊》，项目组在合同检查时，除关注被审计单位舞弊还应关注是否存在第三方配合舞弊迹象，包括不限于：</t>
        </is>
      </c>
    </row>
    <row r="44" s="1296">
      <c r="A44" s="789" t="inlineStr">
        <is>
          <t>（1）第三方配合被审计单位签订购销合同。被审计单位通过“真”合同，假交易，虚构收入。</t>
        </is>
      </c>
    </row>
    <row r="45" s="1296">
      <c r="A45" s="789" t="inlineStr">
        <is>
          <t>（2）第三方配合被审计单位隐瞒相关合同条款或“抽屉”协议，如退货条款、价格保护机制、不满足收入确认条件的售后回购或售后回租条款等，被审计单位在不满足收入确认条件的情况下确认收入或多计收入。</t>
        </is>
      </c>
    </row>
    <row r="46" s="1296">
      <c r="A46" s="789" t="inlineStr">
        <is>
          <t>（3）在第三方配合下，进行显失公允的交易。例如，以明显高于其他客户的价格向第三方销售商品。再如，与同一客户或同受一方控制的多个客户在各期发生多次交易，在客户配合下，通过调节各次交易的商品销售价格，调节各期销售收入金额。</t>
        </is>
      </c>
    </row>
    <row r="47" s="1296">
      <c r="A47" s="789" t="inlineStr">
        <is>
          <t>（4）在第三方配合下，构建不具有商业实质的贸易业务，并确认收入。</t>
        </is>
      </c>
    </row>
    <row r="48" s="1296">
      <c r="A48" s="789" t="inlineStr">
        <is>
          <t>（5）对于属于在某一时段内履约并采用产出法确定履约进度的销售交易，第三方配合被审计单位高估履约进度实现当期多确认收入。</t>
        </is>
      </c>
    </row>
    <row r="49" s="1296">
      <c r="A49" s="789" t="inlineStr">
        <is>
          <t>（6）交易价格、交易方式或合同条款明显不同于被审计单位与其他方的交易。</t>
        </is>
      </c>
    </row>
    <row r="50" s="1296">
      <c r="A50" s="789" t="inlineStr">
        <is>
          <t>（7）第三方拒绝确认注册会计师要求其确认的某些事项。例如，注册会计师要求被审计单位客户确认不存在除销售合同之外的“抽屉协议”，该客户拒绝确认。</t>
        </is>
      </c>
    </row>
    <row r="51" s="1296">
      <c r="A51" s="789" t="inlineStr">
        <is>
          <t>提示3：项目组在检查合同时，应判断是否符合企业会计准则合同成立条件以及其他相关规定，包括不限于：</t>
        </is>
      </c>
      <c r="B51" s="790" t="n"/>
      <c r="C51" s="1631" t="n"/>
      <c r="D51" s="1631" t="n"/>
      <c r="E51" s="1632" t="n"/>
      <c r="F51" s="1633" t="n"/>
      <c r="G51" s="1633" t="n"/>
      <c r="H51" s="1633" t="n"/>
      <c r="I51" s="1633" t="n"/>
      <c r="J51" s="1633" t="n"/>
      <c r="K51" s="1633" t="n"/>
    </row>
    <row r="52" s="1296">
      <c r="A52" s="789" t="inlineStr">
        <is>
          <t>（1）分业务类型选取重要合同样本，分析合同是否成立（同时满足合同成立的五项条件）。</t>
        </is>
      </c>
      <c r="B52" s="790" t="n"/>
      <c r="C52" s="1631" t="n"/>
      <c r="D52" s="1631" t="n"/>
      <c r="E52" s="1632" t="n"/>
      <c r="F52" s="1633" t="n"/>
      <c r="G52" s="1633" t="n"/>
      <c r="H52" s="1633" t="n"/>
      <c r="I52" s="1633" t="n"/>
      <c r="J52" s="1633" t="n"/>
      <c r="K52" s="1633" t="n"/>
    </row>
    <row r="53" s="1296">
      <c r="A53" s="789" t="inlineStr">
        <is>
          <t>（2）判断被审计单位对合同所包含的各单项履约义务（客户能够从该商品本身或从该商品与其他易于获得资源一起使用中受益；企业向客户转让该商品的承诺与合同中其他承诺可单独区分）的评估是否恰当。</t>
        </is>
      </c>
      <c r="B53" s="790" t="n"/>
      <c r="C53" s="1631" t="n"/>
      <c r="D53" s="1631" t="n"/>
      <c r="E53" s="1632" t="n"/>
      <c r="F53" s="1633" t="n"/>
      <c r="G53" s="1633" t="n"/>
      <c r="H53" s="1633" t="n"/>
      <c r="I53" s="1633" t="n"/>
      <c r="J53" s="1633" t="n"/>
      <c r="K53" s="1633" t="n"/>
    </row>
    <row r="54" s="1296">
      <c r="A54" s="789" t="inlineStr">
        <is>
          <t>（3）合同中包含两项或多项履约义务的，测试交易价格的分摊是否正确。考虑单独售价的估计方法、合同折扣的分摊、可变对价后续变动额的分摊是否合理。</t>
        </is>
      </c>
      <c r="B54" s="790" t="n"/>
      <c r="C54" s="1631" t="n"/>
      <c r="D54" s="1631" t="n"/>
      <c r="E54" s="1632" t="n"/>
      <c r="F54" s="1633" t="n"/>
      <c r="G54" s="1633" t="n"/>
      <c r="H54" s="1633" t="n"/>
      <c r="I54" s="1633" t="n"/>
      <c r="J54" s="1633" t="n"/>
      <c r="K54" s="1633" t="n"/>
    </row>
    <row r="55" s="1296">
      <c r="A55" s="789" t="inlineStr">
        <is>
          <t>（4）对于被审计单位与同一客户（或该客户的关联方）同时订立或在相近时间内先后订立的两份或多份合同，分析会计处理是否正确。</t>
        </is>
      </c>
      <c r="B55" s="790" t="n"/>
      <c r="C55" s="1631" t="n"/>
      <c r="D55" s="1631" t="n"/>
      <c r="E55" s="1632" t="n"/>
      <c r="F55" s="1633" t="n"/>
      <c r="G55" s="1633" t="n"/>
      <c r="H55" s="1633" t="n"/>
      <c r="I55" s="1633" t="n"/>
      <c r="J55" s="1633" t="n"/>
      <c r="K55" s="1633" t="n"/>
    </row>
    <row r="56" s="1296">
      <c r="A56" s="789" t="inlineStr">
        <is>
          <t>（5）确定对原始合同的修改以及增加均有签字确认，分析合同变更的会计处理是否正确。</t>
        </is>
      </c>
      <c r="B56" s="790" t="n"/>
      <c r="C56" s="1631" t="n"/>
      <c r="D56" s="1631" t="n"/>
      <c r="E56" s="1632" t="n"/>
      <c r="F56" s="1633" t="n"/>
      <c r="G56" s="1633" t="n"/>
      <c r="H56" s="1633" t="n"/>
      <c r="I56" s="1633" t="n"/>
      <c r="J56" s="1633" t="n"/>
      <c r="K56" s="1633" t="n"/>
    </row>
    <row r="57" s="1296">
      <c r="A57" s="789" t="inlineStr">
        <is>
          <t>提示4：五步法分析、主要责任人和代理人、知识产权等可参考&lt;营业收入五步法、主要责任人代理人、知识产权分析参考示例&gt;。</t>
        </is>
      </c>
      <c r="B57" s="790" t="n"/>
      <c r="C57" s="1631" t="n"/>
      <c r="D57" s="1631" t="n"/>
      <c r="E57" s="1632" t="n"/>
      <c r="F57" s="1633" t="n"/>
      <c r="G57" s="1633" t="n"/>
      <c r="H57" s="1633" t="n"/>
      <c r="I57" s="1633" t="n"/>
      <c r="J57" s="1633" t="n"/>
      <c r="K57" s="1633" t="n"/>
    </row>
  </sheetData>
  <mergeCells count="2">
    <mergeCell ref="A2:K2"/>
    <mergeCell ref="A1:K1"/>
  </mergeCells>
  <printOptions horizontalCentered="1"/>
  <pageMargins left="0.708333333333333" right="0.708333333333333" top="0.747916666666667" bottom="0.747916666666667" header="0.314583333333333" footer="0.314583333333333"/>
  <pageSetup orientation="landscape" paperSize="9" scale="80" fitToHeight="0" blackAndWhite="1"/>
  <headerFooter alignWithMargins="0">
    <oddHeader/>
    <oddFooter>&amp;C&amp;P/&amp;N</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G27"/>
  <sheetViews>
    <sheetView workbookViewId="0">
      <selection activeCell="E14" sqref="E14"/>
    </sheetView>
  </sheetViews>
  <sheetFormatPr baseColWidth="8" defaultColWidth="9.81818181818182" defaultRowHeight="20.1" customHeight="1"/>
  <cols>
    <col width="96.4818181818182" customWidth="1" style="1634" min="1" max="1"/>
    <col width="4.36363636363636" customWidth="1" style="1634" min="2" max="2"/>
    <col width="5.20909090909091" customWidth="1" style="1634" min="3" max="3"/>
    <col width="6.78181818181818" customWidth="1" style="1634" min="4" max="4"/>
    <col width="36.8454545454545" customWidth="1" style="1634" min="5" max="5"/>
    <col width="9.81818181818182" customWidth="1" style="1634" min="6" max="16384"/>
  </cols>
  <sheetData>
    <row r="1" ht="19.95" customHeight="1" s="1296">
      <c r="A1" s="1295" t="inlineStr">
        <is>
          <t>底稿开列时，可先在以下单元格填写有关内容，以便其他底稿引用有关数据：</t>
        </is>
      </c>
      <c r="B1" s="1294" t="n"/>
      <c r="C1" s="1294" t="n"/>
      <c r="D1" s="1294" t="n"/>
      <c r="E1" s="1294" t="n"/>
      <c r="F1" s="1294" t="n"/>
    </row>
    <row r="2" ht="19.95" customHeight="1" s="1296">
      <c r="A2" s="1635" t="inlineStr">
        <is>
          <t>被审计单位：</t>
        </is>
      </c>
      <c r="B2" s="1298" t="n"/>
      <c r="C2" s="1298" t="n"/>
      <c r="D2" s="1299" t="inlineStr">
        <is>
          <t>序号</t>
        </is>
      </c>
      <c r="E2" s="1299" t="inlineStr">
        <is>
          <t>内容</t>
        </is>
      </c>
      <c r="F2" s="1299" t="inlineStr">
        <is>
          <t>索引号</t>
        </is>
      </c>
    </row>
    <row r="3" ht="19.95" customHeight="1" s="1296">
      <c r="A3" s="1300" t="inlineStr">
        <is>
          <t>会计期间：202X年度</t>
        </is>
      </c>
      <c r="B3" s="1298" t="n"/>
      <c r="C3" s="1298" t="n"/>
      <c r="D3" s="755" t="n">
        <v>1</v>
      </c>
      <c r="E3" s="1636" t="inlineStr">
        <is>
          <t>营业收入账面金额与ERP系统核对记录</t>
        </is>
      </c>
      <c r="F3" s="1303" t="inlineStr">
        <is>
          <t>D4-13</t>
        </is>
      </c>
    </row>
    <row r="4" ht="19.95" customHeight="1" s="1296">
      <c r="A4" s="1635" t="inlineStr">
        <is>
          <t>编制人：</t>
        </is>
      </c>
      <c r="B4" s="1293" t="n"/>
      <c r="C4" s="1293" t="n"/>
      <c r="D4" s="755" t="n">
        <v>2</v>
      </c>
      <c r="E4" s="1636" t="inlineStr">
        <is>
          <t>营业收入发生检查表</t>
        </is>
      </c>
      <c r="F4" s="1303" t="inlineStr">
        <is>
          <t>D4-14</t>
        </is>
      </c>
    </row>
    <row r="5" ht="19.95" customHeight="1" s="1296">
      <c r="A5" s="1635" t="inlineStr">
        <is>
          <t>编制日期：</t>
        </is>
      </c>
      <c r="B5" s="1293" t="n"/>
      <c r="C5" s="1293" t="n"/>
      <c r="D5" s="755" t="n">
        <v>3</v>
      </c>
      <c r="E5" s="1636" t="inlineStr">
        <is>
          <t>营业收入完整性检查表</t>
        </is>
      </c>
      <c r="F5" s="1303" t="inlineStr">
        <is>
          <t>D4-15</t>
        </is>
      </c>
    </row>
    <row r="6" ht="19.95" customHeight="1" s="1296">
      <c r="A6" s="1637" t="inlineStr">
        <is>
          <t>复核人：</t>
        </is>
      </c>
      <c r="B6" s="1293" t="n"/>
      <c r="C6" s="1293" t="n"/>
      <c r="D6" s="755" t="n">
        <v>4</v>
      </c>
      <c r="E6" s="1636" t="inlineStr">
        <is>
          <t>出口收入电子口岸系统核对</t>
        </is>
      </c>
      <c r="F6" s="1303" t="inlineStr">
        <is>
          <t>D4-16</t>
        </is>
      </c>
    </row>
    <row r="7" ht="19.95" customHeight="1" s="1296">
      <c r="A7" s="1637" t="inlineStr">
        <is>
          <t>复核日期：</t>
        </is>
      </c>
      <c r="B7" s="1293" t="n"/>
      <c r="C7" s="1293" t="n"/>
      <c r="D7" s="755" t="n">
        <v>5</v>
      </c>
      <c r="E7" s="1636" t="inlineStr">
        <is>
          <t>营业收入截止测试（账到单据）</t>
        </is>
      </c>
      <c r="F7" s="1303" t="inlineStr">
        <is>
          <t>D4-17</t>
        </is>
      </c>
    </row>
    <row r="8" ht="19.95" customHeight="1" s="1296">
      <c r="A8" s="1308" t="n"/>
      <c r="B8" s="1293" t="n"/>
      <c r="C8" s="1293" t="n"/>
      <c r="D8" s="755" t="n">
        <v>6</v>
      </c>
      <c r="E8" s="1636" t="inlineStr">
        <is>
          <t>营业收入截止测试（单据到账）</t>
        </is>
      </c>
      <c r="F8" s="1303" t="inlineStr">
        <is>
          <t>D4-18</t>
        </is>
      </c>
    </row>
    <row r="9" ht="19.95" customHeight="1" s="1296">
      <c r="A9" s="1309" t="inlineStr">
        <is>
          <t>关于工作底稿与审计程序索引号对应的说明</t>
        </is>
      </c>
      <c r="B9" s="1293" t="n"/>
      <c r="C9" s="1293" t="n"/>
      <c r="D9" s="755" t="n">
        <v>7</v>
      </c>
      <c r="E9" s="1636" t="inlineStr">
        <is>
          <t>销售折扣与折让检查</t>
        </is>
      </c>
      <c r="F9" s="1303" t="inlineStr">
        <is>
          <t>D4-19</t>
        </is>
      </c>
    </row>
    <row r="10" ht="19.95" customHeight="1" s="1296">
      <c r="A10" s="1310"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1293" t="n"/>
      <c r="C10" s="1293" t="n"/>
      <c r="D10" s="755" t="n">
        <v>8</v>
      </c>
      <c r="E10" s="1636" t="inlineStr">
        <is>
          <t>销售退货检查</t>
        </is>
      </c>
      <c r="F10" s="1303" t="inlineStr">
        <is>
          <t>D4-20</t>
        </is>
      </c>
    </row>
    <row r="11" ht="19.95" customFormat="1" customHeight="1" s="1638">
      <c r="A11" s="1311" t="n"/>
      <c r="B11" s="1294" t="n"/>
      <c r="C11" s="1294" t="n"/>
    </row>
    <row r="12" ht="19.95" customFormat="1" customHeight="1" s="1638">
      <c r="A12" s="1311" t="n"/>
      <c r="B12" s="1294" t="n"/>
      <c r="C12" s="1294" t="n"/>
    </row>
    <row r="13" ht="19.95" customFormat="1" customHeight="1" s="1638">
      <c r="A13" s="1311" t="n"/>
      <c r="B13" s="1294" t="n"/>
      <c r="C13" s="1294" t="n"/>
    </row>
    <row r="14" ht="19.95" customFormat="1" customHeight="1" s="1638">
      <c r="A14" s="1310"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1294" t="n"/>
      <c r="C14" s="1294" t="n"/>
    </row>
    <row r="15" ht="19.95" customFormat="1" customHeight="1" s="1638">
      <c r="A15" s="1311" t="n"/>
      <c r="B15" s="1294" t="n"/>
      <c r="C15" s="1294" t="n"/>
    </row>
    <row r="16" ht="19.95" customFormat="1" customHeight="1" s="1638">
      <c r="A16" s="1311" t="n"/>
      <c r="B16" s="1294" t="n"/>
      <c r="C16" s="1294" t="n"/>
    </row>
    <row r="17" ht="19.95" customFormat="1" customHeight="1" s="1638">
      <c r="A17" s="1313" t="inlineStr">
        <is>
          <t>3.工作底稿索引号的编码规则：实质性程序索引号按循环从“D”到“N”,循环内账户以顺序号排列，模板中底稿索引号按账户顺序+自然数顺序（即模板中索引号按二级自然顺序排列，如D1-1、D1-2、D1-3、……D1-N）。</t>
        </is>
      </c>
      <c r="B17" s="1294" t="n"/>
      <c r="C17" s="1294" t="n"/>
    </row>
    <row r="18" ht="19.95" customFormat="1" customHeight="1" s="1638">
      <c r="A18" s="1311" t="n"/>
      <c r="B18" s="1294" t="n"/>
      <c r="C18" s="1294" t="n"/>
    </row>
    <row r="19" ht="19.95" customFormat="1" customHeight="1" s="1638">
      <c r="A19" s="1311" t="n"/>
      <c r="B19" s="1294" t="n"/>
      <c r="C19" s="1294" t="n"/>
    </row>
    <row r="20" ht="19.95" customHeight="1" s="1296"/>
    <row r="26" s="1296">
      <c r="G26" s="1293" t="n"/>
    </row>
    <row r="27" s="1296">
      <c r="G27" s="1293" t="n"/>
    </row>
  </sheetData>
  <mergeCells count="3">
    <mergeCell ref="A14:A16"/>
    <mergeCell ref="A17:A19"/>
    <mergeCell ref="A10:A13"/>
  </mergeCells>
  <hyperlinks>
    <hyperlink ref="E3" location="'营业收入账面金额与ERP系统核对记录D4-13'!A1" display="营业收入账面金额与ERP系统核对记录"/>
    <hyperlink ref="E4" location="'营业收入发生检查表D4-14'!A1" display="营业收入发生检查表"/>
    <hyperlink ref="E5" location="'营业收入完整性检查表D4-15'!A1" display="营业收入完整性检查表"/>
    <hyperlink ref="E6" location="'出口收入电子口岸系统核对D4-16'!A1" display="出口收入电子口岸系统核对"/>
    <hyperlink ref="E7" location="'营业收入截止测试（账到单据）D4-17'!A1" display="营业收入截止测试（账到单据）"/>
    <hyperlink ref="E8" location="'营业收入截止测试（单据到账）D4-18'!A1" display="营业收入截止测试（单据到账）"/>
    <hyperlink ref="E9" location="'销售折扣与折让检查D4-19'!A1" display="销售折扣与折让检查"/>
    <hyperlink ref="E10" location="'销售退货检查表 D4-20'!A1" display="销售退货检查"/>
  </hyperlinks>
  <pageMargins left="0.708333333333333" right="0.708333333333333" top="0.747916666666667" bottom="0.747916666666667" header="0.314583333333333" footer="0.314583333333333"/>
  <pageSetup orientation="portrait" paperSize="9" scale="74" blackAndWhite="1"/>
  <headerFooter>
    <oddHeader/>
    <oddFooter>&amp;C&amp;P/&amp;N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E19"/>
  <sheetViews>
    <sheetView view="pageBreakPreview" zoomScaleNormal="100" workbookViewId="0">
      <selection activeCell="A1" sqref="A1:E1"/>
    </sheetView>
  </sheetViews>
  <sheetFormatPr baseColWidth="8" defaultColWidth="9.81818181818182" defaultRowHeight="20.1" customHeight="1"/>
  <cols>
    <col width="33.9363636363636" customWidth="1" style="1639" min="1" max="1"/>
    <col width="30.3" customWidth="1" style="1639" min="2" max="2"/>
    <col width="31.0272727272727" customWidth="1" style="1639" min="3" max="3"/>
    <col width="12.3636363636364" customWidth="1" style="1639" min="4" max="4"/>
    <col width="9.81818181818182" customWidth="1" style="1639" min="5" max="16384"/>
  </cols>
  <sheetData>
    <row r="1" s="1296">
      <c r="A1" s="1543" t="inlineStr">
        <is>
          <t>致同会计师事务所</t>
        </is>
      </c>
    </row>
    <row r="2" s="1296">
      <c r="A2" s="1544" t="inlineStr">
        <is>
          <t>营业收入账面金额与ERP系统核对记录</t>
        </is>
      </c>
    </row>
    <row r="3" s="1296">
      <c r="A3" s="1545" t="inlineStr">
        <is>
          <t>被审计单位：</t>
        </is>
      </c>
      <c r="B3" s="1545" t="inlineStr">
        <is>
          <t>编制人：</t>
        </is>
      </c>
      <c r="C3" s="1545" t="inlineStr">
        <is>
          <t>编制日期：</t>
        </is>
      </c>
      <c r="D3" s="1547" t="inlineStr">
        <is>
          <t>索引号：</t>
        </is>
      </c>
      <c r="E3" s="1640" t="inlineStr">
        <is>
          <t>D4-13</t>
        </is>
      </c>
    </row>
    <row r="4" s="1296">
      <c r="A4" s="1545" t="inlineStr">
        <is>
          <t>会计期间：202X年度</t>
        </is>
      </c>
      <c r="B4" s="1545" t="inlineStr">
        <is>
          <t>复核人：</t>
        </is>
      </c>
      <c r="C4" s="1545" t="inlineStr">
        <is>
          <t>复核日期：</t>
        </is>
      </c>
      <c r="D4" s="1547" t="inlineStr">
        <is>
          <t>页次：</t>
        </is>
      </c>
    </row>
    <row r="5" s="1296">
      <c r="A5" s="1641" t="inlineStr">
        <is>
          <t>一、核对过程</t>
        </is>
      </c>
    </row>
    <row r="6" s="1296">
      <c r="A6" s="530" t="n"/>
      <c r="B6" s="530" t="n"/>
      <c r="C6" s="530" t="n"/>
      <c r="D6" s="530" t="n"/>
      <c r="E6" s="530" t="n"/>
    </row>
    <row r="7" s="1296">
      <c r="A7" s="530" t="n"/>
      <c r="B7" s="530" t="n"/>
      <c r="C7" s="530" t="n"/>
      <c r="D7" s="530" t="n"/>
      <c r="E7" s="530" t="n"/>
    </row>
    <row r="8" s="1296">
      <c r="A8" s="530" t="n"/>
      <c r="B8" s="530" t="n"/>
      <c r="C8" s="530" t="n"/>
      <c r="D8" s="530" t="n"/>
      <c r="E8" s="530" t="n"/>
    </row>
    <row r="9" s="1296">
      <c r="A9" s="530" t="n"/>
      <c r="B9" s="530" t="n"/>
      <c r="C9" s="530" t="n"/>
      <c r="D9" s="530" t="n"/>
      <c r="E9" s="530" t="n"/>
    </row>
    <row r="10" s="1296">
      <c r="A10" s="530" t="n"/>
      <c r="B10" s="530" t="n"/>
      <c r="C10" s="530" t="n"/>
      <c r="D10" s="530" t="n"/>
      <c r="E10" s="530" t="n"/>
    </row>
    <row r="11" s="1296">
      <c r="A11" s="530" t="n"/>
      <c r="B11" s="530" t="n"/>
      <c r="C11" s="530" t="n"/>
      <c r="D11" s="530" t="n"/>
      <c r="E11" s="530" t="n"/>
    </row>
    <row r="12" s="1296">
      <c r="A12" s="530" t="n"/>
      <c r="B12" s="530" t="n"/>
      <c r="C12" s="530" t="n"/>
      <c r="D12" s="530" t="n"/>
      <c r="E12" s="530" t="n"/>
    </row>
    <row r="13" s="1296">
      <c r="A13" s="530" t="n"/>
      <c r="B13" s="530" t="n"/>
      <c r="C13" s="530" t="n"/>
      <c r="D13" s="530" t="n"/>
      <c r="E13" s="530" t="n"/>
    </row>
    <row r="14" s="1296">
      <c r="A14" s="530" t="n"/>
      <c r="B14" s="530" t="n"/>
      <c r="C14" s="530" t="n"/>
      <c r="D14" s="530" t="n"/>
      <c r="E14" s="530" t="n"/>
    </row>
    <row r="15" s="1296">
      <c r="A15" s="748" t="inlineStr">
        <is>
          <t>二、核对结论</t>
        </is>
      </c>
      <c r="B15" s="530" t="n"/>
      <c r="C15" s="530" t="n"/>
      <c r="D15" s="530" t="n"/>
      <c r="E15" s="530" t="n"/>
    </row>
    <row r="16" s="1296">
      <c r="A16" s="530" t="n"/>
      <c r="B16" s="530" t="n"/>
      <c r="C16" s="530" t="n"/>
      <c r="D16" s="530" t="n"/>
      <c r="E16" s="530" t="n"/>
    </row>
    <row r="17" s="1296">
      <c r="A17" s="530" t="n"/>
      <c r="B17" s="530" t="n"/>
      <c r="C17" s="530" t="n"/>
      <c r="D17" s="530" t="n"/>
      <c r="E17" s="530" t="n"/>
    </row>
    <row r="18" s="1296">
      <c r="A18" s="530" t="n"/>
      <c r="B18" s="530" t="n"/>
      <c r="C18" s="530" t="n"/>
      <c r="D18" s="530" t="n"/>
      <c r="E18" s="530" t="n"/>
    </row>
    <row r="19" s="1296">
      <c r="A19" s="1642" t="inlineStr">
        <is>
          <t>提示：对于互联网等业务数据量大的被审计单位，应结合IT审计完成核对。</t>
        </is>
      </c>
    </row>
  </sheetData>
  <mergeCells count="2">
    <mergeCell ref="A2:E2"/>
    <mergeCell ref="A1:E1"/>
  </mergeCells>
  <hyperlinks>
    <hyperlink ref="E3" location="底稿目录!A1" display="='D:\GT_plan\backend\wp_templates\D\[D4-13至D4-20主营业务收入-检查（Leap应对措施-检查）.xlsx]底稿目录'!F3"/>
  </hyperlinks>
  <pageMargins left="0.708333333333333" right="0.708333333333333" top="0.747916666666667" bottom="0.747916666666667" header="0.314583333333333" footer="0.314583333333333"/>
  <pageSetup orientation="portrait" paperSize="9" scale="68" blackAndWhite="1"/>
  <headerFooter>
    <oddHeader/>
    <oddFooter>&amp;C&amp;P/&amp;N</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AK52"/>
  <sheetViews>
    <sheetView view="pageBreakPreview" zoomScaleNormal="100" workbookViewId="0">
      <selection activeCell="A1" sqref="A1:T1"/>
    </sheetView>
  </sheetViews>
  <sheetFormatPr baseColWidth="8" defaultColWidth="9.81818181818182" defaultRowHeight="20.1" customHeight="1"/>
  <cols>
    <col width="6.41818181818182" customWidth="1" style="1643" min="1" max="1"/>
    <col width="14.7909090909091" customWidth="1" style="1643" min="2" max="2"/>
    <col width="10.1818181818182" customWidth="1" style="1643" min="3" max="6"/>
    <col width="10.7818181818182" customWidth="1" style="1643" min="7" max="7"/>
    <col width="11.1454545454545" customWidth="1" style="1643" min="8" max="8"/>
    <col width="11.7545454545455" customWidth="1" style="1643" min="9" max="9"/>
    <col width="9.45454545454546" customWidth="1" style="1643" min="10" max="10"/>
    <col width="11.0272727272727" customWidth="1" style="1643" min="11" max="12"/>
    <col width="8.481818181818181" customWidth="1" style="1643" min="13" max="13"/>
    <col width="8.24545454545455" customWidth="1" style="1643" min="14" max="14"/>
    <col width="8.36363636363636" customWidth="1" style="1643" min="15" max="15"/>
    <col width="11.0272727272727" customWidth="1" style="1643" min="16" max="16"/>
    <col width="9.69090909090909" customWidth="1" style="1643" min="17" max="17"/>
    <col width="11.0272727272727" customWidth="1" style="1643" min="18" max="23"/>
    <col width="10.1818181818182" customWidth="1" style="1643" min="24" max="24"/>
    <col width="11.0272727272727" customWidth="1" style="1643" min="25" max="25"/>
    <col width="12.2363636363636" customWidth="1" style="1643" min="26" max="26"/>
    <col width="19.6363636363636" customWidth="1" style="1643" min="27" max="27"/>
    <col width="12.3636363636364" customWidth="1" style="1643" min="28" max="32"/>
    <col width="8.963636363636359" customWidth="1" style="1643" min="33" max="34"/>
    <col width="13.9363636363636" customWidth="1" style="1643" min="35" max="35"/>
    <col width="9.936363636363639" customWidth="1" style="1643" min="36" max="36"/>
    <col width="8.24545454545455" customWidth="1" style="1643" min="37" max="37"/>
    <col width="9.81818181818182" customWidth="1" style="1643" min="38" max="16384"/>
  </cols>
  <sheetData>
    <row r="1" customFormat="1" s="1644">
      <c r="A1" s="1645" t="inlineStr">
        <is>
          <t>致同会计师事务所</t>
        </is>
      </c>
      <c r="B1" s="1311" t="n"/>
      <c r="C1" s="1311" t="n"/>
      <c r="D1" s="1311" t="n"/>
      <c r="E1" s="1311" t="n"/>
      <c r="F1" s="1311" t="n"/>
      <c r="G1" s="1311" t="n"/>
      <c r="H1" s="1311" t="n"/>
      <c r="I1" s="1311" t="n"/>
      <c r="J1" s="1311" t="n"/>
      <c r="K1" s="1311" t="n"/>
      <c r="L1" s="1311" t="n"/>
      <c r="M1" s="1311" t="n"/>
      <c r="N1" s="1311" t="n"/>
      <c r="O1" s="1311" t="n"/>
      <c r="P1" s="1311" t="n"/>
      <c r="Q1" s="1311" t="n"/>
      <c r="R1" s="1311" t="n"/>
      <c r="S1" s="1311" t="n"/>
      <c r="T1" s="1311" t="n"/>
      <c r="U1" s="1645" t="inlineStr">
        <is>
          <t>致同会计师事务所</t>
        </is>
      </c>
      <c r="V1" s="1311" t="n"/>
      <c r="W1" s="1311" t="n"/>
      <c r="X1" s="1311" t="n"/>
      <c r="Y1" s="1311" t="n"/>
      <c r="Z1" s="1311" t="n"/>
      <c r="AA1" s="1311" t="n"/>
      <c r="AB1" s="1311" t="n"/>
      <c r="AC1" s="1311" t="n"/>
      <c r="AD1" s="1311" t="n"/>
      <c r="AE1" s="1311" t="n"/>
      <c r="AF1" s="1311" t="n"/>
      <c r="AG1" s="1311" t="n"/>
      <c r="AH1" s="1311" t="n"/>
      <c r="AI1" s="1311" t="n"/>
      <c r="AJ1" s="1311" t="n"/>
      <c r="AK1" s="1311" t="n"/>
    </row>
    <row r="2" customFormat="1" s="1644">
      <c r="A2" s="1646" t="inlineStr">
        <is>
          <t>营业收入发生检查表</t>
        </is>
      </c>
      <c r="B2" s="1311" t="n"/>
      <c r="C2" s="1311" t="n"/>
      <c r="D2" s="1311" t="n"/>
      <c r="E2" s="1311" t="n"/>
      <c r="F2" s="1311" t="n"/>
      <c r="G2" s="1311" t="n"/>
      <c r="H2" s="1311" t="n"/>
      <c r="I2" s="1311" t="n"/>
      <c r="J2" s="1311" t="n"/>
      <c r="K2" s="1311" t="n"/>
      <c r="L2" s="1311" t="n"/>
      <c r="M2" s="1311" t="n"/>
      <c r="N2" s="1311" t="n"/>
      <c r="O2" s="1311" t="n"/>
      <c r="P2" s="1311" t="n"/>
      <c r="Q2" s="1311" t="n"/>
      <c r="R2" s="1311" t="n"/>
      <c r="S2" s="1311" t="n"/>
      <c r="T2" s="1311" t="n"/>
      <c r="U2" s="1646" t="inlineStr">
        <is>
          <t>营业收入发生检查表</t>
        </is>
      </c>
      <c r="V2" s="1311" t="n"/>
      <c r="W2" s="1311" t="n"/>
      <c r="X2" s="1311" t="n"/>
      <c r="Y2" s="1311" t="n"/>
      <c r="Z2" s="1311" t="n"/>
      <c r="AA2" s="1311" t="n"/>
      <c r="AB2" s="1311" t="n"/>
      <c r="AC2" s="1311" t="n"/>
      <c r="AD2" s="1311" t="n"/>
      <c r="AE2" s="1311" t="n"/>
      <c r="AF2" s="1311" t="n"/>
      <c r="AG2" s="1311" t="n"/>
      <c r="AH2" s="1311" t="n"/>
      <c r="AI2" s="1311" t="n"/>
      <c r="AJ2" s="1311" t="n"/>
      <c r="AK2" s="1311" t="n"/>
    </row>
    <row r="3" s="1296">
      <c r="A3" s="1545" t="inlineStr">
        <is>
          <t>被审计单位：</t>
        </is>
      </c>
      <c r="B3" s="1545" t="n"/>
      <c r="C3" s="1545" t="n"/>
      <c r="H3" s="1546" t="inlineStr">
        <is>
          <t>编制人：</t>
        </is>
      </c>
      <c r="I3" s="1546" t="n"/>
      <c r="J3" s="1546" t="n"/>
      <c r="M3" s="1643" t="inlineStr">
        <is>
          <t>编制日期：</t>
        </is>
      </c>
      <c r="S3" s="1647" t="inlineStr">
        <is>
          <t>索引号：</t>
        </is>
      </c>
      <c r="T3" s="1640" t="inlineStr">
        <is>
          <t>D4-14</t>
        </is>
      </c>
      <c r="U3" s="1643" t="inlineStr">
        <is>
          <t>被审计单位：</t>
        </is>
      </c>
      <c r="Y3" s="1643" t="inlineStr">
        <is>
          <t>编制人：</t>
        </is>
      </c>
      <c r="AC3" s="1643" t="inlineStr">
        <is>
          <t>编制日期：</t>
        </is>
      </c>
      <c r="AJ3" s="1647" t="inlineStr">
        <is>
          <t>索引号：</t>
        </is>
      </c>
      <c r="AK3" s="1640" t="inlineStr">
        <is>
          <t>D4-14</t>
        </is>
      </c>
    </row>
    <row r="4" s="1296">
      <c r="A4" s="1545" t="inlineStr">
        <is>
          <t>会计期间：202X年度</t>
        </is>
      </c>
      <c r="B4" s="1545" t="n"/>
      <c r="C4" s="1545" t="n"/>
      <c r="H4" s="1546" t="inlineStr">
        <is>
          <t>复核人：</t>
        </is>
      </c>
      <c r="I4" s="1546" t="n"/>
      <c r="J4" s="1648" t="n"/>
      <c r="M4" s="1643" t="inlineStr">
        <is>
          <t>复核日期：</t>
        </is>
      </c>
      <c r="O4" s="1649" t="n"/>
      <c r="S4" s="1647" t="inlineStr">
        <is>
          <t>页次：</t>
        </is>
      </c>
      <c r="U4" s="1643" t="inlineStr">
        <is>
          <t>会计期间：202X年度</t>
        </is>
      </c>
      <c r="Y4" s="1643" t="inlineStr">
        <is>
          <t>复核人：</t>
        </is>
      </c>
      <c r="AC4" s="1643" t="inlineStr">
        <is>
          <t>复核日期：</t>
        </is>
      </c>
      <c r="AJ4" s="1647" t="inlineStr">
        <is>
          <t>页次：</t>
        </is>
      </c>
    </row>
    <row r="5" customFormat="1" s="1650">
      <c r="A5" s="1648" t="inlineStr">
        <is>
          <t>一、审计目标：</t>
        </is>
      </c>
      <c r="B5" s="1648" t="n"/>
      <c r="C5" s="1651" t="n"/>
      <c r="E5" s="1651" t="n"/>
      <c r="F5" s="1651" t="n"/>
      <c r="G5" s="1651" t="n"/>
      <c r="H5" s="1651" t="n"/>
      <c r="I5" s="1651" t="n"/>
      <c r="J5" s="1651" t="n"/>
      <c r="K5" s="1651" t="n"/>
      <c r="L5" s="1651" t="n"/>
      <c r="M5" s="1651" t="n"/>
      <c r="N5" s="1651" t="n"/>
      <c r="O5" s="1651" t="n"/>
      <c r="P5" s="1651" t="n"/>
      <c r="Q5" s="1651" t="n"/>
      <c r="R5" s="1651" t="n"/>
      <c r="S5" s="1651" t="n"/>
      <c r="T5" s="1651" t="n"/>
      <c r="U5" s="1651" t="n"/>
      <c r="V5" s="1651" t="n"/>
      <c r="W5" s="1651" t="n"/>
      <c r="X5" s="1651" t="n"/>
      <c r="Y5" s="1651" t="n"/>
      <c r="Z5" s="1651" t="n"/>
      <c r="AA5" s="1651" t="n"/>
      <c r="AB5" s="1651" t="n"/>
      <c r="AC5" s="1651" t="n"/>
      <c r="AD5" s="1651" t="n"/>
      <c r="AE5" s="1651" t="n"/>
      <c r="AF5" s="1651" t="n"/>
      <c r="AG5" s="1651" t="n"/>
      <c r="AH5" s="1651" t="n"/>
      <c r="AI5" s="1651" t="n"/>
      <c r="AJ5" s="1651" t="n"/>
      <c r="AK5" s="1651" t="n"/>
    </row>
    <row r="6" customFormat="1" s="1650">
      <c r="A6" s="1652" t="inlineStr">
        <is>
          <t>1.利润表中记录的营业收入已发生，且与被审计单位有关；2.与营业收入有关的金额及其他数据已恰当记录，相关披露已得到恰当计量和描述；3.与营业收入有关的交易和事项已记录于正确的会计期间。</t>
        </is>
      </c>
      <c r="B6" s="1652" t="n"/>
      <c r="C6" s="1651" t="n"/>
      <c r="D6" s="1652" t="n"/>
      <c r="E6" s="1651" t="n"/>
      <c r="F6" s="1651" t="n"/>
      <c r="G6" s="1651" t="n"/>
      <c r="H6" s="1651" t="n"/>
      <c r="I6" s="1651" t="n"/>
      <c r="J6" s="1651" t="n"/>
      <c r="K6" s="1651" t="n"/>
      <c r="L6" s="1651" t="n"/>
      <c r="M6" s="1651" t="n"/>
      <c r="N6" s="1651" t="n"/>
      <c r="O6" s="1651" t="n"/>
      <c r="P6" s="1651" t="n"/>
      <c r="Q6" s="1651" t="n"/>
      <c r="R6" s="1651" t="n"/>
      <c r="S6" s="1651" t="n"/>
      <c r="T6" s="1651" t="n"/>
      <c r="U6" s="1651" t="n"/>
      <c r="V6" s="1651" t="n"/>
      <c r="W6" s="1651" t="n"/>
      <c r="X6" s="1651" t="n"/>
      <c r="Y6" s="1651" t="n"/>
      <c r="Z6" s="1651" t="n"/>
      <c r="AA6" s="1651" t="n"/>
      <c r="AB6" s="1651" t="n"/>
      <c r="AC6" s="1651" t="n"/>
      <c r="AD6" s="1651" t="n"/>
      <c r="AE6" s="1651" t="n"/>
      <c r="AF6" s="1651" t="n"/>
      <c r="AG6" s="1651" t="n"/>
      <c r="AH6" s="1651" t="n"/>
      <c r="AI6" s="1651" t="n"/>
      <c r="AJ6" s="1651" t="n"/>
      <c r="AK6" s="1651" t="n"/>
    </row>
    <row r="7" customFormat="1" s="1650">
      <c r="A7" s="1653" t="inlineStr">
        <is>
          <t>二、样本选取标准与规模：</t>
        </is>
      </c>
      <c r="B7" s="1648" t="n"/>
    </row>
    <row r="8" customFormat="1" s="1652">
      <c r="A8" s="1654" t="inlineStr">
        <is>
          <t>测试总体：</t>
        </is>
      </c>
      <c r="B8" s="1654" t="n"/>
      <c r="C8" s="1655" t="inlineStr">
        <is>
          <t>如营业收入所有销售记账凭证共XX笔金额XX、贷方发生额所有凭证共XX笔金额XX</t>
        </is>
      </c>
      <c r="D8" s="1656" t="n"/>
      <c r="E8" s="1656" t="n"/>
      <c r="F8" s="1656" t="n"/>
      <c r="G8" s="1654" t="n"/>
      <c r="H8" s="1655" t="n"/>
      <c r="I8" s="1656" t="n"/>
      <c r="J8" s="1654" t="inlineStr">
        <is>
          <t>特定样本：</t>
        </is>
      </c>
      <c r="K8" s="1655" t="inlineStr">
        <is>
          <t>XX金额以上（大额）、关联方/关联交易形成的款项、XX异常款项全部测试，共XX笔；</t>
        </is>
      </c>
      <c r="L8" s="1656" t="n"/>
      <c r="M8" s="1656" t="n"/>
      <c r="N8" s="1656" t="n"/>
      <c r="O8" s="1656" t="n"/>
      <c r="P8" s="1656" t="n"/>
      <c r="Q8" s="1657" t="n"/>
      <c r="R8" s="1657" t="n"/>
      <c r="S8" s="1657" t="n"/>
      <c r="T8" s="1657" t="n"/>
      <c r="U8" s="1657" t="n"/>
      <c r="V8" s="1657" t="n"/>
      <c r="W8" s="1657" t="n"/>
      <c r="X8" s="1657" t="n"/>
      <c r="Y8" s="1657" t="n"/>
      <c r="Z8" s="1657" t="n"/>
      <c r="AA8" s="1657" t="n"/>
      <c r="AB8" s="1657" t="n"/>
      <c r="AC8" s="1657" t="n"/>
      <c r="AD8" s="1657" t="n"/>
      <c r="AE8" s="1657" t="n"/>
      <c r="AF8" s="1657" t="n"/>
    </row>
    <row r="9" customFormat="1" s="1652">
      <c r="A9" s="1654" t="inlineStr">
        <is>
          <t>抽样总体：</t>
        </is>
      </c>
      <c r="B9" s="1654" t="n"/>
      <c r="C9" s="1655" t="inlineStr">
        <is>
          <t>测试总体扣除特定样本以外的样本，共XX笔、金额XX</t>
        </is>
      </c>
      <c r="D9" s="1656" t="n"/>
      <c r="E9" s="1656" t="n"/>
      <c r="F9" s="1656" t="n"/>
      <c r="G9" s="1654" t="n"/>
      <c r="H9" s="1655" t="n"/>
      <c r="I9" s="1656" t="n"/>
      <c r="J9" s="1654" t="inlineStr">
        <is>
          <t>确定的抽样样本量：</t>
        </is>
      </c>
      <c r="K9" s="1655" t="n"/>
      <c r="L9" s="1655" t="inlineStr">
        <is>
          <t>抽取XX笔</t>
        </is>
      </c>
      <c r="M9" s="1655" t="inlineStr">
        <is>
          <t>（如果使用了样本计算器计算样本量，样本量计算过程见&lt;XX&gt;底稿）</t>
        </is>
      </c>
      <c r="N9" s="1656" t="n"/>
      <c r="O9" s="1655" t="n"/>
      <c r="P9" s="1655" t="n"/>
      <c r="Q9" s="1657" t="n"/>
      <c r="R9" s="1657" t="n"/>
      <c r="S9" s="1657" t="n"/>
      <c r="T9" s="1657" t="n"/>
      <c r="U9" s="1657" t="n"/>
      <c r="V9" s="1657" t="n"/>
      <c r="W9" s="1657" t="n"/>
      <c r="X9" s="1657" t="n"/>
      <c r="Y9" s="1657" t="n"/>
      <c r="Z9" s="1657" t="n"/>
      <c r="AA9" s="1657" t="n"/>
      <c r="AB9" s="1657" t="n"/>
      <c r="AC9" s="1657" t="n"/>
      <c r="AD9" s="1657" t="n"/>
      <c r="AE9" s="1657" t="n"/>
      <c r="AF9" s="1657" t="n"/>
    </row>
    <row r="10" customFormat="1" s="1652">
      <c r="A10" s="1654" t="inlineStr">
        <is>
          <t>抽样方法：</t>
        </is>
      </c>
      <c r="B10" s="1654" t="n"/>
      <c r="C10" s="1658" t="inlineStr">
        <is>
          <t>随机选样/系统选样/货币单元抽样/随意选样（非统计抽样适用）</t>
        </is>
      </c>
      <c r="D10" s="1656" t="n"/>
      <c r="E10" s="1656" t="n"/>
      <c r="F10" s="1656" t="n"/>
      <c r="G10" s="1654" t="n"/>
      <c r="H10" s="1655" t="n"/>
      <c r="I10" s="1656" t="n"/>
      <c r="J10" s="1654" t="inlineStr">
        <is>
          <t>抽样过程：</t>
        </is>
      </c>
      <c r="K10" s="1655" t="inlineStr">
        <is>
          <t>使用IDEA（XX抽样工具）选择XX数量、金额XX的样本进行测试，抽样工具中的样本选择过程和结果见&lt;XX&gt;底稿</t>
        </is>
      </c>
      <c r="L10" s="1656" t="n"/>
      <c r="M10" s="1656" t="n"/>
      <c r="N10" s="1656" t="n"/>
      <c r="O10" s="1654" t="n"/>
      <c r="P10" s="1655" t="n"/>
      <c r="Q10" s="1657" t="n"/>
      <c r="R10" s="1657" t="n"/>
      <c r="S10" s="1657" t="n"/>
      <c r="T10" s="1657" t="n"/>
      <c r="U10" s="1657" t="n"/>
      <c r="V10" s="1657" t="n"/>
      <c r="W10" s="1657" t="n"/>
      <c r="X10" s="1657" t="n"/>
      <c r="Y10" s="1657" t="n"/>
      <c r="Z10" s="1657" t="n"/>
      <c r="AA10" s="1657" t="n"/>
      <c r="AB10" s="1657" t="n"/>
      <c r="AC10" s="1657" t="n"/>
      <c r="AD10" s="1657" t="n"/>
      <c r="AE10" s="1657" t="n"/>
      <c r="AF10" s="1657" t="n"/>
    </row>
    <row r="11" customFormat="1" s="1659">
      <c r="A11" s="1660" t="inlineStr">
        <is>
          <t>三、测试：</t>
        </is>
      </c>
      <c r="B11" s="1661" t="n"/>
      <c r="C11" s="1662" t="inlineStr">
        <is>
          <t>检查内容说明：1.核对合同、出库单、物流单、验收单等品名、规格一致、数量、单价、金额一致；2.核对验收单等控制权转移日期是否与记账相符，是否确认至恰当期间；</t>
        </is>
      </c>
      <c r="D11" s="1663" t="n"/>
      <c r="E11" s="1664" t="n"/>
      <c r="F11" s="1665" t="n"/>
      <c r="J11" s="1666" t="n"/>
      <c r="K11" s="1666" t="n"/>
      <c r="L11" s="1666" t="n"/>
      <c r="M11" s="1666" t="n"/>
    </row>
    <row r="12" customFormat="1" s="1659">
      <c r="A12" s="1660" t="n"/>
      <c r="B12" s="1661" t="n"/>
      <c r="C12" s="1662" t="inlineStr">
        <is>
          <t>3.核对签收单签收人或盖章信息是否存在异常；4.核对运输地址是否与客户合同记录发货地址一致，是否存在异常；5.……</t>
        </is>
      </c>
      <c r="D12" s="1663" t="n"/>
      <c r="E12" s="1664" t="n"/>
      <c r="F12" s="1665" t="n"/>
      <c r="J12" s="1666" t="n"/>
      <c r="K12" s="1666" t="n"/>
      <c r="L12" s="1666" t="n"/>
      <c r="M12" s="1666" t="n"/>
    </row>
    <row r="13" s="1296">
      <c r="A13" s="1667" t="inlineStr">
        <is>
          <t>序号</t>
        </is>
      </c>
      <c r="B13" s="1667" t="inlineStr">
        <is>
          <t>记账凭证</t>
        </is>
      </c>
      <c r="C13" s="1327" t="n"/>
      <c r="D13" s="1327" t="n"/>
      <c r="E13" s="1327" t="n"/>
      <c r="F13" s="1327" t="n"/>
      <c r="G13" s="1328" t="n"/>
      <c r="H13" s="1668" t="inlineStr">
        <is>
          <t>销售合同/销售订单</t>
        </is>
      </c>
      <c r="I13" s="1328" t="n"/>
      <c r="J13" s="1668" t="inlineStr">
        <is>
          <t>出库单</t>
        </is>
      </c>
      <c r="K13" s="1327" t="n"/>
      <c r="L13" s="1327" t="n"/>
      <c r="M13" s="1328" t="n"/>
      <c r="N13" s="1668" t="inlineStr">
        <is>
          <t>仓库保管员</t>
        </is>
      </c>
      <c r="O13" s="1668" t="inlineStr">
        <is>
          <t>发货审批人</t>
        </is>
      </c>
      <c r="P13" s="1668" t="inlineStr">
        <is>
          <t>运输单</t>
        </is>
      </c>
      <c r="Q13" s="1327" t="n"/>
      <c r="R13" s="1327" t="n"/>
      <c r="S13" s="1327" t="n"/>
      <c r="T13" s="1328" t="n"/>
      <c r="U13" s="1668" t="inlineStr">
        <is>
          <t>签收单</t>
        </is>
      </c>
      <c r="V13" s="1327" t="n"/>
      <c r="W13" s="1327" t="n"/>
      <c r="X13" s="1327" t="n"/>
      <c r="Y13" s="1327" t="n"/>
      <c r="Z13" s="1327" t="n"/>
      <c r="AA13" s="1328" t="n"/>
      <c r="AB13" s="1668" t="inlineStr">
        <is>
          <t>发票</t>
        </is>
      </c>
      <c r="AC13" s="1327" t="n"/>
      <c r="AD13" s="1327" t="n"/>
      <c r="AE13" s="1327" t="n"/>
      <c r="AF13" s="1328" t="n"/>
      <c r="AG13" s="1668" t="inlineStr">
        <is>
          <t>……</t>
        </is>
      </c>
      <c r="AH13" s="1328" t="n"/>
      <c r="AI13" s="1667" t="inlineStr">
        <is>
          <t>其他支持性文件或说明</t>
        </is>
      </c>
      <c r="AJ13" s="1667" t="inlineStr">
        <is>
          <t>索引号</t>
        </is>
      </c>
      <c r="AK13" s="1669" t="inlineStr">
        <is>
          <t>是否异常</t>
        </is>
      </c>
    </row>
    <row r="14" ht="26" customHeight="1" s="1296">
      <c r="A14" s="1335" t="n"/>
      <c r="B14" s="1667" t="inlineStr">
        <is>
          <t>客户名称</t>
        </is>
      </c>
      <c r="C14" s="1667" t="inlineStr">
        <is>
          <t>日期</t>
        </is>
      </c>
      <c r="D14" s="1667" t="inlineStr">
        <is>
          <t>编号</t>
        </is>
      </c>
      <c r="E14" s="1667" t="inlineStr">
        <is>
          <t>品名</t>
        </is>
      </c>
      <c r="F14" s="1667" t="inlineStr">
        <is>
          <t>数量</t>
        </is>
      </c>
      <c r="G14" s="1667" t="inlineStr">
        <is>
          <t>金额</t>
        </is>
      </c>
      <c r="H14" s="1668" t="inlineStr">
        <is>
          <t>日期</t>
        </is>
      </c>
      <c r="I14" s="1668" t="inlineStr">
        <is>
          <t>合同号/订单号</t>
        </is>
      </c>
      <c r="J14" s="1668" t="inlineStr">
        <is>
          <t>日期</t>
        </is>
      </c>
      <c r="K14" s="1668" t="inlineStr">
        <is>
          <t>编号</t>
        </is>
      </c>
      <c r="L14" s="1668" t="inlineStr">
        <is>
          <t>品名</t>
        </is>
      </c>
      <c r="M14" s="1668" t="inlineStr">
        <is>
          <t>数量</t>
        </is>
      </c>
      <c r="N14" s="1335" t="n"/>
      <c r="O14" s="1335" t="n"/>
      <c r="P14" s="1668" t="inlineStr">
        <is>
          <t>日期</t>
        </is>
      </c>
      <c r="Q14" s="1668" t="inlineStr">
        <is>
          <t>编号</t>
        </is>
      </c>
      <c r="R14" s="1668" t="inlineStr">
        <is>
          <t>运输数量</t>
        </is>
      </c>
      <c r="S14" s="1668" t="inlineStr">
        <is>
          <t>运输公司</t>
        </is>
      </c>
      <c r="T14" s="1668" t="inlineStr">
        <is>
          <t>运输地址</t>
        </is>
      </c>
      <c r="U14" s="1668" t="inlineStr">
        <is>
          <t>日期</t>
        </is>
      </c>
      <c r="V14" s="1668" t="inlineStr">
        <is>
          <t>品名</t>
        </is>
      </c>
      <c r="W14" s="1668" t="inlineStr">
        <is>
          <t>数量</t>
        </is>
      </c>
      <c r="X14" s="1668" t="inlineStr">
        <is>
          <t>金额</t>
        </is>
      </c>
      <c r="Y14" s="1668" t="inlineStr">
        <is>
          <t>签收人</t>
        </is>
      </c>
      <c r="Z14" s="1668" t="inlineStr">
        <is>
          <t>盖章类型</t>
        </is>
      </c>
      <c r="AA14" s="1668" t="inlineStr">
        <is>
          <t>盖章单位</t>
        </is>
      </c>
      <c r="AB14" s="1668" t="inlineStr">
        <is>
          <t>日期</t>
        </is>
      </c>
      <c r="AC14" s="1668" t="inlineStr">
        <is>
          <t>编号</t>
        </is>
      </c>
      <c r="AD14" s="1668" t="inlineStr">
        <is>
          <t>品名</t>
        </is>
      </c>
      <c r="AE14" s="1668" t="inlineStr">
        <is>
          <t>数量</t>
        </is>
      </c>
      <c r="AF14" s="1668" t="inlineStr">
        <is>
          <t>金额</t>
        </is>
      </c>
      <c r="AG14" s="1668" t="inlineStr">
        <is>
          <t>……</t>
        </is>
      </c>
      <c r="AH14" s="1668" t="inlineStr">
        <is>
          <t>……</t>
        </is>
      </c>
      <c r="AI14" s="1335" t="n"/>
      <c r="AJ14" s="1335" t="n"/>
      <c r="AK14" s="1579" t="n"/>
    </row>
    <row r="15" s="1296">
      <c r="A15" s="1670" t="n"/>
      <c r="B15" s="1670" t="n"/>
      <c r="C15" s="677" t="n"/>
      <c r="D15" s="1671" t="n"/>
      <c r="E15" s="1672" t="n"/>
      <c r="F15" s="1673" t="n"/>
      <c r="G15" s="1673" t="n"/>
      <c r="H15" s="677" t="n"/>
      <c r="I15" s="1670" t="n"/>
      <c r="J15" s="677" t="n"/>
      <c r="K15" s="1674" t="n"/>
      <c r="L15" s="1675" t="n"/>
      <c r="M15" s="1673" t="n"/>
      <c r="N15" s="1675" t="n"/>
      <c r="O15" s="1675" t="n"/>
      <c r="P15" s="677" t="n"/>
      <c r="Q15" s="1674" t="n"/>
      <c r="R15" s="1674" t="n"/>
      <c r="S15" s="1675" t="n"/>
      <c r="T15" s="1675" t="n"/>
      <c r="U15" s="677" t="n"/>
      <c r="V15" s="1675" t="n"/>
      <c r="W15" s="1673" t="n"/>
      <c r="X15" s="1673" t="n"/>
      <c r="Y15" s="1675" t="n"/>
      <c r="Z15" s="1675" t="n"/>
      <c r="AA15" s="1675" t="n"/>
      <c r="AB15" s="677" t="n"/>
      <c r="AC15" s="1674" t="n"/>
      <c r="AD15" s="1674" t="n"/>
      <c r="AE15" s="1674" t="n"/>
      <c r="AF15" s="1674" t="n"/>
      <c r="AG15" s="1675" t="n"/>
      <c r="AH15" s="1676" t="n"/>
      <c r="AI15" s="1676" t="n"/>
      <c r="AJ15" s="1676" t="n"/>
      <c r="AK15" s="1672" t="n"/>
    </row>
    <row r="16" s="1296">
      <c r="A16" s="1670" t="n"/>
      <c r="B16" s="1670" t="n"/>
      <c r="C16" s="677" t="n"/>
      <c r="D16" s="1671" t="n"/>
      <c r="E16" s="1677" t="n"/>
      <c r="F16" s="1673" t="n"/>
      <c r="G16" s="1673" t="n"/>
      <c r="H16" s="677" t="n"/>
      <c r="I16" s="1670" t="n"/>
      <c r="J16" s="677" t="n"/>
      <c r="K16" s="1674" t="n"/>
      <c r="L16" s="1675" t="n"/>
      <c r="M16" s="1673" t="n"/>
      <c r="N16" s="1675" t="n"/>
      <c r="O16" s="1675" t="n"/>
      <c r="P16" s="677" t="n"/>
      <c r="Q16" s="1674" t="n"/>
      <c r="R16" s="1674" t="n"/>
      <c r="S16" s="1675" t="n"/>
      <c r="T16" s="1675" t="n"/>
      <c r="U16" s="677" t="n"/>
      <c r="V16" s="1675" t="n"/>
      <c r="W16" s="1673" t="n"/>
      <c r="X16" s="1673" t="n"/>
      <c r="Y16" s="1675" t="n"/>
      <c r="Z16" s="1675" t="n"/>
      <c r="AA16" s="1675" t="n"/>
      <c r="AB16" s="677" t="n"/>
      <c r="AC16" s="1674" t="n"/>
      <c r="AD16" s="1674" t="n"/>
      <c r="AE16" s="1674" t="n"/>
      <c r="AF16" s="1674" t="n"/>
      <c r="AG16" s="1675" t="n"/>
      <c r="AH16" s="1676" t="n"/>
      <c r="AI16" s="1676" t="n"/>
      <c r="AJ16" s="1676" t="n"/>
      <c r="AK16" s="1672" t="n"/>
    </row>
    <row r="17" s="1296">
      <c r="A17" s="1670" t="n"/>
      <c r="B17" s="1670" t="n"/>
      <c r="C17" s="677" t="n"/>
      <c r="D17" s="1671" t="n"/>
      <c r="E17" s="1677" t="n"/>
      <c r="F17" s="1673" t="n"/>
      <c r="G17" s="1673" t="n"/>
      <c r="H17" s="677" t="n"/>
      <c r="I17" s="1670" t="n"/>
      <c r="J17" s="677" t="n"/>
      <c r="K17" s="1674" t="n"/>
      <c r="L17" s="1675" t="n"/>
      <c r="M17" s="1673" t="n"/>
      <c r="N17" s="1675" t="n"/>
      <c r="O17" s="1675" t="n"/>
      <c r="P17" s="677" t="n"/>
      <c r="Q17" s="1674" t="n"/>
      <c r="R17" s="1674" t="n"/>
      <c r="S17" s="1675" t="n"/>
      <c r="T17" s="1675" t="n"/>
      <c r="U17" s="677" t="n"/>
      <c r="V17" s="1675" t="n"/>
      <c r="W17" s="1673" t="n"/>
      <c r="X17" s="1673" t="n"/>
      <c r="Y17" s="1675" t="n"/>
      <c r="Z17" s="1675" t="n"/>
      <c r="AA17" s="1675" t="n"/>
      <c r="AB17" s="677" t="n"/>
      <c r="AC17" s="1674" t="n"/>
      <c r="AD17" s="1674" t="n"/>
      <c r="AE17" s="1674" t="n"/>
      <c r="AF17" s="1674" t="n"/>
      <c r="AG17" s="1675" t="n"/>
      <c r="AH17" s="1676" t="n"/>
      <c r="AI17" s="1676" t="n"/>
      <c r="AJ17" s="1676" t="n"/>
      <c r="AK17" s="1672" t="n"/>
    </row>
    <row r="18" s="1296">
      <c r="A18" s="1670" t="n"/>
      <c r="B18" s="1670" t="n"/>
      <c r="C18" s="677" t="n"/>
      <c r="D18" s="1671" t="n"/>
      <c r="E18" s="1677" t="n"/>
      <c r="F18" s="1673" t="n"/>
      <c r="G18" s="1673" t="n"/>
      <c r="H18" s="677" t="n"/>
      <c r="I18" s="1670" t="n"/>
      <c r="J18" s="677" t="n"/>
      <c r="K18" s="1674" t="n"/>
      <c r="L18" s="1675" t="n"/>
      <c r="M18" s="1673" t="n"/>
      <c r="N18" s="1675" t="n"/>
      <c r="O18" s="1675" t="n"/>
      <c r="P18" s="677" t="n"/>
      <c r="Q18" s="1674" t="n"/>
      <c r="R18" s="1674" t="n"/>
      <c r="S18" s="1675" t="n"/>
      <c r="T18" s="1675" t="n"/>
      <c r="U18" s="677" t="n"/>
      <c r="V18" s="1675" t="n"/>
      <c r="W18" s="1673" t="n"/>
      <c r="X18" s="1673" t="n"/>
      <c r="Y18" s="1675" t="n"/>
      <c r="Z18" s="1675" t="n"/>
      <c r="AA18" s="1675" t="n"/>
      <c r="AB18" s="677" t="n"/>
      <c r="AC18" s="1674" t="n"/>
      <c r="AD18" s="1674" t="n"/>
      <c r="AE18" s="1674" t="n"/>
      <c r="AF18" s="1674" t="n"/>
      <c r="AG18" s="1675" t="n"/>
      <c r="AH18" s="1676" t="n"/>
      <c r="AI18" s="1676" t="n"/>
      <c r="AJ18" s="1676" t="n"/>
      <c r="AK18" s="1672" t="n"/>
    </row>
    <row r="19" s="1296">
      <c r="A19" s="1670" t="n"/>
      <c r="B19" s="1670" t="n"/>
      <c r="C19" s="677" t="n"/>
      <c r="D19" s="1671" t="n"/>
      <c r="E19" s="1677" t="n"/>
      <c r="F19" s="1673" t="n"/>
      <c r="G19" s="1673" t="n"/>
      <c r="H19" s="677" t="n"/>
      <c r="I19" s="1670" t="n"/>
      <c r="J19" s="677" t="n"/>
      <c r="K19" s="1674" t="n"/>
      <c r="L19" s="1675" t="n"/>
      <c r="M19" s="1673" t="n"/>
      <c r="N19" s="1675" t="n"/>
      <c r="O19" s="1675" t="n"/>
      <c r="P19" s="677" t="n"/>
      <c r="Q19" s="1674" t="n"/>
      <c r="R19" s="1674" t="n"/>
      <c r="S19" s="1675" t="n"/>
      <c r="T19" s="1675" t="n"/>
      <c r="U19" s="677" t="n"/>
      <c r="V19" s="1675" t="n"/>
      <c r="W19" s="1673" t="n"/>
      <c r="X19" s="1673" t="n"/>
      <c r="Y19" s="1675" t="n"/>
      <c r="Z19" s="1675" t="n"/>
      <c r="AA19" s="1675" t="n"/>
      <c r="AB19" s="677" t="n"/>
      <c r="AC19" s="1674" t="n"/>
      <c r="AD19" s="1674" t="n"/>
      <c r="AE19" s="1674" t="n"/>
      <c r="AF19" s="1674" t="n"/>
      <c r="AG19" s="1675" t="n"/>
      <c r="AH19" s="1676" t="n"/>
      <c r="AI19" s="1676" t="n"/>
      <c r="AJ19" s="1676" t="n"/>
      <c r="AK19" s="1672" t="n"/>
    </row>
    <row r="20" s="1296">
      <c r="A20" s="1670" t="n"/>
      <c r="B20" s="1670" t="n"/>
      <c r="C20" s="677" t="n"/>
      <c r="D20" s="1671" t="n"/>
      <c r="E20" s="1677" t="n"/>
      <c r="F20" s="1673" t="n"/>
      <c r="G20" s="1673" t="n"/>
      <c r="H20" s="677" t="n"/>
      <c r="I20" s="1670" t="n"/>
      <c r="J20" s="677" t="n"/>
      <c r="K20" s="1674" t="n"/>
      <c r="L20" s="1675" t="n"/>
      <c r="M20" s="1673" t="n"/>
      <c r="N20" s="1675" t="n"/>
      <c r="O20" s="1675" t="n"/>
      <c r="P20" s="677" t="n"/>
      <c r="Q20" s="1674" t="n"/>
      <c r="R20" s="1674" t="n"/>
      <c r="S20" s="1675" t="n"/>
      <c r="T20" s="1675" t="n"/>
      <c r="U20" s="677" t="n"/>
      <c r="V20" s="1675" t="n"/>
      <c r="W20" s="1673" t="n"/>
      <c r="X20" s="1673" t="n"/>
      <c r="Y20" s="1675" t="n"/>
      <c r="Z20" s="1675" t="n"/>
      <c r="AA20" s="1675" t="n"/>
      <c r="AB20" s="677" t="n"/>
      <c r="AC20" s="1674" t="n"/>
      <c r="AD20" s="1674" t="n"/>
      <c r="AE20" s="1674" t="n"/>
      <c r="AF20" s="1674" t="n"/>
      <c r="AG20" s="1675" t="n"/>
      <c r="AH20" s="1676" t="n"/>
      <c r="AI20" s="1676" t="n"/>
      <c r="AJ20" s="1676" t="n"/>
      <c r="AK20" s="1672" t="n"/>
    </row>
    <row r="21" s="1296">
      <c r="A21" s="1670" t="n"/>
      <c r="B21" s="1670" t="n"/>
      <c r="C21" s="677" t="n"/>
      <c r="D21" s="1671" t="n"/>
      <c r="E21" s="1677" t="n"/>
      <c r="F21" s="1673" t="n"/>
      <c r="G21" s="1673" t="n"/>
      <c r="H21" s="677" t="n"/>
      <c r="I21" s="1670" t="n"/>
      <c r="J21" s="677" t="n"/>
      <c r="K21" s="1674" t="n"/>
      <c r="L21" s="1675" t="n"/>
      <c r="M21" s="1673" t="n"/>
      <c r="N21" s="1675" t="n"/>
      <c r="O21" s="1675" t="n"/>
      <c r="P21" s="677" t="n"/>
      <c r="Q21" s="1674" t="n"/>
      <c r="R21" s="1674" t="n"/>
      <c r="S21" s="1675" t="n"/>
      <c r="T21" s="1675" t="n"/>
      <c r="U21" s="677" t="n"/>
      <c r="V21" s="1675" t="n"/>
      <c r="W21" s="1673" t="n"/>
      <c r="X21" s="1673" t="n"/>
      <c r="Y21" s="1675" t="n"/>
      <c r="Z21" s="1675" t="n"/>
      <c r="AA21" s="1675" t="n"/>
      <c r="AB21" s="677" t="n"/>
      <c r="AC21" s="1674" t="n"/>
      <c r="AD21" s="1674" t="n"/>
      <c r="AE21" s="1674" t="n"/>
      <c r="AF21" s="1674" t="n"/>
      <c r="AG21" s="1675" t="n"/>
      <c r="AH21" s="1676" t="n"/>
      <c r="AI21" s="1676" t="n"/>
      <c r="AJ21" s="1676" t="n"/>
      <c r="AK21" s="1672" t="n"/>
    </row>
    <row r="22" s="1296">
      <c r="A22" s="1670" t="n"/>
      <c r="B22" s="1670" t="n"/>
      <c r="C22" s="677" t="n"/>
      <c r="D22" s="1671" t="n"/>
      <c r="E22" s="1677" t="n"/>
      <c r="F22" s="1673" t="n"/>
      <c r="G22" s="1673" t="n"/>
      <c r="H22" s="677" t="n"/>
      <c r="I22" s="1670" t="n"/>
      <c r="J22" s="677" t="n"/>
      <c r="K22" s="1674" t="n"/>
      <c r="L22" s="1675" t="n"/>
      <c r="M22" s="1673" t="n"/>
      <c r="N22" s="1675" t="n"/>
      <c r="O22" s="1675" t="n"/>
      <c r="P22" s="677" t="n"/>
      <c r="Q22" s="1674" t="n"/>
      <c r="R22" s="1674" t="n"/>
      <c r="S22" s="1675" t="n"/>
      <c r="T22" s="1675" t="n"/>
      <c r="U22" s="677" t="n"/>
      <c r="V22" s="1675" t="n"/>
      <c r="W22" s="1673" t="n"/>
      <c r="X22" s="1673" t="n"/>
      <c r="Y22" s="1675" t="n"/>
      <c r="Z22" s="1675" t="n"/>
      <c r="AA22" s="1675" t="n"/>
      <c r="AB22" s="677" t="n"/>
      <c r="AC22" s="1674" t="n"/>
      <c r="AD22" s="1674" t="n"/>
      <c r="AE22" s="1674" t="n"/>
      <c r="AF22" s="1674" t="n"/>
      <c r="AG22" s="1675" t="n"/>
      <c r="AH22" s="1676" t="n"/>
      <c r="AI22" s="1676" t="n"/>
      <c r="AJ22" s="1676" t="n"/>
      <c r="AK22" s="1672" t="n"/>
    </row>
    <row r="23" s="1296">
      <c r="A23" s="1670" t="n"/>
      <c r="B23" s="1670" t="n"/>
      <c r="C23" s="677" t="n"/>
      <c r="D23" s="1671" t="n"/>
      <c r="E23" s="1677" t="n"/>
      <c r="F23" s="1673" t="n"/>
      <c r="G23" s="1673" t="n"/>
      <c r="H23" s="677" t="n"/>
      <c r="I23" s="1670" t="n"/>
      <c r="J23" s="677" t="n"/>
      <c r="K23" s="1674" t="n"/>
      <c r="L23" s="1675" t="n"/>
      <c r="M23" s="1673" t="n"/>
      <c r="N23" s="1675" t="n"/>
      <c r="O23" s="1675" t="n"/>
      <c r="P23" s="677" t="n"/>
      <c r="Q23" s="1674" t="n"/>
      <c r="R23" s="1674" t="n"/>
      <c r="S23" s="1675" t="n"/>
      <c r="T23" s="1675" t="n"/>
      <c r="U23" s="677" t="n"/>
      <c r="V23" s="1675" t="n"/>
      <c r="W23" s="1673" t="n"/>
      <c r="X23" s="1673" t="n"/>
      <c r="Y23" s="1675" t="n"/>
      <c r="Z23" s="1675" t="n"/>
      <c r="AA23" s="1675" t="n"/>
      <c r="AB23" s="677" t="n"/>
      <c r="AC23" s="1674" t="n"/>
      <c r="AD23" s="1674" t="n"/>
      <c r="AE23" s="1674" t="n"/>
      <c r="AF23" s="1674" t="n"/>
      <c r="AG23" s="1675" t="n"/>
      <c r="AH23" s="1676" t="n"/>
      <c r="AI23" s="1676" t="n"/>
      <c r="AJ23" s="1676" t="n"/>
      <c r="AK23" s="1672" t="n"/>
    </row>
    <row r="24" s="1296">
      <c r="A24" s="1670" t="n"/>
      <c r="B24" s="1670" t="n"/>
      <c r="C24" s="677" t="n"/>
      <c r="D24" s="1671" t="n"/>
      <c r="E24" s="1677" t="n"/>
      <c r="F24" s="1673" t="n"/>
      <c r="G24" s="1673" t="n"/>
      <c r="H24" s="677" t="n"/>
      <c r="I24" s="1670" t="n"/>
      <c r="J24" s="677" t="n"/>
      <c r="K24" s="1674" t="n"/>
      <c r="L24" s="1675" t="n"/>
      <c r="M24" s="1673" t="n"/>
      <c r="N24" s="1675" t="n"/>
      <c r="O24" s="1675" t="n"/>
      <c r="P24" s="677" t="n"/>
      <c r="Q24" s="1674" t="n"/>
      <c r="R24" s="1674" t="n"/>
      <c r="S24" s="1675" t="n"/>
      <c r="T24" s="1675" t="n"/>
      <c r="U24" s="677" t="n"/>
      <c r="V24" s="1675" t="n"/>
      <c r="W24" s="1673" t="n"/>
      <c r="X24" s="1673" t="n"/>
      <c r="Y24" s="1675" t="n"/>
      <c r="Z24" s="1675" t="n"/>
      <c r="AA24" s="1675" t="n"/>
      <c r="AB24" s="677" t="n"/>
      <c r="AC24" s="1674" t="n"/>
      <c r="AD24" s="1674" t="n"/>
      <c r="AE24" s="1674" t="n"/>
      <c r="AF24" s="1674" t="n"/>
      <c r="AG24" s="1675" t="n"/>
      <c r="AH24" s="1676" t="n"/>
      <c r="AI24" s="1676" t="n"/>
      <c r="AJ24" s="1676" t="n"/>
      <c r="AK24" s="1672" t="n"/>
    </row>
    <row r="25" s="1296">
      <c r="A25" s="1670" t="n"/>
      <c r="B25" s="1670" t="n"/>
      <c r="C25" s="677" t="n"/>
      <c r="D25" s="1671" t="n"/>
      <c r="E25" s="1677" t="n"/>
      <c r="F25" s="1673" t="n"/>
      <c r="G25" s="1673" t="n"/>
      <c r="H25" s="677" t="n"/>
      <c r="I25" s="1670" t="n"/>
      <c r="J25" s="677" t="n"/>
      <c r="K25" s="1674" t="n"/>
      <c r="L25" s="1675" t="n"/>
      <c r="M25" s="1673" t="n"/>
      <c r="N25" s="1675" t="n"/>
      <c r="O25" s="1675" t="n"/>
      <c r="P25" s="677" t="n"/>
      <c r="Q25" s="1674" t="n"/>
      <c r="R25" s="1674" t="n"/>
      <c r="S25" s="1675" t="n"/>
      <c r="T25" s="1675" t="n"/>
      <c r="U25" s="677" t="n"/>
      <c r="V25" s="1675" t="n"/>
      <c r="W25" s="1673" t="n"/>
      <c r="X25" s="1673" t="n"/>
      <c r="Y25" s="1675" t="n"/>
      <c r="Z25" s="1675" t="n"/>
      <c r="AA25" s="1675" t="n"/>
      <c r="AB25" s="677" t="n"/>
      <c r="AC25" s="1674" t="n"/>
      <c r="AD25" s="1674" t="n"/>
      <c r="AE25" s="1674" t="n"/>
      <c r="AF25" s="1674" t="n"/>
      <c r="AG25" s="1675" t="n"/>
      <c r="AH25" s="1676" t="n"/>
      <c r="AI25" s="1676" t="n"/>
      <c r="AJ25" s="1676" t="n"/>
      <c r="AK25" s="1672" t="n"/>
    </row>
    <row r="26" s="1296">
      <c r="A26" s="1670" t="n"/>
      <c r="B26" s="1670" t="n"/>
      <c r="C26" s="677" t="n"/>
      <c r="D26" s="1671" t="n"/>
      <c r="E26" s="1677" t="n"/>
      <c r="F26" s="1673" t="n"/>
      <c r="G26" s="1673" t="n"/>
      <c r="H26" s="677" t="n"/>
      <c r="I26" s="1670" t="n"/>
      <c r="J26" s="677" t="n"/>
      <c r="K26" s="1674" t="n"/>
      <c r="L26" s="1675" t="n"/>
      <c r="M26" s="1673" t="n"/>
      <c r="N26" s="1675" t="n"/>
      <c r="O26" s="1675" t="n"/>
      <c r="P26" s="677" t="n"/>
      <c r="Q26" s="1674" t="n"/>
      <c r="R26" s="1674" t="n"/>
      <c r="S26" s="1675" t="n"/>
      <c r="T26" s="1675" t="n"/>
      <c r="U26" s="677" t="n"/>
      <c r="V26" s="1675" t="n"/>
      <c r="W26" s="1673" t="n"/>
      <c r="X26" s="1673" t="n"/>
      <c r="Y26" s="1675" t="n"/>
      <c r="Z26" s="1675" t="n"/>
      <c r="AA26" s="1675" t="n"/>
      <c r="AB26" s="677" t="n"/>
      <c r="AC26" s="1674" t="n"/>
      <c r="AD26" s="1674" t="n"/>
      <c r="AE26" s="1674" t="n"/>
      <c r="AF26" s="1674" t="n"/>
      <c r="AG26" s="1675" t="n"/>
      <c r="AH26" s="1676" t="n"/>
      <c r="AI26" s="1676" t="n"/>
      <c r="AJ26" s="1676" t="n"/>
      <c r="AK26" s="1672" t="n"/>
    </row>
    <row r="27" s="1296">
      <c r="A27" s="1670" t="n"/>
      <c r="B27" s="1670" t="n"/>
      <c r="C27" s="677" t="n"/>
      <c r="D27" s="1671" t="n"/>
      <c r="E27" s="1677" t="n"/>
      <c r="F27" s="1673" t="n"/>
      <c r="G27" s="1673" t="n"/>
      <c r="H27" s="677" t="n"/>
      <c r="I27" s="1670" t="n"/>
      <c r="J27" s="677" t="n"/>
      <c r="K27" s="1674" t="n"/>
      <c r="L27" s="1675" t="n"/>
      <c r="M27" s="1673" t="n"/>
      <c r="N27" s="1675" t="n"/>
      <c r="O27" s="1675" t="n"/>
      <c r="P27" s="677" t="n"/>
      <c r="Q27" s="1674" t="n"/>
      <c r="R27" s="1674" t="n"/>
      <c r="S27" s="1675" t="n"/>
      <c r="T27" s="1675" t="n"/>
      <c r="U27" s="677" t="n"/>
      <c r="V27" s="1675" t="n"/>
      <c r="W27" s="1673" t="n"/>
      <c r="X27" s="1673" t="n"/>
      <c r="Y27" s="1675" t="n"/>
      <c r="Z27" s="1675" t="n"/>
      <c r="AA27" s="1675" t="n"/>
      <c r="AB27" s="677" t="n"/>
      <c r="AC27" s="1674" t="n"/>
      <c r="AD27" s="1674" t="n"/>
      <c r="AE27" s="1674" t="n"/>
      <c r="AF27" s="1674" t="n"/>
      <c r="AG27" s="1675" t="n"/>
      <c r="AH27" s="1676" t="n"/>
      <c r="AI27" s="1676" t="n"/>
      <c r="AJ27" s="1676" t="n"/>
      <c r="AK27" s="1672" t="n"/>
    </row>
    <row r="28" s="1296">
      <c r="A28" s="1670" t="n"/>
      <c r="B28" s="1670" t="n"/>
      <c r="C28" s="677" t="n"/>
      <c r="D28" s="1671" t="n"/>
      <c r="E28" s="1677" t="n"/>
      <c r="F28" s="1673" t="n"/>
      <c r="G28" s="1673" t="n"/>
      <c r="H28" s="677" t="n"/>
      <c r="I28" s="1670" t="n"/>
      <c r="J28" s="677" t="n"/>
      <c r="K28" s="1674" t="n"/>
      <c r="L28" s="1675" t="n"/>
      <c r="M28" s="1673" t="n"/>
      <c r="N28" s="1675" t="n"/>
      <c r="O28" s="1675" t="n"/>
      <c r="P28" s="677" t="n"/>
      <c r="Q28" s="1674" t="n"/>
      <c r="R28" s="1674" t="n"/>
      <c r="S28" s="1675" t="n"/>
      <c r="T28" s="1675" t="n"/>
      <c r="U28" s="677" t="n"/>
      <c r="V28" s="1675" t="n"/>
      <c r="W28" s="1673" t="n"/>
      <c r="X28" s="1673" t="n"/>
      <c r="Y28" s="1675" t="n"/>
      <c r="Z28" s="1675" t="n"/>
      <c r="AA28" s="1675" t="n"/>
      <c r="AB28" s="677" t="n"/>
      <c r="AC28" s="1674" t="n"/>
      <c r="AD28" s="1674" t="n"/>
      <c r="AE28" s="1674" t="n"/>
      <c r="AF28" s="1674" t="n"/>
      <c r="AG28" s="1675" t="n"/>
      <c r="AH28" s="1676" t="n"/>
      <c r="AI28" s="1676" t="n"/>
      <c r="AJ28" s="1676" t="n"/>
      <c r="AK28" s="1672" t="n"/>
    </row>
    <row r="29" s="1296">
      <c r="A29" s="1670" t="n"/>
      <c r="B29" s="1670" t="n"/>
      <c r="C29" s="677" t="n"/>
      <c r="D29" s="1671" t="n"/>
      <c r="E29" s="1677" t="n"/>
      <c r="F29" s="1673" t="n"/>
      <c r="G29" s="1673" t="n"/>
      <c r="H29" s="677" t="n"/>
      <c r="I29" s="1670" t="n"/>
      <c r="J29" s="677" t="n"/>
      <c r="K29" s="1674" t="n"/>
      <c r="L29" s="1675" t="n"/>
      <c r="M29" s="1673" t="n"/>
      <c r="N29" s="1675" t="n"/>
      <c r="O29" s="1675" t="n"/>
      <c r="P29" s="677" t="n"/>
      <c r="Q29" s="1674" t="n"/>
      <c r="R29" s="1674" t="n"/>
      <c r="S29" s="1675" t="n"/>
      <c r="T29" s="1675" t="n"/>
      <c r="U29" s="677" t="n"/>
      <c r="V29" s="1675" t="n"/>
      <c r="W29" s="1673" t="n"/>
      <c r="X29" s="1673" t="n"/>
      <c r="Y29" s="1675" t="n"/>
      <c r="Z29" s="1675" t="n"/>
      <c r="AA29" s="1675" t="n"/>
      <c r="AB29" s="677" t="n"/>
      <c r="AC29" s="1674" t="n"/>
      <c r="AD29" s="1674" t="n"/>
      <c r="AE29" s="1674" t="n"/>
      <c r="AF29" s="1674" t="n"/>
      <c r="AG29" s="1675" t="n"/>
      <c r="AH29" s="1676" t="n"/>
      <c r="AI29" s="1676" t="n"/>
      <c r="AJ29" s="1676" t="n"/>
      <c r="AK29" s="1672" t="n"/>
    </row>
    <row r="30" s="1296">
      <c r="A30" s="1670" t="n"/>
      <c r="B30" s="1670" t="n"/>
      <c r="C30" s="677" t="n"/>
      <c r="D30" s="1671" t="n"/>
      <c r="E30" s="1677" t="n"/>
      <c r="F30" s="1673" t="n"/>
      <c r="G30" s="1673" t="n"/>
      <c r="H30" s="677" t="n"/>
      <c r="I30" s="1670" t="n"/>
      <c r="J30" s="677" t="n"/>
      <c r="K30" s="1674" t="n"/>
      <c r="L30" s="1675" t="n"/>
      <c r="M30" s="1673" t="n"/>
      <c r="N30" s="1675" t="n"/>
      <c r="O30" s="1675" t="n"/>
      <c r="P30" s="677" t="n"/>
      <c r="Q30" s="1674" t="n"/>
      <c r="R30" s="1674" t="n"/>
      <c r="S30" s="1675" t="n"/>
      <c r="T30" s="1675" t="n"/>
      <c r="U30" s="677" t="n"/>
      <c r="V30" s="1675" t="n"/>
      <c r="W30" s="1673" t="n"/>
      <c r="X30" s="1673" t="n"/>
      <c r="Y30" s="1675" t="n"/>
      <c r="Z30" s="1675" t="n"/>
      <c r="AA30" s="1675" t="n"/>
      <c r="AB30" s="677" t="n"/>
      <c r="AC30" s="1674" t="n"/>
      <c r="AD30" s="1674" t="n"/>
      <c r="AE30" s="1674" t="n"/>
      <c r="AF30" s="1674" t="n"/>
      <c r="AG30" s="1675" t="n"/>
      <c r="AH30" s="1676" t="n"/>
      <c r="AI30" s="1676" t="n"/>
      <c r="AJ30" s="1676" t="n"/>
      <c r="AK30" s="1672" t="n"/>
    </row>
    <row r="31" s="1296">
      <c r="A31" s="1670" t="n"/>
      <c r="B31" s="1670" t="n"/>
      <c r="C31" s="677" t="n"/>
      <c r="D31" s="1671" t="n"/>
      <c r="E31" s="1677" t="n"/>
      <c r="F31" s="1673" t="n"/>
      <c r="G31" s="1673" t="n"/>
      <c r="H31" s="677" t="n"/>
      <c r="I31" s="1670" t="n"/>
      <c r="J31" s="677" t="n"/>
      <c r="K31" s="1674" t="n"/>
      <c r="L31" s="1675" t="n"/>
      <c r="M31" s="1673" t="n"/>
      <c r="N31" s="1675" t="n"/>
      <c r="O31" s="1675" t="n"/>
      <c r="P31" s="677" t="n"/>
      <c r="Q31" s="1674" t="n"/>
      <c r="R31" s="1674" t="n"/>
      <c r="S31" s="1675" t="n"/>
      <c r="T31" s="1675" t="n"/>
      <c r="U31" s="677" t="n"/>
      <c r="V31" s="1675" t="n"/>
      <c r="W31" s="1673" t="n"/>
      <c r="X31" s="1673" t="n"/>
      <c r="Y31" s="1675" t="n"/>
      <c r="Z31" s="1675" t="n"/>
      <c r="AA31" s="1675" t="n"/>
      <c r="AB31" s="677" t="n"/>
      <c r="AC31" s="1674" t="n"/>
      <c r="AD31" s="1674" t="n"/>
      <c r="AE31" s="1674" t="n"/>
      <c r="AF31" s="1674" t="n"/>
      <c r="AG31" s="1675" t="n"/>
      <c r="AH31" s="1676" t="n"/>
      <c r="AI31" s="1676" t="n"/>
      <c r="AJ31" s="1676" t="n"/>
      <c r="AK31" s="1672" t="n"/>
    </row>
    <row r="32" s="1296">
      <c r="A32" s="1670" t="n"/>
      <c r="B32" s="1670" t="n"/>
      <c r="C32" s="677" t="n"/>
      <c r="D32" s="1671" t="n"/>
      <c r="E32" s="1677" t="n"/>
      <c r="F32" s="1673" t="n"/>
      <c r="G32" s="1673" t="n"/>
      <c r="H32" s="677" t="n"/>
      <c r="I32" s="1670" t="n"/>
      <c r="J32" s="677" t="n"/>
      <c r="K32" s="1674" t="n"/>
      <c r="L32" s="1675" t="n"/>
      <c r="M32" s="1673" t="n"/>
      <c r="N32" s="1675" t="n"/>
      <c r="O32" s="1675" t="n"/>
      <c r="P32" s="677" t="n"/>
      <c r="Q32" s="1674" t="n"/>
      <c r="R32" s="1674" t="n"/>
      <c r="S32" s="1675" t="n"/>
      <c r="T32" s="1675" t="n"/>
      <c r="U32" s="677" t="n"/>
      <c r="V32" s="1675" t="n"/>
      <c r="W32" s="1673" t="n"/>
      <c r="X32" s="1673" t="n"/>
      <c r="Y32" s="1675" t="n"/>
      <c r="Z32" s="1675" t="n"/>
      <c r="AA32" s="1675" t="n"/>
      <c r="AB32" s="677" t="n"/>
      <c r="AC32" s="1674" t="n"/>
      <c r="AD32" s="1674" t="n"/>
      <c r="AE32" s="1674" t="n"/>
      <c r="AF32" s="1674" t="n"/>
      <c r="AG32" s="1675" t="n"/>
      <c r="AH32" s="1676" t="n"/>
      <c r="AI32" s="1676" t="n"/>
      <c r="AJ32" s="1676" t="n"/>
      <c r="AK32" s="1672" t="n"/>
    </row>
    <row r="33" s="1296">
      <c r="A33" s="1670" t="n"/>
      <c r="B33" s="1670" t="n"/>
      <c r="C33" s="677" t="n"/>
      <c r="D33" s="1671" t="n"/>
      <c r="E33" s="1677" t="n"/>
      <c r="F33" s="1673" t="n"/>
      <c r="G33" s="1673" t="n"/>
      <c r="H33" s="677" t="n"/>
      <c r="I33" s="1670" t="n"/>
      <c r="J33" s="677" t="n"/>
      <c r="K33" s="1674" t="n"/>
      <c r="L33" s="1675" t="n"/>
      <c r="M33" s="1673" t="n"/>
      <c r="N33" s="1675" t="n"/>
      <c r="O33" s="1675" t="n"/>
      <c r="P33" s="677" t="n"/>
      <c r="Q33" s="1674" t="n"/>
      <c r="R33" s="1674" t="n"/>
      <c r="S33" s="1675" t="n"/>
      <c r="T33" s="1675" t="n"/>
      <c r="U33" s="677" t="n"/>
      <c r="V33" s="1675" t="n"/>
      <c r="W33" s="1673" t="n"/>
      <c r="X33" s="1673" t="n"/>
      <c r="Y33" s="1675" t="n"/>
      <c r="Z33" s="1675" t="n"/>
      <c r="AA33" s="1675" t="n"/>
      <c r="AB33" s="677" t="n"/>
      <c r="AC33" s="1674" t="n"/>
      <c r="AD33" s="1674" t="n"/>
      <c r="AE33" s="1674" t="n"/>
      <c r="AF33" s="1674" t="n"/>
      <c r="AG33" s="1675" t="n"/>
      <c r="AH33" s="1676" t="n"/>
      <c r="AI33" s="1676" t="n"/>
      <c r="AJ33" s="1676" t="n"/>
      <c r="AK33" s="1672" t="n"/>
    </row>
    <row r="34" s="1296">
      <c r="A34" s="1670" t="n"/>
      <c r="B34" s="1670" t="n"/>
      <c r="C34" s="677" t="n"/>
      <c r="D34" s="1671" t="n"/>
      <c r="E34" s="1677" t="n"/>
      <c r="F34" s="1673" t="n"/>
      <c r="G34" s="1673" t="n"/>
      <c r="H34" s="677" t="n"/>
      <c r="I34" s="1670" t="n"/>
      <c r="J34" s="677" t="n"/>
      <c r="K34" s="1674" t="n"/>
      <c r="L34" s="1675" t="n"/>
      <c r="M34" s="1673" t="n"/>
      <c r="N34" s="1675" t="n"/>
      <c r="O34" s="1675" t="n"/>
      <c r="P34" s="677" t="n"/>
      <c r="Q34" s="1674" t="n"/>
      <c r="R34" s="1674" t="n"/>
      <c r="S34" s="1675" t="n"/>
      <c r="T34" s="1675" t="n"/>
      <c r="U34" s="677" t="n"/>
      <c r="V34" s="1675" t="n"/>
      <c r="W34" s="1673" t="n"/>
      <c r="X34" s="1673" t="n"/>
      <c r="Y34" s="1675" t="n"/>
      <c r="Z34" s="1675" t="n"/>
      <c r="AA34" s="1675" t="n"/>
      <c r="AB34" s="677" t="n"/>
      <c r="AC34" s="1674" t="n"/>
      <c r="AD34" s="1674" t="n"/>
      <c r="AE34" s="1674" t="n"/>
      <c r="AF34" s="1674" t="n"/>
      <c r="AG34" s="1675" t="n"/>
      <c r="AH34" s="1676" t="n"/>
      <c r="AI34" s="1676" t="n"/>
      <c r="AJ34" s="1676" t="n"/>
      <c r="AK34" s="1672" t="n"/>
    </row>
    <row r="35" s="1296">
      <c r="A35" s="1670" t="n"/>
      <c r="B35" s="1670" t="n"/>
      <c r="C35" s="677" t="n"/>
      <c r="D35" s="1671" t="n"/>
      <c r="E35" s="1677" t="n"/>
      <c r="F35" s="1673" t="n"/>
      <c r="G35" s="1673" t="n"/>
      <c r="H35" s="677" t="n"/>
      <c r="I35" s="1670" t="n"/>
      <c r="J35" s="677" t="n"/>
      <c r="K35" s="1674" t="n"/>
      <c r="L35" s="1675" t="n"/>
      <c r="M35" s="1673" t="n"/>
      <c r="N35" s="1675" t="n"/>
      <c r="O35" s="1675" t="n"/>
      <c r="P35" s="677" t="n"/>
      <c r="Q35" s="1674" t="n"/>
      <c r="R35" s="1674" t="n"/>
      <c r="S35" s="1675" t="n"/>
      <c r="T35" s="1675" t="n"/>
      <c r="U35" s="677" t="n"/>
      <c r="V35" s="1675" t="n"/>
      <c r="W35" s="1673" t="n"/>
      <c r="X35" s="1673" t="n"/>
      <c r="Y35" s="1675" t="n"/>
      <c r="Z35" s="1675" t="n"/>
      <c r="AA35" s="1675" t="n"/>
      <c r="AB35" s="677" t="n"/>
      <c r="AC35" s="1674" t="n"/>
      <c r="AD35" s="1674" t="n"/>
      <c r="AE35" s="1674" t="n"/>
      <c r="AF35" s="1674" t="n"/>
      <c r="AG35" s="1675" t="n"/>
      <c r="AH35" s="1676" t="n"/>
      <c r="AI35" s="1676" t="n"/>
      <c r="AJ35" s="1676" t="n"/>
      <c r="AK35" s="1672" t="n"/>
    </row>
    <row r="36" s="1296">
      <c r="A36" s="1670" t="n"/>
      <c r="B36" s="1670" t="n"/>
      <c r="C36" s="677" t="n"/>
      <c r="D36" s="1671" t="n"/>
      <c r="E36" s="1677" t="n"/>
      <c r="F36" s="1673" t="n"/>
      <c r="G36" s="1673" t="n"/>
      <c r="H36" s="677" t="n"/>
      <c r="I36" s="1670" t="n"/>
      <c r="J36" s="677" t="n"/>
      <c r="K36" s="1674" t="n"/>
      <c r="L36" s="1675" t="n"/>
      <c r="M36" s="1673" t="n"/>
      <c r="N36" s="1675" t="n"/>
      <c r="O36" s="1675" t="n"/>
      <c r="P36" s="677" t="n"/>
      <c r="Q36" s="1674" t="n"/>
      <c r="R36" s="1674" t="n"/>
      <c r="S36" s="1675" t="n"/>
      <c r="T36" s="1675" t="n"/>
      <c r="U36" s="677" t="n"/>
      <c r="V36" s="1675" t="n"/>
      <c r="W36" s="1673" t="n"/>
      <c r="X36" s="1673" t="n"/>
      <c r="Y36" s="1675" t="n"/>
      <c r="Z36" s="1675" t="n"/>
      <c r="AA36" s="1675" t="n"/>
      <c r="AB36" s="677" t="n"/>
      <c r="AC36" s="1674" t="n"/>
      <c r="AD36" s="1674" t="n"/>
      <c r="AE36" s="1674" t="n"/>
      <c r="AF36" s="1674" t="n"/>
      <c r="AG36" s="1675" t="n"/>
      <c r="AH36" s="1676" t="n"/>
      <c r="AI36" s="1676" t="n"/>
      <c r="AJ36" s="1676" t="n"/>
      <c r="AK36" s="1672" t="n"/>
    </row>
    <row r="37" customFormat="1" s="1678">
      <c r="A37" s="93" t="inlineStr">
        <is>
          <t>合计</t>
        </is>
      </c>
      <c r="B37" s="1327" t="n"/>
      <c r="C37" s="1327" t="n"/>
      <c r="D37" s="1328" t="n"/>
      <c r="E37" s="1679" t="n"/>
      <c r="F37" s="1680" t="n"/>
      <c r="G37" s="1681">
        <f>SUM(G15:G36)</f>
        <v/>
      </c>
      <c r="H37" s="729" t="n"/>
      <c r="I37" s="1682" t="n"/>
      <c r="J37" s="729" t="n"/>
      <c r="K37" s="1683" t="n"/>
      <c r="L37" s="1684" t="n"/>
      <c r="M37" s="1680" t="n"/>
      <c r="N37" s="1684" t="n"/>
      <c r="O37" s="1684" t="n"/>
      <c r="P37" s="729" t="n"/>
      <c r="Q37" s="1683" t="n"/>
      <c r="R37" s="1683" t="n"/>
      <c r="S37" s="1684" t="n"/>
      <c r="T37" s="1684" t="n"/>
      <c r="U37" s="729" t="n"/>
      <c r="V37" s="1684" t="n"/>
      <c r="W37" s="1680" t="n"/>
      <c r="X37" s="1681">
        <f>SUM(X15:X36)</f>
        <v/>
      </c>
      <c r="Y37" s="1684" t="n"/>
      <c r="Z37" s="1684" t="n"/>
      <c r="AA37" s="1684" t="n"/>
      <c r="AB37" s="729" t="n"/>
      <c r="AC37" s="1683" t="n"/>
      <c r="AD37" s="1683" t="n"/>
      <c r="AE37" s="1683" t="n"/>
      <c r="AF37" s="1681">
        <f>SUM(AF15:AF36)</f>
        <v/>
      </c>
      <c r="AG37" s="1684" t="n"/>
      <c r="AH37" s="1685" t="n"/>
      <c r="AI37" s="1685" t="n"/>
      <c r="AJ37" s="1685" t="n"/>
      <c r="AK37" s="1686" t="n"/>
    </row>
    <row r="38" customFormat="1" s="1678">
      <c r="A38" s="93" t="inlineStr">
        <is>
          <t>本期发生额</t>
        </is>
      </c>
      <c r="B38" s="1327" t="n"/>
      <c r="C38" s="1327" t="n"/>
      <c r="D38" s="1328" t="n"/>
      <c r="E38" s="1687" t="n"/>
      <c r="F38" s="1688" t="n"/>
      <c r="G38" s="1688" t="n"/>
      <c r="H38" s="737" t="n"/>
      <c r="I38" s="1689" t="n"/>
      <c r="J38" s="729" t="n"/>
      <c r="K38" s="1689" t="n"/>
      <c r="L38" s="1687" t="n"/>
      <c r="M38" s="1688" t="n"/>
      <c r="N38" s="1687" t="n"/>
      <c r="O38" s="1687" t="n"/>
      <c r="P38" s="729" t="n"/>
      <c r="Q38" s="1689" t="n"/>
      <c r="R38" s="1689" t="n"/>
      <c r="S38" s="1687" t="n"/>
      <c r="T38" s="1687" t="n"/>
      <c r="U38" s="729" t="n"/>
      <c r="V38" s="1687" t="n"/>
      <c r="W38" s="1688" t="n"/>
      <c r="X38" s="1688" t="n"/>
      <c r="Y38" s="1687" t="n"/>
      <c r="Z38" s="1687" t="n"/>
      <c r="AA38" s="1687" t="n"/>
      <c r="AB38" s="729" t="n"/>
      <c r="AC38" s="1689" t="n"/>
      <c r="AD38" s="1689" t="n"/>
      <c r="AE38" s="1689" t="n"/>
      <c r="AF38" s="1689" t="n"/>
      <c r="AG38" s="1687" t="n"/>
      <c r="AH38" s="1685" t="n"/>
      <c r="AI38" s="1685" t="n"/>
      <c r="AJ38" s="1685" t="n"/>
      <c r="AK38" s="1686" t="n"/>
    </row>
    <row r="39" customFormat="1" s="1678">
      <c r="A39" s="93" t="inlineStr">
        <is>
          <t>检查比例</t>
        </is>
      </c>
      <c r="B39" s="1327" t="n"/>
      <c r="C39" s="1327" t="n"/>
      <c r="D39" s="1328" t="n"/>
      <c r="E39" s="1687" t="n"/>
      <c r="F39" s="1688" t="n"/>
      <c r="G39" s="739">
        <f>G37/G38</f>
        <v/>
      </c>
      <c r="H39" s="737" t="n"/>
      <c r="I39" s="1689" t="n"/>
      <c r="J39" s="729" t="n"/>
      <c r="K39" s="1689" t="n"/>
      <c r="L39" s="1687" t="n"/>
      <c r="M39" s="1688" t="n"/>
      <c r="N39" s="1687" t="n"/>
      <c r="O39" s="1687" t="n"/>
      <c r="P39" s="729" t="n"/>
      <c r="Q39" s="1689" t="n"/>
      <c r="R39" s="1689" t="n"/>
      <c r="S39" s="1687" t="n"/>
      <c r="T39" s="1687" t="n"/>
      <c r="U39" s="729" t="n"/>
      <c r="V39" s="1687" t="n"/>
      <c r="W39" s="1688" t="n"/>
      <c r="X39" s="1688" t="n"/>
      <c r="Y39" s="1687" t="n"/>
      <c r="Z39" s="1687" t="n"/>
      <c r="AA39" s="1687" t="n"/>
      <c r="AB39" s="729" t="n"/>
      <c r="AC39" s="1689" t="n"/>
      <c r="AD39" s="1689" t="n"/>
      <c r="AE39" s="1689" t="n"/>
      <c r="AF39" s="1689" t="n"/>
      <c r="AG39" s="1687" t="n"/>
      <c r="AH39" s="1685" t="n"/>
      <c r="AI39" s="1685" t="n"/>
      <c r="AJ39" s="1685" t="n"/>
      <c r="AK39" s="1686" t="n"/>
    </row>
    <row r="40" customFormat="1" s="795">
      <c r="A40" s="740" t="inlineStr">
        <is>
          <t>四、审计说明：</t>
        </is>
      </c>
      <c r="B40" s="795" t="n"/>
      <c r="C40" s="691" t="n"/>
      <c r="D40" s="691" t="n"/>
      <c r="E40" s="691" t="n"/>
      <c r="F40" s="691" t="n"/>
      <c r="G40" s="691" t="n"/>
      <c r="H40" s="691" t="n"/>
      <c r="I40" s="691" t="n"/>
      <c r="J40" s="742"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795" t="n"/>
      <c r="AH40" s="795" t="n"/>
      <c r="AI40" s="795" t="n"/>
      <c r="AJ40" s="795" t="n"/>
      <c r="AK40" s="795" t="n"/>
    </row>
    <row r="41" customFormat="1" s="795">
      <c r="A41" s="743" t="inlineStr">
        <is>
          <t>1.如果检查比例较低应扩大检查样本量或说明原因</t>
        </is>
      </c>
      <c r="B41" s="795" t="n"/>
      <c r="C41" s="691" t="n"/>
      <c r="D41" s="691" t="n"/>
      <c r="E41" s="691" t="n"/>
      <c r="F41" s="691" t="n"/>
      <c r="G41" s="691" t="n"/>
      <c r="H41" s="691" t="n"/>
      <c r="I41" s="691" t="n"/>
      <c r="J41" s="742"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795" t="n"/>
      <c r="AH41" s="795" t="n"/>
      <c r="AI41" s="795" t="n"/>
      <c r="AJ41" s="795" t="n"/>
      <c r="AK41" s="795" t="n"/>
    </row>
    <row r="42" customFormat="1" s="795">
      <c r="A42" s="795" t="n"/>
      <c r="B42" s="795" t="n"/>
      <c r="C42" s="691" t="n"/>
      <c r="D42" s="691" t="n"/>
      <c r="E42" s="691" t="n"/>
      <c r="F42" s="691" t="n"/>
      <c r="G42" s="691" t="n"/>
      <c r="H42" s="691" t="n"/>
      <c r="I42" s="691" t="n"/>
      <c r="J42" s="742"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795" t="n"/>
      <c r="AH42" s="795" t="n"/>
      <c r="AI42" s="795" t="n"/>
      <c r="AJ42" s="795" t="n"/>
      <c r="AK42" s="795" t="n"/>
    </row>
    <row r="43" customFormat="1" s="795">
      <c r="A43" s="691" t="n"/>
      <c r="B43" s="691" t="n"/>
      <c r="C43" s="691" t="n"/>
      <c r="D43" s="691" t="n"/>
      <c r="E43" s="691" t="n"/>
      <c r="F43" s="691" t="n"/>
      <c r="G43" s="691" t="n"/>
      <c r="H43" s="691" t="n"/>
      <c r="I43" s="691" t="n"/>
      <c r="J43" s="742"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795" t="n"/>
      <c r="AH43" s="795" t="n"/>
      <c r="AI43" s="795" t="n"/>
      <c r="AJ43" s="795" t="n"/>
      <c r="AK43" s="795" t="n"/>
    </row>
    <row r="44" customFormat="1" s="795">
      <c r="A44" s="692" t="inlineStr">
        <is>
          <t>五、审计结论：</t>
        </is>
      </c>
      <c r="B44" s="519" t="n"/>
      <c r="C44" s="691" t="n"/>
      <c r="D44" s="691" t="n"/>
      <c r="E44" s="691" t="n"/>
      <c r="F44" s="691" t="n"/>
      <c r="G44" s="691" t="n"/>
      <c r="H44" s="691" t="n"/>
      <c r="I44" s="691" t="n"/>
      <c r="J44" s="691" t="n"/>
      <c r="K44" s="691" t="n"/>
      <c r="L44" s="691" t="n"/>
      <c r="M44" s="691" t="n"/>
      <c r="N44" s="691" t="n"/>
      <c r="O44" s="691" t="n"/>
      <c r="P44" s="691" t="n"/>
      <c r="Q44" s="691" t="n"/>
      <c r="R44" s="691" t="n"/>
      <c r="S44" s="691" t="n"/>
      <c r="T44" s="691" t="n"/>
      <c r="U44" s="691" t="n"/>
      <c r="V44" s="691" t="n"/>
      <c r="W44" s="691" t="n"/>
      <c r="X44" s="691" t="n"/>
      <c r="Y44" s="691" t="n"/>
      <c r="Z44" s="691" t="n"/>
      <c r="AA44" s="691" t="n"/>
      <c r="AB44" s="691" t="n"/>
      <c r="AC44" s="691" t="n"/>
      <c r="AD44" s="691" t="n"/>
      <c r="AE44" s="691" t="n"/>
      <c r="AF44" s="691" t="n"/>
    </row>
    <row r="45" customFormat="1" s="795">
      <c r="A45" s="519" t="n"/>
      <c r="B45" s="519" t="n"/>
      <c r="C45" s="691" t="n"/>
      <c r="D45" s="691" t="n"/>
      <c r="E45" s="691" t="n"/>
      <c r="F45" s="691" t="n"/>
      <c r="G45" s="691" t="n"/>
      <c r="H45" s="691" t="n"/>
      <c r="I45" s="691" t="n"/>
      <c r="J45" s="691" t="n"/>
      <c r="K45" s="691" t="n"/>
      <c r="L45" s="691" t="n"/>
      <c r="M45" s="691" t="n"/>
      <c r="N45" s="691" t="n"/>
      <c r="O45" s="691" t="n"/>
      <c r="P45" s="691" t="n"/>
      <c r="Q45" s="691" t="n"/>
      <c r="R45" s="691" t="n"/>
      <c r="S45" s="691" t="n"/>
      <c r="T45" s="691" t="n"/>
      <c r="U45" s="691" t="n"/>
      <c r="V45" s="691" t="n"/>
      <c r="W45" s="691" t="n"/>
      <c r="X45" s="691" t="n"/>
      <c r="Y45" s="691" t="n"/>
      <c r="Z45" s="691" t="n"/>
      <c r="AA45" s="691" t="n"/>
      <c r="AB45" s="691" t="n"/>
      <c r="AC45" s="691" t="n"/>
      <c r="AD45" s="691" t="n"/>
      <c r="AE45" s="691" t="n"/>
      <c r="AF45" s="691" t="n"/>
    </row>
    <row r="46" customFormat="1" s="795">
      <c r="A46" s="691" t="n"/>
      <c r="B46" s="691" t="n"/>
      <c r="C46" s="691" t="n"/>
      <c r="D46" s="691" t="n"/>
      <c r="E46" s="691" t="n"/>
      <c r="F46" s="691" t="n"/>
      <c r="G46" s="691" t="n"/>
      <c r="H46" s="691" t="n"/>
      <c r="I46" s="691" t="n"/>
      <c r="J46" s="691" t="n"/>
      <c r="K46" s="691" t="n"/>
      <c r="L46" s="691" t="n"/>
      <c r="M46" s="691" t="n"/>
      <c r="N46" s="691" t="n"/>
      <c r="O46" s="691" t="n"/>
      <c r="P46" s="691" t="n"/>
      <c r="Q46" s="691" t="n"/>
      <c r="R46" s="691" t="n"/>
      <c r="S46" s="691" t="n"/>
      <c r="T46" s="691" t="n"/>
      <c r="U46" s="691" t="n"/>
      <c r="V46" s="691" t="n"/>
      <c r="W46" s="691" t="n"/>
      <c r="X46" s="691" t="n"/>
      <c r="Y46" s="691" t="n"/>
      <c r="Z46" s="691" t="n"/>
      <c r="AA46" s="691" t="n"/>
      <c r="AB46" s="691" t="n"/>
      <c r="AC46" s="691" t="n"/>
      <c r="AD46" s="691" t="n"/>
      <c r="AE46" s="691" t="n"/>
      <c r="AF46" s="691" t="n"/>
    </row>
    <row r="47" customFormat="1" s="795">
      <c r="C47" s="691" t="n"/>
      <c r="D47" s="691" t="n"/>
      <c r="E47" s="691" t="n"/>
      <c r="F47" s="691" t="n"/>
      <c r="G47" s="691" t="n"/>
      <c r="H47" s="691" t="n"/>
      <c r="I47" s="691" t="n"/>
      <c r="J47" s="691" t="n"/>
      <c r="K47" s="691" t="n"/>
      <c r="L47" s="691" t="n"/>
      <c r="M47" s="691" t="n"/>
      <c r="N47" s="691" t="n"/>
      <c r="O47" s="691" t="n"/>
      <c r="P47" s="691" t="n"/>
      <c r="Q47" s="691" t="n"/>
      <c r="R47" s="691" t="n"/>
      <c r="S47" s="691" t="n"/>
      <c r="T47" s="691" t="n"/>
      <c r="U47" s="691" t="n"/>
      <c r="V47" s="691" t="n"/>
      <c r="W47" s="691" t="n"/>
      <c r="X47" s="691" t="n"/>
      <c r="Y47" s="691" t="n"/>
      <c r="Z47" s="691" t="n"/>
      <c r="AA47" s="691" t="n"/>
      <c r="AB47" s="691" t="n"/>
      <c r="AC47" s="691" t="n"/>
      <c r="AD47" s="691" t="n"/>
      <c r="AE47" s="691" t="n"/>
      <c r="AF47" s="691" t="n"/>
    </row>
    <row r="48" s="1296">
      <c r="A48" s="1690" t="inlineStr">
        <is>
          <t>提示1：项目组应根据被审计单位业务特点确定应检查的收入确认依据以及检查要点，例如出口收入确认依据一般还包括报关单、提单等，工程施工收入确认依据一般包括进度审核单、竣工验收报告等。必要时，还应记录不同证据时间逻辑一致性检查。</t>
        </is>
      </c>
      <c r="B48" s="1690" t="n"/>
    </row>
    <row r="49" s="1296">
      <c r="A49" s="1690" t="inlineStr">
        <is>
          <t>提示2：根据《中国注册会计师审计准则问题解答第18号——识别和应对第三方配合实施财务舞弊》，项目组在检查收入发生时关注第三方配合虚假销售交易涉及的存货实物、交易单证票据和资金流转；例如，在虚假收入交易中的资金流转过程可能如下：</t>
        </is>
      </c>
    </row>
    <row r="50" s="1296">
      <c r="A50" s="1690" t="inlineStr">
        <is>
          <t>（1）被审计单位通过虚假交易或虚增交易金额套取自有资金，或者为关联方违规提供担保、由该关联方取得金融机构借款，或者由关联方提供资金（参见《中国注册会计师审计准则问题解答第4号——收入确认》）。</t>
        </is>
      </c>
    </row>
    <row r="51" s="1296">
      <c r="A51" s="1690" t="inlineStr">
        <is>
          <t>（2）虚假交易对手或关联方将资金支付给被审计单位“客户”；为增加隐蔽性，也可能先将资金支付给“过桥”方，再由“过桥”方支付给“客户”。</t>
        </is>
      </c>
    </row>
    <row r="52" s="1296">
      <c r="A52" s="1690" t="inlineStr">
        <is>
          <t>（3）“客户”向被审计单位支付货款，形成虚假销售交易的资金闭环。</t>
        </is>
      </c>
    </row>
  </sheetData>
  <mergeCells count="20">
    <mergeCell ref="A38:D38"/>
    <mergeCell ref="B13:G13"/>
    <mergeCell ref="A1:T1"/>
    <mergeCell ref="AJ13:AJ14"/>
    <mergeCell ref="A39:D39"/>
    <mergeCell ref="U2:AK2"/>
    <mergeCell ref="J13:M13"/>
    <mergeCell ref="N13:N14"/>
    <mergeCell ref="A13:A14"/>
    <mergeCell ref="A2:T2"/>
    <mergeCell ref="AG13:AH13"/>
    <mergeCell ref="H13:I13"/>
    <mergeCell ref="P13:T13"/>
    <mergeCell ref="A37:D37"/>
    <mergeCell ref="AB13:AF13"/>
    <mergeCell ref="O13:O14"/>
    <mergeCell ref="U13:AA13"/>
    <mergeCell ref="AI13:AI14"/>
    <mergeCell ref="AK13:AK14"/>
    <mergeCell ref="U1:AK1"/>
  </mergeCells>
  <hyperlinks>
    <hyperlink ref="T3" location="底稿目录!A1" display="='D:\GT_plan\backend\wp_templates\D\[D4-13至D4-20主营业务收入-检查（Leap应对措施-检查）.xlsx]底稿目录'!F4"/>
    <hyperlink ref="AK3" location="底稿目录!A1" display="='D:\GT_plan\backend\wp_templates\D\[D4-13至D4-20主营业务收入-检查（Leap应对措施-检查）.xlsx]底稿目录'!F4"/>
  </hyperlinks>
  <pageMargins left="0.708333333333333" right="0.708333333333333" top="0.747916666666667" bottom="0.747916666666667" header="0.314583333333333" footer="0.314583333333333"/>
  <pageSetup orientation="landscape" paperSize="9" scale="67" blackAndWhite="1"/>
  <headerFooter>
    <oddHeader/>
    <oddFooter>&amp;C&amp;P/&amp;N</oddFooter>
    <evenHeader/>
    <evenFooter/>
    <firstHeader/>
    <firstFooter/>
  </headerFooter>
  <colBreaks count="1" manualBreakCount="1">
    <brk id="20" min="0" max="44" man="1"/>
  </colBreaks>
</worksheet>
</file>

<file path=xl/worksheets/sheet21.xml><?xml version="1.0" encoding="utf-8"?>
<worksheet xmlns="http://schemas.openxmlformats.org/spreadsheetml/2006/main">
  <sheetPr>
    <outlinePr summaryBelow="1" summaryRight="1"/>
    <pageSetUpPr/>
  </sheetPr>
  <dimension ref="A1:Q34"/>
  <sheetViews>
    <sheetView view="pageBreakPreview" zoomScaleNormal="100" workbookViewId="0">
      <selection activeCell="A1" sqref="A1:Q1"/>
    </sheetView>
  </sheetViews>
  <sheetFormatPr baseColWidth="8" defaultColWidth="9.81818181818182" defaultRowHeight="20.1" customHeight="1"/>
  <cols>
    <col width="6.3" customWidth="1" style="1643" min="1" max="1"/>
    <col width="9.81818181818182" customWidth="1" style="1643" min="2" max="2"/>
    <col width="9.09090909090909" customWidth="1" style="1643" min="3" max="3"/>
    <col width="14.5454545454545" customWidth="1" style="1643" min="4" max="4"/>
    <col width="8" customWidth="1" style="1643" min="5" max="6"/>
    <col width="9.81818181818182" customWidth="1" style="1643" min="7" max="8"/>
    <col width="12.4818181818182" customWidth="1" style="1643" min="9" max="9"/>
    <col width="8.963636363636359" customWidth="1" style="1643" min="10" max="10"/>
    <col width="8.845454545454549" customWidth="1" style="1643" min="11" max="11"/>
    <col width="9.09090909090909" customWidth="1" style="1643" min="12" max="13"/>
    <col width="12.9636363636364" customWidth="1" style="1643" min="14" max="14"/>
    <col width="9.09090909090909" customWidth="1" style="1643" min="15" max="16"/>
    <col width="10.7818181818182" customWidth="1" style="1643" min="17" max="17"/>
    <col width="9.81818181818182" customWidth="1" style="1643" min="18" max="16384"/>
  </cols>
  <sheetData>
    <row r="1" customFormat="1" s="1644">
      <c r="A1" s="1645" t="inlineStr">
        <is>
          <t>致同会计师事务所</t>
        </is>
      </c>
      <c r="B1" s="1311" t="n"/>
      <c r="C1" s="1311" t="n"/>
      <c r="D1" s="1311" t="n"/>
      <c r="E1" s="1311" t="n"/>
      <c r="F1" s="1311" t="n"/>
      <c r="G1" s="1311" t="n"/>
      <c r="H1" s="1311" t="n"/>
      <c r="I1" s="1311" t="n"/>
      <c r="J1" s="1311" t="n"/>
      <c r="K1" s="1311" t="n"/>
      <c r="L1" s="1311" t="n"/>
      <c r="M1" s="1311" t="n"/>
      <c r="N1" s="1311" t="n"/>
      <c r="O1" s="1311" t="n"/>
      <c r="P1" s="1311" t="n"/>
      <c r="Q1" s="1311" t="n"/>
    </row>
    <row r="2" customFormat="1" s="1644">
      <c r="A2" s="1646" t="inlineStr">
        <is>
          <t>营业收入完整性检查表</t>
        </is>
      </c>
      <c r="B2" s="1311" t="n"/>
      <c r="C2" s="1311" t="n"/>
      <c r="D2" s="1311" t="n"/>
      <c r="E2" s="1311" t="n"/>
      <c r="F2" s="1311" t="n"/>
      <c r="G2" s="1311" t="n"/>
      <c r="H2" s="1311" t="n"/>
      <c r="I2" s="1311" t="n"/>
      <c r="J2" s="1311" t="n"/>
      <c r="K2" s="1311" t="n"/>
      <c r="L2" s="1311" t="n"/>
      <c r="M2" s="1311" t="n"/>
      <c r="N2" s="1311" t="n"/>
      <c r="O2" s="1311" t="n"/>
      <c r="P2" s="1311" t="n"/>
      <c r="Q2" s="1311" t="n"/>
    </row>
    <row r="3" s="1296">
      <c r="A3" s="1545" t="inlineStr">
        <is>
          <t>被审计单位：</t>
        </is>
      </c>
      <c r="B3" s="1545" t="n"/>
      <c r="G3" s="1546" t="inlineStr">
        <is>
          <t>编制人：</t>
        </is>
      </c>
      <c r="H3" s="1546" t="n"/>
      <c r="L3" s="1545" t="inlineStr">
        <is>
          <t>编制日期：</t>
        </is>
      </c>
      <c r="P3" s="1691" t="inlineStr">
        <is>
          <t>索引号：</t>
        </is>
      </c>
      <c r="Q3" s="1640" t="inlineStr">
        <is>
          <t>D4-15</t>
        </is>
      </c>
    </row>
    <row r="4" s="1296">
      <c r="A4" s="1545" t="inlineStr">
        <is>
          <t>会计期间：202X年度</t>
        </is>
      </c>
      <c r="B4" s="1545" t="n"/>
      <c r="G4" s="1546" t="inlineStr">
        <is>
          <t>复核人：</t>
        </is>
      </c>
      <c r="H4" s="1546" t="n"/>
      <c r="L4" s="1545" t="inlineStr">
        <is>
          <t>复核日期：</t>
        </is>
      </c>
      <c r="P4" s="1691" t="inlineStr">
        <is>
          <t>页次：</t>
        </is>
      </c>
    </row>
    <row r="5" customFormat="1" s="1659">
      <c r="A5" s="1648" t="inlineStr">
        <is>
          <t>一、审计目标：</t>
        </is>
      </c>
      <c r="B5" s="1648" t="n"/>
      <c r="C5" s="1648" t="n"/>
      <c r="D5" s="1648" t="n"/>
      <c r="E5" s="1648" t="n"/>
      <c r="F5" s="1648" t="n"/>
      <c r="G5" s="1648" t="n"/>
      <c r="H5" s="1648" t="n"/>
      <c r="I5" s="1648" t="n"/>
      <c r="J5" s="1648" t="n"/>
      <c r="K5" s="1648" t="n"/>
    </row>
    <row r="6" customFormat="1" s="1659">
      <c r="A6" s="1666" t="inlineStr">
        <is>
          <t>所有应当记录的营业收入均已记录，所有应当包括在财务报表中的相关披露均已包括。</t>
        </is>
      </c>
      <c r="C6" s="1666" t="n"/>
      <c r="D6" s="1666" t="n"/>
      <c r="E6" s="1666" t="n"/>
      <c r="F6" s="1666" t="n"/>
      <c r="G6" s="1666" t="n"/>
      <c r="H6" s="1666" t="n"/>
      <c r="I6" s="1666" t="n"/>
      <c r="J6" s="1666" t="n"/>
      <c r="K6" s="1666" t="n"/>
    </row>
    <row r="7" customFormat="1" s="1659">
      <c r="A7" s="1648" t="inlineStr">
        <is>
          <t>二、审计过程</t>
        </is>
      </c>
      <c r="B7" s="1666" t="n"/>
      <c r="C7" s="1666" t="n"/>
      <c r="D7" s="1666" t="n"/>
      <c r="E7" s="1666" t="n"/>
      <c r="F7" s="1666" t="n"/>
      <c r="G7" s="1666" t="n"/>
      <c r="H7" s="1666" t="n"/>
      <c r="I7" s="1666" t="n"/>
      <c r="J7" s="1666" t="n"/>
      <c r="K7" s="1666" t="n"/>
    </row>
    <row r="8" customFormat="1" s="1659">
      <c r="A8" s="1692" t="inlineStr">
        <is>
          <t>1.在报告期内选择一个重要时期，测试收入确认依据的资料文件（如发货单、验收单等）</t>
        </is>
      </c>
      <c r="C8" s="1666" t="n"/>
      <c r="D8" s="1666" t="n"/>
      <c r="E8" s="1666" t="n"/>
      <c r="F8" s="1666" t="n"/>
      <c r="G8" s="1666" t="n"/>
      <c r="H8" s="1666" t="n"/>
      <c r="I8" s="1666" t="n"/>
      <c r="J8" s="1666" t="n"/>
      <c r="K8" s="1666" t="n"/>
    </row>
    <row r="9" customFormat="1" s="1659">
      <c r="A9" s="1692" t="inlineStr">
        <is>
          <t>2.选择大的或者异常的项目进行测试（如果收入完整性评估为高风险，则应当采用抽样的方式）。</t>
        </is>
      </c>
      <c r="C9" s="1666" t="n"/>
      <c r="D9" s="1666" t="n"/>
      <c r="E9" s="1666" t="n"/>
      <c r="F9" s="1666" t="n"/>
      <c r="G9" s="1666" t="n"/>
      <c r="H9" s="1666" t="n"/>
      <c r="I9" s="1666" t="n"/>
      <c r="J9" s="1666" t="n"/>
      <c r="K9" s="1666" t="n"/>
    </row>
    <row r="10" customFormat="1" s="1659">
      <c r="A10" s="1692" t="inlineStr">
        <is>
          <t>3.检查每个所选项目的单证，并追查到交易记录（如，销售日记账）。</t>
        </is>
      </c>
      <c r="C10" s="1666" t="n"/>
      <c r="D10" s="1666" t="n"/>
      <c r="E10" s="1666" t="n"/>
      <c r="F10" s="1666" t="n"/>
      <c r="G10" s="1666" t="n"/>
      <c r="H10" s="1666" t="n"/>
      <c r="I10" s="1666" t="n"/>
      <c r="J10" s="1666" t="n"/>
      <c r="K10" s="1693" t="n"/>
    </row>
    <row r="11" s="1296">
      <c r="A11" s="1667" t="inlineStr">
        <is>
          <t>序号</t>
        </is>
      </c>
      <c r="B11" s="1668" t="inlineStr">
        <is>
          <t>发货单</t>
        </is>
      </c>
      <c r="C11" s="1327" t="n"/>
      <c r="D11" s="1327" t="n"/>
      <c r="E11" s="1327" t="n"/>
      <c r="F11" s="1328" t="n"/>
      <c r="G11" s="1667" t="inlineStr">
        <is>
          <t>发票</t>
        </is>
      </c>
      <c r="H11" s="1327" t="n"/>
      <c r="I11" s="1327" t="n"/>
      <c r="J11" s="1327" t="n"/>
      <c r="K11" s="1328" t="n"/>
      <c r="L11" s="1667" t="inlineStr">
        <is>
          <t>记账凭证</t>
        </is>
      </c>
      <c r="M11" s="1327" t="n"/>
      <c r="N11" s="1327" t="n"/>
      <c r="O11" s="1327" t="n"/>
      <c r="P11" s="1328" t="n"/>
      <c r="Q11" s="1667" t="inlineStr">
        <is>
          <t>所载信息是否一致√(X)</t>
        </is>
      </c>
    </row>
    <row r="12" s="1296">
      <c r="A12" s="1335" t="n"/>
      <c r="B12" s="1667" t="inlineStr">
        <is>
          <t>日期</t>
        </is>
      </c>
      <c r="C12" s="1667" t="inlineStr">
        <is>
          <t>编号</t>
        </is>
      </c>
      <c r="D12" s="1667" t="inlineStr">
        <is>
          <t>品名</t>
        </is>
      </c>
      <c r="E12" s="1667" t="inlineStr">
        <is>
          <t>数量</t>
        </is>
      </c>
      <c r="F12" s="1667" t="inlineStr">
        <is>
          <t>金额</t>
        </is>
      </c>
      <c r="G12" s="1667" t="inlineStr">
        <is>
          <t>日期</t>
        </is>
      </c>
      <c r="H12" s="1667" t="inlineStr">
        <is>
          <t>编号</t>
        </is>
      </c>
      <c r="I12" s="1667" t="inlineStr">
        <is>
          <t>品名</t>
        </is>
      </c>
      <c r="J12" s="1667" t="inlineStr">
        <is>
          <t>数量</t>
        </is>
      </c>
      <c r="K12" s="1667" t="inlineStr">
        <is>
          <t>金额</t>
        </is>
      </c>
      <c r="L12" s="1667" t="inlineStr">
        <is>
          <t>日期</t>
        </is>
      </c>
      <c r="M12" s="1667" t="inlineStr">
        <is>
          <t>编号</t>
        </is>
      </c>
      <c r="N12" s="1667" t="inlineStr">
        <is>
          <t>品名</t>
        </is>
      </c>
      <c r="O12" s="1667" t="inlineStr">
        <is>
          <t>数量</t>
        </is>
      </c>
      <c r="P12" s="1667" t="inlineStr">
        <is>
          <t>金额</t>
        </is>
      </c>
      <c r="Q12" s="1335" t="n"/>
    </row>
    <row r="13" s="1296">
      <c r="A13" s="1694" t="n"/>
      <c r="B13" s="677" t="n"/>
      <c r="C13" s="1695" t="n"/>
      <c r="D13" s="1696" t="n"/>
      <c r="E13" s="1694" t="n"/>
      <c r="F13" s="1694" t="n"/>
      <c r="G13" s="677" t="n"/>
      <c r="H13" s="1697" t="n"/>
      <c r="I13" s="1696" t="n"/>
      <c r="J13" s="1698" t="n"/>
      <c r="K13" s="1699" t="n"/>
      <c r="L13" s="677" t="n"/>
      <c r="M13" s="1700" t="n"/>
      <c r="N13" s="1696" t="n"/>
      <c r="O13" s="1698" t="n"/>
      <c r="P13" s="1699" t="n"/>
      <c r="Q13" s="1701" t="n"/>
    </row>
    <row r="14" s="1296">
      <c r="A14" s="1694" t="n"/>
      <c r="B14" s="677" t="n"/>
      <c r="C14" s="1695" t="n"/>
      <c r="D14" s="1696" t="n"/>
      <c r="E14" s="1694" t="n"/>
      <c r="F14" s="1694" t="n"/>
      <c r="G14" s="677" t="n"/>
      <c r="H14" s="1697" t="n"/>
      <c r="I14" s="1696" t="n"/>
      <c r="J14" s="1698" t="n"/>
      <c r="K14" s="1699" t="n"/>
      <c r="L14" s="677" t="n"/>
      <c r="M14" s="1700" t="n"/>
      <c r="N14" s="1696" t="n"/>
      <c r="O14" s="1698" t="n"/>
      <c r="P14" s="1699" t="n"/>
      <c r="Q14" s="1701" t="n"/>
    </row>
    <row r="15" s="1296">
      <c r="A15" s="1694" t="n"/>
      <c r="B15" s="677" t="n"/>
      <c r="C15" s="1695" t="n"/>
      <c r="D15" s="1696" t="n"/>
      <c r="E15" s="1694" t="n"/>
      <c r="F15" s="1694" t="n"/>
      <c r="G15" s="677" t="n"/>
      <c r="H15" s="1697" t="n"/>
      <c r="I15" s="1696" t="n"/>
      <c r="J15" s="1698" t="n"/>
      <c r="K15" s="1699" t="n"/>
      <c r="L15" s="677" t="n"/>
      <c r="M15" s="1700" t="n"/>
      <c r="N15" s="1696" t="n"/>
      <c r="O15" s="1698" t="n"/>
      <c r="P15" s="1699" t="n"/>
      <c r="Q15" s="1701" t="n"/>
    </row>
    <row r="16" s="1296">
      <c r="A16" s="1694" t="n"/>
      <c r="B16" s="677" t="n"/>
      <c r="C16" s="1695" t="n"/>
      <c r="D16" s="1696" t="n"/>
      <c r="E16" s="1694" t="n"/>
      <c r="F16" s="1694" t="n"/>
      <c r="G16" s="677" t="n"/>
      <c r="H16" s="1697" t="n"/>
      <c r="I16" s="1696" t="n"/>
      <c r="J16" s="1698" t="n"/>
      <c r="K16" s="1699" t="n"/>
      <c r="L16" s="677" t="n"/>
      <c r="M16" s="1700" t="n"/>
      <c r="N16" s="1696" t="n"/>
      <c r="O16" s="1698" t="n"/>
      <c r="P16" s="1699" t="n"/>
      <c r="Q16" s="1701" t="n"/>
    </row>
    <row r="17" s="1296">
      <c r="A17" s="1694" t="n"/>
      <c r="B17" s="677" t="n"/>
      <c r="C17" s="1695" t="n"/>
      <c r="D17" s="1696" t="n"/>
      <c r="E17" s="1694" t="n"/>
      <c r="F17" s="1694" t="n"/>
      <c r="G17" s="677" t="n"/>
      <c r="H17" s="1697" t="n"/>
      <c r="I17" s="1696" t="n"/>
      <c r="J17" s="1698" t="n"/>
      <c r="K17" s="1699" t="n"/>
      <c r="L17" s="677" t="n"/>
      <c r="M17" s="1700" t="n"/>
      <c r="N17" s="1696" t="n"/>
      <c r="O17" s="1698" t="n"/>
      <c r="P17" s="1699" t="n"/>
      <c r="Q17" s="1701" t="n"/>
    </row>
    <row r="18" s="1296">
      <c r="A18" s="1694" t="n"/>
      <c r="B18" s="677" t="n"/>
      <c r="C18" s="1695" t="n"/>
      <c r="D18" s="1696" t="n"/>
      <c r="E18" s="1694" t="n"/>
      <c r="F18" s="1694" t="n"/>
      <c r="G18" s="677" t="n"/>
      <c r="H18" s="1697" t="n"/>
      <c r="I18" s="1696" t="n"/>
      <c r="J18" s="1698" t="n"/>
      <c r="K18" s="1699" t="n"/>
      <c r="L18" s="677" t="n"/>
      <c r="M18" s="1700" t="n"/>
      <c r="N18" s="1696" t="n"/>
      <c r="O18" s="1698" t="n"/>
      <c r="P18" s="1699" t="n"/>
      <c r="Q18" s="1701" t="n"/>
    </row>
    <row r="19" s="1296">
      <c r="A19" s="1694" t="n"/>
      <c r="B19" s="677" t="n"/>
      <c r="C19" s="1695" t="n"/>
      <c r="D19" s="1696" t="n"/>
      <c r="E19" s="1694" t="n"/>
      <c r="F19" s="1694" t="n"/>
      <c r="G19" s="677" t="n"/>
      <c r="H19" s="1697" t="n"/>
      <c r="I19" s="1696" t="n"/>
      <c r="J19" s="1698" t="n"/>
      <c r="K19" s="1699" t="n"/>
      <c r="L19" s="677" t="n"/>
      <c r="M19" s="1700" t="n"/>
      <c r="N19" s="1696" t="n"/>
      <c r="O19" s="1698" t="n"/>
      <c r="P19" s="1699" t="n"/>
      <c r="Q19" s="1701" t="n"/>
    </row>
    <row r="20" s="1296">
      <c r="A20" s="1694" t="n"/>
      <c r="B20" s="677" t="n"/>
      <c r="C20" s="1695" t="n"/>
      <c r="D20" s="1696" t="n"/>
      <c r="E20" s="1694" t="n"/>
      <c r="F20" s="1694" t="n"/>
      <c r="G20" s="677" t="n"/>
      <c r="H20" s="1697" t="n"/>
      <c r="I20" s="1696" t="n"/>
      <c r="J20" s="1698" t="n"/>
      <c r="K20" s="1699" t="n"/>
      <c r="L20" s="677" t="n"/>
      <c r="M20" s="1700" t="n"/>
      <c r="N20" s="1696" t="n"/>
      <c r="O20" s="1698" t="n"/>
      <c r="P20" s="1699" t="n"/>
      <c r="Q20" s="1701" t="n"/>
    </row>
    <row r="21" s="1296">
      <c r="A21" s="1694" t="n"/>
      <c r="B21" s="677" t="n"/>
      <c r="C21" s="1695" t="n"/>
      <c r="D21" s="1696" t="n"/>
      <c r="E21" s="1694" t="n"/>
      <c r="F21" s="1694" t="n"/>
      <c r="G21" s="677" t="n"/>
      <c r="H21" s="1697" t="n"/>
      <c r="I21" s="1696" t="n"/>
      <c r="J21" s="1698" t="n"/>
      <c r="K21" s="1699" t="n"/>
      <c r="L21" s="677" t="n"/>
      <c r="M21" s="1700" t="n"/>
      <c r="N21" s="1696" t="n"/>
      <c r="O21" s="1698" t="n"/>
      <c r="P21" s="1699" t="n"/>
      <c r="Q21" s="1701" t="n"/>
    </row>
    <row r="22" s="1296">
      <c r="A22" s="1694" t="n"/>
      <c r="B22" s="677" t="n"/>
      <c r="C22" s="1695" t="n"/>
      <c r="D22" s="1696" t="n"/>
      <c r="E22" s="1694" t="n"/>
      <c r="F22" s="1694" t="n"/>
      <c r="G22" s="677" t="n"/>
      <c r="H22" s="1697" t="n"/>
      <c r="I22" s="1696" t="n"/>
      <c r="J22" s="1698" t="n"/>
      <c r="K22" s="1699" t="n"/>
      <c r="L22" s="677" t="n"/>
      <c r="M22" s="1700" t="n"/>
      <c r="N22" s="1696" t="n"/>
      <c r="O22" s="1698" t="n"/>
      <c r="P22" s="1699" t="n"/>
      <c r="Q22" s="1701" t="n"/>
    </row>
    <row r="23" s="1296">
      <c r="A23" s="1694" t="n"/>
      <c r="B23" s="677" t="n"/>
      <c r="C23" s="1695" t="n"/>
      <c r="D23" s="1696" t="n"/>
      <c r="E23" s="1694" t="n"/>
      <c r="F23" s="1694" t="n"/>
      <c r="G23" s="677" t="n"/>
      <c r="H23" s="1697" t="n"/>
      <c r="I23" s="1696" t="n"/>
      <c r="J23" s="1698" t="n"/>
      <c r="K23" s="1699" t="n"/>
      <c r="L23" s="677" t="n"/>
      <c r="M23" s="1700" t="n"/>
      <c r="N23" s="1696" t="n"/>
      <c r="O23" s="1698" t="n"/>
      <c r="P23" s="1699" t="n"/>
      <c r="Q23" s="1701" t="n"/>
    </row>
    <row r="24" s="1296">
      <c r="A24" s="1694" t="n"/>
      <c r="B24" s="677" t="n"/>
      <c r="C24" s="1695" t="n"/>
      <c r="D24" s="1696" t="n"/>
      <c r="E24" s="1694" t="n"/>
      <c r="F24" s="1694" t="n"/>
      <c r="G24" s="677" t="n"/>
      <c r="H24" s="1697" t="n"/>
      <c r="I24" s="1696" t="n"/>
      <c r="J24" s="1698" t="n"/>
      <c r="K24" s="1699" t="n"/>
      <c r="L24" s="677" t="n"/>
      <c r="M24" s="1700" t="n"/>
      <c r="N24" s="1696" t="n"/>
      <c r="O24" s="1698" t="n"/>
      <c r="P24" s="1699" t="n"/>
      <c r="Q24" s="1701" t="n"/>
    </row>
    <row r="25" s="1296">
      <c r="A25" s="1702" t="n"/>
      <c r="B25" s="686" t="n"/>
      <c r="C25" s="1695" t="n"/>
      <c r="D25" s="1703" t="n"/>
      <c r="E25" s="1702" t="n"/>
      <c r="F25" s="1702" t="n"/>
      <c r="G25" s="686" t="n"/>
      <c r="H25" s="1695" t="n"/>
      <c r="I25" s="1703" t="n"/>
      <c r="J25" s="1702" t="n"/>
      <c r="K25" s="1704" t="n"/>
      <c r="L25" s="686" t="n"/>
      <c r="M25" s="1695" t="n"/>
      <c r="N25" s="1703" t="n"/>
      <c r="O25" s="1702" t="n"/>
      <c r="P25" s="1704" t="n"/>
      <c r="Q25" s="1701" t="n"/>
    </row>
    <row r="26" customFormat="1" s="795">
      <c r="A26" s="689" t="inlineStr">
        <is>
          <t>三、审计说明：</t>
        </is>
      </c>
      <c r="B26" s="690" t="n"/>
      <c r="C26" s="690" t="n"/>
      <c r="D26" s="690" t="n"/>
      <c r="E26" s="690" t="n"/>
      <c r="F26" s="690" t="n"/>
      <c r="G26" s="690" t="n"/>
      <c r="H26" s="690" t="n"/>
      <c r="I26" s="690" t="n"/>
      <c r="J26" s="690" t="n"/>
      <c r="K26" s="690" t="n"/>
      <c r="L26" s="690" t="n"/>
      <c r="M26" s="690" t="n"/>
      <c r="N26" s="690" t="n"/>
      <c r="O26" s="690" t="n"/>
      <c r="P26" s="690" t="n"/>
      <c r="Q26" s="690" t="n"/>
    </row>
    <row r="27" customFormat="1" s="795">
      <c r="A27" s="519" t="n"/>
      <c r="B27" s="691" t="n"/>
      <c r="C27" s="691" t="n"/>
      <c r="D27" s="691" t="n"/>
      <c r="E27" s="691" t="n"/>
      <c r="F27" s="691" t="n"/>
      <c r="G27" s="691" t="n"/>
      <c r="H27" s="691" t="n"/>
      <c r="I27" s="691" t="n"/>
      <c r="J27" s="691" t="n"/>
      <c r="K27" s="691" t="n"/>
      <c r="L27" s="691" t="n"/>
      <c r="M27" s="691" t="n"/>
      <c r="N27" s="691" t="n"/>
      <c r="O27" s="691" t="n"/>
      <c r="P27" s="691" t="n"/>
      <c r="Q27" s="691" t="n"/>
    </row>
    <row r="28" customFormat="1" s="795">
      <c r="A28" s="691" t="n"/>
      <c r="B28" s="691" t="n"/>
      <c r="C28" s="691" t="n"/>
      <c r="D28" s="691" t="n"/>
      <c r="E28" s="691" t="n"/>
      <c r="F28" s="691" t="n"/>
      <c r="G28" s="691" t="n"/>
      <c r="H28" s="691" t="n"/>
      <c r="I28" s="691" t="n"/>
      <c r="J28" s="691" t="n"/>
      <c r="K28" s="691" t="n"/>
      <c r="L28" s="691" t="n"/>
      <c r="M28" s="691" t="n"/>
      <c r="N28" s="691" t="n"/>
      <c r="O28" s="691" t="n"/>
      <c r="P28" s="691" t="n"/>
      <c r="Q28" s="691" t="n"/>
    </row>
    <row r="29" customFormat="1" s="795">
      <c r="A29" s="691" t="n"/>
      <c r="B29" s="691" t="n"/>
      <c r="C29" s="691" t="n"/>
      <c r="D29" s="691" t="n"/>
      <c r="E29" s="691" t="n"/>
      <c r="F29" s="691" t="n"/>
      <c r="G29" s="691" t="n"/>
      <c r="H29" s="691" t="n"/>
      <c r="I29" s="691" t="n"/>
      <c r="J29" s="691" t="n"/>
      <c r="K29" s="691" t="n"/>
      <c r="L29" s="691" t="n"/>
      <c r="M29" s="691" t="n"/>
      <c r="N29" s="691" t="n"/>
      <c r="O29" s="691" t="n"/>
      <c r="P29" s="691" t="n"/>
      <c r="Q29" s="691" t="n"/>
    </row>
    <row r="30" ht="20.4" customFormat="1" customHeight="1" s="795">
      <c r="A30" s="692" t="inlineStr">
        <is>
          <t>四、审计结论：</t>
        </is>
      </c>
      <c r="B30" s="283" t="n"/>
      <c r="C30" s="283" t="n"/>
      <c r="D30" s="283" t="n"/>
      <c r="E30" s="283" t="n"/>
      <c r="F30" s="283" t="n"/>
      <c r="G30" s="283" t="n"/>
      <c r="H30" s="283" t="n"/>
      <c r="I30" s="283" t="n"/>
      <c r="J30" s="283" t="n"/>
      <c r="K30" s="283" t="n"/>
      <c r="L30" s="283" t="n"/>
      <c r="M30" s="283" t="n"/>
      <c r="N30" s="283" t="n"/>
      <c r="O30" s="283" t="n"/>
      <c r="P30" s="283" t="n"/>
      <c r="Q30" s="283" t="n"/>
    </row>
    <row r="31" customFormat="1" s="795">
      <c r="A31" s="693" t="n"/>
      <c r="B31" s="693" t="n"/>
      <c r="C31" s="693" t="n"/>
      <c r="D31" s="693" t="n"/>
      <c r="E31" s="693" t="n"/>
      <c r="F31" s="693" t="n"/>
      <c r="G31" s="693" t="n"/>
      <c r="H31" s="693" t="n"/>
      <c r="I31" s="693" t="n"/>
      <c r="J31" s="693" t="n"/>
      <c r="K31" s="693" t="n"/>
      <c r="L31" s="693" t="n"/>
      <c r="M31" s="693" t="n"/>
      <c r="N31" s="693" t="n"/>
      <c r="O31" s="693" t="n"/>
      <c r="P31" s="693" t="n"/>
      <c r="Q31" s="693" t="n"/>
    </row>
    <row r="32" s="1296">
      <c r="A32" s="1705" t="n"/>
      <c r="B32" s="1705" t="n"/>
      <c r="C32" s="1705" t="n"/>
      <c r="D32" s="1705" t="n"/>
      <c r="E32" s="1705" t="n"/>
      <c r="F32" s="1705" t="n"/>
      <c r="G32" s="1705" t="n"/>
      <c r="H32" s="1705" t="n"/>
      <c r="I32" s="1705" t="n"/>
      <c r="J32" s="1705" t="n"/>
      <c r="K32" s="1705" t="n"/>
      <c r="L32" s="1705" t="n"/>
      <c r="M32" s="1705" t="n"/>
      <c r="N32" s="1705" t="n"/>
      <c r="O32" s="1705" t="n"/>
      <c r="P32" s="1705" t="n"/>
      <c r="Q32" s="1705" t="n"/>
    </row>
    <row r="33" s="1296">
      <c r="I33" s="1647" t="n"/>
      <c r="J33" s="1647" t="n"/>
      <c r="K33" s="1647" t="n"/>
      <c r="L33" s="1647" t="n"/>
      <c r="M33" s="1647" t="n"/>
      <c r="N33" s="1647" t="n"/>
      <c r="O33" s="1647" t="n"/>
      <c r="P33" s="1647" t="n"/>
      <c r="Q33" s="1647" t="n"/>
    </row>
    <row r="34" s="1296">
      <c r="A34" s="1706" t="n"/>
      <c r="C34" s="1647" t="n"/>
      <c r="D34" s="1647" t="n"/>
      <c r="E34" s="1647" t="n"/>
      <c r="F34" s="1647" t="n"/>
      <c r="G34" s="1647" t="n"/>
      <c r="H34" s="1647" t="n"/>
      <c r="I34" s="1647" t="n"/>
      <c r="J34" s="1647" t="n"/>
      <c r="K34" s="1647" t="n"/>
      <c r="L34" s="1647" t="n"/>
      <c r="M34" s="1647" t="n"/>
      <c r="N34" s="1647" t="n"/>
      <c r="O34" s="1647" t="n"/>
      <c r="P34" s="1647" t="n"/>
      <c r="Q34" s="1647" t="n"/>
    </row>
  </sheetData>
  <mergeCells count="7">
    <mergeCell ref="B11:F11"/>
    <mergeCell ref="A2:Q2"/>
    <mergeCell ref="G11:K11"/>
    <mergeCell ref="Q11:Q12"/>
    <mergeCell ref="L11:P11"/>
    <mergeCell ref="A1:Q1"/>
    <mergeCell ref="A11:A12"/>
  </mergeCells>
  <dataValidations count="1">
    <dataValidation sqref="Q13:Q25" showDropDown="0" showInputMessage="1" showErrorMessage="1" allowBlank="1" type="list">
      <formula1>"√,×"</formula1>
    </dataValidation>
  </dataValidations>
  <hyperlinks>
    <hyperlink ref="Q3" location="底稿目录!A1" display="='D:\GT_plan\backend\wp_templates\D\[D4-13至D4-20主营业务收入-检查（Leap应对措施-检查）.xlsx]底稿目录'!F5"/>
  </hyperlinks>
  <pageMargins left="0.708333333333333" right="0.708333333333333" top="0.747916666666667" bottom="0.747916666666667" header="0.314583333333333" footer="0.314583333333333"/>
  <pageSetup orientation="landscape" paperSize="9" scale="84" blackAndWhite="1"/>
  <headerFooter>
    <oddHeader/>
    <oddFooter>&amp;C&amp;P/&amp;N</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K21"/>
  <sheetViews>
    <sheetView view="pageBreakPreview" zoomScaleNormal="100" workbookViewId="0">
      <selection activeCell="A1" sqref="A1:K1"/>
    </sheetView>
  </sheetViews>
  <sheetFormatPr baseColWidth="8" defaultColWidth="9.81818181818182" defaultRowHeight="20.1" customHeight="1"/>
  <cols>
    <col width="19.0272727272727" customWidth="1" style="1634" min="1" max="1"/>
    <col width="12.8454545454545" customWidth="1" style="1634" min="2" max="2"/>
    <col width="12.1181818181818" customWidth="1" style="1634" min="3" max="3"/>
    <col width="12.4818181818182" customWidth="1" style="1634" min="4" max="4"/>
    <col width="14.1818181818182" customWidth="1" style="1634" min="5" max="5"/>
    <col width="7.63636363636364" customWidth="1" style="1634" min="6" max="6"/>
    <col width="12.2363636363636" customWidth="1" style="1634" min="7" max="7"/>
    <col width="14.5454545454545" customWidth="1" style="1634" min="8" max="8"/>
    <col width="13.4545454545455" customWidth="1" style="1634" min="9" max="9"/>
    <col width="10.6636363636364" customWidth="1" style="1634" min="10" max="10"/>
    <col width="7.87272727272727" customWidth="1" style="1634" min="11" max="11"/>
    <col width="9.81818181818182" customWidth="1" style="1634" min="12" max="16384"/>
  </cols>
  <sheetData>
    <row r="1" customFormat="1" s="1707">
      <c r="A1" s="1708" t="inlineStr">
        <is>
          <t>致同会计师事务所</t>
        </is>
      </c>
    </row>
    <row r="2" customFormat="1" s="1707">
      <c r="A2" s="1709" t="inlineStr">
        <is>
          <t>出口收入电子口岸系统检查</t>
        </is>
      </c>
    </row>
    <row r="3" customFormat="1" s="1643">
      <c r="A3" s="1545" t="inlineStr">
        <is>
          <t>被审计单位：</t>
        </is>
      </c>
      <c r="B3" s="1545" t="n"/>
      <c r="C3" s="1545" t="n"/>
      <c r="D3" s="1545" t="n"/>
      <c r="E3" s="1546" t="inlineStr">
        <is>
          <t>编制人：</t>
        </is>
      </c>
      <c r="H3" s="1545" t="inlineStr">
        <is>
          <t>编制日期：</t>
        </is>
      </c>
      <c r="I3" s="1546" t="n"/>
      <c r="J3" s="1691" t="inlineStr">
        <is>
          <t>索引号：</t>
        </is>
      </c>
      <c r="K3" s="1640" t="inlineStr">
        <is>
          <t>D4-16</t>
        </is>
      </c>
    </row>
    <row r="4" customFormat="1" s="1643">
      <c r="A4" s="1545" t="inlineStr">
        <is>
          <t>会计期间：202X年度</t>
        </is>
      </c>
      <c r="B4" s="1545" t="n"/>
      <c r="C4" s="1545" t="n"/>
      <c r="D4" s="1545" t="n"/>
      <c r="E4" s="1546" t="inlineStr">
        <is>
          <t>复核人：</t>
        </is>
      </c>
      <c r="H4" s="1545" t="inlineStr">
        <is>
          <t>复核日期：</t>
        </is>
      </c>
      <c r="I4" s="1546" t="n"/>
      <c r="J4" s="1691" t="inlineStr">
        <is>
          <t>页  次：</t>
        </is>
      </c>
      <c r="K4" s="1710" t="n"/>
    </row>
    <row r="5" customFormat="1" s="1643">
      <c r="A5" s="20" t="inlineStr">
        <is>
          <t>一、审计目标：</t>
        </is>
      </c>
      <c r="B5" s="795" t="n"/>
      <c r="C5" s="795" t="n"/>
      <c r="D5" s="795" t="n"/>
      <c r="E5" s="795" t="n"/>
      <c r="F5" s="795" t="n"/>
      <c r="G5" s="175" t="n"/>
      <c r="H5" s="175" t="n"/>
      <c r="I5" s="175" t="n"/>
      <c r="J5" s="175" t="n"/>
      <c r="K5" s="175" t="n"/>
    </row>
    <row r="6" customFormat="1" s="1643">
      <c r="A6" s="431" t="inlineStr">
        <is>
          <t>1.利润表中记录的营业收入已发生，且与被审计单位有关；2.与营业收入有关的金额及其他数据已恰当记录，相关披露已得到恰当计量和描述；</t>
        </is>
      </c>
      <c r="B6" s="795" t="n"/>
      <c r="C6" s="795" t="n"/>
      <c r="D6" s="795" t="n"/>
      <c r="E6" s="795" t="n"/>
      <c r="F6" s="795" t="n"/>
      <c r="G6" s="175" t="n"/>
      <c r="H6" s="175" t="n"/>
      <c r="I6" s="175" t="n"/>
      <c r="J6" s="175" t="n"/>
      <c r="K6" s="175" t="n"/>
    </row>
    <row r="7" customFormat="1" s="1643">
      <c r="A7" s="431" t="inlineStr">
        <is>
          <t>3.与营业收入有关的交易和事项已记录于正确的会计期间。</t>
        </is>
      </c>
      <c r="B7" s="795" t="n"/>
      <c r="C7" s="795" t="n"/>
      <c r="D7" s="795" t="n"/>
      <c r="E7" s="795" t="n"/>
      <c r="F7" s="795" t="n"/>
      <c r="G7" s="175" t="n"/>
      <c r="H7" s="175" t="n"/>
      <c r="I7" s="175" t="n"/>
      <c r="J7" s="175" t="n"/>
      <c r="K7" s="175" t="n"/>
    </row>
    <row r="8" customFormat="1" s="1643">
      <c r="A8" s="20" t="inlineStr">
        <is>
          <t>二、审计过程：</t>
        </is>
      </c>
      <c r="B8" s="178" t="n"/>
      <c r="C8" s="178" t="n"/>
      <c r="D8" s="178" t="n"/>
      <c r="E8" s="178" t="n"/>
      <c r="F8" s="795" t="n"/>
      <c r="G8" s="176" t="n"/>
      <c r="H8" s="176" t="n"/>
      <c r="I8" s="176" t="n"/>
      <c r="J8" s="176" t="n"/>
      <c r="K8" s="176" t="n"/>
    </row>
    <row r="9" customFormat="1" s="1643">
      <c r="A9" s="500" t="inlineStr">
        <is>
          <t>1.……</t>
        </is>
      </c>
      <c r="B9" s="795" t="n"/>
      <c r="C9" s="795" t="n"/>
      <c r="D9" s="795" t="n"/>
      <c r="E9" s="795" t="n"/>
      <c r="F9" s="795" t="n"/>
      <c r="G9" s="176" t="n"/>
      <c r="H9" s="176" t="n"/>
      <c r="I9" s="176" t="n"/>
      <c r="J9" s="176" t="n"/>
      <c r="K9" s="176" t="n"/>
    </row>
    <row r="10" customFormat="1" s="1643">
      <c r="A10" s="500" t="n"/>
      <c r="B10" s="795" t="n"/>
      <c r="C10" s="795" t="n"/>
      <c r="D10" s="795" t="n"/>
      <c r="E10" s="795" t="n"/>
      <c r="F10" s="795" t="n"/>
      <c r="G10" s="176" t="n"/>
      <c r="H10" s="176" t="n"/>
      <c r="I10" s="176" t="n"/>
      <c r="J10" s="176" t="n"/>
      <c r="K10" s="176" t="n"/>
    </row>
    <row r="11" customFormat="1" s="1643">
      <c r="A11" s="1684" t="inlineStr">
        <is>
          <t>账面出口收入金额</t>
        </is>
      </c>
      <c r="B11" s="1711" t="inlineStr">
        <is>
          <t>电子口岸系统</t>
        </is>
      </c>
      <c r="C11" s="1578" t="n"/>
      <c r="D11" s="1578" t="n"/>
      <c r="E11" s="1578" t="n"/>
      <c r="F11" s="1390" t="n"/>
      <c r="G11" s="1711" t="inlineStr">
        <is>
          <t>免抵退税申报数据</t>
        </is>
      </c>
      <c r="H11" s="1578" t="n"/>
      <c r="I11" s="1578" t="n"/>
      <c r="J11" s="1578" t="n"/>
      <c r="K11" s="1390" t="n"/>
    </row>
    <row r="12" s="1296">
      <c r="A12" s="1335" t="n"/>
      <c r="B12" s="1712" t="inlineStr">
        <is>
          <t>期间</t>
        </is>
      </c>
      <c r="C12" s="1712" t="inlineStr">
        <is>
          <t>结关金额</t>
        </is>
      </c>
      <c r="D12" s="1712" t="inlineStr">
        <is>
          <t>差异</t>
        </is>
      </c>
      <c r="E12" s="1712" t="inlineStr">
        <is>
          <t>原因</t>
        </is>
      </c>
      <c r="F12" s="1712" t="inlineStr">
        <is>
          <t>索引</t>
        </is>
      </c>
      <c r="G12" s="1712" t="inlineStr">
        <is>
          <t>期间</t>
        </is>
      </c>
      <c r="H12" s="1712" t="inlineStr">
        <is>
          <t>申报外销收入</t>
        </is>
      </c>
      <c r="I12" s="1712" t="inlineStr">
        <is>
          <t>差异</t>
        </is>
      </c>
      <c r="J12" s="1712" t="inlineStr">
        <is>
          <t>原因</t>
        </is>
      </c>
      <c r="K12" s="1712" t="inlineStr">
        <is>
          <t>索引</t>
        </is>
      </c>
    </row>
    <row r="13" customFormat="1" s="1638">
      <c r="A13" s="659" t="n"/>
      <c r="B13" s="660" t="n"/>
      <c r="C13" s="660" t="n"/>
      <c r="D13" s="1713">
        <f>C13-A13</f>
        <v/>
      </c>
      <c r="E13" s="662" t="n"/>
      <c r="F13" s="659" t="n"/>
      <c r="G13" s="663" t="n"/>
      <c r="H13" s="1714" t="n"/>
      <c r="I13" s="1713">
        <f>H13-F13</f>
        <v/>
      </c>
      <c r="J13" s="664" t="n"/>
      <c r="K13" s="663" t="n"/>
    </row>
    <row r="14" s="1296">
      <c r="B14" s="1715" t="n"/>
      <c r="C14" s="1715" t="n"/>
      <c r="D14" s="1715" t="n"/>
      <c r="E14" s="1715" t="n"/>
      <c r="G14" s="1715" t="n"/>
      <c r="H14" s="1715" t="n"/>
      <c r="I14" s="1715" t="n"/>
      <c r="J14" s="1715" t="n"/>
      <c r="K14" s="1715" t="n"/>
    </row>
    <row r="15" s="1296">
      <c r="B15" s="1715" t="n"/>
      <c r="C15" s="1715" t="n"/>
      <c r="D15" s="1715" t="n"/>
      <c r="E15" s="1715" t="n"/>
      <c r="G15" s="1715" t="n"/>
      <c r="H15" s="1715" t="n"/>
      <c r="I15" s="1715" t="n"/>
      <c r="J15" s="1715" t="n"/>
      <c r="K15" s="1715" t="n"/>
    </row>
    <row r="16" s="1296">
      <c r="A16" s="20" t="inlineStr">
        <is>
          <t>三、审计说明：</t>
        </is>
      </c>
      <c r="B16" s="666" t="n"/>
      <c r="C16" s="666" t="n"/>
      <c r="D16" s="666" t="n"/>
      <c r="E16" s="666" t="n"/>
      <c r="F16" s="666" t="n"/>
      <c r="G16" s="666" t="n"/>
      <c r="H16" s="666" t="n"/>
      <c r="I16" s="666" t="n"/>
      <c r="J16" s="666" t="n"/>
      <c r="K16" s="666" t="n"/>
    </row>
    <row r="17" s="1296">
      <c r="A17" s="667" t="n"/>
      <c r="B17" s="666" t="n"/>
      <c r="C17" s="666" t="n"/>
      <c r="D17" s="666" t="n"/>
      <c r="E17" s="666" t="n"/>
      <c r="F17" s="666" t="n"/>
      <c r="G17" s="666" t="n"/>
      <c r="H17" s="666" t="n"/>
      <c r="I17" s="666" t="n"/>
      <c r="J17" s="666" t="n"/>
      <c r="K17" s="666" t="n"/>
    </row>
    <row r="18" s="1296">
      <c r="A18" s="666" t="n"/>
      <c r="B18" s="666" t="n"/>
      <c r="C18" s="666" t="n"/>
      <c r="D18" s="666" t="n"/>
      <c r="E18" s="666" t="n"/>
      <c r="F18" s="666" t="n"/>
      <c r="G18" s="668" t="n"/>
      <c r="H18" s="668" t="n"/>
      <c r="I18" s="668" t="n"/>
      <c r="J18" s="668" t="n"/>
      <c r="K18" s="666" t="n"/>
    </row>
    <row r="19" s="1296">
      <c r="A19" s="666" t="n"/>
      <c r="B19" s="666" t="n"/>
      <c r="C19" s="666" t="n"/>
      <c r="D19" s="666" t="n"/>
      <c r="E19" s="666" t="n"/>
      <c r="F19" s="666" t="n"/>
      <c r="G19" s="668" t="n"/>
      <c r="H19" s="668" t="n"/>
      <c r="I19" s="668" t="n"/>
      <c r="J19" s="668" t="n"/>
      <c r="K19" s="666" t="n"/>
    </row>
    <row r="20" s="1296">
      <c r="A20" s="20" t="inlineStr">
        <is>
          <t>四、审计结论：</t>
        </is>
      </c>
      <c r="B20" s="666" t="n"/>
      <c r="C20" s="666" t="n"/>
      <c r="D20" s="666" t="n"/>
      <c r="E20" s="666" t="n"/>
      <c r="F20" s="666" t="n"/>
      <c r="G20" s="668" t="n"/>
      <c r="H20" s="668" t="n"/>
      <c r="I20" s="668" t="n"/>
      <c r="J20" s="668" t="n"/>
      <c r="K20" s="666" t="n"/>
    </row>
    <row r="21" s="1296">
      <c r="A21" s="994" t="n"/>
      <c r="B21" s="994" t="n"/>
      <c r="C21" s="994" t="n"/>
      <c r="D21" s="994" t="n"/>
      <c r="E21" s="994" t="n"/>
      <c r="F21" s="994" t="n"/>
      <c r="G21" s="994" t="n"/>
      <c r="H21" s="994" t="n"/>
      <c r="I21" s="994" t="n"/>
      <c r="J21" s="994" t="n"/>
      <c r="K21" s="994" t="n"/>
    </row>
  </sheetData>
  <mergeCells count="5">
    <mergeCell ref="B11:F11"/>
    <mergeCell ref="A2:K2"/>
    <mergeCell ref="G11:K11"/>
    <mergeCell ref="A1:K1"/>
    <mergeCell ref="A11:A12"/>
  </mergeCells>
  <hyperlinks>
    <hyperlink ref="K3" location="底稿目录!A1" display="='D:\GT_plan\backend\wp_templates\D\[D4-13至D4-20主营业务收入-检查（Leap应对措施-检查）.xlsx]底稿目录'!F6"/>
  </hyperlinks>
  <pageMargins left="0.708333333333333" right="0.708333333333333" top="0.747916666666667" bottom="0.747916666666667" header="0.314583333333333" footer="0.314583333333333"/>
  <pageSetup orientation="portrait" paperSize="9" scale="68" blackAndWhite="1"/>
  <headerFooter>
    <oddHeader/>
    <oddFooter>&amp;C&amp;P/&amp;N</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K43"/>
  <sheetViews>
    <sheetView view="pageBreakPreview" zoomScaleNormal="100" workbookViewId="0">
      <selection activeCell="A1" sqref="A1:K1"/>
    </sheetView>
  </sheetViews>
  <sheetFormatPr baseColWidth="8" defaultColWidth="8.72727272727273" defaultRowHeight="20.1" customHeight="1"/>
  <cols>
    <col width="9.69090909090909" customWidth="1" style="1716" min="1" max="1"/>
    <col width="11.6363636363636" customWidth="1" style="1716" min="2" max="2"/>
    <col width="12" customWidth="1" style="1716" min="3" max="3"/>
    <col width="11.1454545454545" customWidth="1" style="1716" min="4" max="6"/>
    <col width="12" customWidth="1" style="1716" min="7" max="7"/>
    <col width="12.2363636363636" customWidth="1" style="1716" min="8" max="8"/>
    <col width="11.3909090909091" customWidth="1" style="1716" min="9" max="9"/>
    <col width="11.7545454545455" customWidth="1" style="1716" min="10" max="10"/>
    <col width="11.0272727272727" customWidth="1" style="1716" min="11" max="11"/>
    <col width="8.72727272727273" customWidth="1" style="1716" min="12" max="16384"/>
  </cols>
  <sheetData>
    <row r="1" s="1296">
      <c r="A1" s="1717" t="inlineStr">
        <is>
          <t>致同会计师事务所</t>
        </is>
      </c>
    </row>
    <row r="2" s="1296">
      <c r="A2" s="1718" t="inlineStr">
        <is>
          <t>营业收入截止测试（账到单据）</t>
        </is>
      </c>
    </row>
    <row r="3" customFormat="1" s="1719">
      <c r="A3" s="1363" t="inlineStr">
        <is>
          <t>被审计单位：</t>
        </is>
      </c>
      <c r="B3" s="1363" t="n"/>
      <c r="D3" s="1366" t="inlineStr">
        <is>
          <t>编制人：</t>
        </is>
      </c>
      <c r="E3" s="1643" t="n"/>
      <c r="G3" s="1363" t="inlineStr">
        <is>
          <t>编制日期：</t>
        </is>
      </c>
      <c r="J3" s="1367" t="inlineStr">
        <is>
          <t>索引号：</t>
        </is>
      </c>
      <c r="K3" s="1640" t="inlineStr">
        <is>
          <t>D4-17</t>
        </is>
      </c>
    </row>
    <row r="4" customFormat="1" s="1719">
      <c r="A4" s="1363" t="inlineStr">
        <is>
          <t>会计期间：202X年度</t>
        </is>
      </c>
      <c r="B4" s="645" t="n"/>
      <c r="D4" s="1366" t="inlineStr">
        <is>
          <t>复核人：</t>
        </is>
      </c>
      <c r="E4" s="1643" t="n"/>
      <c r="G4" s="1363" t="inlineStr">
        <is>
          <t>复核日期：</t>
        </is>
      </c>
      <c r="J4" s="1367" t="inlineStr">
        <is>
          <t>页次：</t>
        </is>
      </c>
    </row>
    <row r="5" customFormat="1" s="257">
      <c r="A5" s="20" t="inlineStr">
        <is>
          <t>一、审计目标</t>
        </is>
      </c>
      <c r="B5" s="22" t="n"/>
      <c r="C5" s="22" t="n"/>
      <c r="D5" s="22" t="n"/>
      <c r="E5" s="22" t="n"/>
      <c r="F5" s="22" t="n"/>
      <c r="G5" s="22" t="n"/>
      <c r="H5" s="22" t="n"/>
      <c r="I5" s="22" t="n"/>
      <c r="J5" s="22" t="n"/>
    </row>
    <row r="6" customFormat="1" s="257">
      <c r="A6" s="21" t="inlineStr">
        <is>
          <t>确认与营业收入有关事项已记录于正确的会计期间。</t>
        </is>
      </c>
      <c r="C6" s="21" t="n"/>
      <c r="D6" s="21" t="n"/>
      <c r="E6" s="21" t="n"/>
      <c r="F6" s="21" t="n"/>
      <c r="G6" s="21" t="n"/>
      <c r="H6" s="21" t="n"/>
      <c r="I6" s="21" t="n"/>
      <c r="J6" s="21" t="n"/>
    </row>
    <row r="7" customFormat="1" s="257">
      <c r="A7" s="20" t="inlineStr">
        <is>
          <t>二、审计过程</t>
        </is>
      </c>
      <c r="B7" s="22" t="n"/>
      <c r="C7" s="22" t="n"/>
      <c r="D7" s="22" t="n"/>
      <c r="E7" s="22" t="n"/>
      <c r="F7" s="22" t="n"/>
      <c r="G7" s="22" t="n"/>
      <c r="H7" s="22" t="n"/>
      <c r="I7" s="22" t="n"/>
      <c r="J7" s="22" t="n"/>
    </row>
    <row r="8" ht="29.4" customFormat="1" customHeight="1" s="257">
      <c r="A8" s="618" t="inlineStr">
        <is>
          <t>1.获取报表日前（______）天、后（______）天，且金额大于______元收入记账凭证与发货单（或验收单、出库单等）核对确认收入是否记入了恰当的期间；</t>
        </is>
      </c>
    </row>
    <row r="9" customFormat="1" s="257">
      <c r="A9" s="267" t="inlineStr">
        <is>
          <t>2.……</t>
        </is>
      </c>
      <c r="B9" s="21" t="n"/>
      <c r="C9" s="22" t="n"/>
      <c r="D9" s="22" t="n"/>
      <c r="E9" s="22" t="n"/>
      <c r="F9" s="22" t="n"/>
      <c r="G9" s="22" t="n"/>
      <c r="H9" s="22" t="n"/>
      <c r="I9" s="22" t="n"/>
      <c r="J9" s="22" t="n"/>
    </row>
    <row r="10" ht="30" customFormat="1" customHeight="1" s="257">
      <c r="A10" s="619" t="inlineStr">
        <is>
          <t>提示：如果存在跨期舞弊风险或者所检查样本中发现有跨期的，应扩大测试期间和样本，甚至可以考虑将截止测试期间延长至审计报告日。同时考虑是否存在内控缺陷。</t>
        </is>
      </c>
      <c r="B10" s="1720" t="n"/>
      <c r="C10" s="1720" t="n"/>
      <c r="D10" s="1720" t="n"/>
      <c r="E10" s="1720" t="n"/>
      <c r="F10" s="1720" t="n"/>
      <c r="G10" s="1720" t="n"/>
      <c r="H10" s="1720" t="n"/>
      <c r="I10" s="1720" t="n"/>
      <c r="J10" s="1720" t="n"/>
      <c r="K10" s="1720" t="n"/>
    </row>
    <row r="11" customFormat="1" s="1721">
      <c r="A11" s="1722" t="inlineStr">
        <is>
          <t>记账凭证</t>
        </is>
      </c>
      <c r="B11" s="1578" t="n"/>
      <c r="C11" s="1578" t="n"/>
      <c r="D11" s="1578" t="n"/>
      <c r="E11" s="1390" t="n"/>
      <c r="F11" s="1723" t="inlineStr">
        <is>
          <t>发货单</t>
        </is>
      </c>
      <c r="G11" s="1578" t="n"/>
      <c r="H11" s="1578" t="n"/>
      <c r="I11" s="1578" t="n"/>
      <c r="J11" s="1578" t="n"/>
      <c r="K11" s="1724" t="inlineStr">
        <is>
          <t>是否跨期</t>
        </is>
      </c>
    </row>
    <row r="12" customFormat="1" s="1721">
      <c r="A12" s="1722" t="inlineStr">
        <is>
          <t>日期</t>
        </is>
      </c>
      <c r="B12" s="1722" t="inlineStr">
        <is>
          <t>编号</t>
        </is>
      </c>
      <c r="C12" s="1722" t="inlineStr">
        <is>
          <t>品名</t>
        </is>
      </c>
      <c r="D12" s="1722" t="inlineStr">
        <is>
          <t>数量</t>
        </is>
      </c>
      <c r="E12" s="1722" t="inlineStr">
        <is>
          <t>金额</t>
        </is>
      </c>
      <c r="F12" s="1722" t="inlineStr">
        <is>
          <t>日期</t>
        </is>
      </c>
      <c r="G12" s="1722" t="inlineStr">
        <is>
          <t>编号</t>
        </is>
      </c>
      <c r="H12" s="1722" t="inlineStr">
        <is>
          <t>品名</t>
        </is>
      </c>
      <c r="I12" s="1722" t="inlineStr">
        <is>
          <t>数量</t>
        </is>
      </c>
      <c r="J12" s="1722" t="inlineStr">
        <is>
          <t>金额</t>
        </is>
      </c>
      <c r="K12" s="1724" t="inlineStr">
        <is>
          <t>√（×）</t>
        </is>
      </c>
    </row>
    <row r="13" customFormat="1" s="1721">
      <c r="A13" s="1725" t="n"/>
      <c r="B13" s="46" t="n"/>
      <c r="C13" s="1726" t="n"/>
      <c r="D13" s="1727" t="n"/>
      <c r="E13" s="1727" t="n"/>
      <c r="F13" s="1725" t="n"/>
      <c r="G13" s="46" t="n"/>
      <c r="H13" s="46" t="n"/>
      <c r="I13" s="46" t="n"/>
      <c r="J13" s="1728" t="n"/>
      <c r="K13" s="1729" t="n"/>
    </row>
    <row r="14" customFormat="1" s="1721">
      <c r="A14" s="1730" t="n"/>
      <c r="B14" s="46" t="n"/>
      <c r="C14" s="1726" t="n"/>
      <c r="D14" s="1727" t="n"/>
      <c r="E14" s="1727" t="n"/>
      <c r="F14" s="1725" t="n"/>
      <c r="G14" s="46" t="n"/>
      <c r="H14" s="46" t="n"/>
      <c r="I14" s="46" t="n"/>
      <c r="J14" s="1728" t="n"/>
      <c r="K14" s="1729" t="n"/>
    </row>
    <row r="15" customFormat="1" s="1721">
      <c r="A15" s="1730" t="n"/>
      <c r="B15" s="46" t="n"/>
      <c r="C15" s="1726" t="n"/>
      <c r="D15" s="1727" t="n"/>
      <c r="E15" s="1727" t="n"/>
      <c r="F15" s="1725" t="n"/>
      <c r="G15" s="46" t="n"/>
      <c r="H15" s="46" t="n"/>
      <c r="I15" s="46" t="n"/>
      <c r="J15" s="1728" t="n"/>
      <c r="K15" s="1729" t="n"/>
    </row>
    <row r="16" customFormat="1" s="1721">
      <c r="A16" s="1730" t="n"/>
      <c r="B16" s="46" t="n"/>
      <c r="C16" s="1726" t="n"/>
      <c r="D16" s="1727" t="n"/>
      <c r="E16" s="1727" t="n"/>
      <c r="F16" s="1725" t="n"/>
      <c r="G16" s="46" t="n"/>
      <c r="H16" s="46" t="n"/>
      <c r="I16" s="46" t="n"/>
      <c r="J16" s="1728" t="n"/>
      <c r="K16" s="1729" t="n"/>
    </row>
    <row r="17" customFormat="1" s="1721">
      <c r="A17" s="1730" t="n"/>
      <c r="B17" s="46" t="n"/>
      <c r="C17" s="1726" t="n"/>
      <c r="D17" s="1727" t="n"/>
      <c r="E17" s="1727" t="n"/>
      <c r="F17" s="1725" t="n"/>
      <c r="G17" s="46" t="n"/>
      <c r="H17" s="46" t="n"/>
      <c r="I17" s="46" t="n"/>
      <c r="J17" s="1728" t="n"/>
      <c r="K17" s="1729" t="n"/>
    </row>
    <row r="18" customFormat="1" s="1721">
      <c r="A18" s="1730" t="n"/>
      <c r="B18" s="46" t="n"/>
      <c r="C18" s="1726" t="n"/>
      <c r="D18" s="1727" t="n"/>
      <c r="E18" s="1727" t="n"/>
      <c r="F18" s="1725" t="n"/>
      <c r="G18" s="46" t="n"/>
      <c r="H18" s="46" t="n"/>
      <c r="I18" s="46" t="n"/>
      <c r="J18" s="1728" t="n"/>
      <c r="K18" s="1729" t="n"/>
    </row>
    <row r="19" customFormat="1" s="1721">
      <c r="A19" s="1730" t="n"/>
      <c r="B19" s="46" t="n"/>
      <c r="C19" s="1726" t="n"/>
      <c r="D19" s="1727" t="n"/>
      <c r="E19" s="1727" t="n"/>
      <c r="F19" s="1725" t="n"/>
      <c r="G19" s="46" t="n"/>
      <c r="H19" s="46" t="n"/>
      <c r="I19" s="46" t="n"/>
      <c r="J19" s="1728" t="n"/>
      <c r="K19" s="1729" t="n"/>
    </row>
    <row r="20" customFormat="1" s="1721">
      <c r="A20" s="1730" t="n"/>
      <c r="B20" s="46" t="n"/>
      <c r="C20" s="1726" t="n"/>
      <c r="D20" s="1727" t="n"/>
      <c r="E20" s="1727" t="n"/>
      <c r="F20" s="1725" t="n"/>
      <c r="G20" s="46" t="n"/>
      <c r="H20" s="46" t="n"/>
      <c r="I20" s="46" t="n"/>
      <c r="J20" s="1728" t="n"/>
      <c r="K20" s="1729" t="n"/>
    </row>
    <row r="21" customFormat="1" s="1721">
      <c r="A21" s="1730" t="n"/>
      <c r="B21" s="650" t="n"/>
      <c r="C21" s="1726" t="n"/>
      <c r="D21" s="1727" t="n"/>
      <c r="E21" s="1727" t="n"/>
      <c r="F21" s="1725" t="n"/>
      <c r="G21" s="46" t="n"/>
      <c r="H21" s="46" t="n"/>
      <c r="I21" s="46" t="n"/>
      <c r="J21" s="1728" t="n"/>
      <c r="K21" s="1729" t="n"/>
    </row>
    <row r="22" customFormat="1" s="1721">
      <c r="A22" s="1725" t="n"/>
      <c r="B22" s="650" t="n"/>
      <c r="C22" s="1726" t="n"/>
      <c r="D22" s="1727" t="n"/>
      <c r="E22" s="1727" t="n"/>
      <c r="F22" s="1725" t="n"/>
      <c r="G22" s="46" t="n"/>
      <c r="H22" s="46" t="n"/>
      <c r="I22" s="46" t="n"/>
      <c r="J22" s="1728" t="n"/>
      <c r="K22" s="1729" t="n"/>
    </row>
    <row r="23" customFormat="1" s="1721">
      <c r="A23" s="1725" t="n"/>
      <c r="B23" s="650" t="n"/>
      <c r="C23" s="1726" t="n"/>
      <c r="D23" s="1727" t="n"/>
      <c r="E23" s="1727" t="n"/>
      <c r="F23" s="1725" t="n"/>
      <c r="G23" s="46" t="n"/>
      <c r="H23" s="46" t="n"/>
      <c r="I23" s="46" t="n"/>
      <c r="J23" s="1728" t="n"/>
      <c r="K23" s="1729" t="n"/>
    </row>
    <row r="24" customFormat="1" s="1721">
      <c r="A24" s="1731" t="inlineStr">
        <is>
          <t>截止日期：202X年12月31日</t>
        </is>
      </c>
      <c r="B24" s="1732" t="n"/>
      <c r="C24" s="1733" t="n"/>
      <c r="D24" s="1733" t="n"/>
      <c r="E24" s="1733" t="n"/>
      <c r="F24" s="1733" t="n"/>
      <c r="G24" s="1733" t="n"/>
      <c r="H24" s="1733" t="n"/>
      <c r="I24" s="1733" t="n"/>
      <c r="J24" s="1734" t="n"/>
      <c r="K24" s="1735" t="n"/>
    </row>
    <row r="25" customFormat="1" s="1721">
      <c r="A25" s="1725" t="n"/>
      <c r="B25" s="650" t="n"/>
      <c r="C25" s="1726" t="n"/>
      <c r="D25" s="1727" t="n"/>
      <c r="E25" s="1727" t="n"/>
      <c r="F25" s="1725" t="n"/>
      <c r="G25" s="46" t="n"/>
      <c r="H25" s="46" t="n"/>
      <c r="I25" s="46" t="n"/>
      <c r="J25" s="1728" t="n"/>
      <c r="K25" s="1729" t="n"/>
    </row>
    <row r="26" customFormat="1" s="1721">
      <c r="A26" s="1725" t="n"/>
      <c r="B26" s="650" t="n"/>
      <c r="C26" s="1726" t="n"/>
      <c r="D26" s="1727" t="n"/>
      <c r="E26" s="1727" t="n"/>
      <c r="F26" s="1725" t="n"/>
      <c r="G26" s="46" t="n"/>
      <c r="H26" s="46" t="n"/>
      <c r="I26" s="46" t="n"/>
      <c r="J26" s="1728" t="n"/>
      <c r="K26" s="1729" t="n"/>
    </row>
    <row r="27" customFormat="1" s="1721">
      <c r="A27" s="1725" t="n"/>
      <c r="B27" s="650" t="n"/>
      <c r="C27" s="1726" t="n"/>
      <c r="D27" s="1727" t="n"/>
      <c r="E27" s="1727" t="n"/>
      <c r="F27" s="1725" t="n"/>
      <c r="G27" s="46" t="n"/>
      <c r="H27" s="46" t="n"/>
      <c r="I27" s="46" t="n"/>
      <c r="J27" s="1728" t="n"/>
      <c r="K27" s="1729" t="n"/>
    </row>
    <row r="28" customFormat="1" s="1721">
      <c r="A28" s="1725" t="n"/>
      <c r="B28" s="650" t="n"/>
      <c r="C28" s="1726" t="n"/>
      <c r="D28" s="1727" t="n"/>
      <c r="E28" s="1727" t="n"/>
      <c r="F28" s="1725" t="n"/>
      <c r="G28" s="46" t="n"/>
      <c r="H28" s="46" t="n"/>
      <c r="I28" s="46" t="n"/>
      <c r="J28" s="1728" t="n"/>
      <c r="K28" s="1729" t="n"/>
    </row>
    <row r="29" customFormat="1" s="1721">
      <c r="A29" s="1725" t="n"/>
      <c r="B29" s="650" t="n"/>
      <c r="C29" s="1726" t="n"/>
      <c r="D29" s="1727" t="n"/>
      <c r="E29" s="1727" t="n"/>
      <c r="F29" s="1725" t="n"/>
      <c r="G29" s="46" t="n"/>
      <c r="H29" s="46" t="n"/>
      <c r="I29" s="46" t="n"/>
      <c r="J29" s="1728" t="n"/>
      <c r="K29" s="1729" t="n"/>
    </row>
    <row r="30" customFormat="1" s="1721">
      <c r="A30" s="1725" t="n"/>
      <c r="B30" s="650" t="n"/>
      <c r="C30" s="1726" t="n"/>
      <c r="D30" s="1727" t="n"/>
      <c r="E30" s="1727" t="n"/>
      <c r="F30" s="1725" t="n"/>
      <c r="G30" s="46" t="n"/>
      <c r="H30" s="46" t="n"/>
      <c r="I30" s="46" t="n"/>
      <c r="J30" s="1728" t="n"/>
      <c r="K30" s="1729" t="n"/>
    </row>
    <row r="31" customFormat="1" s="1721">
      <c r="A31" s="1725" t="n"/>
      <c r="B31" s="650" t="n"/>
      <c r="C31" s="1726" t="n"/>
      <c r="D31" s="1727" t="n"/>
      <c r="E31" s="1727" t="n"/>
      <c r="F31" s="1725" t="n"/>
      <c r="G31" s="46" t="n"/>
      <c r="H31" s="46" t="n"/>
      <c r="I31" s="46" t="n"/>
      <c r="J31" s="1728" t="n"/>
      <c r="K31" s="1729" t="n"/>
    </row>
    <row r="32" customFormat="1" s="1721">
      <c r="A32" s="1725" t="n"/>
      <c r="B32" s="650" t="n"/>
      <c r="C32" s="1726" t="n"/>
      <c r="D32" s="1727" t="n"/>
      <c r="E32" s="1727" t="n"/>
      <c r="F32" s="1725" t="n"/>
      <c r="G32" s="46" t="n"/>
      <c r="H32" s="46" t="n"/>
      <c r="I32" s="46" t="n"/>
      <c r="J32" s="1728" t="n"/>
      <c r="K32" s="1729" t="n"/>
    </row>
    <row r="33" customFormat="1" s="1721">
      <c r="A33" s="1736" t="n"/>
      <c r="B33" s="650" t="n"/>
      <c r="C33" s="1726" t="n"/>
      <c r="D33" s="1727" t="n"/>
      <c r="E33" s="1727" t="n"/>
      <c r="F33" s="1725" t="n"/>
      <c r="G33" s="46" t="n"/>
      <c r="H33" s="46" t="n"/>
      <c r="I33" s="46" t="n"/>
      <c r="J33" s="1728" t="n"/>
      <c r="K33" s="1729" t="n"/>
    </row>
    <row r="34" customFormat="1" s="1721">
      <c r="A34" s="1736" t="n"/>
      <c r="B34" s="650" t="n"/>
      <c r="C34" s="1726" t="n"/>
      <c r="D34" s="1727" t="n"/>
      <c r="E34" s="1727" t="n"/>
      <c r="F34" s="1725" t="n"/>
      <c r="G34" s="46" t="n"/>
      <c r="H34" s="46" t="n"/>
      <c r="I34" s="46" t="n"/>
      <c r="J34" s="1728" t="n"/>
      <c r="K34" s="1729" t="n"/>
    </row>
    <row r="35" s="1296">
      <c r="A35" s="1736" t="n"/>
      <c r="B35" s="46" t="n"/>
      <c r="C35" s="1726" t="n"/>
      <c r="D35" s="1727" t="n"/>
      <c r="E35" s="1727" t="n"/>
      <c r="F35" s="1725" t="n"/>
      <c r="G35" s="46" t="n"/>
      <c r="H35" s="46" t="n"/>
      <c r="I35" s="46" t="n"/>
      <c r="J35" s="1728" t="n"/>
      <c r="K35" s="1726" t="n"/>
    </row>
    <row r="36" customFormat="1" s="613">
      <c r="A36" s="637" t="inlineStr">
        <is>
          <t>三、审计说明</t>
        </is>
      </c>
      <c r="B36" s="638" t="n"/>
      <c r="C36" s="638" t="n"/>
      <c r="D36" s="638" t="n"/>
      <c r="E36" s="638" t="n"/>
      <c r="F36" s="638" t="n"/>
      <c r="G36" s="638" t="n"/>
      <c r="H36" s="638" t="n"/>
      <c r="I36" s="638" t="n"/>
      <c r="J36" s="638" t="n"/>
      <c r="K36" s="638" t="n"/>
    </row>
    <row r="37" customFormat="1" s="613">
      <c r="B37" s="639" t="n"/>
      <c r="C37" s="639" t="n"/>
      <c r="D37" s="639" t="n"/>
      <c r="E37" s="639" t="n"/>
      <c r="F37" s="639" t="n"/>
      <c r="G37" s="639" t="n"/>
      <c r="H37" s="639" t="n"/>
      <c r="I37" s="639" t="n"/>
      <c r="J37" s="639" t="n"/>
      <c r="K37" s="639" t="n"/>
    </row>
    <row r="38" customFormat="1" s="613">
      <c r="B38" s="639" t="n"/>
      <c r="C38" s="639" t="n"/>
      <c r="D38" s="639" t="n"/>
      <c r="E38" s="639" t="n"/>
      <c r="F38" s="639" t="n"/>
      <c r="G38" s="639" t="n"/>
      <c r="H38" s="639" t="n"/>
      <c r="I38" s="639" t="n"/>
      <c r="J38" s="639" t="n"/>
      <c r="K38" s="639" t="n"/>
    </row>
    <row r="39" customFormat="1" s="613">
      <c r="A39" s="639" t="n"/>
      <c r="B39" s="639" t="n"/>
      <c r="C39" s="639" t="n"/>
      <c r="D39" s="639" t="n"/>
      <c r="E39" s="639" t="n"/>
      <c r="F39" s="639" t="n"/>
      <c r="G39" s="639" t="n"/>
      <c r="H39" s="639" t="n"/>
      <c r="I39" s="639" t="n"/>
      <c r="J39" s="639" t="n"/>
      <c r="K39" s="639" t="n"/>
    </row>
    <row r="40" customFormat="1" s="613">
      <c r="A40" s="613" t="inlineStr">
        <is>
          <t>四、审计结论</t>
        </is>
      </c>
      <c r="B40" s="639" t="n"/>
      <c r="C40" s="639" t="n"/>
      <c r="D40" s="639" t="n"/>
      <c r="E40" s="639" t="n"/>
      <c r="F40" s="639" t="n"/>
      <c r="G40" s="639" t="n"/>
      <c r="H40" s="639" t="n"/>
      <c r="I40" s="639" t="n"/>
      <c r="J40" s="639" t="n"/>
      <c r="K40" s="639" t="n"/>
    </row>
    <row r="41" customFormat="1" s="613">
      <c r="A41" s="639" t="n"/>
      <c r="B41" s="639" t="n"/>
      <c r="C41" s="639" t="n"/>
      <c r="D41" s="639" t="n"/>
      <c r="E41" s="639" t="n"/>
      <c r="F41" s="639" t="n"/>
      <c r="G41" s="639" t="n"/>
      <c r="H41" s="639" t="n"/>
      <c r="I41" s="639" t="n"/>
      <c r="J41" s="639" t="n"/>
      <c r="K41" s="639" t="n"/>
    </row>
    <row r="42" s="1296">
      <c r="A42" s="1737" t="inlineStr">
        <is>
          <t>提示1：本表适用于对“以发货单为确认收入时点”的被审计单位的截止测试，项目组在使用模板时，请根据企业的收入确认政策修改或调整。</t>
        </is>
      </c>
    </row>
    <row r="43" s="1296">
      <c r="A43" s="1738" t="inlineStr">
        <is>
          <t>提示2：如果存在跨期舞弊风险或者所检查样本中发现有跨期的，应扩大测试期间和样本，考虑将截止测试期间延长至审计报告日。同时考虑是否存在内控缺陷。</t>
        </is>
      </c>
    </row>
  </sheetData>
  <mergeCells count="6">
    <mergeCell ref="F11:J11"/>
    <mergeCell ref="A2:K2"/>
    <mergeCell ref="A11:E11"/>
    <mergeCell ref="A10:K10"/>
    <mergeCell ref="A1:K1"/>
    <mergeCell ref="A8:K8"/>
  </mergeCells>
  <hyperlinks>
    <hyperlink ref="K3" location="底稿目录!A1" display="='D:\GT_plan\backend\wp_templates\D\[D4-13至D4-20主营业务收入-检查（Leap应对措施-检查）.xlsx]底稿目录'!F7"/>
  </hyperlinks>
  <pageMargins left="0.708333333333333" right="0.708333333333333" top="0.747916666666667" bottom="0.747916666666667" header="0.314583333333333" footer="0.314583333333333"/>
  <pageSetup orientation="portrait" paperSize="9" scale="74" blackAndWhite="1"/>
  <headerFooter>
    <oddHeader/>
    <oddFooter>&amp;C&amp;P/&amp;N</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K43"/>
  <sheetViews>
    <sheetView view="pageBreakPreview" zoomScaleNormal="100" workbookViewId="0">
      <selection activeCell="A1" sqref="A1:K1"/>
    </sheetView>
  </sheetViews>
  <sheetFormatPr baseColWidth="8" defaultColWidth="8.72727272727273" defaultRowHeight="20.1" customHeight="1"/>
  <cols>
    <col width="9.81818181818182" customWidth="1" style="1716" min="1" max="1"/>
    <col width="10.6636363636364" customWidth="1" style="1716" min="2" max="2"/>
    <col width="11.1454545454545" customWidth="1" style="1716" min="3" max="3"/>
    <col width="11.6363636363636" customWidth="1" style="1716" min="4" max="4"/>
    <col width="11.1454545454545" customWidth="1" style="1716" min="5" max="5"/>
    <col width="10.9090909090909" customWidth="1" style="1716" min="6" max="6"/>
    <col width="11.2727272727273" customWidth="1" style="1716" min="7" max="7"/>
    <col width="11.3909090909091" customWidth="1" style="1716" min="8" max="8"/>
    <col width="10.9090909090909" customWidth="1" style="1716" min="9" max="9"/>
    <col width="11.8727272727273" customWidth="1" style="1716" min="10" max="10"/>
    <col width="13.0909090909091" customWidth="1" style="1716" min="11" max="11"/>
    <col width="8.72727272727273" customWidth="1" style="1716" min="12" max="16384"/>
  </cols>
  <sheetData>
    <row r="1" s="1296">
      <c r="A1" s="1717" t="inlineStr">
        <is>
          <t>致同会计师事务所</t>
        </is>
      </c>
    </row>
    <row r="2" s="1296">
      <c r="A2" s="1718" t="inlineStr">
        <is>
          <t>营业收入截止测试（单据到账）</t>
        </is>
      </c>
    </row>
    <row r="3" customFormat="1" s="1719">
      <c r="A3" s="1545" t="inlineStr">
        <is>
          <t>被审计单位：</t>
        </is>
      </c>
      <c r="B3" s="1545" t="n"/>
      <c r="D3" s="1546" t="inlineStr">
        <is>
          <t>编制人：</t>
        </is>
      </c>
      <c r="E3" s="1643" t="n"/>
      <c r="G3" s="1545" t="inlineStr">
        <is>
          <t>编制日期：</t>
        </is>
      </c>
      <c r="J3" s="1739" t="inlineStr">
        <is>
          <t>索引号：</t>
        </is>
      </c>
      <c r="K3" s="1640" t="inlineStr">
        <is>
          <t>D4-18</t>
        </is>
      </c>
    </row>
    <row r="4" customFormat="1" s="1719">
      <c r="A4" s="1545" t="inlineStr">
        <is>
          <t>会计期间：202X年度</t>
        </is>
      </c>
      <c r="B4" s="1545" t="n"/>
      <c r="D4" s="1546" t="inlineStr">
        <is>
          <t>复核人：</t>
        </is>
      </c>
      <c r="E4" s="1643" t="n"/>
      <c r="G4" s="1545" t="inlineStr">
        <is>
          <t>复核日期：</t>
        </is>
      </c>
      <c r="J4" s="1547" t="inlineStr">
        <is>
          <t>页次：</t>
        </is>
      </c>
    </row>
    <row r="5" customFormat="1" s="257">
      <c r="A5" s="20" t="inlineStr">
        <is>
          <t>一、审计目标</t>
        </is>
      </c>
      <c r="B5" s="22" t="n"/>
      <c r="C5" s="22" t="n"/>
      <c r="D5" s="22" t="n"/>
      <c r="E5" s="22" t="n"/>
      <c r="F5" s="22" t="n"/>
      <c r="G5" s="22" t="n"/>
      <c r="H5" s="22" t="n"/>
      <c r="I5" s="22" t="n"/>
      <c r="J5" s="22" t="n"/>
    </row>
    <row r="6" customFormat="1" s="257">
      <c r="A6" s="21" t="inlineStr">
        <is>
          <t>确认与营业收入有关事项已记录于正确的会计期间。</t>
        </is>
      </c>
      <c r="C6" s="21" t="n"/>
      <c r="D6" s="21" t="n"/>
      <c r="E6" s="21" t="n"/>
      <c r="F6" s="21" t="n"/>
      <c r="G6" s="21" t="n"/>
      <c r="H6" s="21" t="n"/>
      <c r="I6" s="21" t="n"/>
      <c r="J6" s="21" t="n"/>
    </row>
    <row r="7" customFormat="1" s="257">
      <c r="A7" s="20" t="inlineStr">
        <is>
          <t>二、审计过程</t>
        </is>
      </c>
      <c r="B7" s="22" t="n"/>
      <c r="C7" s="22" t="n"/>
      <c r="D7" s="22" t="n"/>
      <c r="E7" s="22" t="n"/>
      <c r="F7" s="22" t="n"/>
      <c r="G7" s="22" t="n"/>
      <c r="H7" s="22" t="n"/>
      <c r="I7" s="22" t="n"/>
      <c r="J7" s="22" t="n"/>
    </row>
    <row r="8" ht="28.8" customFormat="1" customHeight="1" s="257">
      <c r="A8" s="618" t="inlineStr">
        <is>
          <t>1.获取报表日前（______）天、后（______）天，且金额大于______元发货单（或验收单、出库单等）与收入记账凭证核对确认收入是否记入了恰当的期间；</t>
        </is>
      </c>
    </row>
    <row r="9" customFormat="1" s="257">
      <c r="A9" s="267" t="inlineStr">
        <is>
          <t>2.……</t>
        </is>
      </c>
      <c r="B9" s="21" t="n"/>
      <c r="C9" s="22" t="n"/>
      <c r="D9" s="22" t="n"/>
      <c r="E9" s="22" t="n"/>
      <c r="F9" s="22" t="n"/>
      <c r="G9" s="22" t="n"/>
      <c r="H9" s="22" t="n"/>
      <c r="I9" s="22" t="n"/>
      <c r="J9" s="22" t="n"/>
    </row>
    <row r="10" ht="27.6" customFormat="1" customHeight="1" s="257">
      <c r="A10" s="619" t="inlineStr">
        <is>
          <t>提示：如果存在跨期舞弊风险或者所检查样本中发现有跨期的，应扩大测试期间和样本，甚至可以考虑将截止测试期间延长至审计报告日。同时考虑是否存在内控缺陷。</t>
        </is>
      </c>
      <c r="B10" s="1720" t="n"/>
      <c r="C10" s="1720" t="n"/>
      <c r="D10" s="1720" t="n"/>
      <c r="E10" s="1720" t="n"/>
      <c r="F10" s="1720" t="n"/>
      <c r="G10" s="1720" t="n"/>
      <c r="H10" s="1720" t="n"/>
      <c r="I10" s="1720" t="n"/>
      <c r="J10" s="1720" t="n"/>
      <c r="K10" s="1720" t="n"/>
    </row>
    <row r="11" customFormat="1" s="1721">
      <c r="A11" s="1740" t="inlineStr">
        <is>
          <t>发货单</t>
        </is>
      </c>
      <c r="B11" s="1578" t="n"/>
      <c r="C11" s="1578" t="n"/>
      <c r="D11" s="1578" t="n"/>
      <c r="E11" s="1390" t="n"/>
      <c r="F11" s="1741" t="inlineStr">
        <is>
          <t>记账凭证</t>
        </is>
      </c>
      <c r="G11" s="1578" t="n"/>
      <c r="H11" s="1578" t="n"/>
      <c r="I11" s="1578" t="n"/>
      <c r="J11" s="1578" t="n"/>
      <c r="K11" s="1724" t="inlineStr">
        <is>
          <t>是否跨期</t>
        </is>
      </c>
    </row>
    <row r="12" customFormat="1" s="1721">
      <c r="A12" s="1722" t="inlineStr">
        <is>
          <t>日期</t>
        </is>
      </c>
      <c r="B12" s="1722" t="inlineStr">
        <is>
          <t>编号</t>
        </is>
      </c>
      <c r="C12" s="1722" t="inlineStr">
        <is>
          <t>品名</t>
        </is>
      </c>
      <c r="D12" s="1722" t="inlineStr">
        <is>
          <t>数量</t>
        </is>
      </c>
      <c r="E12" s="1722" t="inlineStr">
        <is>
          <t>金额</t>
        </is>
      </c>
      <c r="F12" s="1724" t="inlineStr">
        <is>
          <t>日期</t>
        </is>
      </c>
      <c r="G12" s="1667" t="inlineStr">
        <is>
          <t>编号</t>
        </is>
      </c>
      <c r="H12" s="1722" t="inlineStr">
        <is>
          <t>品名</t>
        </is>
      </c>
      <c r="I12" s="1722" t="inlineStr">
        <is>
          <t>数量</t>
        </is>
      </c>
      <c r="J12" s="1722" t="inlineStr">
        <is>
          <t>金额</t>
        </is>
      </c>
      <c r="K12" s="1724" t="inlineStr">
        <is>
          <t>√（×）</t>
        </is>
      </c>
    </row>
    <row r="13" customFormat="1" s="1721">
      <c r="A13" s="46" t="n"/>
      <c r="B13" s="1725" t="n"/>
      <c r="C13" s="1726" t="n"/>
      <c r="D13" s="1727" t="n"/>
      <c r="E13" s="1727" t="n"/>
      <c r="F13" s="46" t="n"/>
      <c r="G13" s="1725" t="n"/>
      <c r="H13" s="1725" t="n"/>
      <c r="I13" s="1725" t="n"/>
      <c r="J13" s="1727" t="n"/>
      <c r="K13" s="1742" t="n"/>
    </row>
    <row r="14" customFormat="1" s="1721">
      <c r="A14" s="629" t="n"/>
      <c r="B14" s="1725" t="n"/>
      <c r="C14" s="1726" t="n"/>
      <c r="D14" s="1727" t="n"/>
      <c r="E14" s="1727" t="n"/>
      <c r="F14" s="46" t="n"/>
      <c r="G14" s="1725" t="n"/>
      <c r="H14" s="1725" t="n"/>
      <c r="I14" s="1725" t="n"/>
      <c r="J14" s="1727" t="n"/>
      <c r="K14" s="1742" t="n"/>
    </row>
    <row r="15" customFormat="1" s="1721">
      <c r="A15" s="629" t="n"/>
      <c r="B15" s="1725" t="n"/>
      <c r="C15" s="1726" t="n"/>
      <c r="D15" s="1727" t="n"/>
      <c r="E15" s="1727" t="n"/>
      <c r="F15" s="46" t="n"/>
      <c r="G15" s="1725" t="n"/>
      <c r="H15" s="1725" t="n"/>
      <c r="I15" s="1725" t="n"/>
      <c r="J15" s="1727" t="n"/>
      <c r="K15" s="1742" t="n"/>
    </row>
    <row r="16" customFormat="1" s="1721">
      <c r="A16" s="629" t="n"/>
      <c r="B16" s="1725" t="n"/>
      <c r="C16" s="1726" t="n"/>
      <c r="D16" s="1727" t="n"/>
      <c r="E16" s="1727" t="n"/>
      <c r="F16" s="46" t="n"/>
      <c r="G16" s="1725" t="n"/>
      <c r="H16" s="1725" t="n"/>
      <c r="I16" s="1725" t="n"/>
      <c r="J16" s="1727" t="n"/>
      <c r="K16" s="1742" t="n"/>
    </row>
    <row r="17" customFormat="1" s="1721">
      <c r="A17" s="629" t="n"/>
      <c r="B17" s="1725" t="n"/>
      <c r="C17" s="1726" t="n"/>
      <c r="D17" s="1727" t="n"/>
      <c r="E17" s="1727" t="n"/>
      <c r="F17" s="46" t="n"/>
      <c r="G17" s="1725" t="n"/>
      <c r="H17" s="1725" t="n"/>
      <c r="I17" s="1725" t="n"/>
      <c r="J17" s="1727" t="n"/>
      <c r="K17" s="1742" t="n"/>
    </row>
    <row r="18" customFormat="1" s="1721">
      <c r="A18" s="629" t="n"/>
      <c r="B18" s="1725" t="n"/>
      <c r="C18" s="1726" t="n"/>
      <c r="D18" s="1727" t="n"/>
      <c r="E18" s="1727" t="n"/>
      <c r="F18" s="46" t="n"/>
      <c r="G18" s="1725" t="n"/>
      <c r="H18" s="1725" t="n"/>
      <c r="I18" s="1725" t="n"/>
      <c r="J18" s="1727" t="n"/>
      <c r="K18" s="1742" t="n"/>
    </row>
    <row r="19" customFormat="1" s="1721">
      <c r="A19" s="629" t="n"/>
      <c r="B19" s="1725" t="n"/>
      <c r="C19" s="1726" t="n"/>
      <c r="D19" s="1727" t="n"/>
      <c r="E19" s="1727" t="n"/>
      <c r="F19" s="46" t="n"/>
      <c r="G19" s="1725" t="n"/>
      <c r="H19" s="1725" t="n"/>
      <c r="I19" s="1725" t="n"/>
      <c r="J19" s="1727" t="n"/>
      <c r="K19" s="1742" t="n"/>
    </row>
    <row r="20" customFormat="1" s="1721">
      <c r="A20" s="629" t="n"/>
      <c r="B20" s="1725" t="n"/>
      <c r="C20" s="1726" t="n"/>
      <c r="D20" s="1727" t="n"/>
      <c r="E20" s="1727" t="n"/>
      <c r="F20" s="46" t="n"/>
      <c r="G20" s="1725" t="n"/>
      <c r="H20" s="1725" t="n"/>
      <c r="I20" s="1725" t="n"/>
      <c r="J20" s="1727" t="n"/>
      <c r="K20" s="1742" t="n"/>
    </row>
    <row r="21" customFormat="1" s="1721">
      <c r="A21" s="46" t="n"/>
      <c r="B21" s="1743" t="n"/>
      <c r="C21" s="1726" t="n"/>
      <c r="D21" s="1727" t="n"/>
      <c r="E21" s="1727" t="n"/>
      <c r="F21" s="46" t="n"/>
      <c r="G21" s="1725" t="n"/>
      <c r="H21" s="1725" t="n"/>
      <c r="I21" s="1725" t="n"/>
      <c r="J21" s="1727" t="n"/>
      <c r="K21" s="1742" t="n"/>
    </row>
    <row r="22" customFormat="1" s="1721">
      <c r="A22" s="46" t="n"/>
      <c r="B22" s="1743" t="n"/>
      <c r="C22" s="1726" t="n"/>
      <c r="D22" s="1727" t="n"/>
      <c r="E22" s="1727" t="n"/>
      <c r="F22" s="46" t="n"/>
      <c r="G22" s="1725" t="n"/>
      <c r="H22" s="1725" t="n"/>
      <c r="I22" s="1725" t="n"/>
      <c r="J22" s="1727" t="n"/>
      <c r="K22" s="1742" t="n"/>
    </row>
    <row r="23" customFormat="1" s="1721">
      <c r="A23" s="46" t="n"/>
      <c r="B23" s="1743" t="n"/>
      <c r="C23" s="1726" t="n"/>
      <c r="D23" s="1727" t="n"/>
      <c r="E23" s="1727" t="n"/>
      <c r="F23" s="46" t="n"/>
      <c r="G23" s="1725" t="n"/>
      <c r="H23" s="1725" t="n"/>
      <c r="I23" s="1725" t="n"/>
      <c r="J23" s="1727" t="n"/>
      <c r="K23" s="1742" t="n"/>
    </row>
    <row r="24" customFormat="1" s="1721">
      <c r="A24" s="38" t="inlineStr">
        <is>
          <t>截止日期：202X年12月31日</t>
        </is>
      </c>
      <c r="B24" s="1732" t="n"/>
      <c r="C24" s="1733" t="n"/>
      <c r="D24" s="1732" t="n"/>
      <c r="E24" s="1732" t="n"/>
      <c r="F24" s="633" t="n"/>
      <c r="G24" s="1732" t="n"/>
      <c r="H24" s="1732" t="n"/>
      <c r="I24" s="1732" t="n"/>
      <c r="J24" s="1744" t="n"/>
      <c r="K24" s="1745" t="n"/>
    </row>
    <row r="25" customFormat="1" s="1721">
      <c r="A25" s="46" t="n"/>
      <c r="B25" s="1743" t="n"/>
      <c r="C25" s="1726" t="n"/>
      <c r="D25" s="1727" t="n"/>
      <c r="E25" s="1727" t="n"/>
      <c r="F25" s="46" t="n"/>
      <c r="G25" s="1725" t="n"/>
      <c r="H25" s="1725" t="n"/>
      <c r="I25" s="1725" t="n"/>
      <c r="J25" s="1727" t="n"/>
      <c r="K25" s="1742" t="n"/>
    </row>
    <row r="26" customFormat="1" s="1721">
      <c r="A26" s="46" t="n"/>
      <c r="B26" s="1743" t="n"/>
      <c r="C26" s="1726" t="n"/>
      <c r="D26" s="1727" t="n"/>
      <c r="E26" s="1727" t="n"/>
      <c r="F26" s="46" t="n"/>
      <c r="G26" s="1725" t="n"/>
      <c r="H26" s="1725" t="n"/>
      <c r="I26" s="1725" t="n"/>
      <c r="J26" s="1727" t="n"/>
      <c r="K26" s="1742" t="n"/>
    </row>
    <row r="27" customFormat="1" s="1721">
      <c r="A27" s="46" t="n"/>
      <c r="B27" s="1743" t="n"/>
      <c r="C27" s="1726" t="n"/>
      <c r="D27" s="1727" t="n"/>
      <c r="E27" s="1727" t="n"/>
      <c r="F27" s="46" t="n"/>
      <c r="G27" s="1725" t="n"/>
      <c r="H27" s="1725" t="n"/>
      <c r="I27" s="1725" t="n"/>
      <c r="J27" s="1727" t="n"/>
      <c r="K27" s="1742" t="n"/>
    </row>
    <row r="28" customFormat="1" s="1721">
      <c r="A28" s="46" t="n"/>
      <c r="B28" s="1743" t="n"/>
      <c r="C28" s="1726" t="n"/>
      <c r="D28" s="1727" t="n"/>
      <c r="E28" s="1727" t="n"/>
      <c r="F28" s="46" t="n"/>
      <c r="G28" s="1725" t="n"/>
      <c r="H28" s="1725" t="n"/>
      <c r="I28" s="1725" t="n"/>
      <c r="J28" s="1727" t="n"/>
      <c r="K28" s="1742" t="n"/>
    </row>
    <row r="29" customFormat="1" s="1721">
      <c r="A29" s="46" t="n"/>
      <c r="B29" s="1743" t="n"/>
      <c r="C29" s="1726" t="n"/>
      <c r="D29" s="1727" t="n"/>
      <c r="E29" s="1727" t="n"/>
      <c r="F29" s="46" t="n"/>
      <c r="G29" s="1725" t="n"/>
      <c r="H29" s="1725" t="n"/>
      <c r="I29" s="1725" t="n"/>
      <c r="J29" s="1727" t="n"/>
      <c r="K29" s="1742" t="n"/>
    </row>
    <row r="30" customFormat="1" s="1721">
      <c r="A30" s="46" t="n"/>
      <c r="B30" s="1743" t="n"/>
      <c r="C30" s="1726" t="n"/>
      <c r="D30" s="1727" t="n"/>
      <c r="E30" s="1727" t="n"/>
      <c r="F30" s="46" t="n"/>
      <c r="G30" s="1725" t="n"/>
      <c r="H30" s="1725" t="n"/>
      <c r="I30" s="1725" t="n"/>
      <c r="J30" s="1727" t="n"/>
      <c r="K30" s="1742" t="n"/>
    </row>
    <row r="31" customFormat="1" s="1721">
      <c r="A31" s="46" t="n"/>
      <c r="B31" s="1743" t="n"/>
      <c r="C31" s="1726" t="n"/>
      <c r="D31" s="1727" t="n"/>
      <c r="E31" s="1727" t="n"/>
      <c r="F31" s="46" t="n"/>
      <c r="G31" s="1725" t="n"/>
      <c r="H31" s="1725" t="n"/>
      <c r="I31" s="1725" t="n"/>
      <c r="J31" s="1727" t="n"/>
      <c r="K31" s="1742" t="n"/>
    </row>
    <row r="32" customFormat="1" s="1721">
      <c r="A32" s="46" t="n"/>
      <c r="B32" s="1743" t="n"/>
      <c r="C32" s="1726" t="n"/>
      <c r="D32" s="1727" t="n"/>
      <c r="E32" s="1727" t="n"/>
      <c r="F32" s="46" t="n"/>
      <c r="G32" s="1725" t="n"/>
      <c r="H32" s="1725" t="n"/>
      <c r="I32" s="1725" t="n"/>
      <c r="J32" s="1727" t="n"/>
      <c r="K32" s="1742" t="n"/>
    </row>
    <row r="33" customFormat="1" s="1721">
      <c r="A33" s="46" t="n"/>
      <c r="B33" s="1743" t="n"/>
      <c r="C33" s="1726" t="n"/>
      <c r="D33" s="1727" t="n"/>
      <c r="E33" s="1727" t="n"/>
      <c r="F33" s="46" t="n"/>
      <c r="G33" s="1725" t="n"/>
      <c r="H33" s="1725" t="n"/>
      <c r="I33" s="1725" t="n"/>
      <c r="J33" s="1727" t="n"/>
      <c r="K33" s="1742" t="n"/>
    </row>
    <row r="34" customFormat="1" s="1721">
      <c r="A34" s="636" t="n"/>
      <c r="B34" s="1743" t="n"/>
      <c r="C34" s="1726" t="n"/>
      <c r="D34" s="1727" t="n"/>
      <c r="E34" s="1727" t="n"/>
      <c r="F34" s="46" t="n"/>
      <c r="G34" s="1725" t="n"/>
      <c r="H34" s="1725" t="n"/>
      <c r="I34" s="1725" t="n"/>
      <c r="J34" s="1727" t="n"/>
      <c r="K34" s="1742" t="n"/>
    </row>
    <row r="35" s="1296">
      <c r="A35" s="636" t="n"/>
      <c r="B35" s="1725" t="n"/>
      <c r="C35" s="1726" t="n"/>
      <c r="D35" s="1727" t="n"/>
      <c r="E35" s="1727" t="n"/>
      <c r="F35" s="46" t="n"/>
      <c r="G35" s="1725" t="n"/>
      <c r="H35" s="1725" t="n"/>
      <c r="I35" s="1725" t="n"/>
      <c r="J35" s="1727" t="n"/>
      <c r="K35" s="1742" t="n"/>
    </row>
    <row r="36" customFormat="1" s="613">
      <c r="A36" s="637" t="inlineStr">
        <is>
          <t>三、审计说明</t>
        </is>
      </c>
      <c r="B36" s="638" t="n"/>
      <c r="C36" s="638" t="n"/>
      <c r="D36" s="638" t="n"/>
      <c r="E36" s="638" t="n"/>
      <c r="F36" s="638" t="n"/>
      <c r="G36" s="638" t="n"/>
      <c r="H36" s="638" t="n"/>
      <c r="I36" s="638" t="n"/>
      <c r="J36" s="638" t="n"/>
      <c r="K36" s="638" t="n"/>
    </row>
    <row r="37" customFormat="1" s="613">
      <c r="B37" s="639" t="n"/>
      <c r="C37" s="639" t="n"/>
      <c r="D37" s="639" t="n"/>
      <c r="E37" s="639" t="n"/>
      <c r="F37" s="639" t="n"/>
      <c r="G37" s="639" t="n"/>
      <c r="H37" s="639" t="n"/>
      <c r="I37" s="639" t="n"/>
      <c r="J37" s="639" t="n"/>
      <c r="K37" s="639" t="n"/>
    </row>
    <row r="38" customFormat="1" s="613">
      <c r="B38" s="639" t="n"/>
      <c r="C38" s="639" t="n"/>
      <c r="D38" s="639" t="n"/>
      <c r="E38" s="639" t="n"/>
      <c r="F38" s="639" t="n"/>
      <c r="G38" s="639" t="n"/>
      <c r="H38" s="639" t="n"/>
      <c r="I38" s="639" t="n"/>
      <c r="J38" s="639" t="n"/>
      <c r="K38" s="639" t="n"/>
    </row>
    <row r="39" customFormat="1" s="613">
      <c r="A39" s="639" t="n"/>
      <c r="B39" s="639" t="n"/>
      <c r="C39" s="639" t="n"/>
      <c r="D39" s="639" t="n"/>
      <c r="E39" s="639" t="n"/>
      <c r="F39" s="639" t="n"/>
      <c r="G39" s="639" t="n"/>
      <c r="H39" s="639" t="n"/>
      <c r="I39" s="639" t="n"/>
      <c r="J39" s="639" t="n"/>
      <c r="K39" s="639" t="n"/>
    </row>
    <row r="40" customFormat="1" s="613">
      <c r="A40" s="613" t="inlineStr">
        <is>
          <t>四、审计结论</t>
        </is>
      </c>
      <c r="B40" s="639" t="n"/>
      <c r="C40" s="639" t="n"/>
      <c r="D40" s="639" t="n"/>
      <c r="E40" s="639" t="n"/>
      <c r="F40" s="639" t="n"/>
      <c r="G40" s="639" t="n"/>
      <c r="H40" s="639" t="n"/>
      <c r="I40" s="639" t="n"/>
      <c r="J40" s="639" t="n"/>
      <c r="K40" s="639" t="n"/>
    </row>
    <row r="41" customFormat="1" s="613">
      <c r="A41" s="639" t="n"/>
      <c r="B41" s="639" t="n"/>
      <c r="C41" s="639" t="n"/>
      <c r="D41" s="639" t="n"/>
      <c r="E41" s="639" t="n"/>
      <c r="F41" s="639" t="n"/>
      <c r="G41" s="639" t="n"/>
      <c r="H41" s="639" t="n"/>
      <c r="I41" s="639" t="n"/>
      <c r="J41" s="639" t="n"/>
      <c r="K41" s="639" t="n"/>
    </row>
    <row r="42" s="1296">
      <c r="A42" s="1737" t="inlineStr">
        <is>
          <t>提示1：本表适用于对“以发货单为确认收入时点”的被审计单位的截止测试，项目组在使用模板时，请根据企业的收入确认政策修改或调整。</t>
        </is>
      </c>
    </row>
    <row r="43" s="1296">
      <c r="A43" s="1738" t="inlineStr">
        <is>
          <t>提示2：如果存在跨期舞弊风险或者所检查样本中发现有跨期的，应扩大测试期间和样本，考虑将截止测试期间延长至审计报告日。同时考虑是否存在内控缺陷。</t>
        </is>
      </c>
    </row>
  </sheetData>
  <mergeCells count="6">
    <mergeCell ref="F11:J11"/>
    <mergeCell ref="A2:K2"/>
    <mergeCell ref="A11:E11"/>
    <mergeCell ref="A10:K10"/>
    <mergeCell ref="A1:K1"/>
    <mergeCell ref="A8:K8"/>
  </mergeCells>
  <hyperlinks>
    <hyperlink ref="K3" location="底稿目录!A1" display="='D:\GT_plan\backend\wp_templates\D\[D4-13至D4-20主营业务收入-检查（Leap应对措施-检查）.xlsx]底稿目录'!F8"/>
  </hyperlinks>
  <pageMargins left="0.708333333333333" right="0.708333333333333" top="0.747916666666667" bottom="0.747916666666667" header="0.314583333333333" footer="0.314583333333333"/>
  <pageSetup orientation="portrait" paperSize="9" scale="75" blackAndWhite="1"/>
  <headerFooter>
    <oddHeader/>
    <oddFooter>&amp;C&amp;P/&amp;N</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P36"/>
  <sheetViews>
    <sheetView view="pageBreakPreview" zoomScaleNormal="100" workbookViewId="0">
      <selection activeCell="A1" sqref="A1:O1"/>
    </sheetView>
  </sheetViews>
  <sheetFormatPr baseColWidth="8" defaultColWidth="9.81818181818182" defaultRowHeight="20.1" customHeight="1"/>
  <cols>
    <col width="16.8454545454545" customWidth="1" style="1643" min="1" max="1"/>
    <col width="15.3909090909091" customWidth="1" style="1643" min="2" max="2"/>
    <col width="15.1454545454545" customWidth="1" style="1643" min="3" max="3"/>
    <col width="16.3636363636364" customWidth="1" style="1643" min="4" max="4"/>
    <col width="9.45454545454546" customWidth="1" style="1643" min="5" max="5"/>
    <col width="10.6636363636364" customWidth="1" style="1643" min="6" max="6"/>
    <col width="9.81818181818182" customWidth="1" style="1643" min="7" max="8"/>
    <col width="11.2727272727273" customWidth="1" style="1643" min="9" max="9"/>
    <col width="9.81818181818182" customWidth="1" style="1643" min="10" max="16384"/>
  </cols>
  <sheetData>
    <row r="1" s="1296">
      <c r="A1" s="1708" t="inlineStr">
        <is>
          <t>致同会计师事务所</t>
        </is>
      </c>
    </row>
    <row r="2" s="1296">
      <c r="A2" s="1709" t="inlineStr">
        <is>
          <t>销售折扣与折让检查</t>
        </is>
      </c>
    </row>
    <row r="3" s="1296">
      <c r="A3" s="1545" t="inlineStr">
        <is>
          <t>被审计单位：</t>
        </is>
      </c>
      <c r="C3" s="1546" t="n"/>
      <c r="E3" s="1546" t="inlineStr">
        <is>
          <t>编制人：</t>
        </is>
      </c>
      <c r="I3" s="1545" t="inlineStr">
        <is>
          <t>编制日期：</t>
        </is>
      </c>
      <c r="N3" s="1547" t="inlineStr">
        <is>
          <t>索引号：</t>
        </is>
      </c>
      <c r="O3" s="1640" t="inlineStr">
        <is>
          <t>D4-19</t>
        </is>
      </c>
    </row>
    <row r="4" s="1296">
      <c r="A4" s="1545" t="inlineStr">
        <is>
          <t>会计期间：202X年度</t>
        </is>
      </c>
      <c r="C4" s="1546" t="n"/>
      <c r="E4" s="1546" t="inlineStr">
        <is>
          <t>复核人：</t>
        </is>
      </c>
      <c r="I4" s="1545" t="inlineStr">
        <is>
          <t>复核日期：</t>
        </is>
      </c>
      <c r="N4" s="1547" t="inlineStr">
        <is>
          <t>页 次：</t>
        </is>
      </c>
    </row>
    <row r="5" customFormat="1" s="795">
      <c r="A5" s="20" t="inlineStr">
        <is>
          <t>一、审计目标</t>
        </is>
      </c>
    </row>
    <row r="6" customFormat="1" s="795">
      <c r="A6" s="586" t="inlineStr">
        <is>
          <t>与营业收入有关的金额及其他数据已恰当记录，相关披露已得到恰当计量和描述。</t>
        </is>
      </c>
    </row>
    <row r="7" customFormat="1" s="795">
      <c r="A7" s="20" t="inlineStr">
        <is>
          <t>二、审计过程</t>
        </is>
      </c>
    </row>
    <row r="8" customFormat="1" s="795">
      <c r="A8" s="383" t="inlineStr">
        <is>
          <t>1.取得被审计单位经授权批准的有关折扣与折让的规定和文件资料，检查发生的折扣或折让是否符合相关规定并经授权批准。</t>
        </is>
      </c>
      <c r="B8" s="586" t="n"/>
      <c r="C8" s="800" t="n"/>
      <c r="D8" s="800" t="n"/>
    </row>
    <row r="9" customFormat="1" s="795">
      <c r="A9" s="500" t="inlineStr">
        <is>
          <t>2.……</t>
        </is>
      </c>
      <c r="B9" s="586" t="n"/>
      <c r="C9" s="800" t="n"/>
      <c r="D9" s="800" t="n"/>
      <c r="I9" s="800" t="n"/>
      <c r="J9" s="586" t="n"/>
    </row>
    <row r="10" customFormat="1" s="795">
      <c r="A10" s="20" t="n"/>
    </row>
    <row r="11" s="1296">
      <c r="A11" s="1746" t="inlineStr">
        <is>
          <t>客户名称</t>
        </is>
      </c>
      <c r="B11" s="1747" t="inlineStr">
        <is>
          <t>折扣或折让类型</t>
        </is>
      </c>
      <c r="C11" s="1747" t="inlineStr">
        <is>
          <t>收入金额</t>
        </is>
      </c>
      <c r="D11" s="1747" t="inlineStr">
        <is>
          <t>折扣或折让金额</t>
        </is>
      </c>
      <c r="E11" s="1747" t="inlineStr">
        <is>
          <t>折扣或折让比例</t>
        </is>
      </c>
      <c r="F11" s="1747" t="inlineStr">
        <is>
          <t>折扣或折让
原因</t>
        </is>
      </c>
      <c r="G11" s="1746" t="inlineStr">
        <is>
          <t>记账凭证</t>
        </is>
      </c>
      <c r="H11" s="1578" t="n"/>
      <c r="I11" s="1578" t="n"/>
      <c r="J11" s="1578" t="n"/>
      <c r="K11" s="1578" t="n"/>
      <c r="L11" s="1390" t="n"/>
      <c r="M11" s="1746" t="inlineStr">
        <is>
          <t>审批单</t>
        </is>
      </c>
      <c r="N11" s="1390" t="n"/>
      <c r="O11" s="1746" t="inlineStr">
        <is>
          <t>备注</t>
        </is>
      </c>
    </row>
    <row r="12" s="1296">
      <c r="A12" s="1579" t="n"/>
      <c r="B12" s="1579" t="n"/>
      <c r="C12" s="1579" t="n"/>
      <c r="D12" s="1579" t="n"/>
      <c r="E12" s="1579" t="n"/>
      <c r="F12" s="1579" t="n"/>
      <c r="G12" s="1746" t="inlineStr">
        <is>
          <t>日期</t>
        </is>
      </c>
      <c r="H12" s="1746" t="inlineStr">
        <is>
          <t>编号</t>
        </is>
      </c>
      <c r="I12" s="1746" t="inlineStr">
        <is>
          <t>会计科目</t>
        </is>
      </c>
      <c r="J12" s="1746" t="inlineStr">
        <is>
          <t>明细科目</t>
        </is>
      </c>
      <c r="K12" s="1746" t="inlineStr">
        <is>
          <t>借方金额</t>
        </is>
      </c>
      <c r="L12" s="1746" t="inlineStr">
        <is>
          <t>贷方金额</t>
        </is>
      </c>
      <c r="M12" s="1746" t="inlineStr">
        <is>
          <t>日期</t>
        </is>
      </c>
      <c r="N12" s="1746" t="inlineStr">
        <is>
          <t>审批人</t>
        </is>
      </c>
      <c r="O12" s="1579" t="n"/>
    </row>
    <row r="13" s="1296">
      <c r="A13" s="1748" t="n"/>
      <c r="B13" s="1749" t="n"/>
      <c r="C13" s="1750" t="n"/>
      <c r="D13" s="1750" t="n"/>
      <c r="E13" s="592" t="n"/>
      <c r="F13" s="1749" t="n"/>
      <c r="G13" s="593" t="n"/>
      <c r="H13" s="1751" t="n"/>
      <c r="I13" s="1748" t="n"/>
      <c r="J13" s="1748" t="n"/>
      <c r="K13" s="1752" t="n"/>
      <c r="L13" s="1752" t="n"/>
      <c r="M13" s="593" t="n"/>
      <c r="N13" s="1753" t="n"/>
      <c r="O13" s="1749" t="n"/>
      <c r="P13" s="1643" t="inlineStr">
        <is>
          <t>价格折扣</t>
        </is>
      </c>
    </row>
    <row r="14" s="1296">
      <c r="A14" s="1748" t="n"/>
      <c r="B14" s="1749" t="n"/>
      <c r="C14" s="1750" t="n"/>
      <c r="D14" s="1750" t="n"/>
      <c r="E14" s="592" t="n"/>
      <c r="F14" s="1749" t="n"/>
      <c r="G14" s="593" t="n"/>
      <c r="H14" s="1751" t="n"/>
      <c r="I14" s="1748" t="n"/>
      <c r="J14" s="1748" t="n"/>
      <c r="K14" s="1752" t="n"/>
      <c r="L14" s="1752" t="n"/>
      <c r="M14" s="593" t="n"/>
      <c r="N14" s="1753" t="n"/>
      <c r="O14" s="1749" t="n"/>
      <c r="P14" s="1643" t="inlineStr">
        <is>
          <t>现金折扣</t>
        </is>
      </c>
    </row>
    <row r="15" s="1296">
      <c r="A15" s="1748" t="n"/>
      <c r="B15" s="1749" t="n"/>
      <c r="C15" s="1714" t="n"/>
      <c r="D15" s="1750" t="n"/>
      <c r="E15" s="592" t="n"/>
      <c r="F15" s="1749" t="n"/>
      <c r="G15" s="593" t="n"/>
      <c r="H15" s="1751" t="n"/>
      <c r="I15" s="1748" t="n"/>
      <c r="J15" s="1748" t="n"/>
      <c r="K15" s="1752" t="n"/>
      <c r="L15" s="1752" t="n"/>
      <c r="M15" s="593" t="n"/>
      <c r="N15" s="1753" t="n"/>
      <c r="O15" s="1749" t="n"/>
      <c r="P15" s="1643" t="inlineStr">
        <is>
          <t>实物返利</t>
        </is>
      </c>
    </row>
    <row r="16" s="1296">
      <c r="A16" s="1748" t="n"/>
      <c r="B16" s="1749" t="n"/>
      <c r="C16" s="1714" t="n"/>
      <c r="D16" s="1750" t="n"/>
      <c r="E16" s="592" t="n"/>
      <c r="F16" s="1749" t="n"/>
      <c r="G16" s="593" t="n"/>
      <c r="H16" s="1751" t="n"/>
      <c r="I16" s="1748" t="n"/>
      <c r="J16" s="1748" t="n"/>
      <c r="K16" s="1752" t="n"/>
      <c r="L16" s="1752" t="n"/>
      <c r="M16" s="593" t="n"/>
      <c r="N16" s="1753" t="n"/>
      <c r="O16" s="1749" t="n"/>
      <c r="P16" s="1643" t="inlineStr">
        <is>
          <t>销售折让</t>
        </is>
      </c>
    </row>
    <row r="17" s="1296">
      <c r="A17" s="1748" t="n"/>
      <c r="B17" s="1749" t="n"/>
      <c r="C17" s="1750" t="n"/>
      <c r="D17" s="1750" t="n"/>
      <c r="E17" s="592" t="n"/>
      <c r="F17" s="1749" t="n"/>
      <c r="G17" s="593" t="n"/>
      <c r="H17" s="1751" t="n"/>
      <c r="I17" s="1748" t="n"/>
      <c r="J17" s="1748" t="n"/>
      <c r="K17" s="1752" t="n"/>
      <c r="L17" s="1752" t="n"/>
      <c r="M17" s="593" t="n"/>
      <c r="N17" s="1753" t="n"/>
      <c r="O17" s="1749" t="n"/>
    </row>
    <row r="18" s="1296">
      <c r="A18" s="1748" t="n"/>
      <c r="B18" s="1749" t="n"/>
      <c r="C18" s="1750" t="n"/>
      <c r="D18" s="1750" t="n"/>
      <c r="E18" s="592" t="n"/>
      <c r="F18" s="1749" t="n"/>
      <c r="G18" s="593" t="n"/>
      <c r="H18" s="1751" t="n"/>
      <c r="I18" s="1748" t="n"/>
      <c r="J18" s="1748" t="n"/>
      <c r="K18" s="1752" t="n"/>
      <c r="L18" s="1752" t="n"/>
      <c r="M18" s="593" t="n"/>
      <c r="N18" s="1753" t="n"/>
      <c r="O18" s="1749" t="n"/>
    </row>
    <row r="19" s="1296">
      <c r="A19" s="1748" t="n"/>
      <c r="B19" s="1749" t="n"/>
      <c r="C19" s="1750" t="n"/>
      <c r="D19" s="1750" t="n"/>
      <c r="E19" s="592" t="n"/>
      <c r="F19" s="1749" t="n"/>
      <c r="G19" s="593" t="n"/>
      <c r="H19" s="1751" t="n"/>
      <c r="I19" s="1748" t="n"/>
      <c r="J19" s="1748" t="n"/>
      <c r="K19" s="1752" t="n"/>
      <c r="L19" s="1752" t="n"/>
      <c r="M19" s="593" t="n"/>
      <c r="N19" s="1753" t="n"/>
      <c r="O19" s="1749" t="n"/>
    </row>
    <row r="20" s="1296">
      <c r="A20" s="1748" t="n"/>
      <c r="B20" s="1749" t="n"/>
      <c r="C20" s="1750" t="n"/>
      <c r="D20" s="1750" t="n"/>
      <c r="E20" s="592" t="n"/>
      <c r="F20" s="1749" t="n"/>
      <c r="G20" s="593" t="n"/>
      <c r="H20" s="1751" t="n"/>
      <c r="I20" s="1748" t="n"/>
      <c r="J20" s="1748" t="n"/>
      <c r="K20" s="1752" t="n"/>
      <c r="L20" s="1752" t="n"/>
      <c r="M20" s="593" t="n"/>
      <c r="N20" s="1753" t="n"/>
      <c r="O20" s="1749" t="n"/>
    </row>
    <row r="21" s="1296">
      <c r="A21" s="1748" t="n"/>
      <c r="B21" s="1749" t="n"/>
      <c r="C21" s="1750" t="n"/>
      <c r="D21" s="1750" t="n"/>
      <c r="E21" s="592" t="n"/>
      <c r="F21" s="1749" t="n"/>
      <c r="G21" s="593" t="n"/>
      <c r="H21" s="1751" t="n"/>
      <c r="I21" s="1748" t="n"/>
      <c r="J21" s="1748" t="n"/>
      <c r="K21" s="1752" t="n"/>
      <c r="L21" s="1752" t="n"/>
      <c r="M21" s="593" t="n"/>
      <c r="N21" s="1753" t="n"/>
      <c r="O21" s="1749" t="n"/>
    </row>
    <row r="22" s="1296">
      <c r="A22" s="1748" t="n"/>
      <c r="B22" s="1749" t="n"/>
      <c r="C22" s="1750" t="n"/>
      <c r="D22" s="1750" t="n"/>
      <c r="E22" s="592" t="n"/>
      <c r="F22" s="1749" t="n"/>
      <c r="G22" s="593" t="n"/>
      <c r="H22" s="1751" t="n"/>
      <c r="I22" s="1748" t="n"/>
      <c r="J22" s="1748" t="n"/>
      <c r="K22" s="1752" t="n"/>
      <c r="L22" s="1752" t="n"/>
      <c r="M22" s="593" t="n"/>
      <c r="N22" s="1753" t="n"/>
      <c r="O22" s="1749" t="n"/>
    </row>
    <row r="23" s="1296">
      <c r="A23" s="1748" t="n"/>
      <c r="B23" s="1749" t="n"/>
      <c r="C23" s="1750" t="n"/>
      <c r="D23" s="1750" t="n"/>
      <c r="E23" s="592" t="n"/>
      <c r="F23" s="1749" t="n"/>
      <c r="G23" s="593" t="n"/>
      <c r="H23" s="1751" t="n"/>
      <c r="I23" s="1748" t="n"/>
      <c r="J23" s="1748" t="n"/>
      <c r="K23" s="1752" t="n"/>
      <c r="L23" s="1752" t="n"/>
      <c r="M23" s="593" t="n"/>
      <c r="N23" s="1753" t="n"/>
      <c r="O23" s="1749" t="n"/>
    </row>
    <row r="24" customFormat="1" s="795">
      <c r="A24" s="740" t="inlineStr">
        <is>
          <t>三、审计说明</t>
        </is>
      </c>
      <c r="B24" s="176" t="n"/>
      <c r="C24" s="176" t="n"/>
      <c r="D24" s="598" t="n"/>
      <c r="E24" s="598" t="n"/>
      <c r="F24" s="598" t="n"/>
      <c r="G24" s="598" t="n"/>
      <c r="I24" s="599" t="n"/>
      <c r="J24" s="599" t="n"/>
      <c r="K24" s="600" t="n"/>
      <c r="L24" s="600" t="n"/>
      <c r="M24" s="600" t="n"/>
      <c r="N24" s="600" t="n"/>
      <c r="O24" s="598" t="n"/>
    </row>
    <row r="25" customFormat="1" s="795">
      <c r="B25" s="601" t="n"/>
      <c r="C25" s="601" t="n"/>
      <c r="D25" s="601" t="n"/>
      <c r="E25" s="601" t="n"/>
      <c r="F25" s="601" t="n"/>
      <c r="G25" s="601" t="n"/>
    </row>
    <row r="26" customFormat="1" s="795">
      <c r="A26" s="740" t="n"/>
      <c r="B26" s="602" t="n"/>
      <c r="C26" s="602" t="n"/>
      <c r="D26" s="602" t="n"/>
      <c r="E26" s="602" t="n"/>
      <c r="F26" s="602" t="n"/>
      <c r="G26" s="602" t="n"/>
    </row>
    <row r="27" customFormat="1" s="795">
      <c r="A27" s="603" t="n"/>
      <c r="B27" s="604" t="n"/>
      <c r="C27" s="604" t="n"/>
      <c r="D27" s="604" t="n"/>
      <c r="E27" s="604" t="n"/>
      <c r="F27" s="604" t="n"/>
      <c r="G27" s="604" t="n"/>
    </row>
    <row r="28" customFormat="1" s="795">
      <c r="A28" s="740" t="inlineStr">
        <is>
          <t>四、审计结论</t>
        </is>
      </c>
      <c r="B28" s="604" t="n"/>
      <c r="C28" s="604" t="n"/>
      <c r="D28" s="604" t="n"/>
      <c r="E28" s="604" t="n"/>
      <c r="F28" s="604" t="n"/>
      <c r="G28" s="604" t="n"/>
    </row>
    <row r="29" customFormat="1" s="795">
      <c r="A29" s="605" t="n"/>
      <c r="B29" s="604" t="n"/>
      <c r="C29" s="604" t="n"/>
      <c r="D29" s="604" t="n"/>
      <c r="E29" s="604" t="n"/>
      <c r="F29" s="604" t="n"/>
      <c r="G29" s="604" t="n"/>
    </row>
    <row r="30" ht="49.5" customHeight="1" s="1296">
      <c r="A30" s="1754" t="inlineStr">
        <is>
          <t>提示：企业应当基于返利的形式和合同条款的约定，考虑相关条款安排是否会导致企业未来需要向客户提供可明确区分的商品或服务，在此基础上判断相关返利属于可变对价还是提供给客户的重大权利。一般而言，对基于客户采购情况等给予的现金返利，企业应当按照可变对价原则进行会计处理；对基于客户一定采购数量的实物返利或仅适用于未来采购的价格折扣，企业应当按照附有额外购买选择权的销售进行会计处理，评估该返利是否构成一项重大权利，以确定是否将其作为单项履约义务并分摊交易对价。《监管规则适用指引—会计类第2号》</t>
        </is>
      </c>
    </row>
    <row r="31" s="1296">
      <c r="A31" s="1755" t="n"/>
      <c r="B31" s="1756" t="n"/>
      <c r="C31" s="1756" t="n"/>
      <c r="D31" s="1756" t="n"/>
      <c r="E31" s="1756" t="n"/>
      <c r="F31" s="1756" t="n"/>
      <c r="G31" s="1756" t="n"/>
      <c r="H31" s="1757" t="n"/>
      <c r="I31" s="1757" t="n"/>
      <c r="J31" s="1757" t="n"/>
      <c r="K31" s="1757" t="n"/>
      <c r="L31" s="1757" t="n"/>
      <c r="M31" s="1757" t="n"/>
      <c r="N31" s="1757" t="n"/>
      <c r="O31" s="1757" t="n"/>
    </row>
    <row r="32" s="1296">
      <c r="A32" s="1755" t="n"/>
      <c r="B32" s="1756" t="n"/>
      <c r="C32" s="1756" t="n"/>
      <c r="D32" s="1756" t="n"/>
      <c r="E32" s="1756" t="n"/>
      <c r="F32" s="1756" t="n"/>
      <c r="G32" s="1756" t="n"/>
      <c r="H32" s="1757" t="n"/>
      <c r="I32" s="1757" t="n"/>
      <c r="J32" s="1757" t="n"/>
      <c r="K32" s="1757" t="n"/>
      <c r="L32" s="1757" t="n"/>
      <c r="M32" s="1757" t="n"/>
      <c r="N32" s="1757" t="n"/>
      <c r="O32" s="1757" t="n"/>
    </row>
    <row r="33" s="1296">
      <c r="A33" s="1758" t="n"/>
    </row>
    <row r="36" s="1296">
      <c r="A36" s="1758" t="n"/>
    </row>
  </sheetData>
  <mergeCells count="12">
    <mergeCell ref="G11:L11"/>
    <mergeCell ref="A2:O2"/>
    <mergeCell ref="M11:N11"/>
    <mergeCell ref="O11:O12"/>
    <mergeCell ref="A1:O1"/>
    <mergeCell ref="B11:B12"/>
    <mergeCell ref="C11:C12"/>
    <mergeCell ref="D11:D12"/>
    <mergeCell ref="E11:E12"/>
    <mergeCell ref="F11:F12"/>
    <mergeCell ref="A11:A12"/>
    <mergeCell ref="A30:O30"/>
  </mergeCells>
  <dataValidations count="1">
    <dataValidation sqref="B13:B23" showDropDown="0" showInputMessage="1" showErrorMessage="1" allowBlank="1" type="list">
      <formula1>$P$13:$P$16</formula1>
    </dataValidation>
  </dataValidations>
  <hyperlinks>
    <hyperlink ref="O3" location="底稿目录!A1" display="='D:\GT_plan\backend\wp_templates\D\[D4-13至D4-20主营业务收入-检查（Leap应对措施-检查）.xlsx]底稿目录'!F9"/>
  </hyperlinks>
  <pageMargins left="0.708333333333333" right="0.708333333333333" top="0.747916666666667" bottom="0.747916666666667" header="0.314583333333333" footer="0.314583333333333"/>
  <pageSetup orientation="landscape" paperSize="9" scale="80" blackAndWhite="1"/>
  <headerFooter>
    <oddHeader/>
    <oddFooter>&amp;C&amp;P/&amp;N</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O61"/>
  <sheetViews>
    <sheetView view="pageBreakPreview" zoomScaleNormal="100" workbookViewId="0">
      <selection activeCell="A1" sqref="A1:O1"/>
    </sheetView>
  </sheetViews>
  <sheetFormatPr baseColWidth="8" defaultColWidth="9.81818181818182" defaultRowHeight="20.1" customHeight="1"/>
  <cols>
    <col width="13.2090909090909" customWidth="1" style="1759" min="1" max="1"/>
    <col width="11.7545454545455" customWidth="1" style="1759" min="2" max="2"/>
    <col width="14.9090909090909" customWidth="1" style="1759" min="3" max="3"/>
    <col width="13.5727272727273" customWidth="1" style="1759" min="4" max="4"/>
    <col width="14.5454545454545" customWidth="1" style="1759" min="5" max="5"/>
    <col width="11.7545454545455" customWidth="1" style="1759" min="6" max="6"/>
    <col width="14.1818181818182" customWidth="1" style="1759" min="7" max="7"/>
    <col width="13.9363636363636" customWidth="1" style="1759" min="8" max="8"/>
    <col width="9.81818181818182" customWidth="1" style="1759" min="9" max="16384"/>
  </cols>
  <sheetData>
    <row r="1" s="1296">
      <c r="A1" s="1708" t="inlineStr">
        <is>
          <t>致同会计师事务所</t>
        </is>
      </c>
    </row>
    <row r="2" s="1296">
      <c r="A2" s="1709" t="inlineStr">
        <is>
          <t>销售退货检查表</t>
        </is>
      </c>
    </row>
    <row r="3" s="1296">
      <c r="A3" s="1363" t="inlineStr">
        <is>
          <t>被审计单位：</t>
        </is>
      </c>
      <c r="F3" s="1366" t="inlineStr">
        <is>
          <t>编制人：</t>
        </is>
      </c>
      <c r="J3" s="526" t="inlineStr">
        <is>
          <t>编制日期：</t>
        </is>
      </c>
      <c r="N3" s="1760" t="inlineStr">
        <is>
          <t>索引号：</t>
        </is>
      </c>
      <c r="O3" s="1640" t="inlineStr">
        <is>
          <t>D4-20</t>
        </is>
      </c>
    </row>
    <row r="4" s="1296">
      <c r="A4" s="1363" t="inlineStr">
        <is>
          <t>会计期间：202X年度</t>
        </is>
      </c>
      <c r="F4" s="1366" t="inlineStr">
        <is>
          <t>复核人：</t>
        </is>
      </c>
      <c r="J4" s="526" t="inlineStr">
        <is>
          <t>复核日期：</t>
        </is>
      </c>
      <c r="N4" s="1760" t="inlineStr">
        <is>
          <t>页次：</t>
        </is>
      </c>
    </row>
    <row r="5" customFormat="1" s="522">
      <c r="A5" s="430" t="inlineStr">
        <is>
          <t>一、审计目标:</t>
        </is>
      </c>
      <c r="B5" s="529" t="n"/>
      <c r="C5" s="530" t="n"/>
      <c r="E5" s="530" t="n"/>
      <c r="F5" s="531" t="n"/>
      <c r="G5" s="532" t="n"/>
    </row>
    <row r="6" customFormat="1" s="522">
      <c r="A6" s="21" t="inlineStr">
        <is>
          <t>确认与营业收入有关事项已记录于正确的会计期间。</t>
        </is>
      </c>
      <c r="B6" s="533" t="n"/>
      <c r="C6" s="533" t="n"/>
      <c r="D6" s="498" t="n"/>
      <c r="F6" s="533" t="n"/>
      <c r="G6" s="533" t="n"/>
      <c r="H6" s="533" t="n"/>
    </row>
    <row r="7" customFormat="1" s="522">
      <c r="A7" s="534" t="inlineStr">
        <is>
          <t>二、审计过程：</t>
        </is>
      </c>
      <c r="B7" s="530" t="n"/>
      <c r="C7" s="530" t="n"/>
      <c r="D7" s="530" t="n"/>
      <c r="E7" s="530" t="n"/>
      <c r="F7" s="439" t="n"/>
      <c r="G7" s="439" t="n"/>
    </row>
    <row r="8" customFormat="1" s="522">
      <c r="A8" s="534" t="inlineStr">
        <is>
          <t>1.产品退货政策</t>
        </is>
      </c>
      <c r="B8" s="535" t="n"/>
      <c r="C8" s="535" t="n"/>
      <c r="D8" s="535" t="n"/>
      <c r="E8" s="535" t="n"/>
      <c r="F8" s="535" t="n"/>
      <c r="G8" s="535" t="n"/>
    </row>
    <row r="9" customFormat="1" s="522">
      <c r="A9" s="534" t="n"/>
      <c r="B9" s="535" t="n"/>
      <c r="C9" s="535" t="n"/>
      <c r="D9" s="535" t="n"/>
      <c r="E9" s="535" t="n"/>
      <c r="F9" s="535" t="n"/>
      <c r="G9" s="535" t="n"/>
    </row>
    <row r="10" customFormat="1" s="522">
      <c r="A10" s="534" t="n"/>
      <c r="B10" s="535" t="n"/>
      <c r="C10" s="535" t="n"/>
      <c r="D10" s="535" t="n"/>
      <c r="E10" s="535" t="n"/>
      <c r="F10" s="535" t="n"/>
      <c r="G10" s="535" t="n"/>
    </row>
    <row r="11" customFormat="1" s="522">
      <c r="A11" s="534" t="inlineStr">
        <is>
          <t>2.退货总体情况</t>
        </is>
      </c>
      <c r="C11" s="535" t="n"/>
      <c r="D11" s="535" t="n"/>
      <c r="E11" s="535" t="n"/>
      <c r="F11" s="535" t="n"/>
      <c r="G11" s="535" t="n"/>
    </row>
    <row r="12" customFormat="1" s="522">
      <c r="A12" s="536" t="inlineStr">
        <is>
          <t>本期退货金额   元，占本期销售收入的  %。按照客户类别/客户性质/产品类别分类统计如下：</t>
        </is>
      </c>
      <c r="C12" s="535" t="n"/>
      <c r="D12" s="535" t="n"/>
      <c r="E12" s="535" t="n"/>
      <c r="F12" s="535" t="n"/>
      <c r="G12" s="535" t="n"/>
    </row>
    <row r="13" s="1296">
      <c r="A13" s="1761" t="inlineStr">
        <is>
          <t>分类</t>
        </is>
      </c>
      <c r="B13" s="1762" t="inlineStr">
        <is>
          <t>本年度</t>
        </is>
      </c>
      <c r="C13" s="1578" t="n"/>
      <c r="D13" s="1390" t="n"/>
      <c r="E13" s="1762" t="inlineStr">
        <is>
          <t>上年度</t>
        </is>
      </c>
      <c r="F13" s="1578" t="n"/>
      <c r="G13" s="1390" t="n"/>
    </row>
    <row r="14" s="1296">
      <c r="A14" s="1579" t="n"/>
      <c r="B14" s="1762" t="inlineStr">
        <is>
          <t>退货金额</t>
        </is>
      </c>
      <c r="C14" s="1761" t="inlineStr">
        <is>
          <t>收入金额</t>
        </is>
      </c>
      <c r="D14" s="1761" t="inlineStr">
        <is>
          <t>比例</t>
        </is>
      </c>
      <c r="E14" s="1762" t="inlineStr">
        <is>
          <t>退货金额</t>
        </is>
      </c>
      <c r="F14" s="1761" t="inlineStr">
        <is>
          <t>收入金额</t>
        </is>
      </c>
      <c r="G14" s="1761" t="inlineStr">
        <is>
          <t>比例</t>
        </is>
      </c>
    </row>
    <row r="15" s="1296">
      <c r="A15" s="1763" t="inlineStr">
        <is>
          <t>贸易商</t>
        </is>
      </c>
      <c r="B15" s="1764" t="n"/>
      <c r="C15" s="1765" t="n"/>
      <c r="D15" s="542">
        <f>B15/C15</f>
        <v/>
      </c>
      <c r="E15" s="1764" t="n"/>
      <c r="F15" s="1765" t="n"/>
      <c r="G15" s="542">
        <f>E15/F15</f>
        <v/>
      </c>
    </row>
    <row r="16" s="1296">
      <c r="A16" s="1763" t="inlineStr">
        <is>
          <t>终端用户</t>
        </is>
      </c>
      <c r="B16" s="1764" t="n"/>
      <c r="C16" s="1765" t="n"/>
      <c r="D16" s="542">
        <f>B16/C16</f>
        <v/>
      </c>
      <c r="E16" s="1764" t="n"/>
      <c r="F16" s="1765" t="n"/>
      <c r="G16" s="542">
        <f>E16/F16</f>
        <v/>
      </c>
    </row>
    <row r="17" s="1296">
      <c r="A17" s="1766" t="inlineStr">
        <is>
          <t>合计</t>
        </is>
      </c>
      <c r="B17" s="1767">
        <f>B16+B15</f>
        <v/>
      </c>
      <c r="C17" s="1767">
        <f>C16+C15</f>
        <v/>
      </c>
      <c r="D17" s="542">
        <f>B17/C17</f>
        <v/>
      </c>
      <c r="E17" s="1767">
        <f>E16+E15</f>
        <v/>
      </c>
      <c r="F17" s="1767">
        <f>F16+F15</f>
        <v/>
      </c>
      <c r="G17" s="542">
        <f>E17/F17</f>
        <v/>
      </c>
    </row>
    <row r="18" customFormat="1" s="522">
      <c r="C18" s="535" t="n"/>
      <c r="D18" s="535" t="n"/>
      <c r="E18" s="535" t="n"/>
      <c r="F18" s="535" t="n"/>
      <c r="G18" s="535" t="n"/>
    </row>
    <row r="19" customFormat="1" s="522">
      <c r="A19" s="534" t="inlineStr">
        <is>
          <t>3.评估产品退货计提比例是否合理</t>
        </is>
      </c>
      <c r="B19" s="535" t="n"/>
      <c r="C19" s="535" t="n"/>
      <c r="D19" s="535" t="n"/>
      <c r="E19" s="535" t="n"/>
      <c r="F19" s="535" t="n"/>
      <c r="G19" s="535" t="n"/>
    </row>
    <row r="20" customFormat="1" s="522">
      <c r="A20" s="545" t="inlineStr">
        <is>
          <t>（1)历史退货情况</t>
        </is>
      </c>
      <c r="B20" s="535" t="n"/>
      <c r="C20" s="535" t="n"/>
      <c r="D20" s="535" t="n"/>
      <c r="E20" s="535" t="n"/>
      <c r="F20" s="535" t="n"/>
      <c r="G20" s="535" t="n"/>
    </row>
    <row r="21" customFormat="1" s="522">
      <c r="A21" s="545" t="n"/>
      <c r="B21" s="535" t="n"/>
      <c r="C21" s="535" t="n"/>
      <c r="D21" s="535" t="n"/>
      <c r="E21" s="535" t="n"/>
      <c r="F21" s="535" t="n"/>
      <c r="G21" s="535" t="n"/>
    </row>
    <row r="22" customFormat="1" s="522">
      <c r="A22" s="545" t="inlineStr">
        <is>
          <t>（2）……</t>
        </is>
      </c>
      <c r="B22" s="535" t="n"/>
      <c r="C22" s="535" t="n"/>
      <c r="D22" s="535" t="n"/>
      <c r="E22" s="535" t="n"/>
      <c r="F22" s="535" t="n"/>
      <c r="G22" s="535" t="n"/>
    </row>
    <row r="23" customFormat="1" s="522">
      <c r="A23" s="534" t="inlineStr">
        <is>
          <t>4.重新测算产品退货金额</t>
        </is>
      </c>
      <c r="B23" s="535" t="n"/>
      <c r="C23" s="535" t="n"/>
      <c r="D23" s="535" t="n"/>
      <c r="E23" s="535" t="n"/>
      <c r="F23" s="535" t="n"/>
      <c r="G23" s="535" t="n"/>
    </row>
    <row r="24" s="1296">
      <c r="A24" s="1761" t="inlineStr">
        <is>
          <t>产品名称</t>
        </is>
      </c>
      <c r="B24" s="1761" t="inlineStr">
        <is>
          <t>计提基数</t>
        </is>
      </c>
      <c r="C24" s="1761" t="inlineStr">
        <is>
          <t>计提比例</t>
        </is>
      </c>
      <c r="D24" s="1761" t="inlineStr">
        <is>
          <t>应计提金额</t>
        </is>
      </c>
      <c r="E24" s="1761" t="inlineStr">
        <is>
          <t>账面已计提金额</t>
        </is>
      </c>
      <c r="F24" s="1761" t="inlineStr">
        <is>
          <t>差异金额</t>
        </is>
      </c>
      <c r="G24" s="1761" t="inlineStr">
        <is>
          <t>差异原因</t>
        </is>
      </c>
    </row>
    <row r="25" s="1296">
      <c r="A25" s="1768" t="n"/>
      <c r="B25" s="1765" t="n"/>
      <c r="C25" s="547" t="n"/>
      <c r="D25" s="1769">
        <f>B25*C25</f>
        <v/>
      </c>
      <c r="E25" s="1752" t="n"/>
      <c r="F25" s="1752" t="n"/>
      <c r="G25" s="1770" t="n"/>
    </row>
    <row r="26" s="1296">
      <c r="A26" s="1768" t="n"/>
      <c r="B26" s="1765" t="n"/>
      <c r="C26" s="547" t="n"/>
      <c r="D26" s="1769">
        <f>B26*C26</f>
        <v/>
      </c>
      <c r="E26" s="1752" t="n"/>
      <c r="F26" s="1752" t="n"/>
      <c r="G26" s="1770" t="n"/>
    </row>
    <row r="27" s="1296">
      <c r="A27" s="1768" t="n"/>
      <c r="B27" s="1765" t="n"/>
      <c r="C27" s="547" t="n"/>
      <c r="D27" s="1769">
        <f>B27*C27</f>
        <v/>
      </c>
      <c r="E27" s="1752" t="n"/>
      <c r="F27" s="1752" t="n"/>
      <c r="G27" s="1770" t="n"/>
    </row>
    <row r="28" s="1296">
      <c r="A28" s="1768" t="n"/>
      <c r="B28" s="1765" t="n"/>
      <c r="C28" s="547" t="n"/>
      <c r="D28" s="1769">
        <f>B28*C28</f>
        <v/>
      </c>
      <c r="E28" s="1752" t="n"/>
      <c r="F28" s="1752" t="n"/>
      <c r="G28" s="1770" t="n"/>
    </row>
    <row r="29" s="1296">
      <c r="A29" s="1768" t="n"/>
      <c r="B29" s="1765" t="n"/>
      <c r="C29" s="547" t="n"/>
      <c r="D29" s="1769">
        <f>B29*C29</f>
        <v/>
      </c>
      <c r="E29" s="1752" t="n"/>
      <c r="F29" s="1752" t="n"/>
      <c r="G29" s="1770" t="n"/>
    </row>
    <row r="30" s="1296">
      <c r="A30" s="1771" t="n"/>
      <c r="B30" s="1772" t="n"/>
      <c r="C30" s="1772" t="n"/>
      <c r="D30" s="1772" t="n"/>
      <c r="E30" s="1773" t="n"/>
      <c r="F30" s="1772" t="n"/>
      <c r="G30" s="1773" t="n"/>
    </row>
    <row r="31" s="1296">
      <c r="A31" s="1774" t="inlineStr">
        <is>
          <t>5.检查本期产品退货情况</t>
        </is>
      </c>
      <c r="B31" s="1775" t="n"/>
      <c r="C31" s="1775" t="n"/>
      <c r="D31" s="1775" t="n"/>
      <c r="E31" s="1775" t="n"/>
      <c r="F31" s="1775" t="n"/>
      <c r="G31" s="1775" t="n"/>
    </row>
    <row r="32" s="1296">
      <c r="A32" s="1776" t="inlineStr">
        <is>
          <t>记账凭证</t>
        </is>
      </c>
      <c r="B32" s="1578" t="n"/>
      <c r="C32" s="1578" t="n"/>
      <c r="D32" s="1578" t="n"/>
      <c r="E32" s="1578" t="n"/>
      <c r="F32" s="1578" t="n"/>
      <c r="G32" s="1390" t="n"/>
      <c r="H32" s="1776" t="inlineStr">
        <is>
          <t>退货单</t>
        </is>
      </c>
      <c r="I32" s="1578" t="n"/>
      <c r="J32" s="1578" t="n"/>
      <c r="K32" s="1578" t="n"/>
      <c r="L32" s="1390" t="n"/>
      <c r="M32" s="1777" t="inlineStr">
        <is>
          <t>是否涉及诉讼</t>
        </is>
      </c>
      <c r="N32" s="1778" t="inlineStr">
        <is>
          <t>是否异常</t>
        </is>
      </c>
      <c r="O32" s="1777" t="inlineStr">
        <is>
          <t>索引号</t>
        </is>
      </c>
    </row>
    <row r="33" s="1296">
      <c r="A33" s="1776" t="inlineStr">
        <is>
          <t>日期</t>
        </is>
      </c>
      <c r="B33" s="1776" t="inlineStr">
        <is>
          <t>编号</t>
        </is>
      </c>
      <c r="C33" s="1776" t="inlineStr">
        <is>
          <t>业务内容</t>
        </is>
      </c>
      <c r="D33" s="1776" t="inlineStr">
        <is>
          <t>科目名称</t>
        </is>
      </c>
      <c r="E33" s="1776" t="inlineStr">
        <is>
          <t>二级明细</t>
        </is>
      </c>
      <c r="F33" s="1776" t="inlineStr">
        <is>
          <t>借方金额</t>
        </is>
      </c>
      <c r="G33" s="563" t="inlineStr">
        <is>
          <t>贷方金额</t>
        </is>
      </c>
      <c r="H33" s="563" t="inlineStr">
        <is>
          <t>客户名称</t>
        </is>
      </c>
      <c r="I33" s="563" t="inlineStr">
        <is>
          <t>产品名称</t>
        </is>
      </c>
      <c r="J33" s="563" t="inlineStr">
        <is>
          <t>退货数量</t>
        </is>
      </c>
      <c r="K33" s="563" t="inlineStr">
        <is>
          <t>退货金额</t>
        </is>
      </c>
      <c r="L33" s="563" t="inlineStr">
        <is>
          <t>退货原因</t>
        </is>
      </c>
      <c r="M33" s="1579" t="n"/>
      <c r="N33" s="1335" t="n"/>
      <c r="O33" s="1579" t="n"/>
    </row>
    <row r="34" s="1296">
      <c r="A34" s="566" t="n"/>
      <c r="B34" s="1779" t="n"/>
      <c r="C34" s="1780" t="n"/>
      <c r="D34" s="1781" t="n"/>
      <c r="E34" s="1781" t="n"/>
      <c r="F34" s="1752" t="n"/>
      <c r="G34" s="1752" t="n"/>
      <c r="H34" s="1782" t="n"/>
      <c r="I34" s="1782" t="n"/>
      <c r="J34" s="1782" t="n"/>
      <c r="K34" s="1752" t="n"/>
      <c r="L34" s="1782" t="n"/>
      <c r="M34" s="1781" t="n"/>
      <c r="N34" s="1783" t="n"/>
      <c r="O34" s="1783" t="n"/>
    </row>
    <row r="35" s="1296">
      <c r="A35" s="566" t="n"/>
      <c r="B35" s="1779" t="n"/>
      <c r="C35" s="1780" t="n"/>
      <c r="D35" s="1781" t="n"/>
      <c r="E35" s="1781" t="n"/>
      <c r="F35" s="1752" t="n"/>
      <c r="G35" s="1752" t="n"/>
      <c r="H35" s="1782" t="n"/>
      <c r="I35" s="1782" t="n"/>
      <c r="J35" s="1782" t="n"/>
      <c r="K35" s="1752" t="n"/>
      <c r="L35" s="1782" t="n"/>
      <c r="M35" s="1781" t="n"/>
      <c r="N35" s="1783" t="n"/>
      <c r="O35" s="1783" t="n"/>
    </row>
    <row r="36" s="1296">
      <c r="A36" s="572" t="n"/>
      <c r="B36" s="572" t="n"/>
      <c r="C36" s="1784" t="n"/>
      <c r="D36" s="572" t="n"/>
      <c r="E36" s="1785" t="n"/>
      <c r="F36" s="1752" t="n"/>
      <c r="G36" s="1752" t="n"/>
      <c r="H36" s="1770" t="n"/>
      <c r="I36" s="1770" t="n"/>
      <c r="J36" s="1768" t="n"/>
      <c r="K36" s="1752" t="n"/>
      <c r="L36" s="1768" t="n"/>
      <c r="M36" s="1768" t="n"/>
      <c r="N36" s="1768" t="n"/>
      <c r="O36" s="1768" t="n"/>
    </row>
    <row r="37" s="1296">
      <c r="A37" s="1774" t="inlineStr">
        <is>
          <t>6.检查期后产品退货情况</t>
        </is>
      </c>
      <c r="B37" s="1775" t="n"/>
      <c r="C37" s="1775" t="n"/>
      <c r="D37" s="1775" t="n"/>
      <c r="E37" s="1775" t="n"/>
      <c r="F37" s="1775" t="n"/>
      <c r="G37" s="1775" t="n"/>
    </row>
    <row r="38" s="1296">
      <c r="A38" s="1776" t="inlineStr">
        <is>
          <t>记账凭证</t>
        </is>
      </c>
      <c r="B38" s="1578" t="n"/>
      <c r="C38" s="1578" t="n"/>
      <c r="D38" s="1578" t="n"/>
      <c r="E38" s="1578" t="n"/>
      <c r="F38" s="1578" t="n"/>
      <c r="G38" s="1390" t="n"/>
      <c r="H38" s="1776" t="inlineStr">
        <is>
          <t>退货单</t>
        </is>
      </c>
      <c r="I38" s="1578" t="n"/>
      <c r="J38" s="1578" t="n"/>
      <c r="K38" s="1578" t="n"/>
      <c r="L38" s="1390" t="n"/>
      <c r="M38" s="1777" t="inlineStr">
        <is>
          <t>是否涉及诉讼</t>
        </is>
      </c>
      <c r="N38" s="1778" t="inlineStr">
        <is>
          <t>是否异常</t>
        </is>
      </c>
      <c r="O38" s="1777" t="inlineStr">
        <is>
          <t>索引号</t>
        </is>
      </c>
    </row>
    <row r="39" s="1296">
      <c r="A39" s="1776" t="inlineStr">
        <is>
          <t>日期</t>
        </is>
      </c>
      <c r="B39" s="1776" t="inlineStr">
        <is>
          <t>编号</t>
        </is>
      </c>
      <c r="C39" s="1776" t="inlineStr">
        <is>
          <t>业务内容</t>
        </is>
      </c>
      <c r="D39" s="1776" t="inlineStr">
        <is>
          <t>科目名称</t>
        </is>
      </c>
      <c r="E39" s="1776" t="inlineStr">
        <is>
          <t>二级明细</t>
        </is>
      </c>
      <c r="F39" s="1776" t="inlineStr">
        <is>
          <t>借方金额</t>
        </is>
      </c>
      <c r="G39" s="563" t="inlineStr">
        <is>
          <t>贷方金额</t>
        </is>
      </c>
      <c r="H39" s="563" t="inlineStr">
        <is>
          <t>客户名称</t>
        </is>
      </c>
      <c r="I39" s="563" t="inlineStr">
        <is>
          <t>产品名称</t>
        </is>
      </c>
      <c r="J39" s="563" t="inlineStr">
        <is>
          <t>退货数量</t>
        </is>
      </c>
      <c r="K39" s="563" t="inlineStr">
        <is>
          <t>退货金额</t>
        </is>
      </c>
      <c r="L39" s="563" t="inlineStr">
        <is>
          <t>退货原因</t>
        </is>
      </c>
      <c r="M39" s="1579" t="n"/>
      <c r="N39" s="1335" t="n"/>
      <c r="O39" s="1579" t="n"/>
    </row>
    <row r="40" s="1296">
      <c r="A40" s="566" t="n"/>
      <c r="B40" s="1779" t="n"/>
      <c r="C40" s="1780" t="n"/>
      <c r="D40" s="1781" t="n"/>
      <c r="E40" s="1781" t="n"/>
      <c r="F40" s="1752" t="n"/>
      <c r="G40" s="1752" t="n"/>
      <c r="H40" s="1782" t="n"/>
      <c r="I40" s="1782" t="n"/>
      <c r="J40" s="1752" t="n"/>
      <c r="K40" s="1752" t="n"/>
      <c r="L40" s="1782" t="n"/>
      <c r="M40" s="1781" t="n"/>
      <c r="N40" s="1783" t="n"/>
      <c r="O40" s="1783" t="n"/>
    </row>
    <row r="41" s="1296">
      <c r="A41" s="566" t="n"/>
      <c r="B41" s="1779" t="n"/>
      <c r="C41" s="1780" t="n"/>
      <c r="D41" s="1781" t="n"/>
      <c r="E41" s="1781" t="n"/>
      <c r="F41" s="1752" t="n"/>
      <c r="G41" s="1752" t="n"/>
      <c r="H41" s="1782" t="n"/>
      <c r="I41" s="1782" t="n"/>
      <c r="J41" s="1752" t="n"/>
      <c r="K41" s="1752" t="n"/>
      <c r="L41" s="1782" t="n"/>
      <c r="M41" s="1781" t="n"/>
      <c r="N41" s="1783" t="n"/>
      <c r="O41" s="1783" t="n"/>
    </row>
    <row r="42" s="1296">
      <c r="A42" s="572" t="n"/>
      <c r="B42" s="572" t="n"/>
      <c r="C42" s="1784" t="n"/>
      <c r="D42" s="572" t="n"/>
      <c r="E42" s="1785" t="n"/>
      <c r="F42" s="1553" t="n"/>
      <c r="G42" s="1553" t="n"/>
      <c r="H42" s="1770" t="n"/>
      <c r="I42" s="1770" t="n"/>
      <c r="J42" s="1752" t="n"/>
      <c r="K42" s="1752" t="n"/>
      <c r="L42" s="1768" t="n"/>
      <c r="M42" s="1768" t="n"/>
      <c r="N42" s="1768" t="n"/>
      <c r="O42" s="1768" t="n"/>
    </row>
    <row r="43" customFormat="1" s="522">
      <c r="A43" s="692" t="inlineStr">
        <is>
          <t>检查内容说明：</t>
        </is>
      </c>
      <c r="C43" s="576" t="n"/>
      <c r="D43" s="576" t="n"/>
      <c r="E43" s="576" t="n"/>
      <c r="F43" s="535" t="n"/>
      <c r="G43" s="535" t="n"/>
    </row>
    <row r="44" customFormat="1" s="522">
      <c r="A44" s="500" t="inlineStr">
        <is>
          <t>（1）销售退回的原因及合理性判断：</t>
        </is>
      </c>
      <c r="C44" s="576" t="n"/>
      <c r="D44" s="576" t="n"/>
      <c r="E44" s="576" t="n"/>
    </row>
    <row r="45" customFormat="1" s="522">
      <c r="A45" s="500" t="inlineStr">
        <is>
          <t>（2）销售退回审批手续是否完备；</t>
        </is>
      </c>
      <c r="C45" s="576" t="n"/>
      <c r="D45" s="576" t="n"/>
      <c r="E45" s="576" t="n"/>
    </row>
    <row r="46" customFormat="1" s="522">
      <c r="A46" s="500" t="inlineStr">
        <is>
          <t>（3）相应的主营业务成本是否结转；</t>
        </is>
      </c>
      <c r="C46" s="576" t="n"/>
      <c r="D46" s="576" t="n"/>
      <c r="E46" s="576" t="n"/>
    </row>
    <row r="47" customFormat="1" s="522">
      <c r="A47" s="500" t="inlineStr">
        <is>
          <t>（4）退货会计处理是否正确；</t>
        </is>
      </c>
      <c r="C47" s="576" t="n"/>
      <c r="D47" s="576" t="n"/>
      <c r="E47" s="576" t="n"/>
    </row>
    <row r="48" customFormat="1" s="522">
      <c r="A48" s="500" t="inlineStr">
        <is>
          <t>（5）是否涉及跨期；</t>
        </is>
      </c>
      <c r="C48" s="576" t="n"/>
      <c r="D48" s="576" t="n"/>
      <c r="E48" s="576" t="n"/>
    </row>
    <row r="49" customFormat="1" s="522">
      <c r="A49" s="577" t="inlineStr">
        <is>
          <t>三、审计说明：</t>
        </is>
      </c>
      <c r="B49" s="530" t="n"/>
      <c r="C49" s="530" t="n"/>
      <c r="D49" s="530" t="n"/>
      <c r="E49" s="530" t="n"/>
      <c r="F49" s="530" t="n"/>
      <c r="G49" s="530" t="n"/>
    </row>
    <row r="50" customFormat="1" s="522">
      <c r="A50" s="577" t="n"/>
      <c r="B50" s="530" t="n"/>
      <c r="C50" s="530" t="n"/>
      <c r="D50" s="530" t="n"/>
      <c r="E50" s="530" t="n"/>
      <c r="F50" s="530" t="n"/>
      <c r="G50" s="530" t="n"/>
    </row>
    <row r="51" customFormat="1" s="522">
      <c r="A51" s="577" t="n"/>
      <c r="B51" s="530" t="n"/>
      <c r="C51" s="530" t="n"/>
      <c r="D51" s="530" t="n"/>
      <c r="E51" s="530" t="n"/>
      <c r="F51" s="530" t="n"/>
      <c r="G51" s="530" t="n"/>
    </row>
    <row r="52" customFormat="1" s="522">
      <c r="A52" s="577" t="n"/>
      <c r="B52" s="530" t="n"/>
      <c r="C52" s="530" t="n"/>
      <c r="D52" s="530" t="n"/>
      <c r="E52" s="530" t="n"/>
      <c r="F52" s="530" t="n"/>
      <c r="G52" s="530" t="n"/>
    </row>
    <row r="53" customFormat="1" s="522">
      <c r="A53" s="577" t="inlineStr">
        <is>
          <t>四、审计结论：</t>
        </is>
      </c>
      <c r="B53" s="530" t="n"/>
      <c r="C53" s="530" t="n"/>
      <c r="D53" s="530" t="n"/>
      <c r="E53" s="530" t="n"/>
      <c r="F53" s="530" t="n"/>
      <c r="G53" s="530" t="n"/>
    </row>
    <row r="54" customFormat="1" s="522">
      <c r="A54" s="530" t="n"/>
      <c r="B54" s="530" t="n"/>
      <c r="C54" s="530" t="n"/>
      <c r="D54" s="530" t="n"/>
      <c r="E54" s="530" t="n"/>
      <c r="F54" s="530" t="n"/>
      <c r="G54" s="530" t="n"/>
    </row>
    <row r="55" s="1296">
      <c r="A55" s="1786" t="n"/>
      <c r="B55" s="1639" t="n"/>
      <c r="C55" s="1639" t="n"/>
      <c r="D55" s="1639" t="n"/>
      <c r="E55" s="1639" t="n"/>
      <c r="F55" s="1639" t="n"/>
      <c r="G55" s="1639" t="n"/>
    </row>
    <row r="56" s="1296">
      <c r="A56" s="1787" t="n"/>
      <c r="B56" s="1788" t="n"/>
      <c r="C56" s="1788" t="n"/>
      <c r="D56" s="1788" t="n"/>
      <c r="E56" s="1788" t="n"/>
      <c r="F56" s="1788" t="n"/>
      <c r="G56" s="1788" t="n"/>
    </row>
    <row r="57" s="1296">
      <c r="A57" s="1789" t="n"/>
      <c r="B57" s="1788" t="n"/>
      <c r="C57" s="1788" t="n"/>
      <c r="D57" s="1788" t="n"/>
      <c r="E57" s="1788" t="n"/>
      <c r="F57" s="1788" t="n"/>
      <c r="G57" s="1788" t="n"/>
    </row>
    <row r="58" s="1296">
      <c r="A58" s="1789" t="n"/>
      <c r="B58" s="1788" t="n"/>
      <c r="C58" s="1788" t="n"/>
      <c r="D58" s="1788" t="n"/>
      <c r="E58" s="1788" t="n"/>
      <c r="F58" s="1788" t="n"/>
      <c r="G58" s="1788" t="n"/>
    </row>
    <row r="59" s="1296">
      <c r="A59" s="1789" t="n"/>
      <c r="B59" s="1788" t="n"/>
      <c r="C59" s="1788" t="n"/>
      <c r="D59" s="1788" t="n"/>
      <c r="E59" s="1788" t="n"/>
      <c r="F59" s="1788" t="n"/>
      <c r="G59" s="1788" t="n"/>
    </row>
    <row r="60" s="1296">
      <c r="A60" s="1789" t="n"/>
      <c r="B60" s="1788" t="n"/>
      <c r="C60" s="1788" t="n"/>
      <c r="D60" s="1788" t="n"/>
      <c r="E60" s="1788" t="n"/>
      <c r="F60" s="1788" t="n"/>
      <c r="G60" s="1788" t="n"/>
    </row>
    <row r="61" s="1296">
      <c r="B61" s="1788" t="n"/>
      <c r="C61" s="1788" t="n"/>
      <c r="D61" s="1788" t="n"/>
      <c r="E61" s="1788" t="n"/>
      <c r="F61" s="1788" t="n"/>
      <c r="G61" s="1788" t="n"/>
    </row>
  </sheetData>
  <mergeCells count="15">
    <mergeCell ref="A32:G32"/>
    <mergeCell ref="N32:N33"/>
    <mergeCell ref="O32:O33"/>
    <mergeCell ref="M32:M33"/>
    <mergeCell ref="A2:O2"/>
    <mergeCell ref="E13:G13"/>
    <mergeCell ref="A13:A14"/>
    <mergeCell ref="H38:L38"/>
    <mergeCell ref="H32:L32"/>
    <mergeCell ref="M38:M39"/>
    <mergeCell ref="N38:N39"/>
    <mergeCell ref="A1:O1"/>
    <mergeCell ref="B13:D13"/>
    <mergeCell ref="A38:G38"/>
    <mergeCell ref="O38:O39"/>
  </mergeCells>
  <dataValidations count="1">
    <dataValidation sqref="M34:M35 M40:M41" showDropDown="0" showInputMessage="1" showErrorMessage="1" allowBlank="1" type="list">
      <formula1>"是,否"</formula1>
    </dataValidation>
  </dataValidations>
  <hyperlinks>
    <hyperlink ref="O3" location="底稿目录!A1" display="='D:\GT_plan\backend\wp_templates\D\[D4-13至D4-20主营业务收入-检查（Leap应对措施-检查）.xlsx]底稿目录'!F10"/>
  </hyperlinks>
  <pageMargins left="0.708333333333333" right="0.708333333333333" top="0.747916666666667" bottom="0.747916666666667" header="0.314583333333333" footer="0.314583333333333"/>
  <pageSetup orientation="landscape" paperSize="9" scale="75" blackAndWhite="1"/>
  <headerFooter>
    <oddHeader/>
    <oddFooter>&amp;C&amp;P/&amp;N</oddFooter>
    <evenHeader/>
    <evenFooter/>
    <firstHeader/>
    <firstFooter/>
  </headerFooter>
  <rowBreaks count="1" manualBreakCount="1">
    <brk id="30" min="0" max="14" man="1"/>
  </rowBreaks>
</worksheet>
</file>

<file path=xl/worksheets/sheet27.xml><?xml version="1.0" encoding="utf-8"?>
<worksheet xmlns="http://schemas.openxmlformats.org/spreadsheetml/2006/main">
  <sheetPr>
    <outlinePr summaryBelow="1" summaryRight="1"/>
    <pageSetUpPr/>
  </sheetPr>
  <dimension ref="A1:R49"/>
  <sheetViews>
    <sheetView view="pageBreakPreview" zoomScaleNormal="100" workbookViewId="0">
      <selection activeCell="H13" sqref="H13"/>
    </sheetView>
  </sheetViews>
  <sheetFormatPr baseColWidth="8" defaultColWidth="9.81818181818182" defaultRowHeight="20.15" customHeight="1"/>
  <cols>
    <col width="19.2727272727273" customWidth="1" style="494" min="1" max="1"/>
    <col width="13.4545454545455" customWidth="1" style="494" min="2" max="2"/>
    <col width="10.9090909090909" customWidth="1" style="494" min="3" max="3"/>
    <col width="11.3636363636364" customWidth="1" style="494" min="4" max="4"/>
    <col width="10.2727272727273" customWidth="1" style="494" min="5" max="5"/>
    <col width="14.6363636363636" customWidth="1" style="494" min="6" max="6"/>
    <col width="11" customWidth="1" style="494" min="7" max="7"/>
    <col width="14.4545454545455" customWidth="1" style="494" min="8" max="8"/>
    <col width="10.8181818181818" customWidth="1" style="494" min="9" max="9"/>
    <col width="13.3636363636364" customWidth="1" style="494" min="10" max="10"/>
    <col width="10.8181818181818" customWidth="1" style="494" min="11" max="11"/>
    <col width="17" customWidth="1" style="494" min="12" max="12"/>
    <col width="10.6363636363636" customWidth="1" style="494" min="13" max="13"/>
    <col width="10.2727272727273" customWidth="1" style="494" min="14" max="14"/>
    <col width="9.81818181818182" customWidth="1" style="494" min="15" max="16384"/>
  </cols>
  <sheetData>
    <row r="1" customFormat="1" s="434">
      <c r="A1" s="440" t="inlineStr">
        <is>
          <t>致同会计师事务所</t>
        </is>
      </c>
      <c r="O1" s="495" t="n"/>
      <c r="P1" s="495" t="n"/>
      <c r="Q1" s="495" t="n"/>
      <c r="R1" s="495" t="n"/>
    </row>
    <row r="2" customFormat="1" s="434">
      <c r="A2" s="441" t="inlineStr">
        <is>
          <t>关联方销售收入情况及价格公允性分析</t>
        </is>
      </c>
      <c r="O2" s="495" t="n"/>
      <c r="P2" s="495" t="n"/>
      <c r="Q2" s="495" t="n"/>
      <c r="R2" s="495" t="n"/>
    </row>
    <row r="3" s="1296">
      <c r="A3" s="1363" t="inlineStr">
        <is>
          <t>被审计单位：</t>
        </is>
      </c>
      <c r="B3" s="171" t="n"/>
      <c r="E3" s="1363" t="inlineStr">
        <is>
          <t>编制人：</t>
        </is>
      </c>
      <c r="H3" s="1363" t="inlineStr">
        <is>
          <t>编制日期：</t>
        </is>
      </c>
      <c r="M3" s="494" t="inlineStr">
        <is>
          <t>索引号：</t>
        </is>
      </c>
      <c r="N3" s="496" t="inlineStr">
        <is>
          <t>D4-21</t>
        </is>
      </c>
    </row>
    <row r="4" s="1296">
      <c r="A4" s="1363" t="inlineStr">
        <is>
          <t>会计期间：202X年度</t>
        </is>
      </c>
      <c r="B4" s="171" t="n"/>
      <c r="E4" s="1363" t="inlineStr">
        <is>
          <t>复核人：</t>
        </is>
      </c>
      <c r="H4" s="1363" t="inlineStr">
        <is>
          <t>复核日期：</t>
        </is>
      </c>
      <c r="M4" s="494" t="inlineStr">
        <is>
          <t>页 次：</t>
        </is>
      </c>
    </row>
    <row r="5" s="1296">
      <c r="A5" s="20" t="inlineStr">
        <is>
          <t>一、审计目标：</t>
        </is>
      </c>
      <c r="B5" s="20" t="n"/>
      <c r="E5" s="175" t="n"/>
      <c r="F5" s="497" t="n"/>
    </row>
    <row r="6" s="1296">
      <c r="A6" s="498" t="inlineStr">
        <is>
          <t>1.利润表中记录的营业收入已发生，且与被审计单位有关，已记录于恰当的账户。2.所有应当记录的营业收入均已记录，所有应当包括在财务报表中的相关披露均已包括。</t>
        </is>
      </c>
      <c r="B6" s="20" t="n"/>
      <c r="E6" s="175" t="n"/>
      <c r="F6" s="497" t="n"/>
    </row>
    <row r="7" s="1296">
      <c r="A7" s="498" t="inlineStr">
        <is>
          <t>3.与营业收入有关的金额及其他数据已恰当记录，相关披露已得到恰当计量和描述。</t>
        </is>
      </c>
      <c r="B7" s="20" t="n"/>
      <c r="E7" s="175" t="n"/>
      <c r="F7" s="497" t="n"/>
    </row>
    <row r="8" s="1296">
      <c r="A8" s="20" t="inlineStr">
        <is>
          <t>二、审计过程：</t>
        </is>
      </c>
      <c r="B8" s="20" t="n"/>
      <c r="C8" s="499" t="n"/>
      <c r="D8" s="499" t="n"/>
      <c r="E8" s="497" t="n"/>
      <c r="F8" s="497" t="n"/>
    </row>
    <row r="9" s="1296">
      <c r="A9" s="500" t="inlineStr">
        <is>
          <t>1.调查及标明向关联方销售的情况及，记录其交易品种、价格、数量、金额和比例，并记录占总销售收入的比例。</t>
        </is>
      </c>
      <c r="B9" s="20" t="n"/>
      <c r="C9" s="499" t="n"/>
      <c r="D9" s="499" t="n"/>
      <c r="E9" s="497" t="n"/>
      <c r="F9" s="497" t="n"/>
    </row>
    <row r="10" s="1296">
      <c r="A10" s="501" t="inlineStr">
        <is>
          <t>2.确定已取得关联方交易披露数据及确定跟关联交易工作底稿相符。</t>
        </is>
      </c>
      <c r="B10" s="501" t="n"/>
      <c r="E10" s="497" t="n"/>
      <c r="F10" s="497" t="n"/>
    </row>
    <row r="11" s="1296">
      <c r="A11" s="501" t="inlineStr">
        <is>
          <t>3.获取关联方交易定价政策，检查定价公允性。</t>
        </is>
      </c>
      <c r="B11" s="501" t="n"/>
      <c r="E11" s="497" t="n"/>
      <c r="F11" s="742" t="n"/>
    </row>
    <row r="12" s="1296">
      <c r="A12" s="501" t="inlineStr">
        <is>
          <t>4.比较关联方交易主要产品价格与同类产品非关联方销售平均单价、可比公允价值的差异，分析合理性。</t>
        </is>
      </c>
      <c r="B12" s="501" t="n"/>
    </row>
    <row r="13" s="1296">
      <c r="A13" s="501" t="inlineStr">
        <is>
          <t>5.……</t>
        </is>
      </c>
      <c r="B13" s="501" t="n"/>
      <c r="C13" s="502" t="n"/>
      <c r="D13" s="502" t="n"/>
    </row>
    <row r="14" s="1296">
      <c r="A14" s="502" t="inlineStr">
        <is>
          <t>202X年：</t>
        </is>
      </c>
      <c r="B14" s="501" t="n"/>
      <c r="C14" s="502" t="n"/>
      <c r="D14" s="502" t="n"/>
    </row>
    <row r="15" ht="43" customFormat="1" customHeight="1" s="493">
      <c r="A15" s="503" t="inlineStr">
        <is>
          <t>关联方客户名称</t>
        </is>
      </c>
      <c r="B15" s="503" t="inlineStr">
        <is>
          <t>关联关系</t>
        </is>
      </c>
      <c r="C15" s="503" t="inlineStr">
        <is>
          <t>产品名称</t>
        </is>
      </c>
      <c r="D15" s="503" t="inlineStr">
        <is>
          <t>销售数量</t>
        </is>
      </c>
      <c r="E15" s="504" t="inlineStr">
        <is>
          <t>销售额</t>
        </is>
      </c>
      <c r="F15" s="505" t="inlineStr">
        <is>
          <t>销售额占同类产品销售额比例</t>
        </is>
      </c>
      <c r="G15" s="505" t="inlineStr">
        <is>
          <t>平均单价</t>
        </is>
      </c>
      <c r="H15" s="505" t="inlineStr">
        <is>
          <t>非关联方销售平均单价</t>
        </is>
      </c>
      <c r="I15" s="504" t="inlineStr">
        <is>
          <t>差异率</t>
        </is>
      </c>
      <c r="J15" s="504" t="inlineStr">
        <is>
          <t>可比公允价格</t>
        </is>
      </c>
      <c r="K15" s="504" t="inlineStr">
        <is>
          <t>差异率</t>
        </is>
      </c>
      <c r="L15" s="505" t="inlineStr">
        <is>
          <t>上年度销售额占同类产品销售额比例</t>
        </is>
      </c>
      <c r="M15" s="505" t="inlineStr">
        <is>
          <t>上年度销售平均单价</t>
        </is>
      </c>
      <c r="N15" s="505" t="inlineStr">
        <is>
          <t>备注</t>
        </is>
      </c>
    </row>
    <row r="16" s="1296">
      <c r="A16" s="506" t="n"/>
      <c r="B16" s="506" t="n"/>
      <c r="C16" s="506" t="n"/>
      <c r="D16" s="506" t="n"/>
      <c r="E16" s="1790" t="n"/>
      <c r="F16" s="507" t="n"/>
      <c r="G16" s="1791" t="n"/>
      <c r="H16" s="1791" t="n"/>
      <c r="I16" s="509">
        <f>(G16-H16)/H16</f>
        <v/>
      </c>
      <c r="J16" s="1790" t="n"/>
      <c r="K16" s="509">
        <f>(G16-J16)/J16</f>
        <v/>
      </c>
      <c r="L16" s="1790" t="n"/>
      <c r="M16" s="1790" t="n"/>
      <c r="N16" s="511" t="n"/>
      <c r="O16" s="512" t="inlineStr">
        <is>
          <t>勿删、勿改</t>
        </is>
      </c>
    </row>
    <row r="17" s="1296">
      <c r="A17" s="506" t="n"/>
      <c r="B17" s="506" t="n"/>
      <c r="C17" s="506" t="n"/>
      <c r="D17" s="506" t="n"/>
      <c r="E17" s="1790" t="n"/>
      <c r="F17" s="507" t="n"/>
      <c r="G17" s="1791" t="n"/>
      <c r="H17" s="1791" t="n"/>
      <c r="I17" s="509">
        <f>(G17-H17)/H17</f>
        <v/>
      </c>
      <c r="J17" s="1790" t="n"/>
      <c r="K17" s="509">
        <f>(G17-J17)/J17</f>
        <v/>
      </c>
      <c r="L17" s="1790" t="n"/>
      <c r="M17" s="1790" t="n"/>
      <c r="N17" s="511" t="n"/>
      <c r="O17" s="513" t="inlineStr">
        <is>
          <t>实际控制人</t>
        </is>
      </c>
    </row>
    <row r="18" s="1296">
      <c r="A18" s="511" t="n"/>
      <c r="B18" s="506" t="n"/>
      <c r="C18" s="506" t="n"/>
      <c r="D18" s="506" t="n"/>
      <c r="E18" s="1790" t="n"/>
      <c r="F18" s="507" t="n"/>
      <c r="G18" s="1791" t="n"/>
      <c r="H18" s="1791" t="n"/>
      <c r="I18" s="509">
        <f>(G18-H18)/H18</f>
        <v/>
      </c>
      <c r="J18" s="1790" t="n"/>
      <c r="K18" s="509">
        <f>(G18-J18)/J18</f>
        <v/>
      </c>
      <c r="L18" s="1790" t="n"/>
      <c r="M18" s="1790" t="n"/>
      <c r="N18" s="511" t="n"/>
      <c r="O18" s="513" t="inlineStr">
        <is>
          <t>控股股东</t>
        </is>
      </c>
    </row>
    <row r="19" s="1296">
      <c r="A19" s="511" t="n"/>
      <c r="B19" s="506" t="n"/>
      <c r="C19" s="506" t="n"/>
      <c r="D19" s="506" t="n"/>
      <c r="E19" s="1790" t="n"/>
      <c r="F19" s="507" t="n"/>
      <c r="G19" s="1791" t="n"/>
      <c r="H19" s="1791" t="n"/>
      <c r="I19" s="509">
        <f>(G19-H19)/H19</f>
        <v/>
      </c>
      <c r="J19" s="1790" t="n"/>
      <c r="K19" s="509">
        <f>(G19-J19)/J19</f>
        <v/>
      </c>
      <c r="L19" s="1790" t="n"/>
      <c r="M19" s="1790" t="n"/>
      <c r="N19" s="511" t="n"/>
      <c r="O19" s="513" t="inlineStr">
        <is>
          <t>控股股东、实际控制人的附属企业</t>
        </is>
      </c>
    </row>
    <row r="20" s="1296">
      <c r="A20" s="511" t="n"/>
      <c r="B20" s="506" t="n"/>
      <c r="C20" s="506" t="n"/>
      <c r="D20" s="506" t="n"/>
      <c r="E20" s="1790" t="n"/>
      <c r="F20" s="507" t="n"/>
      <c r="G20" s="1791" t="n"/>
      <c r="H20" s="1791" t="n"/>
      <c r="I20" s="509">
        <f>(G20-H20)/H20</f>
        <v/>
      </c>
      <c r="J20" s="1790" t="n"/>
      <c r="K20" s="509">
        <f>(G20-J20)/J20</f>
        <v/>
      </c>
      <c r="L20" s="1790" t="n"/>
      <c r="M20" s="1790" t="n"/>
      <c r="N20" s="511" t="n"/>
      <c r="O20" s="513" t="inlineStr">
        <is>
          <t>持有5%以上股份的法人或其他组织</t>
        </is>
      </c>
    </row>
    <row r="21" s="1296">
      <c r="A21" s="511" t="n"/>
      <c r="B21" s="506" t="n"/>
      <c r="C21" s="511" t="n"/>
      <c r="D21" s="511" t="n"/>
      <c r="E21" s="1790" t="n"/>
      <c r="F21" s="507" t="n"/>
      <c r="G21" s="1791" t="n"/>
      <c r="H21" s="1791" t="n"/>
      <c r="I21" s="509">
        <f>(G21-H21)/H21</f>
        <v/>
      </c>
      <c r="J21" s="1790" t="n"/>
      <c r="K21" s="509">
        <f>(G21-J21)/J21</f>
        <v/>
      </c>
      <c r="L21" s="1790" t="n"/>
      <c r="M21" s="1790" t="n"/>
      <c r="N21" s="511" t="n"/>
      <c r="O21" s="513" t="inlineStr">
        <is>
          <t>联营企业</t>
        </is>
      </c>
    </row>
    <row r="22" s="1296">
      <c r="A22" s="511" t="n"/>
      <c r="B22" s="506" t="n"/>
      <c r="C22" s="511" t="n"/>
      <c r="D22" s="511" t="n"/>
      <c r="E22" s="1790" t="n"/>
      <c r="F22" s="507" t="n"/>
      <c r="G22" s="1791" t="n"/>
      <c r="H22" s="1791" t="n"/>
      <c r="I22" s="509">
        <f>(G22-H22)/H22</f>
        <v/>
      </c>
      <c r="J22" s="1790" t="n"/>
      <c r="K22" s="509">
        <f>(G22-J22)/J22</f>
        <v/>
      </c>
      <c r="L22" s="1790" t="n"/>
      <c r="M22" s="1790" t="n"/>
      <c r="N22" s="511" t="n"/>
      <c r="O22" s="514" t="inlineStr">
        <is>
          <t>合营企业</t>
        </is>
      </c>
    </row>
    <row r="23" s="1296">
      <c r="A23" s="511" t="n"/>
      <c r="B23" s="506" t="n"/>
      <c r="C23" s="511" t="n"/>
      <c r="D23" s="511" t="n"/>
      <c r="E23" s="1790" t="n"/>
      <c r="F23" s="507" t="n"/>
      <c r="G23" s="1791" t="n"/>
      <c r="H23" s="1791" t="n"/>
      <c r="I23" s="509">
        <f>(G23-H23)/H23</f>
        <v/>
      </c>
      <c r="J23" s="1790" t="n"/>
      <c r="K23" s="509">
        <f>(G23-J23)/J23</f>
        <v/>
      </c>
      <c r="L23" s="1790" t="n"/>
      <c r="M23" s="1790" t="n"/>
      <c r="N23" s="511" t="n"/>
      <c r="O23" s="513" t="inlineStr">
        <is>
          <t>董高监等关键管理人员</t>
        </is>
      </c>
    </row>
    <row r="24" s="1296">
      <c r="A24" s="511" t="n"/>
      <c r="B24" s="506" t="n"/>
      <c r="C24" s="511" t="n"/>
      <c r="D24" s="511" t="n"/>
      <c r="E24" s="1790" t="n"/>
      <c r="F24" s="507" t="n"/>
      <c r="G24" s="1791" t="n"/>
      <c r="H24" s="1791" t="n"/>
      <c r="I24" s="509">
        <f>(G24-H24)/H24</f>
        <v/>
      </c>
      <c r="J24" s="1790" t="n"/>
      <c r="K24" s="509">
        <f>(G24-J24)/J24</f>
        <v/>
      </c>
      <c r="L24" s="1790" t="n"/>
      <c r="M24" s="1790" t="n"/>
      <c r="N24" s="511" t="n"/>
      <c r="O24" s="513" t="inlineStr">
        <is>
          <t>其他关联方</t>
        </is>
      </c>
    </row>
    <row r="25" s="1296">
      <c r="A25" s="511" t="n"/>
      <c r="B25" s="506" t="n"/>
      <c r="C25" s="511" t="n"/>
      <c r="D25" s="511" t="n"/>
      <c r="E25" s="1790" t="n"/>
      <c r="F25" s="507" t="n"/>
      <c r="G25" s="1791" t="n"/>
      <c r="H25" s="1791" t="n"/>
      <c r="I25" s="509">
        <f>(G25-H25)/H25</f>
        <v/>
      </c>
      <c r="J25" s="1790" t="n"/>
      <c r="K25" s="509">
        <f>(G25-J25)/J25</f>
        <v/>
      </c>
      <c r="L25" s="1790" t="n"/>
      <c r="M25" s="1790" t="n"/>
      <c r="N25" s="511" t="n"/>
    </row>
    <row r="26" s="1296">
      <c r="A26" s="511" t="n"/>
      <c r="B26" s="506" t="n"/>
      <c r="C26" s="511" t="n"/>
      <c r="D26" s="511" t="n"/>
      <c r="E26" s="1790" t="n"/>
      <c r="F26" s="507" t="n"/>
      <c r="G26" s="1791" t="n"/>
      <c r="H26" s="1791" t="n"/>
      <c r="I26" s="509">
        <f>(G26-H26)/H26</f>
        <v/>
      </c>
      <c r="J26" s="1790" t="n"/>
      <c r="K26" s="509">
        <f>(G26-J26)/J26</f>
        <v/>
      </c>
      <c r="L26" s="1790" t="n"/>
      <c r="M26" s="1790" t="n"/>
      <c r="N26" s="511" t="n"/>
    </row>
    <row r="27" s="1296">
      <c r="A27" s="511" t="n"/>
      <c r="B27" s="506" t="n"/>
      <c r="C27" s="511" t="n"/>
      <c r="D27" s="511" t="n"/>
      <c r="E27" s="1790" t="n"/>
      <c r="F27" s="507" t="n"/>
      <c r="G27" s="1791" t="n"/>
      <c r="H27" s="1791" t="n"/>
      <c r="I27" s="509">
        <f>(G27-H27)/H27</f>
        <v/>
      </c>
      <c r="J27" s="1790" t="n"/>
      <c r="K27" s="509">
        <f>(G27-J27)/J27</f>
        <v/>
      </c>
      <c r="L27" s="1790" t="n"/>
      <c r="M27" s="1790" t="n"/>
      <c r="N27" s="511" t="n"/>
    </row>
    <row r="28" s="1296">
      <c r="A28" s="511" t="n"/>
      <c r="B28" s="506" t="n"/>
      <c r="C28" s="511" t="n"/>
      <c r="D28" s="511" t="n"/>
      <c r="E28" s="1790" t="n"/>
      <c r="F28" s="507" t="n"/>
      <c r="G28" s="1791" t="n"/>
      <c r="H28" s="1791" t="n"/>
      <c r="I28" s="509">
        <f>(G28-H28)/H28</f>
        <v/>
      </c>
      <c r="J28" s="1790" t="n"/>
      <c r="K28" s="509">
        <f>(G28-J28)/J28</f>
        <v/>
      </c>
      <c r="L28" s="1790" t="n"/>
      <c r="M28" s="1790" t="n"/>
      <c r="N28" s="511" t="n"/>
    </row>
    <row r="29" s="1296">
      <c r="A29" s="511" t="n"/>
      <c r="B29" s="506" t="n"/>
      <c r="C29" s="511" t="n"/>
      <c r="D29" s="511" t="n"/>
      <c r="E29" s="1790" t="n"/>
      <c r="F29" s="507" t="n"/>
      <c r="G29" s="1791" t="n"/>
      <c r="H29" s="1791" t="n"/>
      <c r="I29" s="509">
        <f>(G29-H29)/H29</f>
        <v/>
      </c>
      <c r="J29" s="1790" t="n"/>
      <c r="K29" s="509">
        <f>(G29-J29)/J29</f>
        <v/>
      </c>
      <c r="L29" s="1790" t="n"/>
      <c r="M29" s="1790" t="n"/>
      <c r="N29" s="511" t="n"/>
    </row>
    <row r="30" s="1296">
      <c r="A30" s="511" t="n"/>
      <c r="B30" s="506" t="n"/>
      <c r="C30" s="511" t="n"/>
      <c r="D30" s="511" t="n"/>
      <c r="E30" s="1790" t="n"/>
      <c r="F30" s="507" t="n"/>
      <c r="G30" s="1791" t="n"/>
      <c r="H30" s="1791" t="n"/>
      <c r="I30" s="509">
        <f>(G30-H30)/H30</f>
        <v/>
      </c>
      <c r="J30" s="1790" t="n"/>
      <c r="K30" s="509">
        <f>(G30-J30)/J30</f>
        <v/>
      </c>
      <c r="L30" s="1790" t="n"/>
      <c r="M30" s="1790" t="n"/>
      <c r="N30" s="511" t="n"/>
    </row>
    <row r="31" s="1296">
      <c r="A31" s="515" t="inlineStr">
        <is>
          <t>三、审计说明：</t>
        </is>
      </c>
      <c r="B31" s="515" t="n"/>
    </row>
    <row r="34" s="1296">
      <c r="A34" s="515" t="inlineStr">
        <is>
          <t>四、审计结论：</t>
        </is>
      </c>
      <c r="B34" s="515" t="n"/>
    </row>
    <row r="47" s="1296">
      <c r="A47" s="516" t="n"/>
      <c r="C47" s="517" t="n"/>
      <c r="D47" s="518" t="n"/>
      <c r="E47" s="517" t="n"/>
      <c r="F47" s="517" t="n"/>
      <c r="G47" s="518" t="n"/>
      <c r="H47" s="518" t="n"/>
      <c r="I47" s="518" t="n"/>
      <c r="J47" s="518" t="n"/>
      <c r="K47" s="518" t="n"/>
      <c r="L47" s="518" t="n"/>
      <c r="M47" s="518" t="n"/>
      <c r="N47" s="518" t="n"/>
      <c r="O47" s="518" t="n"/>
      <c r="P47" s="518" t="n"/>
    </row>
    <row r="48" s="1296">
      <c r="A48" s="516" t="n"/>
      <c r="B48" s="519" t="n"/>
      <c r="C48" s="517" t="n"/>
      <c r="D48" s="518" t="n"/>
      <c r="E48" s="517" t="n"/>
      <c r="F48" s="516" t="n"/>
      <c r="G48" s="519" t="n"/>
      <c r="H48" s="518" t="n"/>
      <c r="I48" s="518" t="n"/>
      <c r="J48" s="518" t="n"/>
      <c r="K48" s="518" t="n"/>
      <c r="L48" s="518" t="n"/>
      <c r="M48" s="518" t="n"/>
      <c r="N48" s="518" t="n"/>
      <c r="O48" s="518" t="n"/>
      <c r="P48" s="518" t="n"/>
    </row>
    <row r="49" s="1296">
      <c r="A49" s="520" t="n"/>
      <c r="B49" s="521" t="n"/>
      <c r="C49" s="518" t="n"/>
      <c r="D49" s="518" t="n"/>
      <c r="E49" s="518" t="n"/>
      <c r="F49" s="518" t="n"/>
      <c r="G49" s="518" t="n"/>
      <c r="H49" s="518" t="n"/>
      <c r="I49" s="518" t="n"/>
      <c r="J49" s="518" t="n"/>
      <c r="K49" s="518" t="n"/>
      <c r="L49" s="518" t="n"/>
      <c r="M49" s="518" t="n"/>
      <c r="N49" s="518" t="n"/>
      <c r="O49" s="518" t="n"/>
      <c r="P49" s="518" t="n"/>
    </row>
  </sheetData>
  <mergeCells count="2">
    <mergeCell ref="A2:N2"/>
    <mergeCell ref="A1:N1"/>
  </mergeCells>
  <dataValidations count="1">
    <dataValidation sqref="B16:B30" showDropDown="0" showInputMessage="1" showErrorMessage="1" allowBlank="1" type="list">
      <formula1>$O$17:$O$24</formula1>
    </dataValidation>
  </dataValidations>
  <pageMargins left="0.708333333333333" right="0.708333333333333" top="0.747916666666667" bottom="0.747916666666667" header="0.314583333333333" footer="0.314583333333333"/>
  <pageSetup orientation="landscape" paperSize="9" scale="78" fitToHeight="100" blackAndWhite="1"/>
  <headerFooter>
    <oddHeader/>
    <oddFooter>&amp;C&amp;P/&amp;N</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ColWidth="9.81818181818182" defaultRowHeight="20.1" customHeight="1"/>
  <cols>
    <col width="85.93636363636359" customWidth="1" style="355" min="1" max="1"/>
    <col width="2.66363636363636" customWidth="1" style="355" min="2" max="2"/>
    <col width="4.6" customWidth="1" style="355" min="3" max="3"/>
    <col width="6.90909090909091" customWidth="1" style="355" min="4" max="4"/>
    <col width="37.9363636363636" customWidth="1" style="355" min="5" max="5"/>
    <col width="11.3909090909091" customWidth="1" style="355" min="6" max="6"/>
    <col width="9.81818181818182" customWidth="1" style="355" min="7" max="16384"/>
  </cols>
  <sheetData>
    <row r="1" s="1296">
      <c r="A1" s="974" t="inlineStr">
        <is>
          <t>底稿开列时，可先在以下单元格填写有关内容，以便其他底稿引用有关数据：</t>
        </is>
      </c>
      <c r="B1" s="975" t="n"/>
      <c r="C1" s="975" t="n"/>
      <c r="D1" s="975" t="n"/>
      <c r="E1" s="975" t="n"/>
      <c r="F1" s="975" t="n"/>
    </row>
    <row r="2" s="1296">
      <c r="A2" s="479" t="inlineStr">
        <is>
          <t>被审计单位名称：</t>
        </is>
      </c>
      <c r="B2" s="480" t="n"/>
      <c r="C2" s="480" t="n"/>
      <c r="D2" s="978" t="inlineStr">
        <is>
          <t>序号</t>
        </is>
      </c>
      <c r="E2" s="978" t="inlineStr">
        <is>
          <t>内容</t>
        </is>
      </c>
      <c r="F2" s="978" t="inlineStr">
        <is>
          <t>索引号</t>
        </is>
      </c>
    </row>
    <row r="3" s="1296">
      <c r="A3" s="1300" t="inlineStr">
        <is>
          <t>会计期间：202X年度</t>
        </is>
      </c>
      <c r="B3" s="480" t="n"/>
      <c r="C3" s="480" t="n"/>
      <c r="D3" s="483" t="n">
        <v>1</v>
      </c>
      <c r="E3" s="484" t="inlineStr">
        <is>
          <t>营业收入实质性程序表</t>
        </is>
      </c>
      <c r="F3" s="485" t="inlineStr">
        <is>
          <t>D4-22A</t>
        </is>
      </c>
    </row>
    <row r="4" s="1296">
      <c r="A4" s="479" t="inlineStr">
        <is>
          <t>编制人：</t>
        </is>
      </c>
      <c r="B4" s="975" t="n"/>
      <c r="C4" s="975" t="n"/>
      <c r="D4" s="483" t="n">
        <v>2</v>
      </c>
      <c r="E4" s="484" t="inlineStr">
        <is>
          <t>重要指标分析</t>
        </is>
      </c>
      <c r="F4" s="485" t="inlineStr">
        <is>
          <t>D4-22</t>
        </is>
      </c>
    </row>
    <row r="5" s="1296">
      <c r="A5" s="479" t="inlineStr">
        <is>
          <t>编制日期：</t>
        </is>
      </c>
      <c r="B5" s="975" t="n"/>
      <c r="C5" s="975" t="n"/>
      <c r="D5" s="483" t="n">
        <v>3</v>
      </c>
      <c r="E5" s="484" t="inlineStr">
        <is>
          <t>收入与开具发票金额比较分析</t>
        </is>
      </c>
      <c r="F5" s="485" t="inlineStr">
        <is>
          <t>D4-23</t>
        </is>
      </c>
    </row>
    <row r="6" s="1296">
      <c r="A6" s="486" t="inlineStr">
        <is>
          <t>复核人：</t>
        </is>
      </c>
      <c r="B6" s="975" t="n"/>
      <c r="C6" s="975" t="n"/>
      <c r="D6" s="483" t="n">
        <v>4</v>
      </c>
      <c r="E6" s="484" t="inlineStr">
        <is>
          <t>第三方回款检查</t>
        </is>
      </c>
      <c r="F6" s="485" t="inlineStr">
        <is>
          <t>D4-24</t>
        </is>
      </c>
    </row>
    <row r="7" s="1296">
      <c r="A7" s="486" t="inlineStr">
        <is>
          <t>复核日期：</t>
        </is>
      </c>
      <c r="B7" s="975" t="n"/>
      <c r="C7" s="975" t="n"/>
      <c r="D7" s="483" t="n">
        <v>5</v>
      </c>
      <c r="E7" s="484" t="inlineStr">
        <is>
          <t>经销商检查</t>
        </is>
      </c>
      <c r="F7" s="485" t="inlineStr">
        <is>
          <t>D4-25</t>
        </is>
      </c>
    </row>
    <row r="8" s="1296">
      <c r="A8" s="486" t="n"/>
      <c r="B8" s="975" t="n"/>
      <c r="C8" s="975" t="n"/>
      <c r="D8" s="483" t="n">
        <v>6</v>
      </c>
      <c r="E8" s="484" t="inlineStr">
        <is>
          <t>境外销售收入检查</t>
        </is>
      </c>
      <c r="F8" s="485" t="inlineStr">
        <is>
          <t>D4-26</t>
        </is>
      </c>
    </row>
    <row r="9" s="1296">
      <c r="A9" s="486" t="n"/>
      <c r="B9" s="975" t="n"/>
      <c r="C9" s="975" t="n"/>
      <c r="D9" s="483" t="n">
        <v>7</v>
      </c>
      <c r="E9" s="487" t="inlineStr">
        <is>
          <t>函证结果汇总表</t>
        </is>
      </c>
      <c r="F9" s="485" t="inlineStr">
        <is>
          <t>D0-1</t>
        </is>
      </c>
    </row>
    <row r="10" s="1296">
      <c r="A10" s="488" t="n"/>
      <c r="B10" s="975" t="n"/>
      <c r="C10" s="975" t="n"/>
      <c r="D10" s="483" t="n">
        <v>8</v>
      </c>
      <c r="E10" s="487" t="inlineStr">
        <is>
          <t>核实被函证单位信息</t>
        </is>
      </c>
      <c r="F10" s="485" t="inlineStr">
        <is>
          <t>D0-2</t>
        </is>
      </c>
    </row>
    <row r="11" s="1296">
      <c r="A11" s="1309" t="inlineStr">
        <is>
          <t>关于工作底稿与审计程序索引号对应的说明</t>
        </is>
      </c>
      <c r="B11" s="975" t="n"/>
      <c r="C11" s="975" t="n"/>
      <c r="D11" s="483" t="n">
        <v>9</v>
      </c>
      <c r="E11" s="487" t="inlineStr">
        <is>
          <t>跟函函证过程控制</t>
        </is>
      </c>
      <c r="F11" s="485" t="inlineStr">
        <is>
          <t>D0-3</t>
        </is>
      </c>
    </row>
    <row r="12" s="1296">
      <c r="A12" s="1310"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2" s="975" t="n"/>
      <c r="C12" s="975" t="n"/>
      <c r="D12" s="483" t="n">
        <v>10</v>
      </c>
      <c r="E12" s="487" t="inlineStr">
        <is>
          <t>函证差异调节表</t>
        </is>
      </c>
      <c r="F12" s="485" t="inlineStr">
        <is>
          <t>D0-4</t>
        </is>
      </c>
    </row>
    <row r="13" s="1296">
      <c r="A13" s="1311" t="n"/>
      <c r="B13" s="975" t="n"/>
      <c r="C13" s="975" t="n"/>
      <c r="D13" s="483" t="n">
        <v>11</v>
      </c>
      <c r="E13" s="487" t="inlineStr">
        <is>
          <t>合同负债及销售替代程序检查表</t>
        </is>
      </c>
      <c r="F13" s="485" t="inlineStr">
        <is>
          <t>D0-5</t>
        </is>
      </c>
    </row>
    <row r="14" s="1296">
      <c r="A14" s="1311" t="n"/>
      <c r="B14" s="975" t="n"/>
      <c r="C14" s="975" t="n"/>
      <c r="D14" s="483" t="n">
        <v>12</v>
      </c>
      <c r="E14" s="487" t="inlineStr">
        <is>
          <t>应收及销售替代程序检查表</t>
        </is>
      </c>
      <c r="F14" s="485" t="inlineStr">
        <is>
          <t>D0-6</t>
        </is>
      </c>
    </row>
    <row r="15" s="1296">
      <c r="A15" s="1311" t="n"/>
      <c r="B15" s="975" t="n"/>
      <c r="C15" s="975" t="n"/>
      <c r="D15" s="483" t="n">
        <v>13</v>
      </c>
      <c r="E15" s="487" t="inlineStr">
        <is>
          <t>邮件传真回函可靠性验证</t>
        </is>
      </c>
      <c r="F15" s="485" t="inlineStr">
        <is>
          <t>D0-7</t>
        </is>
      </c>
    </row>
    <row r="16" s="1296">
      <c r="A16" s="1310"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6" s="975" t="n"/>
      <c r="C16" s="975" t="n"/>
      <c r="D16" s="483" t="n">
        <v>14</v>
      </c>
      <c r="E16" s="487" t="inlineStr">
        <is>
          <t>函证程序舞弊风险评价表</t>
        </is>
      </c>
      <c r="F16" s="485" t="inlineStr">
        <is>
          <t>D0-8</t>
        </is>
      </c>
    </row>
    <row r="17" s="1296">
      <c r="A17" s="1311" t="n"/>
      <c r="B17" s="975" t="n"/>
      <c r="C17" s="975" t="n"/>
      <c r="D17" s="483" t="n">
        <v>15</v>
      </c>
      <c r="E17" s="484" t="inlineStr">
        <is>
          <t>识别未披露关联方</t>
        </is>
      </c>
      <c r="F17" s="485" t="inlineStr">
        <is>
          <t>D4-27</t>
        </is>
      </c>
    </row>
    <row r="18" s="1296">
      <c r="A18" s="1311" t="n"/>
      <c r="B18" s="975" t="n"/>
      <c r="C18" s="975" t="n"/>
      <c r="D18" s="483" t="n">
        <v>16</v>
      </c>
      <c r="E18" s="484" t="inlineStr">
        <is>
          <t>客户信息核查清单</t>
        </is>
      </c>
      <c r="F18" s="485" t="inlineStr">
        <is>
          <t>D4-28</t>
        </is>
      </c>
    </row>
    <row r="19" s="1296">
      <c r="A19" s="1313" t="inlineStr">
        <is>
          <t>3.工作底稿索引号的编码规则：实质性程序索引号按循环从“D”到“N”,循环内账户以顺序号排列，模板中底稿索引号按账户顺序+自然数顺序（即模板中索引号按二级自然顺序排列，如D1-1、D1-2、D1-3、……D1-N）。</t>
        </is>
      </c>
      <c r="B19" s="975" t="n"/>
      <c r="C19" s="975" t="n"/>
      <c r="D19" s="483" t="n">
        <v>17</v>
      </c>
      <c r="E19" s="484" t="inlineStr">
        <is>
          <t>客户信息检查表</t>
        </is>
      </c>
      <c r="F19" s="485" t="inlineStr">
        <is>
          <t>D4-29</t>
        </is>
      </c>
    </row>
    <row r="20" s="1296">
      <c r="A20" s="1311" t="n"/>
      <c r="B20" s="975" t="n"/>
      <c r="C20" s="975" t="n"/>
      <c r="D20" s="483" t="n">
        <v>18</v>
      </c>
      <c r="E20" s="484" t="inlineStr">
        <is>
          <t>客户访谈记录汇总表</t>
        </is>
      </c>
      <c r="F20" s="485" t="inlineStr">
        <is>
          <t>D4-30</t>
        </is>
      </c>
    </row>
    <row r="21" s="1296">
      <c r="A21" s="1311" t="n"/>
      <c r="B21" s="975" t="n"/>
      <c r="C21" s="975" t="n"/>
      <c r="D21" s="483" t="n">
        <v>19</v>
      </c>
      <c r="E21" s="492" t="inlineStr">
        <is>
          <t>客户访谈记录</t>
        </is>
      </c>
      <c r="F21" s="485" t="inlineStr">
        <is>
          <t>D4-31</t>
        </is>
      </c>
    </row>
    <row r="22" s="1296">
      <c r="D22" s="483" t="n">
        <v>20</v>
      </c>
      <c r="E22" s="484" t="inlineStr">
        <is>
          <t>客户、供应商等资金流水检查</t>
        </is>
      </c>
      <c r="F22" s="485" t="inlineStr">
        <is>
          <t>D4-32</t>
        </is>
      </c>
    </row>
    <row r="28" s="1296">
      <c r="G28" s="975" t="n"/>
    </row>
    <row r="29" s="1296">
      <c r="G29" s="975" t="n"/>
    </row>
  </sheetData>
  <mergeCells count="3">
    <mergeCell ref="A19:A21"/>
    <mergeCell ref="A16:A18"/>
    <mergeCell ref="A12:A15"/>
  </mergeCells>
  <hyperlinks>
    <hyperlink ref="E3" location="'程序表D4-22A'!A1" display="营业收入实质性程序表"/>
    <hyperlink ref="E4" location="'重要指标分析表D4-22'!A1" display="重要指标分析"/>
    <hyperlink ref="E5" location="'收入与开具发票金额比较分析D4-23'!A1" display="收入与开具发票金额比较分析"/>
    <hyperlink ref="E6" location="'第三方回款检查D4-24'!A1" display="第三方回款检查"/>
    <hyperlink ref="E7" location="'经销商检查D4-25'!A1" display="经销商检查"/>
    <hyperlink ref="E8" location="'境外销售收入检查D4-26'!A1" display="境外销售收入检查"/>
    <hyperlink ref="E17" location="'识别未披露的关联方D4-27'!A1" display="识别未披露关联方"/>
    <hyperlink ref="E18" location="'客户信息核查清单D4-28'!A1" display="客户信息核查清单"/>
    <hyperlink ref="E19" location="'客户信息检查表D4-29'!A1" display="客户信息检查表"/>
    <hyperlink ref="E20" location="'客户访谈记录汇总表D4-30'!A1" display="客户访谈记录汇总表"/>
    <hyperlink ref="E21" location="'客户访谈记录 D4-31'!A1" display="客户访谈记录"/>
    <hyperlink ref="E22" location="'客户、供应商等资金流水检查D4-32'!A1" display="客户、供应商等资金流水检查"/>
  </hyperlinks>
  <pageMargins left="0.708333333333333" right="0.708333333333333" top="0.747916666666667" bottom="0.747916666666667" header="0.314583333333333" footer="0.314583333333333"/>
  <pageSetup orientation="portrait" paperSize="9" scale="75" blackAndWhite="1"/>
  <headerFooter>
    <oddHeader/>
    <oddFooter>&amp;C&amp;P/&amp;N</oddFooter>
    <evenHeader/>
    <evenFooter/>
    <firstHeader/>
    <firstFooter/>
  </headerFooter>
</worksheet>
</file>

<file path=xl/worksheets/sheet29.xml><?xml version="1.0" encoding="utf-8"?>
<worksheet xmlns="http://schemas.openxmlformats.org/spreadsheetml/2006/main">
  <sheetPr>
    <outlinePr summaryBelow="1" summaryRight="1"/>
    <pageSetUpPr/>
  </sheetPr>
  <dimension ref="A1:K37"/>
  <sheetViews>
    <sheetView view="pageBreakPreview" zoomScaleNormal="100" workbookViewId="0">
      <selection activeCell="A1" sqref="A1:J1"/>
    </sheetView>
  </sheetViews>
  <sheetFormatPr baseColWidth="8" defaultColWidth="9.81818181818182" defaultRowHeight="20.1" customHeight="1"/>
  <cols>
    <col width="5.20909090909091" customWidth="1" style="437" min="1" max="1"/>
    <col width="8.481818181818181" customWidth="1" style="438" min="2" max="2"/>
    <col width="67.5090909090909" customWidth="1" style="439" min="3" max="3"/>
    <col width="12.3636363636364" customWidth="1" style="439" min="4" max="4"/>
    <col width="6.54545454545455" customWidth="1" style="439" min="5" max="5"/>
    <col width="7.63636363636364" customWidth="1" style="439" min="6" max="6"/>
    <col width="7.87272727272727" customWidth="1" style="439" min="7" max="7"/>
    <col width="7.39090909090909" customWidth="1" style="439" min="8" max="8"/>
    <col width="6.78181818181818" customWidth="1" style="439" min="9" max="9"/>
    <col width="8" customWidth="1" style="439" min="10" max="10"/>
    <col width="9.81818181818182" customWidth="1" style="439" min="11" max="16384"/>
  </cols>
  <sheetData>
    <row r="1" customFormat="1" s="434">
      <c r="A1" s="440" t="inlineStr">
        <is>
          <t>致同会计师事务所</t>
        </is>
      </c>
    </row>
    <row r="2" customFormat="1" s="434">
      <c r="A2" s="441" t="inlineStr">
        <is>
          <t>营业收入实质性程序表</t>
        </is>
      </c>
    </row>
    <row r="3" customFormat="1" s="435">
      <c r="A3" s="442" t="inlineStr">
        <is>
          <t>被审计单位名称：</t>
        </is>
      </c>
      <c r="B3" s="1311" t="n"/>
      <c r="C3" s="1311" t="n"/>
      <c r="D3" s="435" t="inlineStr">
        <is>
          <t>编制人：</t>
        </is>
      </c>
      <c r="G3" s="435" t="inlineStr">
        <is>
          <t>编制日期：</t>
        </is>
      </c>
      <c r="I3" s="435" t="inlineStr">
        <is>
          <t>索引号：</t>
        </is>
      </c>
      <c r="J3" s="174" t="inlineStr">
        <is>
          <t>D4-22A</t>
        </is>
      </c>
    </row>
    <row r="4" customFormat="1" s="435">
      <c r="A4" s="442" t="inlineStr">
        <is>
          <t>会计期间：202X年度</t>
        </is>
      </c>
      <c r="B4" s="1311" t="n"/>
      <c r="C4" s="1311" t="n"/>
      <c r="D4" s="435" t="inlineStr">
        <is>
          <t>复核人：</t>
        </is>
      </c>
      <c r="G4" s="435" t="inlineStr">
        <is>
          <t>复核日期：</t>
        </is>
      </c>
      <c r="I4" s="442" t="inlineStr">
        <is>
          <t>页次：</t>
        </is>
      </c>
    </row>
    <row r="5" s="1296">
      <c r="A5" s="443" t="inlineStr">
        <is>
          <t>一、本账户涉及的科目</t>
        </is>
      </c>
      <c r="B5" s="1311" t="n"/>
      <c r="C5" s="1311" t="n"/>
    </row>
    <row r="6" s="1296">
      <c r="A6" s="444" t="inlineStr">
        <is>
          <t>主营业务收入、其他业务收入</t>
        </is>
      </c>
      <c r="B6" s="1311" t="n"/>
      <c r="C6" s="1311" t="n"/>
      <c r="D6" s="1311" t="n"/>
      <c r="E6" s="1311" t="n"/>
      <c r="F6" s="1311" t="n"/>
      <c r="G6" s="1311" t="n"/>
      <c r="H6" s="1311" t="n"/>
      <c r="I6" s="1311" t="n"/>
      <c r="J6" s="1311" t="n"/>
    </row>
    <row r="7" customFormat="1" s="435">
      <c r="A7" s="443" t="inlineStr">
        <is>
          <t>二、审计目标和财务报表的认定</t>
        </is>
      </c>
      <c r="B7" s="445" t="n"/>
      <c r="C7" s="443" t="n"/>
      <c r="D7" s="446" t="n"/>
    </row>
    <row r="8" ht="19.95" customFormat="1" customHeight="1" s="435">
      <c r="A8" s="447" t="inlineStr">
        <is>
          <t>审计目标</t>
        </is>
      </c>
      <c r="B8" s="1327" t="n"/>
      <c r="C8" s="1327" t="n"/>
      <c r="D8" s="1327" t="n"/>
      <c r="E8" s="1327" t="n"/>
      <c r="F8" s="1327" t="n"/>
      <c r="G8" s="1328" t="n"/>
      <c r="H8" s="448" t="inlineStr">
        <is>
          <t xml:space="preserve">财务报表的认定　</t>
        </is>
      </c>
      <c r="I8" s="1327" t="n"/>
      <c r="J8" s="1328" t="n"/>
    </row>
    <row r="9" ht="19.95" customFormat="1" customHeight="1" s="435">
      <c r="A9" s="449" t="inlineStr">
        <is>
          <t>A.利润表中记录的营业收入已发生，且与被审计单位有关，已记录于恰当的账户</t>
        </is>
      </c>
      <c r="B9" s="1327" t="n"/>
      <c r="C9" s="1327" t="n"/>
      <c r="D9" s="1327" t="n"/>
      <c r="E9" s="1327" t="n"/>
      <c r="F9" s="1327" t="n"/>
      <c r="G9" s="1328" t="n"/>
      <c r="H9" s="450" t="inlineStr">
        <is>
          <t>发生</t>
        </is>
      </c>
      <c r="I9" s="1327" t="n"/>
      <c r="J9" s="1328" t="n"/>
    </row>
    <row r="10" ht="19.95" customFormat="1" customHeight="1" s="435">
      <c r="A10" s="449" t="inlineStr">
        <is>
          <t>B.所有应当记录的营业收入均已记录，所有应当包括在财务报表中的相关披露均已包括</t>
        </is>
      </c>
      <c r="B10" s="1327" t="n"/>
      <c r="C10" s="1327" t="n"/>
      <c r="D10" s="1327" t="n"/>
      <c r="E10" s="1327" t="n"/>
      <c r="F10" s="1327" t="n"/>
      <c r="G10" s="1328" t="n"/>
      <c r="H10" s="450" t="inlineStr">
        <is>
          <t>完整性</t>
        </is>
      </c>
      <c r="I10" s="1327" t="n"/>
      <c r="J10" s="1328" t="n"/>
    </row>
    <row r="11" ht="19.95" customFormat="1" customHeight="1" s="435">
      <c r="A11" s="449" t="inlineStr">
        <is>
          <t>C.与营业收入有关的金额及其他数据已恰当记录，相关披露已得到恰当计量和描述</t>
        </is>
      </c>
      <c r="B11" s="1327" t="n"/>
      <c r="C11" s="1327" t="n"/>
      <c r="D11" s="1327" t="n"/>
      <c r="E11" s="1327" t="n"/>
      <c r="F11" s="1327" t="n"/>
      <c r="G11" s="1328" t="n"/>
      <c r="H11" s="450" t="inlineStr">
        <is>
          <t>准确性</t>
        </is>
      </c>
      <c r="I11" s="1327" t="n"/>
      <c r="J11" s="1328" t="n"/>
    </row>
    <row r="12" ht="19.95" customFormat="1" customHeight="1" s="435">
      <c r="A12" s="449" t="inlineStr">
        <is>
          <t>D.与营业收入有关的交易和事项已记录于正确的会计期间</t>
        </is>
      </c>
      <c r="B12" s="1327" t="n"/>
      <c r="C12" s="1327" t="n"/>
      <c r="D12" s="1327" t="n"/>
      <c r="E12" s="1327" t="n"/>
      <c r="F12" s="1327" t="n"/>
      <c r="G12" s="1328" t="n"/>
      <c r="H12" s="450" t="inlineStr">
        <is>
          <t>截止性</t>
        </is>
      </c>
      <c r="I12" s="1327" t="n"/>
      <c r="J12" s="1328" t="n"/>
    </row>
    <row r="13" ht="19.95" customFormat="1" customHeight="1" s="435">
      <c r="A13" s="449" t="inlineStr">
        <is>
          <t>E.营业收入已被恰当地汇总或分解且表述清楚，相关披露在按照企业会计准则的编制基础下是相关的、可理解的</t>
        </is>
      </c>
      <c r="B13" s="1327" t="n"/>
      <c r="C13" s="1327" t="n"/>
      <c r="D13" s="1327" t="n"/>
      <c r="E13" s="1327" t="n"/>
      <c r="F13" s="1327" t="n"/>
      <c r="G13" s="1328" t="n"/>
      <c r="H13" s="450" t="inlineStr">
        <is>
          <t>列报</t>
        </is>
      </c>
      <c r="I13" s="1327" t="n"/>
      <c r="J13" s="1328" t="n"/>
    </row>
    <row r="14" customFormat="1" s="435">
      <c r="A14" s="443" t="inlineStr">
        <is>
          <t>三、计划实施的实质性程序</t>
        </is>
      </c>
      <c r="B14" s="1311" t="n"/>
      <c r="C14" s="1311" t="n"/>
      <c r="D14" s="446" t="n"/>
    </row>
    <row r="15" customFormat="1" s="435">
      <c r="A15" s="451" t="inlineStr">
        <is>
          <t>序号</t>
        </is>
      </c>
      <c r="B15" s="452" t="inlineStr">
        <is>
          <t>对应Leap程序</t>
        </is>
      </c>
      <c r="C15" s="1334" t="inlineStr">
        <is>
          <t>审计程序</t>
        </is>
      </c>
      <c r="D15" s="452" t="inlineStr">
        <is>
          <t>程序分类</t>
        </is>
      </c>
      <c r="E15" s="451" t="inlineStr">
        <is>
          <t>财务报表认定</t>
        </is>
      </c>
      <c r="F15" s="1327" t="n"/>
      <c r="G15" s="1327" t="n"/>
      <c r="H15" s="1327" t="n"/>
      <c r="I15" s="1328" t="n"/>
      <c r="J15" s="1334" t="inlineStr">
        <is>
          <t>底稿索引号</t>
        </is>
      </c>
    </row>
    <row r="16" ht="27.6" customFormat="1" customHeight="1" s="435">
      <c r="A16" s="1335" t="n"/>
      <c r="B16" s="1335" t="n"/>
      <c r="C16" s="1335" t="n"/>
      <c r="D16" s="1335" t="n"/>
      <c r="E16" s="447" t="inlineStr">
        <is>
          <t>发生</t>
        </is>
      </c>
      <c r="F16" s="447" t="inlineStr">
        <is>
          <t>完整性</t>
        </is>
      </c>
      <c r="G16" s="447" t="inlineStr">
        <is>
          <t>准确性</t>
        </is>
      </c>
      <c r="H16" s="447" t="inlineStr">
        <is>
          <t>截止性</t>
        </is>
      </c>
      <c r="I16" s="447" t="inlineStr">
        <is>
          <t>列报</t>
        </is>
      </c>
      <c r="J16" s="1335" t="n"/>
      <c r="K16" s="1336" t="inlineStr">
        <is>
          <t>根据被审计单位实际情况和风险评估情况裁剪、修改或增加审计程序</t>
        </is>
      </c>
    </row>
    <row r="17" ht="42.6" customHeight="1" s="1296">
      <c r="A17" s="456" t="n">
        <v>1</v>
      </c>
      <c r="B17" s="457" t="n"/>
      <c r="C17" s="458" t="inlineStr">
        <is>
          <t>对于通过电子方式自动生成、处理、记录的销售交易,必要时，考虑利用信息系统审计专家的工作。</t>
        </is>
      </c>
      <c r="D17" s="459" t="inlineStr">
        <is>
          <t>IPO/上市/新三板/重组/舞弊应对</t>
        </is>
      </c>
      <c r="E17" s="460" t="inlineStr">
        <is>
          <t>√</t>
        </is>
      </c>
      <c r="F17" s="461" t="inlineStr">
        <is>
          <t>√</t>
        </is>
      </c>
      <c r="G17" s="460" t="inlineStr">
        <is>
          <t>√</t>
        </is>
      </c>
      <c r="H17" s="460" t="inlineStr">
        <is>
          <t>√</t>
        </is>
      </c>
      <c r="I17" s="462" t="n"/>
      <c r="J17" s="460" t="n"/>
    </row>
    <row r="18" ht="289.2" customHeight="1" s="1296">
      <c r="A18" s="456" t="n">
        <v>2</v>
      </c>
      <c r="B18" s="463" t="inlineStr">
        <is>
          <t>应对措施-实质性分析</t>
        </is>
      </c>
      <c r="C18" s="458" t="inlineStr">
        <is>
          <t>分析性程序：
（1）结合被审计单位业务特点和其主要客户基本经营信息，分析其客户购买力、结构变化和销售波动情况，是否存在客户异常采购的情况；与其客户信息披露核对（如适用）。
（2）结合存货底稿分析销售收入等财务信息与投入产出率、劳动生产率、产能、水电能耗、运输数量等非财务信息之间的关系。
（3）获取年度预算资料，比较收入金额与年度预算是否存在重大差异，如果发现被审计单位的收入增长幅度明显高于管理层的预期，可以询问管理层的适当人员，并考虑管理层的答复是否与其他审计证据一致。例如，如果管理层表示收入增长是由于销售量增加所致，可以调查与市场需求相关的情况。
（4）将销售收入变动幅度与销售商品及提供劳务收到的现金、应收账款/合同资产、存货、税金等项目的变动幅度进行比较，分析具体原因。
（5）将人均创收金额等指标与同行业及行业领军企业比较是否存在异常，如果被审计单位人均创收超过行业领军企业，应保持警觉，考虑获取的审计证据是否能够支持。
（6）了解期末在手订单情况，分析销售与采购是否配比，以及重要客户大量采购的原因、最终销售情况、终端客户同经销商地域的匹配性。
（7）分析销售收入与销售费用之间的关系，包括销售人员的人均业绩指标、销售人员薪酬、广告费、差旅费，以及销售机构的设置、规模、数量、分布等。
（8）根据增值税发票申报表或普通发票，估算全年收入，与实际收入金额比较。</t>
        </is>
      </c>
      <c r="D18" s="459" t="inlineStr">
        <is>
          <t>IPO/上市/新三板/重组/舞弊应对</t>
        </is>
      </c>
      <c r="E18" s="461" t="inlineStr">
        <is>
          <t>√</t>
        </is>
      </c>
      <c r="F18" s="460" t="inlineStr">
        <is>
          <t>√</t>
        </is>
      </c>
      <c r="G18" s="461" t="inlineStr">
        <is>
          <t>√</t>
        </is>
      </c>
      <c r="H18" s="460" t="n"/>
      <c r="I18" s="464" t="n"/>
      <c r="J18" s="460" t="inlineStr">
        <is>
          <t>F2-63
/D4-22
/D4-23</t>
        </is>
      </c>
      <c r="K18" s="465" t="n"/>
    </row>
    <row r="19" ht="67.8" customHeight="1" s="1296">
      <c r="A19" s="456" t="n">
        <v>3</v>
      </c>
      <c r="B19" s="463" t="inlineStr">
        <is>
          <t>应对措施-检查</t>
        </is>
      </c>
      <c r="C19" s="458" t="inlineStr">
        <is>
          <t>对重要客户的货款回收进行检查,关注是否存在第三方回款情况,例如通过第三方账户，包括员工账户和其他个人账户回款，通过保理公司回款的情况。如果存在第三方回款，应获取并检查第三方代付协议，分析第三方回款的必要性和合理性。检查第三方与被审计单位及客户之间是否存在关联关系。必要时，向第三方函证。</t>
        </is>
      </c>
      <c r="D19" s="459" t="inlineStr">
        <is>
          <t>IPO/上市/新三板/重组/舞弊应对</t>
        </is>
      </c>
      <c r="E19" s="461" t="inlineStr">
        <is>
          <t>√</t>
        </is>
      </c>
      <c r="F19" s="460" t="n"/>
      <c r="G19" s="461" t="inlineStr">
        <is>
          <t>√</t>
        </is>
      </c>
      <c r="H19" s="460" t="n"/>
      <c r="I19" s="460" t="n"/>
      <c r="J19" s="460" t="inlineStr">
        <is>
          <t>D4-24</t>
        </is>
      </c>
    </row>
    <row r="20" ht="150" customHeight="1" s="1296">
      <c r="A20" s="456" t="n">
        <v>4</v>
      </c>
      <c r="B20" s="463" t="inlineStr">
        <is>
          <t>应对措施-检查</t>
        </is>
      </c>
      <c r="C20" s="458" t="inlineStr">
        <is>
          <t>如果被审计单位采用经销商的销售模式，需要关注：
（1）检查被审计单位与经销商之间的协议或合同以及实际执行情况，确定与经销商是否为委托代理的关系，对经销商销售收入确认时点是否符合企业会计准则的规定；
（2）关注主要的经销商与被审计单位之间是否存在关联方关系，检查出库单、货运单、商品验收单等相关支持性凭证，以确定是否满足收入确认的条件；
（3）关注经销商布局的合理性、被审计单位频繁发生经销商加入和退出的情况，以及被审计单位对不稳定经销商的收入确认是否适当、退换货损失的处理是否适当、经销商最终销售情况等；
（4）对经销商为委托代理销售的模式，检查被审计单位收入确认是否有代理商的销售清单、货物最终销售证明等支持性凭据。</t>
        </is>
      </c>
      <c r="D20" s="459" t="inlineStr">
        <is>
          <t>IPO/上市/新三板/重组/舞弊应对</t>
        </is>
      </c>
      <c r="E20" s="461" t="inlineStr">
        <is>
          <t>√</t>
        </is>
      </c>
      <c r="F20" s="1344" t="inlineStr">
        <is>
          <t>√</t>
        </is>
      </c>
      <c r="G20" s="460" t="inlineStr">
        <is>
          <t>√</t>
        </is>
      </c>
      <c r="H20" s="460" t="inlineStr">
        <is>
          <t>√</t>
        </is>
      </c>
      <c r="I20" s="462" t="n"/>
      <c r="J20" s="460" t="inlineStr">
        <is>
          <t>D4-14
/D4-25
/D4-</t>
        </is>
      </c>
    </row>
    <row r="21" ht="46.2" customHeight="1" s="1296">
      <c r="A21" s="456" t="n">
        <v>5</v>
      </c>
      <c r="B21" s="463" t="inlineStr">
        <is>
          <t>应对措施-检查</t>
        </is>
      </c>
      <c r="C21" s="458" t="inlineStr">
        <is>
          <t>对境外销售收入，检查向主要国家和地区销售的金额、境外收入占比、结算模式等，不同贸易模式下的收入确认是否符合企业会计准则的规定，关注是否存在第三方回款、是否执行了核查、函证、现场走访等程序。</t>
        </is>
      </c>
      <c r="D21" s="459" t="inlineStr">
        <is>
          <t>IPO/上市/新三板/重组/舞弊应对</t>
        </is>
      </c>
      <c r="E21" s="461" t="inlineStr">
        <is>
          <t>√</t>
        </is>
      </c>
      <c r="F21" s="1344" t="n"/>
      <c r="G21" s="460" t="inlineStr">
        <is>
          <t>√</t>
        </is>
      </c>
      <c r="H21" s="460" t="inlineStr">
        <is>
          <t>√</t>
        </is>
      </c>
      <c r="I21" s="462" t="n"/>
      <c r="J21" s="460" t="inlineStr">
        <is>
          <t>D4-26</t>
        </is>
      </c>
    </row>
    <row r="22" ht="37.5" customHeight="1" s="1296">
      <c r="A22" s="456" t="n">
        <v>6</v>
      </c>
      <c r="B22" s="463" t="inlineStr">
        <is>
          <t>应对措施-检查</t>
        </is>
      </c>
      <c r="C22" s="458" t="inlineStr">
        <is>
          <t>如果应收账款、合同资产增长比例高于销售收入的增长比例，考虑扩大函证比例、增加截止测试和期后收款测试的比例、使用与前期不同的抽样方法、实地走访客户等。</t>
        </is>
      </c>
      <c r="D22" s="459" t="inlineStr">
        <is>
          <t>IPO/上市/新三板/重组/舞弊应对</t>
        </is>
      </c>
      <c r="E22" s="461" t="inlineStr">
        <is>
          <t>√</t>
        </is>
      </c>
      <c r="F22" s="460" t="inlineStr">
        <is>
          <t>√</t>
        </is>
      </c>
      <c r="G22" s="460" t="inlineStr">
        <is>
          <t>√</t>
        </is>
      </c>
      <c r="H22" s="460" t="n"/>
      <c r="I22" s="464" t="n"/>
      <c r="J22" s="460" t="n"/>
    </row>
    <row r="23" ht="54.6" customHeight="1" s="1296">
      <c r="A23" s="456" t="n">
        <v>7</v>
      </c>
      <c r="B23" s="463" t="inlineStr">
        <is>
          <t>应对措施-检查</t>
        </is>
      </c>
      <c r="C23" s="458" t="inlineStr">
        <is>
          <t xml:space="preserve">
对比历年主要客户清单，找出报告期新增的主要客户、原有主要客户交易额大幅减少或合作关系取消的情况，重点关注变化原因。关注会计期末是否存在突击确认销售以及期后是否存在大量销售退回的情况
</t>
        </is>
      </c>
      <c r="D23" s="459" t="inlineStr">
        <is>
          <t>IPO/上市/新三板/重组/舞弊应对</t>
        </is>
      </c>
      <c r="E23" s="461" t="inlineStr">
        <is>
          <t>√</t>
        </is>
      </c>
      <c r="F23" s="460" t="n"/>
      <c r="G23" s="461" t="n"/>
      <c r="H23" s="461" t="inlineStr">
        <is>
          <t>√</t>
        </is>
      </c>
      <c r="I23" s="460" t="n"/>
      <c r="J23" s="460" t="n"/>
    </row>
    <row r="24" ht="40.2" customFormat="1" customHeight="1" s="1792">
      <c r="A24" s="456" t="n">
        <v>8</v>
      </c>
      <c r="B24" s="463" t="inlineStr">
        <is>
          <t xml:space="preserve">应对措施-函证 </t>
        </is>
      </c>
      <c r="C24" s="458" t="inlineStr">
        <is>
          <t>结合应收账款审计，选择主要客户、异常客户收入等执行函证程序。</t>
        </is>
      </c>
      <c r="D24" s="1346" t="inlineStr">
        <is>
          <t>IPO/上市/新三板/重组/舞弊应对</t>
        </is>
      </c>
      <c r="E24" s="461" t="inlineStr">
        <is>
          <t>√</t>
        </is>
      </c>
      <c r="F24" s="1344" t="inlineStr">
        <is>
          <t>√</t>
        </is>
      </c>
      <c r="G24" s="1351" t="inlineStr">
        <is>
          <t>√</t>
        </is>
      </c>
      <c r="H24" s="460" t="inlineStr">
        <is>
          <t>√</t>
        </is>
      </c>
      <c r="I24" s="1344" t="n"/>
      <c r="J24" s="1344" t="inlineStr">
        <is>
          <t>D4-0</t>
        </is>
      </c>
    </row>
    <row r="25" ht="61.8" customHeight="1" s="1296">
      <c r="A25" s="456" t="n">
        <v>9</v>
      </c>
      <c r="B25" s="463" t="inlineStr">
        <is>
          <t xml:space="preserve">常规程序(选择“存在重大合同”)  </t>
        </is>
      </c>
      <c r="C25" s="458" t="inlineStr">
        <is>
          <t>向被审计单位的客户函证相关的特定合同条款以及是否存在背后协议。相关的会计处理是否适当，往往会受到这些合同条款或协议的影响。例如，商品接受标准、交货与付款条件、不承担期后或持续性的卖方义务、退货权、保证转售金额以及撤销或退款等条款在此种情形下通常是相关的。</t>
        </is>
      </c>
      <c r="D25" s="459" t="inlineStr">
        <is>
          <t>IPO/上市/新三板/重组/舞弊应对</t>
        </is>
      </c>
      <c r="E25" s="461" t="inlineStr">
        <is>
          <t>√</t>
        </is>
      </c>
      <c r="F25" s="462" t="n"/>
      <c r="G25" s="1351" t="inlineStr">
        <is>
          <t>√</t>
        </is>
      </c>
      <c r="H25" s="462" t="n"/>
      <c r="I25" s="462" t="n"/>
      <c r="J25" s="460" t="n"/>
    </row>
    <row r="26" ht="33.75" customHeight="1" s="1296">
      <c r="A26" s="456" t="n">
        <v>10</v>
      </c>
      <c r="B26" s="463" t="inlineStr">
        <is>
          <t>应对措施-检查</t>
        </is>
      </c>
      <c r="C26" s="458" t="inlineStr">
        <is>
          <t>如果被审计单位存在特殊交易模式或创新交易模式，分析其对交易经济实质和收入确认的影响。</t>
        </is>
      </c>
      <c r="D26" s="459" t="inlineStr">
        <is>
          <t>IPO/上市/新三板/重组/舞弊应对</t>
        </is>
      </c>
      <c r="E26" s="461" t="inlineStr">
        <is>
          <t>√</t>
        </is>
      </c>
      <c r="F26" s="460" t="n"/>
      <c r="G26" s="461" t="n"/>
      <c r="H26" s="460" t="n"/>
      <c r="I26" s="460" t="n"/>
      <c r="J26" s="460" t="n"/>
    </row>
    <row r="27" ht="215.4" customHeight="1" s="1296">
      <c r="A27" s="456" t="n">
        <v>11</v>
      </c>
      <c r="B27" s="469" t="inlineStr">
        <is>
          <t xml:space="preserve">常规程序（选择“存在超过被审计单位正常经营范围的交易”）  </t>
        </is>
      </c>
      <c r="C27" s="458" t="inlineStr">
        <is>
          <t>考虑大额或异常的交易是否表明存在一个先前没有披露的关联方：
（1）查询客户工商、银行、税务信息资料，关注其地址、董事/监事/关键管理人员、联系方式等信息，并与其相关发票信息、网站信息进行核对，识别客户是否存在与被审计单位存在疑似关联关系的信息；
（2）选取重要客户，获取关联方关系确认函；
（3）取得实际控制人、董高监及其密切家庭人员的对外投资清单，与重要客户的股东和关键经办人员进行比对，关注与发行人实际控制人、董事、监事、高级管理人员关系密切的家庭成员与发行人的客户是否存在关联方关系；
（4）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
（5）获取发行人主要股东、董事、监事、关键管理人员及上述利益相关方的确认函，确认除其本人在被审计单位领取薪酬或分得股利外，其本人及其关系密切的家庭成员未与被审计单位有任何形式的交易。</t>
        </is>
      </c>
      <c r="D27" s="459" t="inlineStr">
        <is>
          <t>IPO/上市/新三板/重组/舞弊应对</t>
        </is>
      </c>
      <c r="E27" s="461" t="inlineStr">
        <is>
          <t>√</t>
        </is>
      </c>
      <c r="F27" s="460" t="n"/>
      <c r="G27" s="461" t="inlineStr">
        <is>
          <t>√</t>
        </is>
      </c>
      <c r="H27" s="460" t="inlineStr">
        <is>
          <t>√</t>
        </is>
      </c>
      <c r="I27" s="460" t="inlineStr">
        <is>
          <t>√</t>
        </is>
      </c>
      <c r="J27" s="470" t="inlineStr">
        <is>
          <t>D4-27
/D4-29
/D4-</t>
        </is>
      </c>
    </row>
    <row r="28" ht="40.5" customHeight="1" s="1296">
      <c r="A28" s="456" t="n">
        <v>12</v>
      </c>
      <c r="B28" s="463" t="inlineStr">
        <is>
          <t>应对措施-检查</t>
        </is>
      </c>
      <c r="C28" s="458" t="inlineStr">
        <is>
          <t>如果存在被审计单位关联方注销及非关联化的情况，需要关注被审计单位将原关联方非关联化行为的动机及后续交易的真实性、公允性。</t>
        </is>
      </c>
      <c r="D28" s="459" t="inlineStr">
        <is>
          <t>IPO/上市/新三板/重组/舞弊应对</t>
        </is>
      </c>
      <c r="E28" s="461" t="inlineStr">
        <is>
          <t>√</t>
        </is>
      </c>
      <c r="F28" s="460" t="n"/>
      <c r="G28" s="461" t="inlineStr">
        <is>
          <t>√</t>
        </is>
      </c>
      <c r="H28" s="460" t="n"/>
      <c r="I28" s="460" t="n"/>
      <c r="J28" s="460" t="n"/>
    </row>
    <row r="29" ht="41.4" customHeight="1" s="1296">
      <c r="A29" s="456" t="n">
        <v>13</v>
      </c>
      <c r="B29" s="463" t="inlineStr">
        <is>
          <t>应对措施-检查</t>
        </is>
      </c>
      <c r="C29" s="458" t="inlineStr">
        <is>
          <t>结合出库单及销售费用中的运输费等明细，检查货物运输单和提单，必要时向运输单位进行函证或走访，关注货物的流动是否真实发生，从而确定交易的真实性。</t>
        </is>
      </c>
      <c r="D29" s="459" t="inlineStr">
        <is>
          <t>IPO/上市/新三板/重组/舞弊应对</t>
        </is>
      </c>
      <c r="E29" s="461" t="inlineStr">
        <is>
          <t>√</t>
        </is>
      </c>
      <c r="F29" s="460" t="n"/>
      <c r="G29" s="460" t="n"/>
      <c r="H29" s="460" t="n"/>
      <c r="I29" s="460" t="n"/>
      <c r="J29" s="460" t="n"/>
    </row>
    <row r="30" ht="37.5" customHeight="1" s="1296">
      <c r="A30" s="456" t="n">
        <v>14</v>
      </c>
      <c r="B30" s="463" t="inlineStr">
        <is>
          <t>应对措施-检查</t>
        </is>
      </c>
      <c r="C30" s="458" t="inlineStr">
        <is>
          <t>期末在被审计单位的一处或多处发货现场实地观察发货情况或准备发出的商品情况（或待处理的退货），并结合所了解的情况实施适当的销售及存货截止测试。</t>
        </is>
      </c>
      <c r="D30" s="459" t="inlineStr">
        <is>
          <t>IPO/上市/新三板/重组/舞弊应对</t>
        </is>
      </c>
      <c r="E30" s="461" t="inlineStr">
        <is>
          <t>√</t>
        </is>
      </c>
      <c r="F30" s="462" t="n"/>
      <c r="G30" s="462" t="n"/>
      <c r="H30" s="460" t="inlineStr">
        <is>
          <t>√</t>
        </is>
      </c>
      <c r="I30" s="462" t="n"/>
      <c r="J30" s="460" t="n"/>
    </row>
    <row r="31" ht="117.6" customHeight="1" s="1296">
      <c r="A31" s="456" t="n">
        <v>15</v>
      </c>
      <c r="B31" s="463" t="inlineStr">
        <is>
          <t>应对措施-检查</t>
        </is>
      </c>
      <c r="C31" s="458" t="inlineStr">
        <is>
          <t>关注临近期末的大额销售、退货、调整等情况：
（1）向被审计单位负责销售和市场开发的人员询问临近期末的销售或发货情况，向被审计单位内部法律顾问询问临近期末签订的销售合同是否存在异常的合同条款或条件；
（2）检查临近期末执行的重要销售合同，以发现是否存在异常的定价、结算、发货、退货、换货或验收条款。对期后实施特定的检查，以发现是否存在改变或撤销合同条款的情况，以及是否存在退款的情况；
（3）详细复核被审计单位在临近期末以及期后编制的调整分录，调查性质或金额异常的项目。</t>
        </is>
      </c>
      <c r="D31" s="459" t="inlineStr">
        <is>
          <t>IPO/上市/新三板/重组/舞弊应对</t>
        </is>
      </c>
      <c r="E31" s="461" t="inlineStr">
        <is>
          <t>√</t>
        </is>
      </c>
      <c r="F31" s="462" t="n"/>
      <c r="G31" s="462" t="n"/>
      <c r="H31" s="460" t="inlineStr">
        <is>
          <t>√</t>
        </is>
      </c>
      <c r="I31" s="462" t="n"/>
      <c r="J31" s="460" t="n"/>
    </row>
    <row r="32" ht="52.2" customHeight="1" s="1296">
      <c r="A32" s="456" t="n">
        <v>16</v>
      </c>
      <c r="B32" s="463" t="inlineStr">
        <is>
          <t>应对措施-检查</t>
        </is>
      </c>
      <c r="C32" s="1793" t="inlineStr">
        <is>
          <t>结合存货、固定资产、无形资产循环审计，分析客户、供应商名单以及应收、应付等往来明细，检查是否针对同一对方单位或存在关联关系的对方单位同时存在销售、采购的情况，是否有合理的商业理由，关注是否存在第三方配合舞弊的情形。</t>
        </is>
      </c>
      <c r="D32" s="459" t="inlineStr">
        <is>
          <t>IPO/上市/新三板/重组/舞弊应对</t>
        </is>
      </c>
      <c r="E32" s="461" t="inlineStr">
        <is>
          <t>√</t>
        </is>
      </c>
      <c r="F32" s="1794" t="n"/>
      <c r="G32" s="460" t="inlineStr">
        <is>
          <t>√</t>
        </is>
      </c>
      <c r="H32" s="460" t="inlineStr">
        <is>
          <t>√</t>
        </is>
      </c>
      <c r="I32" s="460" t="n"/>
      <c r="J32" s="460" t="n"/>
    </row>
    <row r="33" ht="266.4" customHeight="1" s="1296">
      <c r="A33" s="456" t="n">
        <v>17</v>
      </c>
      <c r="B33" s="463" t="inlineStr">
        <is>
          <t xml:space="preserve">应对措施-检查（检查程序中选择是否执行延伸检查）  </t>
        </is>
      </c>
      <c r="C33" s="458" t="inlineStr">
        <is>
          <t>如果识别出被审计单位收入真实性存在重大异常情况，且通过常规审计程序无法获取充分、适当的审计证据时，考虑实施“延伸检查”程序，可以实施的“延伸检查”程序包括不限于：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客户销售金额是否与客户规模匹配等。
（2）现场走访客户的办公场所、经营场所，访谈客户关键经办人员，或电话访谈关键经办人员。核实被访谈对象对象身份的真实性和适当性，根据实际情况设计访谈计划和访谈提纲，观察对方生产经营情况，判断其与被审计单位之间的交易规模是否和其生产经营规模匹配；
（3）了解相关客户向被审计单位进行采购的商业理由、采购被审计单位商品的用途和去向、是否存在销售给被审计单位指定单位的情况、客户与被审计单位是否存在除购销交易以外的资金往来、了解客户从被审计单位采购的商品的生产、库存情况等，必要时进行实地察看。
（4）在采用经销模式的情况下，关注经销商库存量是否存在明显不合理，检查经销商进销存记录、经销商的最终销售实现情况。
（5）当注意到可能存在关联方（例如被审计单位控股股东、实际控制人、关键管理人员）或者第三方客户配合被审计单位虚构收入的迹象时，考虑获取并检查相关关联方或者客户的银行账户资金流水，关注是否存在与被审计单位相关供应商、客户或关联方的异常资金往来；考虑获取其下游客户的订单、对其下游客户进行实地走访等。</t>
        </is>
      </c>
      <c r="D33" s="459" t="inlineStr">
        <is>
          <t>IPO/上市/新三板/重组/舞弊应对</t>
        </is>
      </c>
      <c r="E33" s="1795" t="inlineStr">
        <is>
          <t>√</t>
        </is>
      </c>
      <c r="F33" s="1794" t="inlineStr">
        <is>
          <t>√</t>
        </is>
      </c>
      <c r="G33" s="1794" t="inlineStr">
        <is>
          <t>√</t>
        </is>
      </c>
      <c r="H33" s="1794" t="inlineStr">
        <is>
          <t>√</t>
        </is>
      </c>
      <c r="I33" s="460" t="n"/>
      <c r="J33" s="460" t="inlineStr">
        <is>
          <t>D4-28
/D4-29
/D4-30
/D4-31
/D4-32</t>
        </is>
      </c>
    </row>
    <row r="34" ht="40.8" customHeight="1" s="1296">
      <c r="A34" s="456" t="n">
        <v>18</v>
      </c>
      <c r="B34" s="463" t="n"/>
      <c r="C34" s="1796" t="inlineStr">
        <is>
          <t>根据评估的舞弊风险等因素增加的审计程序。</t>
        </is>
      </c>
      <c r="D34" s="1346" t="inlineStr">
        <is>
          <t>IPO/上市/新三板/重组/舞弊应对</t>
        </is>
      </c>
      <c r="E34" s="1795" t="n"/>
      <c r="F34" s="1794" t="n"/>
      <c r="G34" s="1794" t="n"/>
      <c r="H34" s="1794" t="n"/>
      <c r="I34" s="460" t="n"/>
      <c r="J34" s="460" t="n"/>
    </row>
    <row r="35" ht="90.75" customHeight="1" s="1296">
      <c r="A35" s="475" t="inlineStr">
        <is>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is>
      </c>
    </row>
    <row r="37" s="1296">
      <c r="C37" s="476" t="n"/>
    </row>
  </sheetData>
  <mergeCells count="26">
    <mergeCell ref="A8:G8"/>
    <mergeCell ref="A35:J35"/>
    <mergeCell ref="A3:C3"/>
    <mergeCell ref="J15:J16"/>
    <mergeCell ref="H11:J11"/>
    <mergeCell ref="A10:G10"/>
    <mergeCell ref="A13:G13"/>
    <mergeCell ref="A9:G9"/>
    <mergeCell ref="A5:C5"/>
    <mergeCell ref="H13:J13"/>
    <mergeCell ref="A14:C14"/>
    <mergeCell ref="H12:J12"/>
    <mergeCell ref="A4:C4"/>
    <mergeCell ref="A11:G11"/>
    <mergeCell ref="B15:B16"/>
    <mergeCell ref="D15:D16"/>
    <mergeCell ref="A1:J1"/>
    <mergeCell ref="E15:I15"/>
    <mergeCell ref="A6:J6"/>
    <mergeCell ref="H8:J8"/>
    <mergeCell ref="H10:J10"/>
    <mergeCell ref="A12:G12"/>
    <mergeCell ref="A15:A16"/>
    <mergeCell ref="C15:C16"/>
    <mergeCell ref="H9:J9"/>
    <mergeCell ref="A2:J2"/>
  </mergeCells>
  <hyperlinks>
    <hyperlink ref="J3" location="底稿目录!A1" display="='D:\GT_plan\backend\wp_templates\D\[D4-22至D4-32营业收入-IPO 上市 新三板 重组 舞弊应对.xlsx]底稿目录'!F3"/>
  </hyperlinks>
  <pageMargins left="0.708333333333333" right="0.708333333333333" top="0.747916666666667" bottom="0.747916666666667" header="0.314583333333333" footer="0.314583333333333"/>
  <pageSetup orientation="portrait" paperSize="9" scale="67" blackAndWhite="1"/>
  <headerFooter>
    <oddHeader/>
    <oddFooter>&amp;C&amp;P/&amp;N</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H30"/>
  <sheetViews>
    <sheetView view="pageBreakPreview" zoomScaleNormal="100" workbookViewId="0">
      <selection activeCell="A1" sqref="A1:H1"/>
    </sheetView>
  </sheetViews>
  <sheetFormatPr baseColWidth="8" defaultColWidth="9.81818181818182" defaultRowHeight="20.1" customHeight="1"/>
  <cols>
    <col width="26.3" customWidth="1" style="1638" min="1" max="1"/>
    <col width="16.4818181818182" customWidth="1" style="1638" min="2" max="2"/>
    <col width="17.6909090909091" customWidth="1" style="1638" min="3" max="3"/>
    <col width="9.81818181818182" customWidth="1" style="1638" min="4" max="16384"/>
  </cols>
  <sheetData>
    <row r="1" s="1296">
      <c r="A1" s="1317" t="inlineStr">
        <is>
          <t>致同会计师事务所</t>
        </is>
      </c>
    </row>
    <row r="2" s="1296">
      <c r="A2" s="1318" t="inlineStr">
        <is>
          <t>主营业务收入重要指标分析表</t>
        </is>
      </c>
    </row>
    <row r="3" s="1296">
      <c r="A3" s="1563" t="inlineStr">
        <is>
          <t>被审计单位名称：</t>
        </is>
      </c>
      <c r="B3" s="1563" t="n"/>
      <c r="C3" s="1564" t="inlineStr">
        <is>
          <t>编制人：</t>
        </is>
      </c>
      <c r="D3" s="1563" t="n"/>
      <c r="E3" s="1563" t="inlineStr">
        <is>
          <t>编制日期：</t>
        </is>
      </c>
      <c r="F3" s="1563" t="n"/>
      <c r="G3" s="1565" t="inlineStr">
        <is>
          <t>索引号：</t>
        </is>
      </c>
      <c r="H3" s="1797" t="inlineStr">
        <is>
          <t>D4-22</t>
        </is>
      </c>
    </row>
    <row r="4" s="1296">
      <c r="A4" s="1563" t="inlineStr">
        <is>
          <t>会计期间：202X年度</t>
        </is>
      </c>
      <c r="B4" s="1563" t="n"/>
      <c r="C4" s="1564" t="inlineStr">
        <is>
          <t>复核人：</t>
        </is>
      </c>
      <c r="D4" s="1563" t="n"/>
      <c r="E4" s="1563" t="inlineStr">
        <is>
          <t>复核日期：</t>
        </is>
      </c>
      <c r="F4" s="1563" t="n"/>
      <c r="G4" s="1565" t="inlineStr">
        <is>
          <t>页  次：</t>
        </is>
      </c>
      <c r="H4" s="1563" t="n"/>
    </row>
    <row r="5" customFormat="1" s="355">
      <c r="A5" s="415" t="inlineStr">
        <is>
          <t>一、审计目标</t>
        </is>
      </c>
      <c r="B5" s="416" t="n"/>
      <c r="C5" s="417" t="n"/>
      <c r="D5" s="418" t="n"/>
      <c r="E5" s="418" t="n"/>
      <c r="F5" s="418" t="n"/>
      <c r="G5" s="419" t="n"/>
    </row>
    <row r="6" customFormat="1" s="355">
      <c r="A6" s="418" t="inlineStr">
        <is>
          <t>1.利润表中记录的主营业务收入已发生，且与被审计单位有关；2.所有应当记录的营业收入均已记录；</t>
        </is>
      </c>
      <c r="B6" s="420" t="n"/>
      <c r="C6" s="417" t="n"/>
      <c r="D6" s="418" t="n"/>
      <c r="E6" s="418" t="n"/>
      <c r="F6" s="418" t="n"/>
      <c r="G6" s="419" t="n"/>
    </row>
    <row r="7" customFormat="1" s="355">
      <c r="A7" s="418" t="inlineStr">
        <is>
          <t>3.与主营业务收入有关的金额及其他数据已恰当记录，相关披露已得到恰当计量和描述。</t>
        </is>
      </c>
      <c r="B7" s="420" t="n"/>
      <c r="C7" s="417" t="n"/>
      <c r="D7" s="418" t="n"/>
      <c r="E7" s="418" t="n"/>
      <c r="F7" s="418" t="n"/>
      <c r="G7" s="419" t="n"/>
    </row>
    <row r="8" customFormat="1" s="355">
      <c r="A8" s="421" t="inlineStr">
        <is>
          <t>二、审计过程</t>
        </is>
      </c>
      <c r="B8" s="418" t="n"/>
      <c r="C8" s="417" t="n"/>
      <c r="D8" s="418" t="n"/>
      <c r="E8" s="418" t="n"/>
      <c r="F8" s="418" t="n"/>
      <c r="G8" s="419" t="n"/>
    </row>
    <row r="9" customFormat="1" s="355">
      <c r="A9" s="422" t="inlineStr">
        <is>
          <t>1.向被审计单位询问，并获取年度预算、业绩考核指标等资料。</t>
        </is>
      </c>
      <c r="B9" s="418" t="n"/>
      <c r="C9" s="417" t="n"/>
      <c r="D9" s="418" t="n"/>
      <c r="E9" s="418" t="n"/>
      <c r="F9" s="418" t="n"/>
      <c r="G9" s="419" t="n"/>
    </row>
    <row r="10" customFormat="1" s="355">
      <c r="A10" s="420" t="n"/>
      <c r="B10" s="418" t="n"/>
      <c r="C10" s="417" t="n"/>
      <c r="D10" s="418" t="n"/>
      <c r="E10" s="418" t="n"/>
      <c r="F10" s="418" t="n"/>
      <c r="G10" s="419" t="n"/>
    </row>
    <row r="11" ht="34.5" customHeight="1" s="1296">
      <c r="A11" s="1568" t="inlineStr">
        <is>
          <t>指标名称</t>
        </is>
      </c>
      <c r="B11" s="1569" t="inlineStr">
        <is>
          <t>本期</t>
        </is>
      </c>
      <c r="C11" s="1569" t="inlineStr">
        <is>
          <t>上期</t>
        </is>
      </c>
      <c r="D11" s="1569" t="inlineStr">
        <is>
          <t>同行业公司1</t>
        </is>
      </c>
      <c r="E11" s="1569" t="inlineStr">
        <is>
          <t>同行业公司2</t>
        </is>
      </c>
      <c r="F11" s="1569" t="inlineStr">
        <is>
          <t>同行业公司3</t>
        </is>
      </c>
      <c r="G11" s="1798" t="inlineStr">
        <is>
          <t>……</t>
        </is>
      </c>
      <c r="H11" s="1798" t="inlineStr">
        <is>
          <t>合理性分析</t>
        </is>
      </c>
    </row>
    <row r="12" s="1296">
      <c r="A12" s="1799" t="inlineStr">
        <is>
          <t>年度预算</t>
        </is>
      </c>
      <c r="B12" s="1800" t="n"/>
      <c r="C12" s="1800" t="n"/>
      <c r="D12" s="1799" t="n"/>
      <c r="E12" s="1799" t="n"/>
      <c r="F12" s="1799" t="n"/>
      <c r="G12" s="1799" t="n"/>
      <c r="H12" s="1799" t="n"/>
    </row>
    <row r="13" s="1296">
      <c r="A13" s="1799" t="inlineStr">
        <is>
          <t>主营业务收入</t>
        </is>
      </c>
      <c r="B13" s="1800" t="n"/>
      <c r="C13" s="1800" t="n"/>
      <c r="D13" s="1799" t="n"/>
      <c r="E13" s="1799" t="n"/>
      <c r="F13" s="1799" t="n"/>
      <c r="G13" s="1799" t="n"/>
      <c r="H13" s="1799" t="n"/>
    </row>
    <row r="14" s="1296">
      <c r="A14" s="1799" t="inlineStr">
        <is>
          <t>销售人员数量</t>
        </is>
      </c>
      <c r="B14" s="1801" t="n"/>
      <c r="C14" s="1801" t="n"/>
      <c r="D14" s="1799" t="n"/>
      <c r="E14" s="1799" t="n"/>
      <c r="F14" s="1799" t="n"/>
      <c r="G14" s="1799" t="n"/>
      <c r="H14" s="1799" t="n"/>
    </row>
    <row r="15" s="1296">
      <c r="A15" s="1799" t="inlineStr">
        <is>
          <t>销售人员人均创收</t>
        </is>
      </c>
      <c r="B15" s="1801" t="n"/>
      <c r="C15" s="1801" t="n"/>
      <c r="D15" s="1799" t="n"/>
      <c r="E15" s="1799" t="n"/>
      <c r="F15" s="1799" t="n"/>
      <c r="G15" s="1799" t="n"/>
      <c r="H15" s="1799" t="n"/>
    </row>
    <row r="16" ht="26" customHeight="1" s="1296">
      <c r="A16" s="1802" t="inlineStr">
        <is>
          <t>销售区域分布是否变化（占比和区域数量等）</t>
        </is>
      </c>
      <c r="B16" s="1801" t="n"/>
      <c r="C16" s="1801" t="n"/>
      <c r="D16" s="1799" t="n"/>
      <c r="E16" s="1799" t="n"/>
      <c r="F16" s="1799" t="n"/>
      <c r="G16" s="1799" t="n"/>
      <c r="H16" s="1799" t="n"/>
    </row>
    <row r="17" s="1296">
      <c r="A17" s="1799" t="inlineStr">
        <is>
          <t>销售人员业绩指标</t>
        </is>
      </c>
      <c r="B17" s="1801" t="n"/>
      <c r="C17" s="1801" t="n"/>
      <c r="D17" s="1799" t="n"/>
      <c r="E17" s="1799" t="n"/>
      <c r="F17" s="1799" t="n"/>
      <c r="G17" s="1799" t="n"/>
      <c r="H17" s="1799" t="n"/>
    </row>
    <row r="18" s="1296">
      <c r="A18" s="1799" t="inlineStr">
        <is>
          <t>销售人员薪酬</t>
        </is>
      </c>
      <c r="B18" s="1801" t="n"/>
      <c r="C18" s="1801" t="n"/>
      <c r="D18" s="1799" t="n"/>
      <c r="E18" s="1799" t="n"/>
      <c r="F18" s="1799" t="n"/>
      <c r="G18" s="1799" t="n"/>
      <c r="H18" s="1799" t="n"/>
    </row>
    <row r="19" s="1296">
      <c r="A19" s="1799" t="inlineStr">
        <is>
          <t>期末在手订单</t>
        </is>
      </c>
      <c r="B19" s="1801" t="n"/>
      <c r="C19" s="1801" t="n"/>
      <c r="D19" s="1799" t="n"/>
      <c r="E19" s="1799" t="n"/>
      <c r="F19" s="1799" t="n"/>
      <c r="G19" s="1799" t="n"/>
      <c r="H19" s="1799" t="n"/>
    </row>
    <row r="20" ht="26" customHeight="1" s="1296">
      <c r="A20" s="1802" t="inlineStr">
        <is>
          <t>息税前利润（利润总额＋财务费用）</t>
        </is>
      </c>
      <c r="B20" s="1801" t="n"/>
      <c r="C20" s="1801" t="n"/>
      <c r="D20" s="1799" t="n"/>
      <c r="E20" s="1799" t="n"/>
      <c r="F20" s="1799" t="n"/>
      <c r="G20" s="1799" t="n"/>
      <c r="H20" s="1799" t="n"/>
    </row>
    <row r="21" ht="39" customHeight="1" s="1296">
      <c r="A21" s="1802" t="inlineStr">
        <is>
          <t>薪酬总额（支付给职工以及为职工支付的现金+期末应付职工薪酬-期初应付职工薪酬）</t>
        </is>
      </c>
      <c r="B21" s="1801" t="n"/>
      <c r="C21" s="1801" t="n"/>
      <c r="D21" s="1799" t="n"/>
      <c r="E21" s="1799" t="n"/>
      <c r="F21" s="1799" t="n"/>
      <c r="G21" s="1799" t="n"/>
      <c r="H21" s="1799" t="n"/>
    </row>
    <row r="22" s="1296">
      <c r="A22" s="1799" t="inlineStr">
        <is>
          <t>人力投入回报率(ROP)</t>
        </is>
      </c>
      <c r="B22" s="1801" t="n"/>
      <c r="C22" s="1801" t="n"/>
      <c r="D22" s="1799" t="n"/>
      <c r="E22" s="1799" t="n"/>
      <c r="F22" s="1799" t="n"/>
      <c r="G22" s="1799" t="n"/>
      <c r="H22" s="1799" t="n"/>
    </row>
    <row r="23" s="1296">
      <c r="A23" s="1799" t="inlineStr">
        <is>
          <t>运输费用/营业收入</t>
        </is>
      </c>
      <c r="B23" s="1801" t="n"/>
      <c r="C23" s="1801" t="n"/>
      <c r="D23" s="1799" t="n"/>
      <c r="E23" s="1799" t="n"/>
      <c r="F23" s="1799" t="n"/>
      <c r="G23" s="1799" t="n"/>
      <c r="H23" s="1799" t="n"/>
    </row>
    <row r="24" customFormat="1" s="355">
      <c r="A24" s="430" t="inlineStr">
        <is>
          <t>三、审计说明</t>
        </is>
      </c>
    </row>
    <row r="25" customFormat="1" s="355">
      <c r="A25" s="431" t="n"/>
    </row>
    <row r="26" customFormat="1" s="355">
      <c r="A26" s="431" t="n"/>
    </row>
    <row r="27" customFormat="1" s="355">
      <c r="A27" s="432" t="n"/>
    </row>
    <row r="28" customFormat="1" s="355">
      <c r="A28" s="430" t="inlineStr">
        <is>
          <t>四、审计结论</t>
        </is>
      </c>
    </row>
    <row r="29" customFormat="1" s="355">
      <c r="A29" s="430" t="n"/>
    </row>
    <row r="30" s="1296">
      <c r="A30" s="1652" t="n"/>
    </row>
  </sheetData>
  <mergeCells count="2">
    <mergeCell ref="A2:H2"/>
    <mergeCell ref="A1:H1"/>
  </mergeCells>
  <hyperlinks>
    <hyperlink ref="H3" location="底稿目录!A1" display="='D:\GT_plan\backend\wp_templates\D\[D4-22至D4-32营业收入-IPO 上市 新三板 重组 舞弊应对.xlsx]底稿目录'!F4"/>
  </hyperlinks>
  <pageMargins left="0.708333333333333" right="0.708333333333333" top="0.747916666666667" bottom="0.747916666666667" header="0.314583333333333" footer="0.314583333333333"/>
  <pageSetup orientation="portrait" paperSize="9" scale="85" blackAndWhite="1"/>
  <headerFooter>
    <oddHeader/>
    <oddFooter>&amp;C&amp;P/&amp;N</oddFooter>
    <evenHeader/>
    <evenFooter/>
    <firstHeader/>
    <firstFooter/>
  </headerFooter>
</worksheet>
</file>

<file path=xl/worksheets/sheet31.xml><?xml version="1.0" encoding="utf-8"?>
<worksheet xmlns="http://schemas.openxmlformats.org/spreadsheetml/2006/main">
  <sheetPr>
    <outlinePr summaryBelow="1" summaryRight="1"/>
    <pageSetUpPr/>
  </sheetPr>
  <dimension ref="A1:M32"/>
  <sheetViews>
    <sheetView view="pageBreakPreview" zoomScaleNormal="100" workbookViewId="0">
      <selection activeCell="A1" sqref="A1:K1"/>
    </sheetView>
  </sheetViews>
  <sheetFormatPr baseColWidth="8" defaultColWidth="10.9090909090909" defaultRowHeight="20.1" customHeight="1"/>
  <cols>
    <col width="6.90909090909091" customWidth="1" style="1803" min="1" max="1"/>
    <col width="15.7545454545455" customWidth="1" style="1803" min="2" max="2"/>
    <col width="15.0272727272727" customWidth="1" style="1803" min="3" max="3"/>
    <col width="16" customWidth="1" style="1803" min="4" max="4"/>
    <col width="12.2363636363636" customWidth="1" style="1803" min="5" max="5"/>
    <col width="17.4545454545455" customWidth="1" style="1803" min="6" max="6"/>
    <col width="8.963636363636359" customWidth="1" style="1803" min="7" max="7"/>
    <col width="11.7545454545455" customWidth="1" style="1803" min="8" max="8"/>
    <col width="11.6363636363636" customWidth="1" style="1803" min="9" max="9"/>
    <col width="12.3636363636364" customWidth="1" style="1803" min="10" max="10"/>
    <col width="8.6" customWidth="1" style="1803" min="11" max="11"/>
    <col width="10.9090909090909" customWidth="1" style="1803" min="12" max="16384"/>
  </cols>
  <sheetData>
    <row r="1" customFormat="1" s="1804">
      <c r="A1" s="1502" t="inlineStr">
        <is>
          <t>致同会计师事务所</t>
        </is>
      </c>
      <c r="L1" s="1805" t="n"/>
      <c r="M1" s="1805" t="n"/>
    </row>
    <row r="2" s="1296">
      <c r="A2" s="1503" t="inlineStr">
        <is>
          <t>收入与开具发票金额比较分析</t>
        </is>
      </c>
      <c r="L2" s="1806" t="n"/>
      <c r="M2" s="1806" t="n"/>
    </row>
    <row r="3" s="1296">
      <c r="A3" s="1563" t="inlineStr">
        <is>
          <t>被审计单位名称：</t>
        </is>
      </c>
      <c r="B3" s="1804" t="n"/>
      <c r="D3" s="1564" t="inlineStr">
        <is>
          <t>编制人：</t>
        </is>
      </c>
      <c r="G3" s="1563" t="inlineStr">
        <is>
          <t>编制日期：</t>
        </is>
      </c>
      <c r="I3" s="1807" t="n"/>
      <c r="J3" s="1808" t="inlineStr">
        <is>
          <t>索引号：</t>
        </is>
      </c>
      <c r="K3" s="1797" t="inlineStr">
        <is>
          <t>D4-23</t>
        </is>
      </c>
      <c r="M3" s="1804" t="n"/>
    </row>
    <row r="4" s="1296">
      <c r="A4" s="1563" t="inlineStr">
        <is>
          <t>会计期间：202X年度</t>
        </is>
      </c>
      <c r="B4" s="1804" t="n"/>
      <c r="D4" s="1564" t="inlineStr">
        <is>
          <t>复核人：</t>
        </is>
      </c>
      <c r="G4" s="1563" t="inlineStr">
        <is>
          <t>复核日期：</t>
        </is>
      </c>
      <c r="I4" s="1807" t="n"/>
      <c r="J4" s="1808" t="inlineStr">
        <is>
          <t>页次：</t>
        </is>
      </c>
      <c r="M4" s="1804" t="n"/>
    </row>
    <row r="5" customFormat="1" s="385">
      <c r="A5" s="394" t="inlineStr">
        <is>
          <t>一、审计目标：</t>
        </is>
      </c>
      <c r="B5" s="395" t="n"/>
      <c r="C5" s="395" t="n"/>
      <c r="E5" s="395" t="n"/>
      <c r="F5" s="395" t="n"/>
      <c r="G5" s="395" t="n"/>
      <c r="I5" s="396" t="n"/>
      <c r="J5" s="395" t="n"/>
      <c r="K5" s="395" t="n"/>
      <c r="M5" s="395" t="n"/>
    </row>
    <row r="6" customFormat="1" s="385">
      <c r="A6" s="397" t="n"/>
      <c r="B6" s="395" t="n"/>
      <c r="C6" s="395" t="n"/>
      <c r="E6" s="395" t="n"/>
      <c r="F6" s="395" t="n"/>
      <c r="G6" s="395" t="n"/>
      <c r="I6" s="396" t="n"/>
      <c r="J6" s="395" t="n"/>
      <c r="K6" s="395" t="n"/>
      <c r="M6" s="395" t="n"/>
    </row>
    <row r="7" customFormat="1" s="385">
      <c r="A7" s="398" t="inlineStr">
        <is>
          <t>二、审计过程：</t>
        </is>
      </c>
      <c r="B7" s="395" t="n"/>
      <c r="C7" s="395" t="n"/>
      <c r="E7" s="395" t="n"/>
      <c r="F7" s="395" t="n"/>
      <c r="G7" s="395" t="n"/>
      <c r="I7" s="396" t="n"/>
      <c r="J7" s="395" t="n"/>
      <c r="K7" s="395" t="n"/>
      <c r="M7" s="395" t="n"/>
    </row>
    <row r="8" customFormat="1" s="385">
      <c r="A8" s="399" t="inlineStr">
        <is>
          <t>1.……</t>
        </is>
      </c>
      <c r="B8" s="399" t="n"/>
      <c r="C8" s="399" t="n"/>
      <c r="D8" s="400" t="n"/>
      <c r="E8" s="399" t="n"/>
      <c r="F8" s="399" t="n"/>
      <c r="G8" s="399" t="n"/>
      <c r="I8" s="396" t="n"/>
      <c r="J8" s="395" t="n"/>
      <c r="K8" s="395" t="n"/>
      <c r="M8" s="395" t="n"/>
    </row>
    <row r="9" customFormat="1" s="385">
      <c r="A9" s="399" t="n"/>
      <c r="B9" s="401" t="n"/>
      <c r="C9" s="401" t="n"/>
      <c r="D9" s="401" t="n"/>
      <c r="E9" s="401" t="n"/>
      <c r="F9" s="401" t="n"/>
      <c r="G9" s="401" t="n"/>
      <c r="I9" s="396" t="n"/>
      <c r="J9" s="395" t="n"/>
      <c r="K9" s="395" t="n"/>
      <c r="M9" s="395" t="n"/>
    </row>
    <row r="10" s="1296">
      <c r="A10" s="402" t="inlineStr">
        <is>
          <t>月份</t>
        </is>
      </c>
      <c r="B10" s="402" t="inlineStr">
        <is>
          <t>本期账面确认收入</t>
        </is>
      </c>
      <c r="C10" s="1578" t="n"/>
      <c r="D10" s="1390" t="n"/>
      <c r="E10" s="402" t="inlineStr">
        <is>
          <t>本期开具发票的金额</t>
        </is>
      </c>
      <c r="F10" s="1578" t="n"/>
      <c r="G10" s="1578" t="n"/>
      <c r="H10" s="1578" t="n"/>
      <c r="I10" s="1578" t="n"/>
      <c r="J10" s="1578" t="n"/>
      <c r="K10" s="1390" t="n"/>
    </row>
    <row r="11" ht="42" customHeight="1" s="1296">
      <c r="A11" s="1579" t="n"/>
      <c r="B11" s="402" t="inlineStr">
        <is>
          <t>主营业务收入</t>
        </is>
      </c>
      <c r="C11" s="402" t="inlineStr">
        <is>
          <t>其他业务收入</t>
        </is>
      </c>
      <c r="D11" s="402" t="inlineStr">
        <is>
          <t>营业收入合计</t>
        </is>
      </c>
      <c r="E11" s="404" t="inlineStr">
        <is>
          <t>增值税发票金额</t>
        </is>
      </c>
      <c r="F11" s="404" t="inlineStr">
        <is>
          <t>防伪税控开具的增值税发票份数</t>
        </is>
      </c>
      <c r="G11" s="404" t="inlineStr">
        <is>
          <t>普通发票金额</t>
        </is>
      </c>
      <c r="H11" s="404" t="inlineStr">
        <is>
          <t>开具的普通发票份数</t>
        </is>
      </c>
      <c r="I11" s="404" t="inlineStr">
        <is>
          <t>申报的开票金额合计</t>
        </is>
      </c>
      <c r="J11" s="1809" t="inlineStr">
        <is>
          <t>差异</t>
        </is>
      </c>
      <c r="K11" s="1809" t="inlineStr">
        <is>
          <t>索引号</t>
        </is>
      </c>
    </row>
    <row r="12" s="1296">
      <c r="A12" s="1810" t="inlineStr">
        <is>
          <t>1月</t>
        </is>
      </c>
      <c r="B12" s="1811" t="n"/>
      <c r="C12" s="1811" t="n"/>
      <c r="D12" s="1812">
        <f>B12+C12</f>
        <v/>
      </c>
      <c r="E12" s="1811" t="n"/>
      <c r="F12" s="1811" t="n"/>
      <c r="G12" s="1811" t="n"/>
      <c r="H12" s="1811" t="n"/>
      <c r="I12" s="1812">
        <f>E12+G12</f>
        <v/>
      </c>
      <c r="J12" s="1812">
        <f>D12-I12</f>
        <v/>
      </c>
      <c r="K12" s="1811" t="n"/>
    </row>
    <row r="13" s="1296">
      <c r="A13" s="1810" t="inlineStr">
        <is>
          <t>2月</t>
        </is>
      </c>
      <c r="B13" s="1811" t="n"/>
      <c r="C13" s="1811" t="n"/>
      <c r="D13" s="1812">
        <f>B13+C13</f>
        <v/>
      </c>
      <c r="E13" s="1811" t="n"/>
      <c r="F13" s="1811" t="n"/>
      <c r="G13" s="1811" t="n"/>
      <c r="H13" s="1811" t="n"/>
      <c r="I13" s="1812">
        <f>E13+G13</f>
        <v/>
      </c>
      <c r="J13" s="1812">
        <f>D13-I13</f>
        <v/>
      </c>
      <c r="K13" s="1811" t="n"/>
    </row>
    <row r="14" s="1296">
      <c r="A14" s="1810" t="inlineStr">
        <is>
          <t>3月</t>
        </is>
      </c>
      <c r="B14" s="1811" t="n"/>
      <c r="C14" s="1811" t="n"/>
      <c r="D14" s="1812">
        <f>B14+C14</f>
        <v/>
      </c>
      <c r="E14" s="1811" t="n"/>
      <c r="F14" s="1811" t="n"/>
      <c r="G14" s="1811" t="n"/>
      <c r="H14" s="1811" t="n"/>
      <c r="I14" s="1812">
        <f>E14+G14</f>
        <v/>
      </c>
      <c r="J14" s="1812">
        <f>D14-I14</f>
        <v/>
      </c>
      <c r="K14" s="1811" t="n"/>
    </row>
    <row r="15" s="1296">
      <c r="A15" s="1810" t="inlineStr">
        <is>
          <t>4月</t>
        </is>
      </c>
      <c r="B15" s="1811" t="n"/>
      <c r="C15" s="1811" t="n"/>
      <c r="D15" s="1812">
        <f>B15+C15</f>
        <v/>
      </c>
      <c r="E15" s="1811" t="n"/>
      <c r="F15" s="1811" t="n"/>
      <c r="G15" s="1811" t="n"/>
      <c r="H15" s="1811" t="n"/>
      <c r="I15" s="1812">
        <f>E15+G15</f>
        <v/>
      </c>
      <c r="J15" s="1812">
        <f>D15-I15</f>
        <v/>
      </c>
      <c r="K15" s="1811" t="n"/>
    </row>
    <row r="16" s="1296">
      <c r="A16" s="1810" t="inlineStr">
        <is>
          <t>5月</t>
        </is>
      </c>
      <c r="B16" s="1811" t="n"/>
      <c r="C16" s="1811" t="n"/>
      <c r="D16" s="1812">
        <f>B16+C16</f>
        <v/>
      </c>
      <c r="E16" s="1811" t="n"/>
      <c r="F16" s="1811" t="n"/>
      <c r="G16" s="1811" t="n"/>
      <c r="H16" s="1811" t="n"/>
      <c r="I16" s="1812">
        <f>E16+G16</f>
        <v/>
      </c>
      <c r="J16" s="1812">
        <f>D16-I16</f>
        <v/>
      </c>
      <c r="K16" s="1811" t="n"/>
    </row>
    <row r="17" s="1296">
      <c r="A17" s="1810" t="inlineStr">
        <is>
          <t>6月</t>
        </is>
      </c>
      <c r="B17" s="1811" t="n"/>
      <c r="C17" s="1811" t="n"/>
      <c r="D17" s="1812">
        <f>B17+C17</f>
        <v/>
      </c>
      <c r="E17" s="1811" t="n"/>
      <c r="F17" s="1811" t="n"/>
      <c r="G17" s="1811" t="n"/>
      <c r="H17" s="1811" t="n"/>
      <c r="I17" s="1812">
        <f>E17+G17</f>
        <v/>
      </c>
      <c r="J17" s="1812">
        <f>D17-I17</f>
        <v/>
      </c>
      <c r="K17" s="1811" t="n"/>
    </row>
    <row r="18" s="1296">
      <c r="A18" s="1810" t="inlineStr">
        <is>
          <t>7月</t>
        </is>
      </c>
      <c r="B18" s="1811" t="n"/>
      <c r="C18" s="1811" t="n"/>
      <c r="D18" s="1812">
        <f>B18+C18</f>
        <v/>
      </c>
      <c r="E18" s="1811" t="n"/>
      <c r="F18" s="1811" t="n"/>
      <c r="G18" s="1811" t="n"/>
      <c r="H18" s="1811" t="n"/>
      <c r="I18" s="1812">
        <f>E18+G18</f>
        <v/>
      </c>
      <c r="J18" s="1812">
        <f>D18-I18</f>
        <v/>
      </c>
      <c r="K18" s="1811" t="n"/>
    </row>
    <row r="19" s="1296">
      <c r="A19" s="1810" t="inlineStr">
        <is>
          <t>8月</t>
        </is>
      </c>
      <c r="B19" s="1811" t="n"/>
      <c r="C19" s="1811" t="n"/>
      <c r="D19" s="1812">
        <f>B19+C19</f>
        <v/>
      </c>
      <c r="E19" s="1811" t="n"/>
      <c r="F19" s="1811" t="n"/>
      <c r="G19" s="1811" t="n"/>
      <c r="H19" s="1811" t="n"/>
      <c r="I19" s="1812">
        <f>E19+G19</f>
        <v/>
      </c>
      <c r="J19" s="1812">
        <f>D19-I19</f>
        <v/>
      </c>
      <c r="K19" s="1811" t="n"/>
    </row>
    <row r="20" s="1296">
      <c r="A20" s="1810" t="inlineStr">
        <is>
          <t>9月</t>
        </is>
      </c>
      <c r="B20" s="1811" t="n"/>
      <c r="C20" s="1811" t="n"/>
      <c r="D20" s="1812">
        <f>B20+C20</f>
        <v/>
      </c>
      <c r="E20" s="1811" t="n"/>
      <c r="F20" s="1811" t="n"/>
      <c r="G20" s="1811" t="n"/>
      <c r="H20" s="1811" t="n"/>
      <c r="I20" s="1812">
        <f>E20+G20</f>
        <v/>
      </c>
      <c r="J20" s="1812">
        <f>D20-I20</f>
        <v/>
      </c>
      <c r="K20" s="1811" t="n"/>
    </row>
    <row r="21" s="1296">
      <c r="A21" s="1810" t="inlineStr">
        <is>
          <t>10月</t>
        </is>
      </c>
      <c r="B21" s="1811" t="n"/>
      <c r="C21" s="1811" t="n"/>
      <c r="D21" s="1812">
        <f>B21+C21</f>
        <v/>
      </c>
      <c r="E21" s="1811" t="n"/>
      <c r="F21" s="1811" t="n"/>
      <c r="G21" s="1811" t="n"/>
      <c r="H21" s="1811" t="n"/>
      <c r="I21" s="1812">
        <f>E21+G21</f>
        <v/>
      </c>
      <c r="J21" s="1812">
        <f>D21-I21</f>
        <v/>
      </c>
      <c r="K21" s="1811" t="n"/>
    </row>
    <row r="22" s="1296">
      <c r="A22" s="1810" t="inlineStr">
        <is>
          <t>11月</t>
        </is>
      </c>
      <c r="B22" s="1811" t="n"/>
      <c r="C22" s="1811" t="n"/>
      <c r="D22" s="1812">
        <f>B22+C22</f>
        <v/>
      </c>
      <c r="E22" s="1811" t="n"/>
      <c r="F22" s="1811" t="n"/>
      <c r="G22" s="1811" t="n"/>
      <c r="H22" s="1811" t="n"/>
      <c r="I22" s="1812">
        <f>E22+G22</f>
        <v/>
      </c>
      <c r="J22" s="1812">
        <f>D22-I22</f>
        <v/>
      </c>
      <c r="K22" s="1811" t="n"/>
    </row>
    <row r="23" s="1296">
      <c r="A23" s="1810" t="inlineStr">
        <is>
          <t>12月</t>
        </is>
      </c>
      <c r="B23" s="1811" t="n"/>
      <c r="C23" s="1811" t="n"/>
      <c r="D23" s="1812">
        <f>B23+C23</f>
        <v/>
      </c>
      <c r="E23" s="1811" t="n"/>
      <c r="F23" s="1811" t="n"/>
      <c r="G23" s="1811" t="n"/>
      <c r="H23" s="1811" t="n"/>
      <c r="I23" s="1812">
        <f>E23+G23</f>
        <v/>
      </c>
      <c r="J23" s="1812">
        <f>D23-I23</f>
        <v/>
      </c>
      <c r="K23" s="1811" t="n"/>
    </row>
    <row r="24" s="1296">
      <c r="A24" s="1809" t="inlineStr">
        <is>
          <t>合计</t>
        </is>
      </c>
      <c r="B24" s="1813">
        <f>SUM(B12:B23)</f>
        <v/>
      </c>
      <c r="C24" s="1813">
        <f>SUM(C12:C23)</f>
        <v/>
      </c>
      <c r="D24" s="1813">
        <f>SUM(D12:D23)</f>
        <v/>
      </c>
      <c r="E24" s="1813">
        <f>SUM(E12:E23)</f>
        <v/>
      </c>
      <c r="F24" s="1813">
        <f>SUM(F12:F23)</f>
        <v/>
      </c>
      <c r="G24" s="1813">
        <f>SUM(G12:G23)</f>
        <v/>
      </c>
      <c r="H24" s="1813">
        <f>SUM(H12:H23)</f>
        <v/>
      </c>
      <c r="I24" s="1813">
        <f>SUM(I12:I23)</f>
        <v/>
      </c>
      <c r="J24" s="1813">
        <f>SUM(J12:J23)</f>
        <v/>
      </c>
      <c r="K24" s="1814" t="n"/>
    </row>
    <row r="25" customFormat="1" s="385">
      <c r="A25" s="410" t="inlineStr">
        <is>
          <t>三、审计说明：</t>
        </is>
      </c>
      <c r="B25" s="395" t="n"/>
      <c r="C25" s="395" t="n"/>
      <c r="D25" s="395" t="n"/>
      <c r="E25" s="395" t="n"/>
      <c r="F25" s="395" t="n"/>
      <c r="G25" s="395" t="n"/>
    </row>
    <row r="26" customFormat="1" s="385">
      <c r="A26" s="410" t="n"/>
      <c r="B26" s="395" t="n"/>
      <c r="C26" s="395" t="n"/>
      <c r="D26" s="395" t="n"/>
      <c r="E26" s="395" t="n"/>
      <c r="F26" s="395" t="n"/>
      <c r="G26" s="395" t="n"/>
    </row>
    <row r="27" customFormat="1" s="385">
      <c r="A27" s="395" t="n"/>
      <c r="B27" s="395" t="n"/>
      <c r="C27" s="395" t="n"/>
      <c r="D27" s="395" t="n"/>
      <c r="E27" s="395" t="n"/>
      <c r="F27" s="395" t="n"/>
      <c r="G27" s="395" t="n"/>
    </row>
    <row r="28" customFormat="1" s="385">
      <c r="A28" s="395" t="n"/>
      <c r="B28" s="395" t="n"/>
      <c r="C28" s="395" t="n"/>
      <c r="D28" s="395" t="n"/>
      <c r="E28" s="395" t="n"/>
      <c r="F28" s="395" t="n"/>
      <c r="G28" s="395" t="n"/>
    </row>
    <row r="29" customFormat="1" s="385">
      <c r="A29" s="410" t="inlineStr">
        <is>
          <t>四、审计结论：</t>
        </is>
      </c>
    </row>
    <row r="30" customFormat="1" s="385">
      <c r="A30" s="410" t="n"/>
    </row>
    <row r="31" s="1296">
      <c r="A31" s="1815" t="n"/>
    </row>
    <row r="32" s="1296">
      <c r="A32" s="1804" t="n"/>
    </row>
  </sheetData>
  <mergeCells count="5">
    <mergeCell ref="B10:D10"/>
    <mergeCell ref="A10:A11"/>
    <mergeCell ref="A2:K2"/>
    <mergeCell ref="E10:K10"/>
    <mergeCell ref="A1:K1"/>
  </mergeCells>
  <hyperlinks>
    <hyperlink ref="K3" location="底稿目录!A1" display="='D:\GT_plan\backend\wp_templates\D\[D4-22至D4-32营业收入-IPO 上市 新三板 重组 舞弊应对.xlsx]底稿目录'!F5"/>
  </hyperlinks>
  <pageMargins left="0.708333333333333" right="0.708333333333333" top="0.747916666666667" bottom="0.747916666666667" header="0.314583333333333" footer="0.314583333333333"/>
  <pageSetup orientation="portrait" paperSize="9" scale="68" blackAndWhite="1"/>
  <headerFooter>
    <oddHeader/>
    <oddFooter>&amp;C&amp;P/&amp;N</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1:N27"/>
  <sheetViews>
    <sheetView view="pageBreakPreview" zoomScaleNormal="100" workbookViewId="0">
      <selection activeCell="A1" sqref="A1:M1"/>
    </sheetView>
  </sheetViews>
  <sheetFormatPr baseColWidth="8" defaultColWidth="9.81818181818182" defaultRowHeight="20.1" customHeight="1"/>
  <cols>
    <col width="7.39090909090909" customWidth="1" style="795" min="1" max="1"/>
    <col width="17.0909090909091" customWidth="1" style="795" min="2" max="2"/>
    <col width="15.3909090909091" customWidth="1" style="795" min="3" max="3"/>
    <col width="17.5727272727273" customWidth="1" style="795" min="4" max="4"/>
    <col width="22.7818181818182" customWidth="1" style="795" min="5" max="5"/>
    <col width="19.3909090909091" customWidth="1" style="795" min="6" max="6"/>
    <col width="14.6636363636364" customWidth="1" style="795" min="7" max="7"/>
    <col width="10.9090909090909" customWidth="1" style="795" min="8" max="8"/>
    <col width="11.7545454545455" customWidth="1" style="795" min="9" max="9"/>
    <col width="10.9090909090909" customWidth="1" style="795" min="10" max="11"/>
    <col width="12.8454545454545" customWidth="1" style="795" min="12" max="12"/>
    <col width="8" customWidth="1" style="795" min="13" max="13"/>
    <col width="9.81818181818182" customWidth="1" style="795" min="14" max="16384"/>
  </cols>
  <sheetData>
    <row r="1" customFormat="1" s="794">
      <c r="A1" s="798" t="inlineStr">
        <is>
          <t>致同会计师事务所</t>
        </is>
      </c>
      <c r="N1" s="371" t="n"/>
    </row>
    <row r="2" customFormat="1" s="794">
      <c r="A2" s="799" t="inlineStr">
        <is>
          <t>第三方回款检查</t>
        </is>
      </c>
      <c r="N2" s="371" t="n"/>
    </row>
    <row r="3" s="1296">
      <c r="A3" s="1563" t="inlineStr">
        <is>
          <t>被审计单位名称：</t>
        </is>
      </c>
      <c r="B3" s="171" t="n"/>
      <c r="C3" s="171" t="n"/>
      <c r="D3" s="1564" t="inlineStr">
        <is>
          <t>编制人：</t>
        </is>
      </c>
      <c r="G3" s="795" t="inlineStr">
        <is>
          <t>编制日期：</t>
        </is>
      </c>
      <c r="H3" s="172" t="n"/>
      <c r="I3" s="172" t="n"/>
      <c r="J3" s="172" t="n"/>
      <c r="K3" s="172" t="n"/>
      <c r="L3" s="800" t="inlineStr">
        <is>
          <t>索引号：</t>
        </is>
      </c>
      <c r="M3" s="356" t="inlineStr">
        <is>
          <t>D4-24</t>
        </is>
      </c>
    </row>
    <row r="4" s="1296">
      <c r="A4" s="1563" t="inlineStr">
        <is>
          <t>会计期间：202X年度</t>
        </is>
      </c>
      <c r="B4" s="171" t="n"/>
      <c r="C4" s="171" t="n"/>
      <c r="D4" s="1564" t="inlineStr">
        <is>
          <t>复核人：</t>
        </is>
      </c>
      <c r="G4" s="795" t="inlineStr">
        <is>
          <t>复核日期：</t>
        </is>
      </c>
      <c r="H4" s="172" t="n"/>
      <c r="I4" s="172" t="n"/>
      <c r="J4" s="172" t="n"/>
      <c r="K4" s="172" t="n"/>
      <c r="L4" s="800" t="inlineStr">
        <is>
          <t>页次：</t>
        </is>
      </c>
    </row>
    <row r="5" s="1296">
      <c r="A5" s="20" t="inlineStr">
        <is>
          <t>一、审计目标：</t>
        </is>
      </c>
      <c r="F5" s="175" t="n"/>
      <c r="G5" s="175" t="n"/>
      <c r="H5" s="175" t="n"/>
      <c r="I5" s="175" t="n"/>
      <c r="J5" s="175" t="n"/>
      <c r="K5" s="175" t="n"/>
    </row>
    <row r="6" s="1296">
      <c r="A6" s="519" t="inlineStr">
        <is>
          <t>1.利润表中记录的营业收入已发生，且与被审计单位有关，已记录于恰当的账户。2.与营业收入有关的金额及其他数据已恰当记录，相关披露已得到恰当计量和描述。</t>
        </is>
      </c>
      <c r="F6" s="175" t="n"/>
      <c r="G6" s="175" t="n"/>
      <c r="H6" s="175" t="n"/>
      <c r="I6" s="175" t="n"/>
      <c r="J6" s="175" t="n"/>
      <c r="K6" s="175" t="n"/>
      <c r="L6" s="176" t="n"/>
    </row>
    <row r="7" s="1296">
      <c r="A7" s="20" t="inlineStr">
        <is>
          <t>二、审计过程：</t>
        </is>
      </c>
      <c r="B7" s="178" t="n"/>
      <c r="C7" s="178" t="n"/>
      <c r="D7" s="178" t="n"/>
      <c r="F7" s="176" t="n"/>
      <c r="G7" s="176" t="n"/>
      <c r="H7" s="176" t="n"/>
      <c r="I7" s="176" t="n"/>
      <c r="J7" s="176" t="n"/>
      <c r="K7" s="176" t="n"/>
      <c r="L7" s="176" t="n"/>
    </row>
    <row r="8" s="1296">
      <c r="A8" s="500" t="inlineStr">
        <is>
          <t>1.向被审计单位管理层了解第三方回款原因，获取代付协议，检查第三方回款合理性；</t>
        </is>
      </c>
      <c r="F8" s="176" t="n"/>
      <c r="G8" s="176" t="n"/>
      <c r="H8" s="176" t="n"/>
      <c r="I8" s="176" t="n"/>
      <c r="J8" s="176" t="n"/>
      <c r="K8" s="176" t="n"/>
      <c r="L8" s="176" t="n"/>
    </row>
    <row r="9" s="1296">
      <c r="A9" s="500" t="inlineStr">
        <is>
          <t>2.向第三方回款单位函证；</t>
        </is>
      </c>
      <c r="F9" s="176" t="n"/>
      <c r="G9" s="176" t="n"/>
      <c r="H9" s="176" t="n"/>
      <c r="I9" s="176" t="n"/>
      <c r="J9" s="176" t="n"/>
      <c r="K9" s="176" t="n"/>
      <c r="L9" s="176" t="n"/>
    </row>
    <row r="10" s="1296">
      <c r="A10" s="500" t="inlineStr">
        <is>
          <t>3.关注被审计单位涉及第三方回款的销售的资金流、实物流与合同约定及商业实质是否一致</t>
        </is>
      </c>
      <c r="F10" s="176" t="n"/>
      <c r="G10" s="176" t="n"/>
      <c r="H10" s="176" t="n"/>
      <c r="I10" s="176" t="n"/>
      <c r="J10" s="176" t="n"/>
      <c r="K10" s="176" t="n"/>
      <c r="L10" s="176" t="n"/>
    </row>
    <row r="11" s="1296">
      <c r="A11" s="500" t="inlineStr">
        <is>
          <t>4.核查被审计单位及其实际控制人、董监高或其他关联方与第三方回款的支付方是否存在关联关系或其他利益安排</t>
        </is>
      </c>
      <c r="F11" s="176" t="n"/>
      <c r="G11" s="176" t="n"/>
      <c r="H11" s="176" t="n"/>
      <c r="I11" s="176" t="n"/>
      <c r="J11" s="176" t="n"/>
      <c r="K11" s="176" t="n"/>
      <c r="L11" s="176" t="n"/>
    </row>
    <row r="12" s="1296">
      <c r="A12" s="500" t="inlineStr">
        <is>
          <t>5.对于异常的第三方回款，追查期后资金流向；</t>
        </is>
      </c>
      <c r="F12" s="176" t="n"/>
      <c r="G12" s="176" t="n"/>
      <c r="H12" s="176" t="n"/>
      <c r="I12" s="176" t="n"/>
      <c r="J12" s="176" t="n"/>
      <c r="K12" s="176" t="n"/>
      <c r="L12" s="176" t="n"/>
    </row>
    <row r="13" s="1296">
      <c r="A13" s="500" t="inlineStr">
        <is>
          <t>6.……</t>
        </is>
      </c>
      <c r="F13" s="176" t="n"/>
      <c r="G13" s="176" t="n"/>
      <c r="H13" s="176" t="n"/>
      <c r="I13" s="176" t="n"/>
      <c r="J13" s="176" t="n"/>
      <c r="K13" s="176" t="n"/>
      <c r="L13" s="176" t="n"/>
    </row>
    <row r="14" ht="37.5" customHeight="1" s="1296">
      <c r="A14" s="379" t="inlineStr">
        <is>
          <t>序号</t>
        </is>
      </c>
      <c r="B14" s="379" t="inlineStr">
        <is>
          <t>客户名称</t>
        </is>
      </c>
      <c r="C14" s="379" t="inlineStr">
        <is>
          <t>本年度销售金额</t>
        </is>
      </c>
      <c r="D14" s="379" t="inlineStr">
        <is>
          <t>期末应收账款余额</t>
        </is>
      </c>
      <c r="E14" s="379" t="inlineStr">
        <is>
          <t>本年度第三方回款金额</t>
        </is>
      </c>
      <c r="F14" s="379" t="inlineStr">
        <is>
          <t>第三方回款方名称</t>
        </is>
      </c>
      <c r="G14" s="379" t="inlineStr">
        <is>
          <t>第三方回款原因</t>
        </is>
      </c>
      <c r="H14" s="380" t="inlineStr">
        <is>
          <t>第三方回款方与客户关系</t>
        </is>
      </c>
      <c r="I14" s="380" t="inlineStr">
        <is>
          <t>第三方回款方与被审计单位关系</t>
        </is>
      </c>
      <c r="J14" s="380" t="inlineStr">
        <is>
          <t>是否有代付协议</t>
        </is>
      </c>
      <c r="K14" s="380" t="inlineStr">
        <is>
          <t>是否函证</t>
        </is>
      </c>
      <c r="L14" s="380" t="inlineStr">
        <is>
          <t>合理性分析</t>
        </is>
      </c>
      <c r="M14" s="380" t="inlineStr">
        <is>
          <t>索引</t>
        </is>
      </c>
    </row>
    <row r="15" s="1296">
      <c r="A15" s="185" t="n"/>
      <c r="B15" s="185" t="n"/>
      <c r="C15" s="1816" t="n"/>
      <c r="D15" s="1816" t="n"/>
      <c r="E15" s="1816" t="n"/>
      <c r="F15" s="382" t="n"/>
      <c r="G15" s="382" t="n"/>
      <c r="H15" s="382" t="n"/>
      <c r="I15" s="382" t="n"/>
      <c r="J15" s="382" t="n"/>
      <c r="K15" s="382" t="n"/>
      <c r="L15" s="185" t="n"/>
      <c r="M15" s="185" t="n"/>
    </row>
    <row r="16" s="1296">
      <c r="A16" s="185" t="n"/>
      <c r="B16" s="185" t="n"/>
      <c r="C16" s="1816" t="n"/>
      <c r="D16" s="1816" t="n"/>
      <c r="E16" s="1816" t="n"/>
      <c r="F16" s="382" t="n"/>
      <c r="G16" s="382" t="n"/>
      <c r="H16" s="382" t="n"/>
      <c r="I16" s="382" t="n"/>
      <c r="J16" s="382" t="n"/>
      <c r="K16" s="382" t="n"/>
      <c r="L16" s="185" t="n"/>
      <c r="M16" s="185" t="n"/>
    </row>
    <row r="17" s="1296">
      <c r="A17" s="185" t="n"/>
      <c r="B17" s="185" t="n"/>
      <c r="C17" s="1816" t="n"/>
      <c r="D17" s="1816" t="n"/>
      <c r="E17" s="1816" t="n"/>
      <c r="F17" s="382" t="n"/>
      <c r="G17" s="382" t="n"/>
      <c r="H17" s="382" t="n"/>
      <c r="I17" s="382" t="n"/>
      <c r="J17" s="382" t="n"/>
      <c r="K17" s="382" t="n"/>
      <c r="L17" s="185" t="n"/>
      <c r="M17" s="185" t="n"/>
    </row>
    <row r="18" s="1296">
      <c r="A18" s="185" t="n"/>
      <c r="B18" s="185" t="n"/>
      <c r="C18" s="1816" t="n"/>
      <c r="D18" s="1816" t="n"/>
      <c r="E18" s="1816" t="n"/>
      <c r="F18" s="382" t="n"/>
      <c r="G18" s="382" t="n"/>
      <c r="H18" s="382" t="n"/>
      <c r="I18" s="382" t="n"/>
      <c r="J18" s="382" t="n"/>
      <c r="K18" s="382" t="n"/>
      <c r="L18" s="185" t="n"/>
      <c r="M18" s="185" t="n"/>
    </row>
    <row r="19" s="1296">
      <c r="A19" s="185" t="n"/>
      <c r="B19" s="185" t="n"/>
      <c r="C19" s="1816" t="n"/>
      <c r="D19" s="1816" t="n"/>
      <c r="E19" s="1816" t="n"/>
      <c r="F19" s="382" t="n"/>
      <c r="G19" s="382" t="n"/>
      <c r="H19" s="382" t="n"/>
      <c r="I19" s="382" t="n"/>
      <c r="J19" s="382" t="n"/>
      <c r="K19" s="382" t="n"/>
      <c r="L19" s="185" t="n"/>
      <c r="M19" s="185" t="n"/>
    </row>
    <row r="20" s="1296">
      <c r="A20" s="185" t="n"/>
      <c r="B20" s="185" t="n"/>
      <c r="C20" s="1816" t="n"/>
      <c r="D20" s="1816" t="n"/>
      <c r="E20" s="1816" t="n"/>
      <c r="F20" s="382" t="n"/>
      <c r="G20" s="382" t="n"/>
      <c r="H20" s="382" t="n"/>
      <c r="I20" s="382" t="n"/>
      <c r="J20" s="382" t="n"/>
      <c r="K20" s="382" t="n"/>
      <c r="L20" s="185" t="n"/>
      <c r="M20" s="185" t="n"/>
    </row>
    <row r="21" s="1296">
      <c r="A21" s="185" t="n"/>
      <c r="B21" s="185" t="n"/>
      <c r="C21" s="1816" t="n"/>
      <c r="D21" s="1816" t="n"/>
      <c r="E21" s="1816" t="n"/>
      <c r="F21" s="382" t="n"/>
      <c r="G21" s="382" t="n"/>
      <c r="H21" s="382" t="n"/>
      <c r="I21" s="382" t="n"/>
      <c r="J21" s="382" t="n"/>
      <c r="K21" s="382" t="n"/>
      <c r="L21" s="185" t="n"/>
      <c r="M21" s="185" t="n"/>
    </row>
    <row r="22" s="1296">
      <c r="A22" s="185" t="n"/>
      <c r="B22" s="185" t="n"/>
      <c r="C22" s="1816" t="n"/>
      <c r="D22" s="1816" t="n"/>
      <c r="E22" s="1816" t="n"/>
      <c r="F22" s="382" t="n"/>
      <c r="G22" s="382" t="n"/>
      <c r="H22" s="382" t="n"/>
      <c r="I22" s="382" t="n"/>
      <c r="J22" s="382" t="n"/>
      <c r="K22" s="382" t="n"/>
      <c r="L22" s="185" t="n"/>
      <c r="M22" s="185" t="n"/>
    </row>
    <row r="23" s="1296">
      <c r="A23" s="740" t="inlineStr">
        <is>
          <t>三、审计说明：</t>
        </is>
      </c>
    </row>
    <row r="24" s="1296">
      <c r="A24" s="383" t="inlineStr">
        <is>
          <t>1.第三方回函检查明细详见银行流水双向核对表&lt;E1-31&gt;、应收账款检查表&lt;D2-7&gt;</t>
        </is>
      </c>
    </row>
    <row r="25" s="1296">
      <c r="A25" s="194" t="n"/>
    </row>
    <row r="27" s="1296">
      <c r="A27" s="740" t="inlineStr">
        <is>
          <t>四、审计结论：</t>
        </is>
      </c>
    </row>
  </sheetData>
  <mergeCells count="2">
    <mergeCell ref="A2:M2"/>
    <mergeCell ref="A1:M1"/>
  </mergeCells>
  <hyperlinks>
    <hyperlink ref="M3" location="底稿目录!A1" display="='D:\GT_plan\backend\wp_templates\D\[D4-22至D4-32营业收入-IPO 上市 新三板 重组 舞弊应对.xlsx]底稿目录'!F6"/>
  </hyperlinks>
  <pageMargins left="0.708333333333333" right="0.708333333333333" top="0.747916666666667" bottom="0.747916666666667" header="0.314583333333333" footer="0.314583333333333"/>
  <pageSetup orientation="landscape" paperSize="9" scale="75" blackAndWhite="1"/>
  <headerFooter>
    <oddHeader/>
    <oddFooter>&amp;C&amp;P/&amp;N</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Q29"/>
  <sheetViews>
    <sheetView view="pageBreakPreview" zoomScaleNormal="100" workbookViewId="0">
      <selection activeCell="A1" sqref="A1:M1"/>
    </sheetView>
  </sheetViews>
  <sheetFormatPr baseColWidth="8" defaultColWidth="9.81818181818182" defaultRowHeight="20.1" customHeight="1"/>
  <cols>
    <col width="6.18181818181818" customWidth="1" style="795" min="1" max="1"/>
    <col width="19.3909090909091" customWidth="1" style="795" min="2" max="2"/>
    <col width="18.4181818181818" customWidth="1" style="795" min="3" max="3"/>
    <col width="16.7272727272727" customWidth="1" style="795" min="4" max="4"/>
    <col width="15.0272727272727" customWidth="1" style="795" min="5" max="5"/>
    <col width="11.2727272727273" customWidth="1" style="795" min="6" max="6"/>
    <col width="13.8181818181818" customWidth="1" style="795" min="7" max="7"/>
    <col width="14.5454545454545" customWidth="1" style="795" min="8" max="9"/>
    <col width="12.4818181818182" customWidth="1" style="795" min="10" max="10"/>
    <col width="13.4545454545455" customWidth="1" style="795" min="11" max="11"/>
    <col width="15.2727272727273" customWidth="1" style="795" min="12" max="12"/>
    <col width="10.7818181818182" customWidth="1" style="795" min="13" max="13"/>
    <col width="9.81818181818182" customWidth="1" style="795" min="14" max="16384"/>
  </cols>
  <sheetData>
    <row r="1" customFormat="1" s="794">
      <c r="A1" s="798" t="inlineStr">
        <is>
          <t>致同会计师事务所</t>
        </is>
      </c>
      <c r="N1" s="371" t="n"/>
      <c r="O1" s="371" t="n"/>
      <c r="P1" s="371" t="n"/>
      <c r="Q1" s="371" t="n"/>
    </row>
    <row r="2" customFormat="1" s="794">
      <c r="A2" s="799" t="inlineStr">
        <is>
          <t>经销商检查</t>
        </is>
      </c>
      <c r="N2" s="371" t="n"/>
      <c r="O2" s="371" t="n"/>
      <c r="P2" s="371" t="n"/>
      <c r="Q2" s="371" t="n"/>
    </row>
    <row r="3" s="1296">
      <c r="A3" s="171" t="inlineStr">
        <is>
          <t>被审计单位名称：</t>
        </is>
      </c>
      <c r="E3" s="172" t="inlineStr">
        <is>
          <t>编制人：</t>
        </is>
      </c>
      <c r="I3" s="171" t="inlineStr">
        <is>
          <t>编制日期：</t>
        </is>
      </c>
      <c r="L3" s="800" t="inlineStr">
        <is>
          <t>索引号：</t>
        </is>
      </c>
      <c r="M3" s="356" t="inlineStr">
        <is>
          <t>D4-25</t>
        </is>
      </c>
    </row>
    <row r="4" s="1296">
      <c r="A4" s="171" t="inlineStr">
        <is>
          <t>会计期间：202X年度</t>
        </is>
      </c>
      <c r="E4" s="172" t="inlineStr">
        <is>
          <t>复核人：</t>
        </is>
      </c>
      <c r="I4" s="171" t="inlineStr">
        <is>
          <t>复核日期：</t>
        </is>
      </c>
      <c r="L4" s="800" t="inlineStr">
        <is>
          <t>页  次：</t>
        </is>
      </c>
    </row>
    <row r="5" s="1296">
      <c r="A5" s="20" t="inlineStr">
        <is>
          <t>一、审计目标：</t>
        </is>
      </c>
      <c r="E5" s="175" t="n"/>
    </row>
    <row r="6" s="1296">
      <c r="A6" s="795" t="inlineStr">
        <is>
          <t>利润表中记录的营业收入已发生，且与被审计单位有关，已记录于恰当的账户。</t>
        </is>
      </c>
      <c r="E6" s="175" t="n"/>
    </row>
    <row r="7" s="1296">
      <c r="A7" s="20" t="inlineStr">
        <is>
          <t>二、审计过程：</t>
        </is>
      </c>
      <c r="B7" s="178" t="n"/>
      <c r="C7" s="178" t="n"/>
      <c r="D7" s="178" t="n"/>
      <c r="E7" s="176" t="n"/>
    </row>
    <row r="8" s="1296">
      <c r="A8" s="500" t="inlineStr">
        <is>
          <t>1.关注客户基本情况是否同销售规模相匹配；</t>
        </is>
      </c>
      <c r="C8" s="519" t="n"/>
      <c r="D8" s="519" t="n"/>
      <c r="E8" s="176" t="n"/>
    </row>
    <row r="9" s="1296">
      <c r="A9" s="500" t="inlineStr">
        <is>
          <t>2.记录经销商情况（是否关联方、是否非法人、销售费用承担方式、补贴或返利情况）；</t>
        </is>
      </c>
      <c r="C9" s="519" t="n"/>
      <c r="D9" s="519" t="n"/>
      <c r="E9" s="176" t="n"/>
    </row>
    <row r="10" s="1296">
      <c r="A10" s="500" t="inlineStr">
        <is>
          <t>3.……</t>
        </is>
      </c>
    </row>
    <row r="11" ht="38.25" customFormat="1" customHeight="1" s="167">
      <c r="A11" s="182" t="inlineStr">
        <is>
          <t>序号</t>
        </is>
      </c>
      <c r="B11" s="372" t="inlineStr">
        <is>
          <t>客户名称</t>
        </is>
      </c>
      <c r="C11" s="372" t="inlineStr">
        <is>
          <t>经销商</t>
        </is>
      </c>
      <c r="D11" s="373" t="inlineStr">
        <is>
          <t>本期销售数量</t>
        </is>
      </c>
      <c r="E11" s="373" t="inlineStr">
        <is>
          <t>本期销售金额</t>
        </is>
      </c>
      <c r="F11" s="373" t="inlineStr">
        <is>
          <t>占同类交易比例</t>
        </is>
      </c>
      <c r="G11" s="373" t="inlineStr">
        <is>
          <t>期末应收账款余额</t>
        </is>
      </c>
      <c r="H11" s="373" t="inlineStr">
        <is>
          <t>是否关联方</t>
        </is>
      </c>
      <c r="I11" s="373" t="inlineStr">
        <is>
          <t>个人/企业</t>
        </is>
      </c>
      <c r="J11" s="373" t="inlineStr">
        <is>
          <t>销售费用承担方式</t>
        </is>
      </c>
      <c r="K11" s="373" t="inlineStr">
        <is>
          <t>补贴或返利</t>
        </is>
      </c>
      <c r="L11" s="373" t="inlineStr">
        <is>
          <t>终端销售金额</t>
        </is>
      </c>
      <c r="M11" s="373" t="inlineStr">
        <is>
          <t>备注</t>
        </is>
      </c>
    </row>
    <row r="12" s="1296">
      <c r="A12" s="189" t="n">
        <v>1</v>
      </c>
      <c r="B12" s="185" t="n"/>
      <c r="C12" s="185" t="n"/>
      <c r="D12" s="1817" t="n"/>
      <c r="E12" s="1790" t="n"/>
      <c r="F12" s="365" t="n"/>
      <c r="G12" s="1817" t="n"/>
      <c r="H12" s="185" t="n"/>
      <c r="I12" s="185" t="n"/>
      <c r="J12" s="185" t="n"/>
      <c r="K12" s="1817" t="n"/>
      <c r="L12" s="1817" t="n"/>
      <c r="M12" s="185" t="n"/>
    </row>
    <row r="13" s="1296">
      <c r="A13" s="189" t="n">
        <v>2</v>
      </c>
      <c r="B13" s="185" t="n"/>
      <c r="C13" s="185" t="n"/>
      <c r="D13" s="1817" t="n"/>
      <c r="E13" s="1790" t="n"/>
      <c r="F13" s="365" t="n"/>
      <c r="G13" s="1817" t="n"/>
      <c r="H13" s="185" t="n"/>
      <c r="I13" s="185" t="n"/>
      <c r="J13" s="185" t="n"/>
      <c r="K13" s="1817" t="n"/>
      <c r="L13" s="1817" t="n"/>
      <c r="M13" s="185" t="n"/>
    </row>
    <row r="14" s="1296">
      <c r="A14" s="189" t="n">
        <v>3</v>
      </c>
      <c r="B14" s="185" t="n"/>
      <c r="C14" s="185" t="n"/>
      <c r="D14" s="1817" t="n"/>
      <c r="E14" s="1790" t="n"/>
      <c r="F14" s="365" t="n"/>
      <c r="G14" s="1817" t="n"/>
      <c r="H14" s="185" t="n"/>
      <c r="I14" s="185" t="n"/>
      <c r="J14" s="185" t="n"/>
      <c r="K14" s="1817" t="n"/>
      <c r="L14" s="1817" t="n"/>
      <c r="M14" s="185" t="n"/>
    </row>
    <row r="15" s="1296">
      <c r="A15" s="189" t="n">
        <v>4</v>
      </c>
      <c r="B15" s="185" t="n"/>
      <c r="C15" s="185" t="n"/>
      <c r="D15" s="1817" t="n"/>
      <c r="E15" s="1790" t="n"/>
      <c r="F15" s="365" t="n"/>
      <c r="G15" s="1817" t="n"/>
      <c r="H15" s="185" t="n"/>
      <c r="I15" s="185" t="n"/>
      <c r="J15" s="185" t="n"/>
      <c r="K15" s="1817" t="n"/>
      <c r="L15" s="1817" t="n"/>
      <c r="M15" s="185" t="n"/>
    </row>
    <row r="16" s="1296">
      <c r="A16" s="189" t="n">
        <v>5</v>
      </c>
      <c r="B16" s="185" t="n"/>
      <c r="C16" s="185" t="n"/>
      <c r="D16" s="1817" t="n"/>
      <c r="E16" s="1790" t="n"/>
      <c r="F16" s="365" t="n"/>
      <c r="G16" s="1817" t="n"/>
      <c r="H16" s="185" t="n"/>
      <c r="I16" s="185" t="n"/>
      <c r="J16" s="185" t="n"/>
      <c r="K16" s="1817" t="n"/>
      <c r="L16" s="1817" t="n"/>
      <c r="M16" s="185" t="n"/>
    </row>
    <row r="17" s="1296">
      <c r="A17" s="189" t="n">
        <v>6</v>
      </c>
      <c r="B17" s="185" t="n"/>
      <c r="C17" s="185" t="n"/>
      <c r="D17" s="1817" t="n"/>
      <c r="E17" s="1790" t="n"/>
      <c r="F17" s="365" t="n"/>
      <c r="G17" s="1817" t="n"/>
      <c r="H17" s="185" t="n"/>
      <c r="I17" s="185" t="n"/>
      <c r="J17" s="185" t="n"/>
      <c r="K17" s="1817" t="n"/>
      <c r="L17" s="1817" t="n"/>
      <c r="M17" s="185" t="n"/>
    </row>
    <row r="18" s="1296">
      <c r="A18" s="189" t="n">
        <v>7</v>
      </c>
      <c r="B18" s="185" t="n"/>
      <c r="C18" s="185" t="n"/>
      <c r="D18" s="1817" t="n"/>
      <c r="E18" s="1790" t="n"/>
      <c r="F18" s="365" t="n"/>
      <c r="G18" s="1817" t="n"/>
      <c r="H18" s="185" t="n"/>
      <c r="I18" s="185" t="n"/>
      <c r="J18" s="185" t="n"/>
      <c r="K18" s="1817" t="n"/>
      <c r="L18" s="1817" t="n"/>
      <c r="M18" s="185" t="n"/>
    </row>
    <row r="19" s="1296">
      <c r="A19" s="189" t="n">
        <v>8</v>
      </c>
      <c r="B19" s="185" t="n"/>
      <c r="C19" s="185" t="n"/>
      <c r="D19" s="1817" t="n"/>
      <c r="E19" s="1790" t="n"/>
      <c r="F19" s="365" t="n"/>
      <c r="G19" s="1817" t="n"/>
      <c r="H19" s="185" t="n"/>
      <c r="I19" s="185" t="n"/>
      <c r="J19" s="185" t="n"/>
      <c r="K19" s="1817" t="n"/>
      <c r="L19" s="1817" t="n"/>
      <c r="M19" s="185" t="n"/>
    </row>
    <row r="20" s="1296">
      <c r="A20" s="189" t="n">
        <v>9</v>
      </c>
      <c r="B20" s="185" t="n"/>
      <c r="C20" s="185" t="n"/>
      <c r="D20" s="1817" t="n"/>
      <c r="E20" s="1790" t="n"/>
      <c r="F20" s="365" t="n"/>
      <c r="G20" s="1817" t="n"/>
      <c r="H20" s="185" t="n"/>
      <c r="I20" s="185" t="n"/>
      <c r="J20" s="185" t="n"/>
      <c r="K20" s="1817" t="n"/>
      <c r="L20" s="1817" t="n"/>
      <c r="M20" s="185" t="n"/>
    </row>
    <row r="21" s="1296">
      <c r="A21" s="189" t="n">
        <v>10</v>
      </c>
      <c r="B21" s="185" t="n"/>
      <c r="C21" s="185" t="n"/>
      <c r="D21" s="1817" t="n"/>
      <c r="E21" s="1790" t="n"/>
      <c r="F21" s="365" t="n"/>
      <c r="G21" s="1817" t="n"/>
      <c r="H21" s="185" t="n"/>
      <c r="I21" s="185" t="n"/>
      <c r="J21" s="185" t="n"/>
      <c r="K21" s="1817" t="n"/>
      <c r="L21" s="1817" t="n"/>
      <c r="M21" s="185" t="n"/>
    </row>
    <row r="22" s="1296">
      <c r="A22" s="520" t="n"/>
      <c r="D22" s="352" t="n"/>
      <c r="E22" s="376" t="n"/>
      <c r="F22" s="352" t="n"/>
      <c r="G22" s="352" t="n"/>
      <c r="K22" s="352" t="n"/>
      <c r="L22" s="352" t="n"/>
    </row>
    <row r="23" s="1296">
      <c r="A23" s="740" t="inlineStr">
        <is>
          <t>三、审计说明：</t>
        </is>
      </c>
    </row>
    <row r="24" s="1296">
      <c r="A24" s="740" t="n"/>
    </row>
    <row r="27" s="1296">
      <c r="A27" s="740" t="inlineStr">
        <is>
          <t>四、审计结论：</t>
        </is>
      </c>
    </row>
    <row r="28" s="1296">
      <c r="A28" s="740" t="n"/>
    </row>
    <row r="29" s="1296">
      <c r="A29" s="740" t="n"/>
    </row>
  </sheetData>
  <mergeCells count="2">
    <mergeCell ref="A2:M2"/>
    <mergeCell ref="A1:M1"/>
  </mergeCells>
  <hyperlinks>
    <hyperlink ref="M3" location="底稿目录!A1" display="='D:\GT_plan\backend\wp_templates\D\[D4-22至D4-32营业收入-IPO 上市 新三板 重组 舞弊应对.xlsx]底稿目录'!F7"/>
  </hyperlinks>
  <pageMargins left="0.708333333333333" right="0.708333333333333" top="0.747916666666667" bottom="0.747916666666667" header="0.314583333333333" footer="0.314583333333333"/>
  <pageSetup orientation="landscape" paperSize="9" scale="75" blackAndWhite="1"/>
  <headerFooter>
    <oddHeader/>
    <oddFooter>&amp;C&amp;P/&amp;N</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S32"/>
  <sheetViews>
    <sheetView view="pageBreakPreview" zoomScaleNormal="100" workbookViewId="0">
      <selection activeCell="A1" sqref="A1:S1"/>
    </sheetView>
  </sheetViews>
  <sheetFormatPr baseColWidth="8" defaultColWidth="9.81818181818182" defaultRowHeight="20.1" customHeight="1"/>
  <cols>
    <col width="9.81818181818182" customWidth="1" style="355" min="1" max="16384"/>
  </cols>
  <sheetData>
    <row r="1" s="1296">
      <c r="A1" s="798" t="inlineStr">
        <is>
          <t>致同会计师事务所</t>
        </is>
      </c>
    </row>
    <row r="2" s="1296">
      <c r="A2" s="799" t="inlineStr">
        <is>
          <t>境外销售收入检查</t>
        </is>
      </c>
    </row>
    <row r="3" s="1296">
      <c r="A3" s="171" t="inlineStr">
        <is>
          <t>被审计单位名称：</t>
        </is>
      </c>
      <c r="B3" s="171" t="n"/>
      <c r="C3" s="171" t="n"/>
      <c r="G3" s="171" t="inlineStr">
        <is>
          <t>编制人：</t>
        </is>
      </c>
      <c r="H3" s="795" t="n"/>
      <c r="I3" s="795" t="n"/>
      <c r="K3" s="172" t="n"/>
      <c r="L3" s="795" t="inlineStr">
        <is>
          <t>编制日期：</t>
        </is>
      </c>
      <c r="M3" s="172" t="n"/>
      <c r="N3" s="172" t="n"/>
      <c r="R3" s="800" t="inlineStr">
        <is>
          <t>索引号：</t>
        </is>
      </c>
      <c r="S3" s="356" t="inlineStr">
        <is>
          <t>D4-26</t>
        </is>
      </c>
    </row>
    <row r="4" s="1296">
      <c r="A4" s="171" t="inlineStr">
        <is>
          <t>会计期间：202X年度</t>
        </is>
      </c>
      <c r="B4" s="171" t="n"/>
      <c r="C4" s="171" t="n"/>
      <c r="G4" s="171" t="inlineStr">
        <is>
          <t>复核人：</t>
        </is>
      </c>
      <c r="H4" s="795" t="n"/>
      <c r="I4" s="795" t="n"/>
      <c r="K4" s="172" t="n"/>
      <c r="L4" s="795" t="inlineStr">
        <is>
          <t>复核日期：</t>
        </is>
      </c>
      <c r="M4" s="172" t="n"/>
      <c r="N4" s="172" t="n"/>
      <c r="R4" s="800" t="inlineStr">
        <is>
          <t>页次：</t>
        </is>
      </c>
      <c r="S4" s="795" t="n"/>
    </row>
    <row r="5" customFormat="1" s="352">
      <c r="A5" s="357" t="inlineStr">
        <is>
          <t>一、审计目标：</t>
        </is>
      </c>
      <c r="B5" s="358" t="n"/>
      <c r="D5" s="359" t="n"/>
      <c r="E5" s="359" t="n"/>
      <c r="F5" s="517" t="n"/>
    </row>
    <row r="6" customFormat="1" s="352">
      <c r="A6" s="795" t="inlineStr">
        <is>
          <t>确定对境外销售业务的真实性和交易实质</t>
        </is>
      </c>
      <c r="B6" s="358" t="n"/>
      <c r="D6" s="359" t="n"/>
      <c r="E6" s="359" t="n"/>
      <c r="F6" s="517" t="n"/>
    </row>
    <row r="7" customFormat="1" s="352">
      <c r="A7" s="357" t="inlineStr">
        <is>
          <t>二、审计过程：</t>
        </is>
      </c>
      <c r="B7" s="517" t="n"/>
      <c r="D7" s="517" t="n"/>
      <c r="E7" s="517" t="n"/>
      <c r="F7" s="517" t="n"/>
    </row>
    <row r="8" customFormat="1" s="352">
      <c r="A8" s="500" t="inlineStr">
        <is>
          <t>1.对主要目的国、主要海外客户以及对应的主要贸易条款、付款方式等进行分析和记录；</t>
        </is>
      </c>
      <c r="B8" s="517" t="n"/>
      <c r="D8" s="517" t="n"/>
      <c r="E8" s="517" t="n"/>
      <c r="F8" s="517" t="n"/>
    </row>
    <row r="9" customFormat="1" s="352">
      <c r="A9" s="500" t="inlineStr">
        <is>
          <t>2.记录已执行的海关查询、函证等程序。</t>
        </is>
      </c>
      <c r="B9" s="517" t="n"/>
      <c r="D9" s="517" t="n"/>
      <c r="E9" s="517" t="n"/>
      <c r="F9" s="517" t="n"/>
    </row>
    <row r="10" customFormat="1" s="352">
      <c r="B10" s="521" t="n"/>
    </row>
    <row r="11" ht="43.5" customFormat="1" customHeight="1" s="1818">
      <c r="A11" s="1667" t="inlineStr">
        <is>
          <t>客户名称</t>
        </is>
      </c>
      <c r="B11" s="1667" t="inlineStr">
        <is>
          <t>所在国家/地区</t>
        </is>
      </c>
      <c r="C11" s="1819" t="inlineStr">
        <is>
          <t>产品种类</t>
        </is>
      </c>
      <c r="D11" s="1819" t="inlineStr">
        <is>
          <t>业务模式
（直销客户/经销商）</t>
        </is>
      </c>
      <c r="E11" s="1819" t="inlineStr">
        <is>
          <t>本期销售金额</t>
        </is>
      </c>
      <c r="F11" s="1819" t="inlineStr">
        <is>
          <t>占同类交易比例</t>
        </is>
      </c>
      <c r="G11" s="1819" t="inlineStr">
        <is>
          <t>贸易模式
（填EXW/FOB/CIF等）</t>
        </is>
      </c>
      <c r="H11" s="1819" t="inlineStr">
        <is>
          <t>主要贸易条款
（与商品控制权转移时点相关的约定）</t>
        </is>
      </c>
      <c r="I11" s="1819" t="inlineStr">
        <is>
          <t>出口结算模式
（填汇款/托收/信用证/银行保函等）</t>
        </is>
      </c>
      <c r="J11" s="1819" t="inlineStr">
        <is>
          <t>是否存在第三方回款</t>
        </is>
      </c>
      <c r="K11" s="1819" t="inlineStr">
        <is>
          <t>第三方回款原因</t>
        </is>
      </c>
      <c r="L11" s="1819" t="inlineStr">
        <is>
          <t>核查程序确认的销售金额</t>
        </is>
      </c>
      <c r="M11" s="1820" t="inlineStr">
        <is>
          <t>差异</t>
        </is>
      </c>
      <c r="N11" s="1819" t="inlineStr">
        <is>
          <t>差异原因分析</t>
        </is>
      </c>
      <c r="O11" s="1819" t="inlineStr">
        <is>
          <t>相关程序索引
（对已执行的程序表中索引号）</t>
        </is>
      </c>
      <c r="P11" s="1578" t="n"/>
      <c r="Q11" s="1578" t="n"/>
      <c r="R11" s="1578" t="n"/>
      <c r="S11" s="1390" t="n"/>
    </row>
    <row r="12" ht="49.05" customFormat="1" customHeight="1" s="1710">
      <c r="A12" s="1335" t="n"/>
      <c r="B12" s="1335" t="n"/>
      <c r="C12" s="1579" t="n"/>
      <c r="D12" s="1579" t="n"/>
      <c r="E12" s="1579" t="n"/>
      <c r="F12" s="1579" t="n"/>
      <c r="G12" s="1579" t="n"/>
      <c r="H12" s="1579" t="n"/>
      <c r="I12" s="1579" t="n"/>
      <c r="J12" s="1579" t="n"/>
      <c r="K12" s="1579" t="n"/>
      <c r="L12" s="1579" t="n"/>
      <c r="M12" s="1579" t="n"/>
      <c r="N12" s="1579" t="n"/>
      <c r="O12" s="1667" t="inlineStr">
        <is>
          <t>实地走访</t>
        </is>
      </c>
      <c r="P12" s="1667" t="inlineStr">
        <is>
          <t>交易函证</t>
        </is>
      </c>
      <c r="Q12" s="1667" t="inlineStr">
        <is>
          <t>海关函证</t>
        </is>
      </c>
      <c r="R12" s="1667" t="inlineStr">
        <is>
          <t>核对报关单</t>
        </is>
      </c>
      <c r="S12" s="1667" t="inlineStr">
        <is>
          <t>电子口岸数据查询</t>
        </is>
      </c>
    </row>
    <row r="13" customFormat="1" s="1710">
      <c r="A13" s="365" t="n"/>
      <c r="B13" s="365" t="n"/>
      <c r="C13" s="365" t="n"/>
      <c r="D13" s="366" t="n"/>
      <c r="E13" s="1790" t="n"/>
      <c r="F13" s="368" t="n"/>
      <c r="G13" s="365" t="n"/>
      <c r="H13" s="365" t="n"/>
      <c r="I13" s="365" t="n"/>
      <c r="J13" s="1790" t="n"/>
      <c r="K13" s="365" t="n"/>
      <c r="L13" s="1790" t="n"/>
      <c r="M13" s="1790" t="n"/>
      <c r="N13" s="365" t="n"/>
      <c r="O13" s="365" t="n"/>
      <c r="P13" s="365" t="n"/>
      <c r="Q13" s="365" t="n"/>
      <c r="R13" s="365" t="n"/>
      <c r="S13" s="365" t="n"/>
    </row>
    <row r="14" customFormat="1" s="1710">
      <c r="A14" s="365" t="n"/>
      <c r="B14" s="365" t="n"/>
      <c r="C14" s="365" t="n"/>
      <c r="D14" s="366" t="n"/>
      <c r="E14" s="1790" t="n"/>
      <c r="F14" s="368" t="n"/>
      <c r="G14" s="365" t="n"/>
      <c r="H14" s="365" t="n"/>
      <c r="I14" s="365" t="n"/>
      <c r="J14" s="1790" t="n"/>
      <c r="K14" s="365" t="n"/>
      <c r="L14" s="1790" t="n"/>
      <c r="M14" s="1790" t="n"/>
      <c r="N14" s="365" t="n"/>
      <c r="O14" s="365" t="n"/>
      <c r="P14" s="365" t="n"/>
      <c r="Q14" s="365" t="n"/>
      <c r="R14" s="365" t="n"/>
      <c r="S14" s="365" t="n"/>
    </row>
    <row r="15" customFormat="1" s="1710">
      <c r="A15" s="365" t="n"/>
      <c r="B15" s="365" t="n"/>
      <c r="C15" s="365" t="n"/>
      <c r="D15" s="366" t="n"/>
      <c r="E15" s="1790" t="n"/>
      <c r="F15" s="368" t="n"/>
      <c r="G15" s="365" t="n"/>
      <c r="H15" s="365" t="n"/>
      <c r="I15" s="365" t="n"/>
      <c r="J15" s="1790" t="n"/>
      <c r="K15" s="365" t="n"/>
      <c r="L15" s="1790" t="n"/>
      <c r="M15" s="1790" t="n"/>
      <c r="N15" s="365" t="n"/>
      <c r="O15" s="365" t="n"/>
      <c r="P15" s="365" t="n"/>
      <c r="Q15" s="365" t="n"/>
      <c r="R15" s="365" t="n"/>
      <c r="S15" s="365" t="n"/>
    </row>
    <row r="16" customFormat="1" s="1710">
      <c r="A16" s="365" t="n"/>
      <c r="B16" s="365" t="n"/>
      <c r="C16" s="365" t="n"/>
      <c r="D16" s="366" t="n"/>
      <c r="E16" s="1790" t="n"/>
      <c r="F16" s="368" t="n"/>
      <c r="G16" s="365" t="n"/>
      <c r="H16" s="365" t="n"/>
      <c r="I16" s="365" t="n"/>
      <c r="J16" s="1790" t="n"/>
      <c r="K16" s="365" t="n"/>
      <c r="L16" s="1790" t="n"/>
      <c r="M16" s="1790" t="n"/>
      <c r="N16" s="365" t="n"/>
      <c r="O16" s="365" t="n"/>
      <c r="P16" s="365" t="n"/>
      <c r="Q16" s="365" t="n"/>
      <c r="R16" s="365" t="n"/>
      <c r="S16" s="365" t="n"/>
    </row>
    <row r="17" customFormat="1" s="1710">
      <c r="A17" s="365" t="n"/>
      <c r="B17" s="365" t="n"/>
      <c r="C17" s="365" t="n"/>
      <c r="D17" s="366" t="n"/>
      <c r="E17" s="1790" t="n"/>
      <c r="F17" s="368" t="n"/>
      <c r="G17" s="365" t="n"/>
      <c r="H17" s="365" t="n"/>
      <c r="I17" s="365" t="n"/>
      <c r="J17" s="1790" t="n"/>
      <c r="K17" s="365" t="n"/>
      <c r="L17" s="1790" t="n"/>
      <c r="M17" s="1790" t="n"/>
      <c r="N17" s="365" t="n"/>
      <c r="O17" s="365" t="n"/>
      <c r="P17" s="365" t="n"/>
      <c r="Q17" s="365" t="n"/>
      <c r="R17" s="365" t="n"/>
      <c r="S17" s="365" t="n"/>
    </row>
    <row r="18" customFormat="1" s="1710">
      <c r="A18" s="365" t="n"/>
      <c r="B18" s="365" t="n"/>
      <c r="C18" s="365" t="n"/>
      <c r="D18" s="366" t="n"/>
      <c r="E18" s="1790" t="n"/>
      <c r="F18" s="368" t="n"/>
      <c r="G18" s="365" t="n"/>
      <c r="H18" s="365" t="n"/>
      <c r="I18" s="365" t="n"/>
      <c r="J18" s="1790" t="n"/>
      <c r="K18" s="365" t="n"/>
      <c r="L18" s="1790" t="n"/>
      <c r="M18" s="1790" t="n"/>
      <c r="N18" s="365" t="n"/>
      <c r="O18" s="365" t="n"/>
      <c r="P18" s="365" t="n"/>
      <c r="Q18" s="365" t="n"/>
      <c r="R18" s="365" t="n"/>
      <c r="S18" s="365" t="n"/>
    </row>
    <row r="19" customFormat="1" s="1710">
      <c r="A19" s="365" t="n"/>
      <c r="B19" s="365" t="n"/>
      <c r="C19" s="365" t="n"/>
      <c r="D19" s="366" t="n"/>
      <c r="E19" s="1790" t="n"/>
      <c r="F19" s="368" t="n"/>
      <c r="G19" s="365" t="n"/>
      <c r="H19" s="365" t="n"/>
      <c r="I19" s="365" t="n"/>
      <c r="J19" s="1790" t="n"/>
      <c r="K19" s="365" t="n"/>
      <c r="L19" s="1790" t="n"/>
      <c r="M19" s="1790" t="n"/>
      <c r="N19" s="365" t="n"/>
      <c r="O19" s="365" t="n"/>
      <c r="P19" s="365" t="n"/>
      <c r="Q19" s="365" t="n"/>
      <c r="R19" s="365" t="n"/>
      <c r="S19" s="365" t="n"/>
    </row>
    <row r="20" customFormat="1" s="1710">
      <c r="A20" s="365" t="n"/>
      <c r="B20" s="365" t="n"/>
      <c r="C20" s="365" t="n"/>
      <c r="D20" s="366" t="n"/>
      <c r="E20" s="1790" t="n"/>
      <c r="F20" s="368" t="n"/>
      <c r="G20" s="365" t="n"/>
      <c r="H20" s="365" t="n"/>
      <c r="I20" s="365" t="n"/>
      <c r="J20" s="1790" t="n"/>
      <c r="K20" s="365" t="n"/>
      <c r="L20" s="1790" t="n"/>
      <c r="M20" s="1790" t="n"/>
      <c r="N20" s="365" t="n"/>
      <c r="O20" s="365" t="n"/>
      <c r="P20" s="365" t="n"/>
      <c r="Q20" s="365" t="n"/>
      <c r="R20" s="365" t="n"/>
      <c r="S20" s="365" t="n"/>
    </row>
    <row r="21" customFormat="1" s="1710">
      <c r="A21" s="365" t="n"/>
      <c r="B21" s="365" t="n"/>
      <c r="C21" s="365" t="n"/>
      <c r="D21" s="366" t="n"/>
      <c r="E21" s="1790" t="n"/>
      <c r="F21" s="368" t="n"/>
      <c r="G21" s="365" t="n"/>
      <c r="H21" s="365" t="n"/>
      <c r="I21" s="365" t="n"/>
      <c r="J21" s="1790" t="n"/>
      <c r="K21" s="365" t="n"/>
      <c r="L21" s="1790" t="n"/>
      <c r="M21" s="1790" t="n"/>
      <c r="N21" s="365" t="n"/>
      <c r="O21" s="365" t="n"/>
      <c r="P21" s="365" t="n"/>
      <c r="Q21" s="365" t="n"/>
      <c r="R21" s="365" t="n"/>
      <c r="S21" s="365" t="n"/>
    </row>
    <row r="22" customFormat="1" s="1710">
      <c r="A22" s="365" t="n"/>
      <c r="B22" s="365" t="n"/>
      <c r="C22" s="365" t="n"/>
      <c r="D22" s="366" t="n"/>
      <c r="E22" s="1790" t="n"/>
      <c r="F22" s="368" t="n"/>
      <c r="G22" s="365" t="n"/>
      <c r="H22" s="365" t="n"/>
      <c r="I22" s="365" t="n"/>
      <c r="J22" s="1790" t="n"/>
      <c r="K22" s="365" t="n"/>
      <c r="L22" s="1790" t="n"/>
      <c r="M22" s="1790" t="n"/>
      <c r="N22" s="365" t="n"/>
      <c r="O22" s="365" t="n"/>
      <c r="P22" s="365" t="n"/>
      <c r="Q22" s="365" t="n"/>
      <c r="R22" s="365" t="n"/>
      <c r="S22" s="365" t="n"/>
    </row>
    <row r="23" customFormat="1" s="1710">
      <c r="A23" s="365" t="n"/>
      <c r="B23" s="365" t="n"/>
      <c r="C23" s="365" t="n"/>
      <c r="D23" s="366" t="n"/>
      <c r="E23" s="1790" t="n"/>
      <c r="F23" s="368" t="n"/>
      <c r="G23" s="365" t="n"/>
      <c r="H23" s="365" t="n"/>
      <c r="I23" s="365" t="n"/>
      <c r="J23" s="1790" t="n"/>
      <c r="K23" s="365" t="n"/>
      <c r="L23" s="1790" t="n"/>
      <c r="M23" s="1790" t="n"/>
      <c r="N23" s="365" t="n"/>
      <c r="O23" s="365" t="n"/>
      <c r="P23" s="365" t="n"/>
      <c r="Q23" s="365" t="n"/>
      <c r="R23" s="365" t="n"/>
      <c r="S23" s="365" t="n"/>
    </row>
    <row r="24" customFormat="1" s="1710">
      <c r="A24" s="365" t="n"/>
      <c r="B24" s="365" t="n"/>
      <c r="C24" s="365" t="n"/>
      <c r="D24" s="366" t="n"/>
      <c r="E24" s="1790" t="n"/>
      <c r="F24" s="368" t="n"/>
      <c r="G24" s="365" t="n"/>
      <c r="H24" s="365" t="n"/>
      <c r="I24" s="365" t="n"/>
      <c r="J24" s="1790" t="n"/>
      <c r="K24" s="365" t="n"/>
      <c r="L24" s="1790" t="n"/>
      <c r="M24" s="1790" t="n"/>
      <c r="N24" s="365" t="n"/>
      <c r="O24" s="365" t="n"/>
      <c r="P24" s="365" t="n"/>
      <c r="Q24" s="365" t="n"/>
      <c r="R24" s="365" t="n"/>
      <c r="S24" s="365" t="n"/>
    </row>
    <row r="25" customFormat="1" s="1710">
      <c r="A25" s="365" t="n"/>
      <c r="B25" s="365" t="n"/>
      <c r="C25" s="365" t="n"/>
      <c r="D25" s="366" t="n"/>
      <c r="E25" s="1790" t="n"/>
      <c r="F25" s="368" t="n"/>
      <c r="G25" s="365" t="n"/>
      <c r="H25" s="365" t="n"/>
      <c r="I25" s="365" t="n"/>
      <c r="J25" s="1790" t="n"/>
      <c r="K25" s="365" t="n"/>
      <c r="L25" s="1790" t="n"/>
      <c r="M25" s="1790" t="n"/>
      <c r="N25" s="365" t="n"/>
      <c r="O25" s="365" t="n"/>
      <c r="P25" s="365" t="n"/>
      <c r="Q25" s="365" t="n"/>
      <c r="R25" s="365" t="n"/>
      <c r="S25" s="365" t="n"/>
    </row>
    <row r="26" customFormat="1" s="1710">
      <c r="A26" s="365" t="n"/>
      <c r="B26" s="365" t="n"/>
      <c r="C26" s="365" t="n"/>
      <c r="D26" s="366" t="n"/>
      <c r="E26" s="1790" t="n"/>
      <c r="F26" s="368" t="n"/>
      <c r="G26" s="365" t="n"/>
      <c r="H26" s="365" t="n"/>
      <c r="I26" s="365" t="n"/>
      <c r="J26" s="1790" t="n"/>
      <c r="K26" s="365" t="n"/>
      <c r="L26" s="1790" t="n"/>
      <c r="M26" s="1790" t="n"/>
      <c r="N26" s="365" t="n"/>
      <c r="O26" s="365" t="n"/>
      <c r="P26" s="365" t="n"/>
      <c r="Q26" s="365" t="n"/>
      <c r="R26" s="365" t="n"/>
      <c r="S26" s="365" t="n"/>
    </row>
    <row r="27" customFormat="1" s="1710">
      <c r="A27" s="365" t="n"/>
      <c r="B27" s="365" t="n"/>
      <c r="C27" s="365" t="n"/>
      <c r="D27" s="366" t="n"/>
      <c r="E27" s="1790" t="n"/>
      <c r="F27" s="368" t="n"/>
      <c r="G27" s="365" t="n"/>
      <c r="H27" s="365" t="n"/>
      <c r="I27" s="365" t="n"/>
      <c r="J27" s="1790" t="n"/>
      <c r="K27" s="365" t="n"/>
      <c r="L27" s="1790" t="n"/>
      <c r="M27" s="1790" t="n"/>
      <c r="N27" s="365" t="n"/>
      <c r="O27" s="365" t="n"/>
      <c r="P27" s="365" t="n"/>
      <c r="Q27" s="365" t="n"/>
      <c r="R27" s="365" t="n"/>
      <c r="S27" s="365" t="n"/>
    </row>
    <row r="28" customFormat="1" s="1710">
      <c r="A28" s="365" t="n"/>
      <c r="B28" s="365" t="n"/>
      <c r="C28" s="365" t="n"/>
      <c r="D28" s="366" t="n"/>
      <c r="E28" s="1790" t="n"/>
      <c r="F28" s="368" t="n"/>
      <c r="G28" s="365" t="n"/>
      <c r="H28" s="365" t="n"/>
      <c r="I28" s="365" t="n"/>
      <c r="J28" s="1790" t="n"/>
      <c r="K28" s="365" t="n"/>
      <c r="L28" s="1790" t="n"/>
      <c r="M28" s="1790" t="n"/>
      <c r="N28" s="365" t="n"/>
      <c r="O28" s="365" t="n"/>
      <c r="P28" s="365" t="n"/>
      <c r="Q28" s="365" t="n"/>
      <c r="R28" s="365" t="n"/>
      <c r="S28" s="365" t="n"/>
    </row>
    <row r="29" customFormat="1" s="1710">
      <c r="D29" s="1821" t="n"/>
      <c r="E29" s="1821" t="n"/>
      <c r="I29" s="1821" t="n"/>
      <c r="J29" s="1821" t="n"/>
      <c r="K29" s="1821" t="n"/>
      <c r="M29" s="1821" t="n"/>
      <c r="N29" s="1821" t="n"/>
      <c r="O29" s="1821" t="n"/>
      <c r="P29" s="1821" t="n"/>
      <c r="Q29" s="1821" t="n"/>
      <c r="R29" s="1821" t="n"/>
    </row>
    <row r="30" customFormat="1" s="352">
      <c r="A30" s="370" t="inlineStr">
        <is>
          <t>三、审计说明：</t>
        </is>
      </c>
    </row>
    <row r="31" customFormat="1" s="352">
      <c r="A31" s="194" t="inlineStr">
        <is>
          <t>【记录发现的差异或者其他异常交易安排的迹象，以及所执行的应对措施。】</t>
        </is>
      </c>
    </row>
    <row r="32" customFormat="1" s="352">
      <c r="A32" s="370" t="inlineStr">
        <is>
          <t>四、审计结论：</t>
        </is>
      </c>
    </row>
    <row r="33" customFormat="1" s="352"/>
    <row r="34" customFormat="1" s="1710"/>
  </sheetData>
  <mergeCells count="17">
    <mergeCell ref="H11:H12"/>
    <mergeCell ref="A2:S2"/>
    <mergeCell ref="K11:K12"/>
    <mergeCell ref="O11:S11"/>
    <mergeCell ref="A1:S1"/>
    <mergeCell ref="M11:M12"/>
    <mergeCell ref="B11:B12"/>
    <mergeCell ref="C11:C12"/>
    <mergeCell ref="D11:D12"/>
    <mergeCell ref="G11:G12"/>
    <mergeCell ref="E11:E12"/>
    <mergeCell ref="A11:A12"/>
    <mergeCell ref="I11:I12"/>
    <mergeCell ref="F11:F12"/>
    <mergeCell ref="L11:L12"/>
    <mergeCell ref="J11:J12"/>
    <mergeCell ref="N11:N12"/>
  </mergeCells>
  <hyperlinks>
    <hyperlink ref="S3" location="底稿目录!A1" display="='D:\GT_plan\backend\wp_templates\D\[D4-22至D4-32营业收入-IPO 上市 新三板 重组 舞弊应对.xlsx]底稿目录'!F8"/>
  </hyperlinks>
  <pageMargins left="0.708333333333333" right="0.708333333333333" top="0.747916666666667" bottom="0.747916666666667" header="0.314583333333333" footer="0.314583333333333"/>
  <pageSetup orientation="landscape" paperSize="9" scale="75" blackAndWhite="1"/>
  <headerFooter>
    <oddHeader/>
    <oddFooter>&amp;C&amp;P/&amp;N</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1:S41"/>
  <sheetViews>
    <sheetView view="pageBreakPreview" zoomScaleNormal="100" workbookViewId="0">
      <selection activeCell="A1" sqref="A1:R1"/>
    </sheetView>
  </sheetViews>
  <sheetFormatPr baseColWidth="8" defaultColWidth="9.81818181818182" defaultRowHeight="13"/>
  <cols>
    <col width="5.45454545454545" customWidth="1" style="320" min="1" max="1"/>
    <col width="7.39090909090909" customWidth="1" style="320" min="2" max="2"/>
    <col width="6.41818181818182" customWidth="1" style="320" min="3" max="3"/>
    <col width="7.87272727272727" customWidth="1" style="320" min="4" max="4"/>
    <col width="7.50909090909091" customWidth="1" style="320" min="5" max="5"/>
    <col width="5.93636363636364" customWidth="1" style="320" min="6" max="11"/>
    <col width="5.32727272727273" customWidth="1" style="320" min="12" max="12"/>
    <col width="5.45454545454545" customWidth="1" style="321" min="13" max="13"/>
    <col width="14.5454545454545" customWidth="1" style="321" min="14" max="14"/>
    <col width="11.3909090909091" customWidth="1" style="321" min="15" max="15"/>
    <col width="9.69090909090909" customWidth="1" style="347" min="16" max="16"/>
    <col width="22.6636363636364" customWidth="1" style="320" min="17" max="17"/>
    <col width="10.6636363636364" customWidth="1" style="320" min="18" max="18"/>
    <col width="9.81818181818182" customWidth="1" style="320" min="19" max="256"/>
    <col width="5.45454545454545" customWidth="1" style="320" min="257" max="257"/>
    <col width="7.39090909090909" customWidth="1" style="320" min="258" max="258"/>
    <col width="6.41818181818182" customWidth="1" style="320" min="259" max="259"/>
    <col width="7.87272727272727" customWidth="1" style="320" min="260" max="260"/>
    <col width="7.50909090909091" customWidth="1" style="320" min="261" max="261"/>
    <col width="5.93636363636364" customWidth="1" style="320" min="262" max="267"/>
    <col width="5.32727272727273" customWidth="1" style="320" min="268" max="268"/>
    <col width="5.45454545454545" customWidth="1" style="320" min="269" max="269"/>
    <col width="14.5454545454545" customWidth="1" style="320" min="270" max="270"/>
    <col width="11.3909090909091" customWidth="1" style="320" min="271" max="271"/>
    <col width="9.69090909090909" customWidth="1" style="320" min="272" max="272"/>
    <col width="22.6636363636364" customWidth="1" style="320" min="273" max="273"/>
    <col width="10.6636363636364" customWidth="1" style="320" min="274" max="274"/>
    <col width="9.81818181818182" customWidth="1" style="320" min="275" max="512"/>
    <col width="5.45454545454545" customWidth="1" style="320" min="513" max="513"/>
    <col width="7.39090909090909" customWidth="1" style="320" min="514" max="514"/>
    <col width="6.41818181818182" customWidth="1" style="320" min="515" max="515"/>
    <col width="7.87272727272727" customWidth="1" style="320" min="516" max="516"/>
    <col width="7.50909090909091" customWidth="1" style="320" min="517" max="517"/>
    <col width="5.93636363636364" customWidth="1" style="320" min="518" max="523"/>
    <col width="5.32727272727273" customWidth="1" style="320" min="524" max="524"/>
    <col width="5.45454545454545" customWidth="1" style="320" min="525" max="525"/>
    <col width="14.5454545454545" customWidth="1" style="320" min="526" max="526"/>
    <col width="11.3909090909091" customWidth="1" style="320" min="527" max="527"/>
    <col width="9.69090909090909" customWidth="1" style="320" min="528" max="528"/>
    <col width="22.6636363636364" customWidth="1" style="320" min="529" max="529"/>
    <col width="10.6636363636364" customWidth="1" style="320" min="530" max="530"/>
    <col width="9.81818181818182" customWidth="1" style="320" min="531" max="768"/>
    <col width="5.45454545454545" customWidth="1" style="320" min="769" max="769"/>
    <col width="7.39090909090909" customWidth="1" style="320" min="770" max="770"/>
    <col width="6.41818181818182" customWidth="1" style="320" min="771" max="771"/>
    <col width="7.87272727272727" customWidth="1" style="320" min="772" max="772"/>
    <col width="7.50909090909091" customWidth="1" style="320" min="773" max="773"/>
    <col width="5.93636363636364" customWidth="1" style="320" min="774" max="779"/>
    <col width="5.32727272727273" customWidth="1" style="320" min="780" max="780"/>
    <col width="5.45454545454545" customWidth="1" style="320" min="781" max="781"/>
    <col width="14.5454545454545" customWidth="1" style="320" min="782" max="782"/>
    <col width="11.3909090909091" customWidth="1" style="320" min="783" max="783"/>
    <col width="9.69090909090909" customWidth="1" style="320" min="784" max="784"/>
    <col width="22.6636363636364" customWidth="1" style="320" min="785" max="785"/>
    <col width="10.6636363636364" customWidth="1" style="320" min="786" max="786"/>
    <col width="9.81818181818182" customWidth="1" style="320" min="787" max="1024"/>
    <col width="5.45454545454545" customWidth="1" style="320" min="1025" max="1025"/>
    <col width="7.39090909090909" customWidth="1" style="320" min="1026" max="1026"/>
    <col width="6.41818181818182" customWidth="1" style="320" min="1027" max="1027"/>
    <col width="7.87272727272727" customWidth="1" style="320" min="1028" max="1028"/>
    <col width="7.50909090909091" customWidth="1" style="320" min="1029" max="1029"/>
    <col width="5.93636363636364" customWidth="1" style="320" min="1030" max="1035"/>
    <col width="5.32727272727273" customWidth="1" style="320" min="1036" max="1036"/>
    <col width="5.45454545454545" customWidth="1" style="320" min="1037" max="1037"/>
    <col width="14.5454545454545" customWidth="1" style="320" min="1038" max="1038"/>
    <col width="11.3909090909091" customWidth="1" style="320" min="1039" max="1039"/>
    <col width="9.69090909090909" customWidth="1" style="320" min="1040" max="1040"/>
    <col width="22.6636363636364" customWidth="1" style="320" min="1041" max="1041"/>
    <col width="10.6636363636364" customWidth="1" style="320" min="1042" max="1042"/>
    <col width="9.81818181818182" customWidth="1" style="320" min="1043" max="1280"/>
    <col width="5.45454545454545" customWidth="1" style="320" min="1281" max="1281"/>
    <col width="7.39090909090909" customWidth="1" style="320" min="1282" max="1282"/>
    <col width="6.41818181818182" customWidth="1" style="320" min="1283" max="1283"/>
    <col width="7.87272727272727" customWidth="1" style="320" min="1284" max="1284"/>
    <col width="7.50909090909091" customWidth="1" style="320" min="1285" max="1285"/>
    <col width="5.93636363636364" customWidth="1" style="320" min="1286" max="1291"/>
    <col width="5.32727272727273" customWidth="1" style="320" min="1292" max="1292"/>
    <col width="5.45454545454545" customWidth="1" style="320" min="1293" max="1293"/>
    <col width="14.5454545454545" customWidth="1" style="320" min="1294" max="1294"/>
    <col width="11.3909090909091" customWidth="1" style="320" min="1295" max="1295"/>
    <col width="9.69090909090909" customWidth="1" style="320" min="1296" max="1296"/>
    <col width="22.6636363636364" customWidth="1" style="320" min="1297" max="1297"/>
    <col width="10.6636363636364" customWidth="1" style="320" min="1298" max="1298"/>
    <col width="9.81818181818182" customWidth="1" style="320" min="1299" max="1536"/>
    <col width="5.45454545454545" customWidth="1" style="320" min="1537" max="1537"/>
    <col width="7.39090909090909" customWidth="1" style="320" min="1538" max="1538"/>
    <col width="6.41818181818182" customWidth="1" style="320" min="1539" max="1539"/>
    <col width="7.87272727272727" customWidth="1" style="320" min="1540" max="1540"/>
    <col width="7.50909090909091" customWidth="1" style="320" min="1541" max="1541"/>
    <col width="5.93636363636364" customWidth="1" style="320" min="1542" max="1547"/>
    <col width="5.32727272727273" customWidth="1" style="320" min="1548" max="1548"/>
    <col width="5.45454545454545" customWidth="1" style="320" min="1549" max="1549"/>
    <col width="14.5454545454545" customWidth="1" style="320" min="1550" max="1550"/>
    <col width="11.3909090909091" customWidth="1" style="320" min="1551" max="1551"/>
    <col width="9.69090909090909" customWidth="1" style="320" min="1552" max="1552"/>
    <col width="22.6636363636364" customWidth="1" style="320" min="1553" max="1553"/>
    <col width="10.6636363636364" customWidth="1" style="320" min="1554" max="1554"/>
    <col width="9.81818181818182" customWidth="1" style="320" min="1555" max="1792"/>
    <col width="5.45454545454545" customWidth="1" style="320" min="1793" max="1793"/>
    <col width="7.39090909090909" customWidth="1" style="320" min="1794" max="1794"/>
    <col width="6.41818181818182" customWidth="1" style="320" min="1795" max="1795"/>
    <col width="7.87272727272727" customWidth="1" style="320" min="1796" max="1796"/>
    <col width="7.50909090909091" customWidth="1" style="320" min="1797" max="1797"/>
    <col width="5.93636363636364" customWidth="1" style="320" min="1798" max="1803"/>
    <col width="5.32727272727273" customWidth="1" style="320" min="1804" max="1804"/>
    <col width="5.45454545454545" customWidth="1" style="320" min="1805" max="1805"/>
    <col width="14.5454545454545" customWidth="1" style="320" min="1806" max="1806"/>
    <col width="11.3909090909091" customWidth="1" style="320" min="1807" max="1807"/>
    <col width="9.69090909090909" customWidth="1" style="320" min="1808" max="1808"/>
    <col width="22.6636363636364" customWidth="1" style="320" min="1809" max="1809"/>
    <col width="10.6636363636364" customWidth="1" style="320" min="1810" max="1810"/>
    <col width="9.81818181818182" customWidth="1" style="320" min="1811" max="2048"/>
    <col width="5.45454545454545" customWidth="1" style="320" min="2049" max="2049"/>
    <col width="7.39090909090909" customWidth="1" style="320" min="2050" max="2050"/>
    <col width="6.41818181818182" customWidth="1" style="320" min="2051" max="2051"/>
    <col width="7.87272727272727" customWidth="1" style="320" min="2052" max="2052"/>
    <col width="7.50909090909091" customWidth="1" style="320" min="2053" max="2053"/>
    <col width="5.93636363636364" customWidth="1" style="320" min="2054" max="2059"/>
    <col width="5.32727272727273" customWidth="1" style="320" min="2060" max="2060"/>
    <col width="5.45454545454545" customWidth="1" style="320" min="2061" max="2061"/>
    <col width="14.5454545454545" customWidth="1" style="320" min="2062" max="2062"/>
    <col width="11.3909090909091" customWidth="1" style="320" min="2063" max="2063"/>
    <col width="9.69090909090909" customWidth="1" style="320" min="2064" max="2064"/>
    <col width="22.6636363636364" customWidth="1" style="320" min="2065" max="2065"/>
    <col width="10.6636363636364" customWidth="1" style="320" min="2066" max="2066"/>
    <col width="9.81818181818182" customWidth="1" style="320" min="2067" max="2304"/>
    <col width="5.45454545454545" customWidth="1" style="320" min="2305" max="2305"/>
    <col width="7.39090909090909" customWidth="1" style="320" min="2306" max="2306"/>
    <col width="6.41818181818182" customWidth="1" style="320" min="2307" max="2307"/>
    <col width="7.87272727272727" customWidth="1" style="320" min="2308" max="2308"/>
    <col width="7.50909090909091" customWidth="1" style="320" min="2309" max="2309"/>
    <col width="5.93636363636364" customWidth="1" style="320" min="2310" max="2315"/>
    <col width="5.32727272727273" customWidth="1" style="320" min="2316" max="2316"/>
    <col width="5.45454545454545" customWidth="1" style="320" min="2317" max="2317"/>
    <col width="14.5454545454545" customWidth="1" style="320" min="2318" max="2318"/>
    <col width="11.3909090909091" customWidth="1" style="320" min="2319" max="2319"/>
    <col width="9.69090909090909" customWidth="1" style="320" min="2320" max="2320"/>
    <col width="22.6636363636364" customWidth="1" style="320" min="2321" max="2321"/>
    <col width="10.6636363636364" customWidth="1" style="320" min="2322" max="2322"/>
    <col width="9.81818181818182" customWidth="1" style="320" min="2323" max="2560"/>
    <col width="5.45454545454545" customWidth="1" style="320" min="2561" max="2561"/>
    <col width="7.39090909090909" customWidth="1" style="320" min="2562" max="2562"/>
    <col width="6.41818181818182" customWidth="1" style="320" min="2563" max="2563"/>
    <col width="7.87272727272727" customWidth="1" style="320" min="2564" max="2564"/>
    <col width="7.50909090909091" customWidth="1" style="320" min="2565" max="2565"/>
    <col width="5.93636363636364" customWidth="1" style="320" min="2566" max="2571"/>
    <col width="5.32727272727273" customWidth="1" style="320" min="2572" max="2572"/>
    <col width="5.45454545454545" customWidth="1" style="320" min="2573" max="2573"/>
    <col width="14.5454545454545" customWidth="1" style="320" min="2574" max="2574"/>
    <col width="11.3909090909091" customWidth="1" style="320" min="2575" max="2575"/>
    <col width="9.69090909090909" customWidth="1" style="320" min="2576" max="2576"/>
    <col width="22.6636363636364" customWidth="1" style="320" min="2577" max="2577"/>
    <col width="10.6636363636364" customWidth="1" style="320" min="2578" max="2578"/>
    <col width="9.81818181818182" customWidth="1" style="320" min="2579" max="2816"/>
    <col width="5.45454545454545" customWidth="1" style="320" min="2817" max="2817"/>
    <col width="7.39090909090909" customWidth="1" style="320" min="2818" max="2818"/>
    <col width="6.41818181818182" customWidth="1" style="320" min="2819" max="2819"/>
    <col width="7.87272727272727" customWidth="1" style="320" min="2820" max="2820"/>
    <col width="7.50909090909091" customWidth="1" style="320" min="2821" max="2821"/>
    <col width="5.93636363636364" customWidth="1" style="320" min="2822" max="2827"/>
    <col width="5.32727272727273" customWidth="1" style="320" min="2828" max="2828"/>
    <col width="5.45454545454545" customWidth="1" style="320" min="2829" max="2829"/>
    <col width="14.5454545454545" customWidth="1" style="320" min="2830" max="2830"/>
    <col width="11.3909090909091" customWidth="1" style="320" min="2831" max="2831"/>
    <col width="9.69090909090909" customWidth="1" style="320" min="2832" max="2832"/>
    <col width="22.6636363636364" customWidth="1" style="320" min="2833" max="2833"/>
    <col width="10.6636363636364" customWidth="1" style="320" min="2834" max="2834"/>
    <col width="9.81818181818182" customWidth="1" style="320" min="2835" max="3072"/>
    <col width="5.45454545454545" customWidth="1" style="320" min="3073" max="3073"/>
    <col width="7.39090909090909" customWidth="1" style="320" min="3074" max="3074"/>
    <col width="6.41818181818182" customWidth="1" style="320" min="3075" max="3075"/>
    <col width="7.87272727272727" customWidth="1" style="320" min="3076" max="3076"/>
    <col width="7.50909090909091" customWidth="1" style="320" min="3077" max="3077"/>
    <col width="5.93636363636364" customWidth="1" style="320" min="3078" max="3083"/>
    <col width="5.32727272727273" customWidth="1" style="320" min="3084" max="3084"/>
    <col width="5.45454545454545" customWidth="1" style="320" min="3085" max="3085"/>
    <col width="14.5454545454545" customWidth="1" style="320" min="3086" max="3086"/>
    <col width="11.3909090909091" customWidth="1" style="320" min="3087" max="3087"/>
    <col width="9.69090909090909" customWidth="1" style="320" min="3088" max="3088"/>
    <col width="22.6636363636364" customWidth="1" style="320" min="3089" max="3089"/>
    <col width="10.6636363636364" customWidth="1" style="320" min="3090" max="3090"/>
    <col width="9.81818181818182" customWidth="1" style="320" min="3091" max="3328"/>
    <col width="5.45454545454545" customWidth="1" style="320" min="3329" max="3329"/>
    <col width="7.39090909090909" customWidth="1" style="320" min="3330" max="3330"/>
    <col width="6.41818181818182" customWidth="1" style="320" min="3331" max="3331"/>
    <col width="7.87272727272727" customWidth="1" style="320" min="3332" max="3332"/>
    <col width="7.50909090909091" customWidth="1" style="320" min="3333" max="3333"/>
    <col width="5.93636363636364" customWidth="1" style="320" min="3334" max="3339"/>
    <col width="5.32727272727273" customWidth="1" style="320" min="3340" max="3340"/>
    <col width="5.45454545454545" customWidth="1" style="320" min="3341" max="3341"/>
    <col width="14.5454545454545" customWidth="1" style="320" min="3342" max="3342"/>
    <col width="11.3909090909091" customWidth="1" style="320" min="3343" max="3343"/>
    <col width="9.69090909090909" customWidth="1" style="320" min="3344" max="3344"/>
    <col width="22.6636363636364" customWidth="1" style="320" min="3345" max="3345"/>
    <col width="10.6636363636364" customWidth="1" style="320" min="3346" max="3346"/>
    <col width="9.81818181818182" customWidth="1" style="320" min="3347" max="3584"/>
    <col width="5.45454545454545" customWidth="1" style="320" min="3585" max="3585"/>
    <col width="7.39090909090909" customWidth="1" style="320" min="3586" max="3586"/>
    <col width="6.41818181818182" customWidth="1" style="320" min="3587" max="3587"/>
    <col width="7.87272727272727" customWidth="1" style="320" min="3588" max="3588"/>
    <col width="7.50909090909091" customWidth="1" style="320" min="3589" max="3589"/>
    <col width="5.93636363636364" customWidth="1" style="320" min="3590" max="3595"/>
    <col width="5.32727272727273" customWidth="1" style="320" min="3596" max="3596"/>
    <col width="5.45454545454545" customWidth="1" style="320" min="3597" max="3597"/>
    <col width="14.5454545454545" customWidth="1" style="320" min="3598" max="3598"/>
    <col width="11.3909090909091" customWidth="1" style="320" min="3599" max="3599"/>
    <col width="9.69090909090909" customWidth="1" style="320" min="3600" max="3600"/>
    <col width="22.6636363636364" customWidth="1" style="320" min="3601" max="3601"/>
    <col width="10.6636363636364" customWidth="1" style="320" min="3602" max="3602"/>
    <col width="9.81818181818182" customWidth="1" style="320" min="3603" max="3840"/>
    <col width="5.45454545454545" customWidth="1" style="320" min="3841" max="3841"/>
    <col width="7.39090909090909" customWidth="1" style="320" min="3842" max="3842"/>
    <col width="6.41818181818182" customWidth="1" style="320" min="3843" max="3843"/>
    <col width="7.87272727272727" customWidth="1" style="320" min="3844" max="3844"/>
    <col width="7.50909090909091" customWidth="1" style="320" min="3845" max="3845"/>
    <col width="5.93636363636364" customWidth="1" style="320" min="3846" max="3851"/>
    <col width="5.32727272727273" customWidth="1" style="320" min="3852" max="3852"/>
    <col width="5.45454545454545" customWidth="1" style="320" min="3853" max="3853"/>
    <col width="14.5454545454545" customWidth="1" style="320" min="3854" max="3854"/>
    <col width="11.3909090909091" customWidth="1" style="320" min="3855" max="3855"/>
    <col width="9.69090909090909" customWidth="1" style="320" min="3856" max="3856"/>
    <col width="22.6636363636364" customWidth="1" style="320" min="3857" max="3857"/>
    <col width="10.6636363636364" customWidth="1" style="320" min="3858" max="3858"/>
    <col width="9.81818181818182" customWidth="1" style="320" min="3859" max="4096"/>
    <col width="5.45454545454545" customWidth="1" style="320" min="4097" max="4097"/>
    <col width="7.39090909090909" customWidth="1" style="320" min="4098" max="4098"/>
    <col width="6.41818181818182" customWidth="1" style="320" min="4099" max="4099"/>
    <col width="7.87272727272727" customWidth="1" style="320" min="4100" max="4100"/>
    <col width="7.50909090909091" customWidth="1" style="320" min="4101" max="4101"/>
    <col width="5.93636363636364" customWidth="1" style="320" min="4102" max="4107"/>
    <col width="5.32727272727273" customWidth="1" style="320" min="4108" max="4108"/>
    <col width="5.45454545454545" customWidth="1" style="320" min="4109" max="4109"/>
    <col width="14.5454545454545" customWidth="1" style="320" min="4110" max="4110"/>
    <col width="11.3909090909091" customWidth="1" style="320" min="4111" max="4111"/>
    <col width="9.69090909090909" customWidth="1" style="320" min="4112" max="4112"/>
    <col width="22.6636363636364" customWidth="1" style="320" min="4113" max="4113"/>
    <col width="10.6636363636364" customWidth="1" style="320" min="4114" max="4114"/>
    <col width="9.81818181818182" customWidth="1" style="320" min="4115" max="4352"/>
    <col width="5.45454545454545" customWidth="1" style="320" min="4353" max="4353"/>
    <col width="7.39090909090909" customWidth="1" style="320" min="4354" max="4354"/>
    <col width="6.41818181818182" customWidth="1" style="320" min="4355" max="4355"/>
    <col width="7.87272727272727" customWidth="1" style="320" min="4356" max="4356"/>
    <col width="7.50909090909091" customWidth="1" style="320" min="4357" max="4357"/>
    <col width="5.93636363636364" customWidth="1" style="320" min="4358" max="4363"/>
    <col width="5.32727272727273" customWidth="1" style="320" min="4364" max="4364"/>
    <col width="5.45454545454545" customWidth="1" style="320" min="4365" max="4365"/>
    <col width="14.5454545454545" customWidth="1" style="320" min="4366" max="4366"/>
    <col width="11.3909090909091" customWidth="1" style="320" min="4367" max="4367"/>
    <col width="9.69090909090909" customWidth="1" style="320" min="4368" max="4368"/>
    <col width="22.6636363636364" customWidth="1" style="320" min="4369" max="4369"/>
    <col width="10.6636363636364" customWidth="1" style="320" min="4370" max="4370"/>
    <col width="9.81818181818182" customWidth="1" style="320" min="4371" max="4608"/>
    <col width="5.45454545454545" customWidth="1" style="320" min="4609" max="4609"/>
    <col width="7.39090909090909" customWidth="1" style="320" min="4610" max="4610"/>
    <col width="6.41818181818182" customWidth="1" style="320" min="4611" max="4611"/>
    <col width="7.87272727272727" customWidth="1" style="320" min="4612" max="4612"/>
    <col width="7.50909090909091" customWidth="1" style="320" min="4613" max="4613"/>
    <col width="5.93636363636364" customWidth="1" style="320" min="4614" max="4619"/>
    <col width="5.32727272727273" customWidth="1" style="320" min="4620" max="4620"/>
    <col width="5.45454545454545" customWidth="1" style="320" min="4621" max="4621"/>
    <col width="14.5454545454545" customWidth="1" style="320" min="4622" max="4622"/>
    <col width="11.3909090909091" customWidth="1" style="320" min="4623" max="4623"/>
    <col width="9.69090909090909" customWidth="1" style="320" min="4624" max="4624"/>
    <col width="22.6636363636364" customWidth="1" style="320" min="4625" max="4625"/>
    <col width="10.6636363636364" customWidth="1" style="320" min="4626" max="4626"/>
    <col width="9.81818181818182" customWidth="1" style="320" min="4627" max="4864"/>
    <col width="5.45454545454545" customWidth="1" style="320" min="4865" max="4865"/>
    <col width="7.39090909090909" customWidth="1" style="320" min="4866" max="4866"/>
    <col width="6.41818181818182" customWidth="1" style="320" min="4867" max="4867"/>
    <col width="7.87272727272727" customWidth="1" style="320" min="4868" max="4868"/>
    <col width="7.50909090909091" customWidth="1" style="320" min="4869" max="4869"/>
    <col width="5.93636363636364" customWidth="1" style="320" min="4870" max="4875"/>
    <col width="5.32727272727273" customWidth="1" style="320" min="4876" max="4876"/>
    <col width="5.45454545454545" customWidth="1" style="320" min="4877" max="4877"/>
    <col width="14.5454545454545" customWidth="1" style="320" min="4878" max="4878"/>
    <col width="11.3909090909091" customWidth="1" style="320" min="4879" max="4879"/>
    <col width="9.69090909090909" customWidth="1" style="320" min="4880" max="4880"/>
    <col width="22.6636363636364" customWidth="1" style="320" min="4881" max="4881"/>
    <col width="10.6636363636364" customWidth="1" style="320" min="4882" max="4882"/>
    <col width="9.81818181818182" customWidth="1" style="320" min="4883" max="5120"/>
    <col width="5.45454545454545" customWidth="1" style="320" min="5121" max="5121"/>
    <col width="7.39090909090909" customWidth="1" style="320" min="5122" max="5122"/>
    <col width="6.41818181818182" customWidth="1" style="320" min="5123" max="5123"/>
    <col width="7.87272727272727" customWidth="1" style="320" min="5124" max="5124"/>
    <col width="7.50909090909091" customWidth="1" style="320" min="5125" max="5125"/>
    <col width="5.93636363636364" customWidth="1" style="320" min="5126" max="5131"/>
    <col width="5.32727272727273" customWidth="1" style="320" min="5132" max="5132"/>
    <col width="5.45454545454545" customWidth="1" style="320" min="5133" max="5133"/>
    <col width="14.5454545454545" customWidth="1" style="320" min="5134" max="5134"/>
    <col width="11.3909090909091" customWidth="1" style="320" min="5135" max="5135"/>
    <col width="9.69090909090909" customWidth="1" style="320" min="5136" max="5136"/>
    <col width="22.6636363636364" customWidth="1" style="320" min="5137" max="5137"/>
    <col width="10.6636363636364" customWidth="1" style="320" min="5138" max="5138"/>
    <col width="9.81818181818182" customWidth="1" style="320" min="5139" max="5376"/>
    <col width="5.45454545454545" customWidth="1" style="320" min="5377" max="5377"/>
    <col width="7.39090909090909" customWidth="1" style="320" min="5378" max="5378"/>
    <col width="6.41818181818182" customWidth="1" style="320" min="5379" max="5379"/>
    <col width="7.87272727272727" customWidth="1" style="320" min="5380" max="5380"/>
    <col width="7.50909090909091" customWidth="1" style="320" min="5381" max="5381"/>
    <col width="5.93636363636364" customWidth="1" style="320" min="5382" max="5387"/>
    <col width="5.32727272727273" customWidth="1" style="320" min="5388" max="5388"/>
    <col width="5.45454545454545" customWidth="1" style="320" min="5389" max="5389"/>
    <col width="14.5454545454545" customWidth="1" style="320" min="5390" max="5390"/>
    <col width="11.3909090909091" customWidth="1" style="320" min="5391" max="5391"/>
    <col width="9.69090909090909" customWidth="1" style="320" min="5392" max="5392"/>
    <col width="22.6636363636364" customWidth="1" style="320" min="5393" max="5393"/>
    <col width="10.6636363636364" customWidth="1" style="320" min="5394" max="5394"/>
    <col width="9.81818181818182" customWidth="1" style="320" min="5395" max="5632"/>
    <col width="5.45454545454545" customWidth="1" style="320" min="5633" max="5633"/>
    <col width="7.39090909090909" customWidth="1" style="320" min="5634" max="5634"/>
    <col width="6.41818181818182" customWidth="1" style="320" min="5635" max="5635"/>
    <col width="7.87272727272727" customWidth="1" style="320" min="5636" max="5636"/>
    <col width="7.50909090909091" customWidth="1" style="320" min="5637" max="5637"/>
    <col width="5.93636363636364" customWidth="1" style="320" min="5638" max="5643"/>
    <col width="5.32727272727273" customWidth="1" style="320" min="5644" max="5644"/>
    <col width="5.45454545454545" customWidth="1" style="320" min="5645" max="5645"/>
    <col width="14.5454545454545" customWidth="1" style="320" min="5646" max="5646"/>
    <col width="11.3909090909091" customWidth="1" style="320" min="5647" max="5647"/>
    <col width="9.69090909090909" customWidth="1" style="320" min="5648" max="5648"/>
    <col width="22.6636363636364" customWidth="1" style="320" min="5649" max="5649"/>
    <col width="10.6636363636364" customWidth="1" style="320" min="5650" max="5650"/>
    <col width="9.81818181818182" customWidth="1" style="320" min="5651" max="5888"/>
    <col width="5.45454545454545" customWidth="1" style="320" min="5889" max="5889"/>
    <col width="7.39090909090909" customWidth="1" style="320" min="5890" max="5890"/>
    <col width="6.41818181818182" customWidth="1" style="320" min="5891" max="5891"/>
    <col width="7.87272727272727" customWidth="1" style="320" min="5892" max="5892"/>
    <col width="7.50909090909091" customWidth="1" style="320" min="5893" max="5893"/>
    <col width="5.93636363636364" customWidth="1" style="320" min="5894" max="5899"/>
    <col width="5.32727272727273" customWidth="1" style="320" min="5900" max="5900"/>
    <col width="5.45454545454545" customWidth="1" style="320" min="5901" max="5901"/>
    <col width="14.5454545454545" customWidth="1" style="320" min="5902" max="5902"/>
    <col width="11.3909090909091" customWidth="1" style="320" min="5903" max="5903"/>
    <col width="9.69090909090909" customWidth="1" style="320" min="5904" max="5904"/>
    <col width="22.6636363636364" customWidth="1" style="320" min="5905" max="5905"/>
    <col width="10.6636363636364" customWidth="1" style="320" min="5906" max="5906"/>
    <col width="9.81818181818182" customWidth="1" style="320" min="5907" max="6144"/>
    <col width="5.45454545454545" customWidth="1" style="320" min="6145" max="6145"/>
    <col width="7.39090909090909" customWidth="1" style="320" min="6146" max="6146"/>
    <col width="6.41818181818182" customWidth="1" style="320" min="6147" max="6147"/>
    <col width="7.87272727272727" customWidth="1" style="320" min="6148" max="6148"/>
    <col width="7.50909090909091" customWidth="1" style="320" min="6149" max="6149"/>
    <col width="5.93636363636364" customWidth="1" style="320" min="6150" max="6155"/>
    <col width="5.32727272727273" customWidth="1" style="320" min="6156" max="6156"/>
    <col width="5.45454545454545" customWidth="1" style="320" min="6157" max="6157"/>
    <col width="14.5454545454545" customWidth="1" style="320" min="6158" max="6158"/>
    <col width="11.3909090909091" customWidth="1" style="320" min="6159" max="6159"/>
    <col width="9.69090909090909" customWidth="1" style="320" min="6160" max="6160"/>
    <col width="22.6636363636364" customWidth="1" style="320" min="6161" max="6161"/>
    <col width="10.6636363636364" customWidth="1" style="320" min="6162" max="6162"/>
    <col width="9.81818181818182" customWidth="1" style="320" min="6163" max="6400"/>
    <col width="5.45454545454545" customWidth="1" style="320" min="6401" max="6401"/>
    <col width="7.39090909090909" customWidth="1" style="320" min="6402" max="6402"/>
    <col width="6.41818181818182" customWidth="1" style="320" min="6403" max="6403"/>
    <col width="7.87272727272727" customWidth="1" style="320" min="6404" max="6404"/>
    <col width="7.50909090909091" customWidth="1" style="320" min="6405" max="6405"/>
    <col width="5.93636363636364" customWidth="1" style="320" min="6406" max="6411"/>
    <col width="5.32727272727273" customWidth="1" style="320" min="6412" max="6412"/>
    <col width="5.45454545454545" customWidth="1" style="320" min="6413" max="6413"/>
    <col width="14.5454545454545" customWidth="1" style="320" min="6414" max="6414"/>
    <col width="11.3909090909091" customWidth="1" style="320" min="6415" max="6415"/>
    <col width="9.69090909090909" customWidth="1" style="320" min="6416" max="6416"/>
    <col width="22.6636363636364" customWidth="1" style="320" min="6417" max="6417"/>
    <col width="10.6636363636364" customWidth="1" style="320" min="6418" max="6418"/>
    <col width="9.81818181818182" customWidth="1" style="320" min="6419" max="6656"/>
    <col width="5.45454545454545" customWidth="1" style="320" min="6657" max="6657"/>
    <col width="7.39090909090909" customWidth="1" style="320" min="6658" max="6658"/>
    <col width="6.41818181818182" customWidth="1" style="320" min="6659" max="6659"/>
    <col width="7.87272727272727" customWidth="1" style="320" min="6660" max="6660"/>
    <col width="7.50909090909091" customWidth="1" style="320" min="6661" max="6661"/>
    <col width="5.93636363636364" customWidth="1" style="320" min="6662" max="6667"/>
    <col width="5.32727272727273" customWidth="1" style="320" min="6668" max="6668"/>
    <col width="5.45454545454545" customWidth="1" style="320" min="6669" max="6669"/>
    <col width="14.5454545454545" customWidth="1" style="320" min="6670" max="6670"/>
    <col width="11.3909090909091" customWidth="1" style="320" min="6671" max="6671"/>
    <col width="9.69090909090909" customWidth="1" style="320" min="6672" max="6672"/>
    <col width="22.6636363636364" customWidth="1" style="320" min="6673" max="6673"/>
    <col width="10.6636363636364" customWidth="1" style="320" min="6674" max="6674"/>
    <col width="9.81818181818182" customWidth="1" style="320" min="6675" max="6912"/>
    <col width="5.45454545454545" customWidth="1" style="320" min="6913" max="6913"/>
    <col width="7.39090909090909" customWidth="1" style="320" min="6914" max="6914"/>
    <col width="6.41818181818182" customWidth="1" style="320" min="6915" max="6915"/>
    <col width="7.87272727272727" customWidth="1" style="320" min="6916" max="6916"/>
    <col width="7.50909090909091" customWidth="1" style="320" min="6917" max="6917"/>
    <col width="5.93636363636364" customWidth="1" style="320" min="6918" max="6923"/>
    <col width="5.32727272727273" customWidth="1" style="320" min="6924" max="6924"/>
    <col width="5.45454545454545" customWidth="1" style="320" min="6925" max="6925"/>
    <col width="14.5454545454545" customWidth="1" style="320" min="6926" max="6926"/>
    <col width="11.3909090909091" customWidth="1" style="320" min="6927" max="6927"/>
    <col width="9.69090909090909" customWidth="1" style="320" min="6928" max="6928"/>
    <col width="22.6636363636364" customWidth="1" style="320" min="6929" max="6929"/>
    <col width="10.6636363636364" customWidth="1" style="320" min="6930" max="6930"/>
    <col width="9.81818181818182" customWidth="1" style="320" min="6931" max="7168"/>
    <col width="5.45454545454545" customWidth="1" style="320" min="7169" max="7169"/>
    <col width="7.39090909090909" customWidth="1" style="320" min="7170" max="7170"/>
    <col width="6.41818181818182" customWidth="1" style="320" min="7171" max="7171"/>
    <col width="7.87272727272727" customWidth="1" style="320" min="7172" max="7172"/>
    <col width="7.50909090909091" customWidth="1" style="320" min="7173" max="7173"/>
    <col width="5.93636363636364" customWidth="1" style="320" min="7174" max="7179"/>
    <col width="5.32727272727273" customWidth="1" style="320" min="7180" max="7180"/>
    <col width="5.45454545454545" customWidth="1" style="320" min="7181" max="7181"/>
    <col width="14.5454545454545" customWidth="1" style="320" min="7182" max="7182"/>
    <col width="11.3909090909091" customWidth="1" style="320" min="7183" max="7183"/>
    <col width="9.69090909090909" customWidth="1" style="320" min="7184" max="7184"/>
    <col width="22.6636363636364" customWidth="1" style="320" min="7185" max="7185"/>
    <col width="10.6636363636364" customWidth="1" style="320" min="7186" max="7186"/>
    <col width="9.81818181818182" customWidth="1" style="320" min="7187" max="7424"/>
    <col width="5.45454545454545" customWidth="1" style="320" min="7425" max="7425"/>
    <col width="7.39090909090909" customWidth="1" style="320" min="7426" max="7426"/>
    <col width="6.41818181818182" customWidth="1" style="320" min="7427" max="7427"/>
    <col width="7.87272727272727" customWidth="1" style="320" min="7428" max="7428"/>
    <col width="7.50909090909091" customWidth="1" style="320" min="7429" max="7429"/>
    <col width="5.93636363636364" customWidth="1" style="320" min="7430" max="7435"/>
    <col width="5.32727272727273" customWidth="1" style="320" min="7436" max="7436"/>
    <col width="5.45454545454545" customWidth="1" style="320" min="7437" max="7437"/>
    <col width="14.5454545454545" customWidth="1" style="320" min="7438" max="7438"/>
    <col width="11.3909090909091" customWidth="1" style="320" min="7439" max="7439"/>
    <col width="9.69090909090909" customWidth="1" style="320" min="7440" max="7440"/>
    <col width="22.6636363636364" customWidth="1" style="320" min="7441" max="7441"/>
    <col width="10.6636363636364" customWidth="1" style="320" min="7442" max="7442"/>
    <col width="9.81818181818182" customWidth="1" style="320" min="7443" max="7680"/>
    <col width="5.45454545454545" customWidth="1" style="320" min="7681" max="7681"/>
    <col width="7.39090909090909" customWidth="1" style="320" min="7682" max="7682"/>
    <col width="6.41818181818182" customWidth="1" style="320" min="7683" max="7683"/>
    <col width="7.87272727272727" customWidth="1" style="320" min="7684" max="7684"/>
    <col width="7.50909090909091" customWidth="1" style="320" min="7685" max="7685"/>
    <col width="5.93636363636364" customWidth="1" style="320" min="7686" max="7691"/>
    <col width="5.32727272727273" customWidth="1" style="320" min="7692" max="7692"/>
    <col width="5.45454545454545" customWidth="1" style="320" min="7693" max="7693"/>
    <col width="14.5454545454545" customWidth="1" style="320" min="7694" max="7694"/>
    <col width="11.3909090909091" customWidth="1" style="320" min="7695" max="7695"/>
    <col width="9.69090909090909" customWidth="1" style="320" min="7696" max="7696"/>
    <col width="22.6636363636364" customWidth="1" style="320" min="7697" max="7697"/>
    <col width="10.6636363636364" customWidth="1" style="320" min="7698" max="7698"/>
    <col width="9.81818181818182" customWidth="1" style="320" min="7699" max="7936"/>
    <col width="5.45454545454545" customWidth="1" style="320" min="7937" max="7937"/>
    <col width="7.39090909090909" customWidth="1" style="320" min="7938" max="7938"/>
    <col width="6.41818181818182" customWidth="1" style="320" min="7939" max="7939"/>
    <col width="7.87272727272727" customWidth="1" style="320" min="7940" max="7940"/>
    <col width="7.50909090909091" customWidth="1" style="320" min="7941" max="7941"/>
    <col width="5.93636363636364" customWidth="1" style="320" min="7942" max="7947"/>
    <col width="5.32727272727273" customWidth="1" style="320" min="7948" max="7948"/>
    <col width="5.45454545454545" customWidth="1" style="320" min="7949" max="7949"/>
    <col width="14.5454545454545" customWidth="1" style="320" min="7950" max="7950"/>
    <col width="11.3909090909091" customWidth="1" style="320" min="7951" max="7951"/>
    <col width="9.69090909090909" customWidth="1" style="320" min="7952" max="7952"/>
    <col width="22.6636363636364" customWidth="1" style="320" min="7953" max="7953"/>
    <col width="10.6636363636364" customWidth="1" style="320" min="7954" max="7954"/>
    <col width="9.81818181818182" customWidth="1" style="320" min="7955" max="8192"/>
    <col width="5.45454545454545" customWidth="1" style="320" min="8193" max="8193"/>
    <col width="7.39090909090909" customWidth="1" style="320" min="8194" max="8194"/>
    <col width="6.41818181818182" customWidth="1" style="320" min="8195" max="8195"/>
    <col width="7.87272727272727" customWidth="1" style="320" min="8196" max="8196"/>
    <col width="7.50909090909091" customWidth="1" style="320" min="8197" max="8197"/>
    <col width="5.93636363636364" customWidth="1" style="320" min="8198" max="8203"/>
    <col width="5.32727272727273" customWidth="1" style="320" min="8204" max="8204"/>
    <col width="5.45454545454545" customWidth="1" style="320" min="8205" max="8205"/>
    <col width="14.5454545454545" customWidth="1" style="320" min="8206" max="8206"/>
    <col width="11.3909090909091" customWidth="1" style="320" min="8207" max="8207"/>
    <col width="9.69090909090909" customWidth="1" style="320" min="8208" max="8208"/>
    <col width="22.6636363636364" customWidth="1" style="320" min="8209" max="8209"/>
    <col width="10.6636363636364" customWidth="1" style="320" min="8210" max="8210"/>
    <col width="9.81818181818182" customWidth="1" style="320" min="8211" max="8448"/>
    <col width="5.45454545454545" customWidth="1" style="320" min="8449" max="8449"/>
    <col width="7.39090909090909" customWidth="1" style="320" min="8450" max="8450"/>
    <col width="6.41818181818182" customWidth="1" style="320" min="8451" max="8451"/>
    <col width="7.87272727272727" customWidth="1" style="320" min="8452" max="8452"/>
    <col width="7.50909090909091" customWidth="1" style="320" min="8453" max="8453"/>
    <col width="5.93636363636364" customWidth="1" style="320" min="8454" max="8459"/>
    <col width="5.32727272727273" customWidth="1" style="320" min="8460" max="8460"/>
    <col width="5.45454545454545" customWidth="1" style="320" min="8461" max="8461"/>
    <col width="14.5454545454545" customWidth="1" style="320" min="8462" max="8462"/>
    <col width="11.3909090909091" customWidth="1" style="320" min="8463" max="8463"/>
    <col width="9.69090909090909" customWidth="1" style="320" min="8464" max="8464"/>
    <col width="22.6636363636364" customWidth="1" style="320" min="8465" max="8465"/>
    <col width="10.6636363636364" customWidth="1" style="320" min="8466" max="8466"/>
    <col width="9.81818181818182" customWidth="1" style="320" min="8467" max="8704"/>
    <col width="5.45454545454545" customWidth="1" style="320" min="8705" max="8705"/>
    <col width="7.39090909090909" customWidth="1" style="320" min="8706" max="8706"/>
    <col width="6.41818181818182" customWidth="1" style="320" min="8707" max="8707"/>
    <col width="7.87272727272727" customWidth="1" style="320" min="8708" max="8708"/>
    <col width="7.50909090909091" customWidth="1" style="320" min="8709" max="8709"/>
    <col width="5.93636363636364" customWidth="1" style="320" min="8710" max="8715"/>
    <col width="5.32727272727273" customWidth="1" style="320" min="8716" max="8716"/>
    <col width="5.45454545454545" customWidth="1" style="320" min="8717" max="8717"/>
    <col width="14.5454545454545" customWidth="1" style="320" min="8718" max="8718"/>
    <col width="11.3909090909091" customWidth="1" style="320" min="8719" max="8719"/>
    <col width="9.69090909090909" customWidth="1" style="320" min="8720" max="8720"/>
    <col width="22.6636363636364" customWidth="1" style="320" min="8721" max="8721"/>
    <col width="10.6636363636364" customWidth="1" style="320" min="8722" max="8722"/>
    <col width="9.81818181818182" customWidth="1" style="320" min="8723" max="8960"/>
    <col width="5.45454545454545" customWidth="1" style="320" min="8961" max="8961"/>
    <col width="7.39090909090909" customWidth="1" style="320" min="8962" max="8962"/>
    <col width="6.41818181818182" customWidth="1" style="320" min="8963" max="8963"/>
    <col width="7.87272727272727" customWidth="1" style="320" min="8964" max="8964"/>
    <col width="7.50909090909091" customWidth="1" style="320" min="8965" max="8965"/>
    <col width="5.93636363636364" customWidth="1" style="320" min="8966" max="8971"/>
    <col width="5.32727272727273" customWidth="1" style="320" min="8972" max="8972"/>
    <col width="5.45454545454545" customWidth="1" style="320" min="8973" max="8973"/>
    <col width="14.5454545454545" customWidth="1" style="320" min="8974" max="8974"/>
    <col width="11.3909090909091" customWidth="1" style="320" min="8975" max="8975"/>
    <col width="9.69090909090909" customWidth="1" style="320" min="8976" max="8976"/>
    <col width="22.6636363636364" customWidth="1" style="320" min="8977" max="8977"/>
    <col width="10.6636363636364" customWidth="1" style="320" min="8978" max="8978"/>
    <col width="9.81818181818182" customWidth="1" style="320" min="8979" max="9216"/>
    <col width="5.45454545454545" customWidth="1" style="320" min="9217" max="9217"/>
    <col width="7.39090909090909" customWidth="1" style="320" min="9218" max="9218"/>
    <col width="6.41818181818182" customWidth="1" style="320" min="9219" max="9219"/>
    <col width="7.87272727272727" customWidth="1" style="320" min="9220" max="9220"/>
    <col width="7.50909090909091" customWidth="1" style="320" min="9221" max="9221"/>
    <col width="5.93636363636364" customWidth="1" style="320" min="9222" max="9227"/>
    <col width="5.32727272727273" customWidth="1" style="320" min="9228" max="9228"/>
    <col width="5.45454545454545" customWidth="1" style="320" min="9229" max="9229"/>
    <col width="14.5454545454545" customWidth="1" style="320" min="9230" max="9230"/>
    <col width="11.3909090909091" customWidth="1" style="320" min="9231" max="9231"/>
    <col width="9.69090909090909" customWidth="1" style="320" min="9232" max="9232"/>
    <col width="22.6636363636364" customWidth="1" style="320" min="9233" max="9233"/>
    <col width="10.6636363636364" customWidth="1" style="320" min="9234" max="9234"/>
    <col width="9.81818181818182" customWidth="1" style="320" min="9235" max="9472"/>
    <col width="5.45454545454545" customWidth="1" style="320" min="9473" max="9473"/>
    <col width="7.39090909090909" customWidth="1" style="320" min="9474" max="9474"/>
    <col width="6.41818181818182" customWidth="1" style="320" min="9475" max="9475"/>
    <col width="7.87272727272727" customWidth="1" style="320" min="9476" max="9476"/>
    <col width="7.50909090909091" customWidth="1" style="320" min="9477" max="9477"/>
    <col width="5.93636363636364" customWidth="1" style="320" min="9478" max="9483"/>
    <col width="5.32727272727273" customWidth="1" style="320" min="9484" max="9484"/>
    <col width="5.45454545454545" customWidth="1" style="320" min="9485" max="9485"/>
    <col width="14.5454545454545" customWidth="1" style="320" min="9486" max="9486"/>
    <col width="11.3909090909091" customWidth="1" style="320" min="9487" max="9487"/>
    <col width="9.69090909090909" customWidth="1" style="320" min="9488" max="9488"/>
    <col width="22.6636363636364" customWidth="1" style="320" min="9489" max="9489"/>
    <col width="10.6636363636364" customWidth="1" style="320" min="9490" max="9490"/>
    <col width="9.81818181818182" customWidth="1" style="320" min="9491" max="9728"/>
    <col width="5.45454545454545" customWidth="1" style="320" min="9729" max="9729"/>
    <col width="7.39090909090909" customWidth="1" style="320" min="9730" max="9730"/>
    <col width="6.41818181818182" customWidth="1" style="320" min="9731" max="9731"/>
    <col width="7.87272727272727" customWidth="1" style="320" min="9732" max="9732"/>
    <col width="7.50909090909091" customWidth="1" style="320" min="9733" max="9733"/>
    <col width="5.93636363636364" customWidth="1" style="320" min="9734" max="9739"/>
    <col width="5.32727272727273" customWidth="1" style="320" min="9740" max="9740"/>
    <col width="5.45454545454545" customWidth="1" style="320" min="9741" max="9741"/>
    <col width="14.5454545454545" customWidth="1" style="320" min="9742" max="9742"/>
    <col width="11.3909090909091" customWidth="1" style="320" min="9743" max="9743"/>
    <col width="9.69090909090909" customWidth="1" style="320" min="9744" max="9744"/>
    <col width="22.6636363636364" customWidth="1" style="320" min="9745" max="9745"/>
    <col width="10.6636363636364" customWidth="1" style="320" min="9746" max="9746"/>
    <col width="9.81818181818182" customWidth="1" style="320" min="9747" max="9984"/>
    <col width="5.45454545454545" customWidth="1" style="320" min="9985" max="9985"/>
    <col width="7.39090909090909" customWidth="1" style="320" min="9986" max="9986"/>
    <col width="6.41818181818182" customWidth="1" style="320" min="9987" max="9987"/>
    <col width="7.87272727272727" customWidth="1" style="320" min="9988" max="9988"/>
    <col width="7.50909090909091" customWidth="1" style="320" min="9989" max="9989"/>
    <col width="5.93636363636364" customWidth="1" style="320" min="9990" max="9995"/>
    <col width="5.32727272727273" customWidth="1" style="320" min="9996" max="9996"/>
    <col width="5.45454545454545" customWidth="1" style="320" min="9997" max="9997"/>
    <col width="14.5454545454545" customWidth="1" style="320" min="9998" max="9998"/>
    <col width="11.3909090909091" customWidth="1" style="320" min="9999" max="9999"/>
    <col width="9.69090909090909" customWidth="1" style="320" min="10000" max="10000"/>
    <col width="22.6636363636364" customWidth="1" style="320" min="10001" max="10001"/>
    <col width="10.6636363636364" customWidth="1" style="320" min="10002" max="10002"/>
    <col width="9.81818181818182" customWidth="1" style="320" min="10003" max="10240"/>
    <col width="5.45454545454545" customWidth="1" style="320" min="10241" max="10241"/>
    <col width="7.39090909090909" customWidth="1" style="320" min="10242" max="10242"/>
    <col width="6.41818181818182" customWidth="1" style="320" min="10243" max="10243"/>
    <col width="7.87272727272727" customWidth="1" style="320" min="10244" max="10244"/>
    <col width="7.50909090909091" customWidth="1" style="320" min="10245" max="10245"/>
    <col width="5.93636363636364" customWidth="1" style="320" min="10246" max="10251"/>
    <col width="5.32727272727273" customWidth="1" style="320" min="10252" max="10252"/>
    <col width="5.45454545454545" customWidth="1" style="320" min="10253" max="10253"/>
    <col width="14.5454545454545" customWidth="1" style="320" min="10254" max="10254"/>
    <col width="11.3909090909091" customWidth="1" style="320" min="10255" max="10255"/>
    <col width="9.69090909090909" customWidth="1" style="320" min="10256" max="10256"/>
    <col width="22.6636363636364" customWidth="1" style="320" min="10257" max="10257"/>
    <col width="10.6636363636364" customWidth="1" style="320" min="10258" max="10258"/>
    <col width="9.81818181818182" customWidth="1" style="320" min="10259" max="10496"/>
    <col width="5.45454545454545" customWidth="1" style="320" min="10497" max="10497"/>
    <col width="7.39090909090909" customWidth="1" style="320" min="10498" max="10498"/>
    <col width="6.41818181818182" customWidth="1" style="320" min="10499" max="10499"/>
    <col width="7.87272727272727" customWidth="1" style="320" min="10500" max="10500"/>
    <col width="7.50909090909091" customWidth="1" style="320" min="10501" max="10501"/>
    <col width="5.93636363636364" customWidth="1" style="320" min="10502" max="10507"/>
    <col width="5.32727272727273" customWidth="1" style="320" min="10508" max="10508"/>
    <col width="5.45454545454545" customWidth="1" style="320" min="10509" max="10509"/>
    <col width="14.5454545454545" customWidth="1" style="320" min="10510" max="10510"/>
    <col width="11.3909090909091" customWidth="1" style="320" min="10511" max="10511"/>
    <col width="9.69090909090909" customWidth="1" style="320" min="10512" max="10512"/>
    <col width="22.6636363636364" customWidth="1" style="320" min="10513" max="10513"/>
    <col width="10.6636363636364" customWidth="1" style="320" min="10514" max="10514"/>
    <col width="9.81818181818182" customWidth="1" style="320" min="10515" max="10752"/>
    <col width="5.45454545454545" customWidth="1" style="320" min="10753" max="10753"/>
    <col width="7.39090909090909" customWidth="1" style="320" min="10754" max="10754"/>
    <col width="6.41818181818182" customWidth="1" style="320" min="10755" max="10755"/>
    <col width="7.87272727272727" customWidth="1" style="320" min="10756" max="10756"/>
    <col width="7.50909090909091" customWidth="1" style="320" min="10757" max="10757"/>
    <col width="5.93636363636364" customWidth="1" style="320" min="10758" max="10763"/>
    <col width="5.32727272727273" customWidth="1" style="320" min="10764" max="10764"/>
    <col width="5.45454545454545" customWidth="1" style="320" min="10765" max="10765"/>
    <col width="14.5454545454545" customWidth="1" style="320" min="10766" max="10766"/>
    <col width="11.3909090909091" customWidth="1" style="320" min="10767" max="10767"/>
    <col width="9.69090909090909" customWidth="1" style="320" min="10768" max="10768"/>
    <col width="22.6636363636364" customWidth="1" style="320" min="10769" max="10769"/>
    <col width="10.6636363636364" customWidth="1" style="320" min="10770" max="10770"/>
    <col width="9.81818181818182" customWidth="1" style="320" min="10771" max="11008"/>
    <col width="5.45454545454545" customWidth="1" style="320" min="11009" max="11009"/>
    <col width="7.39090909090909" customWidth="1" style="320" min="11010" max="11010"/>
    <col width="6.41818181818182" customWidth="1" style="320" min="11011" max="11011"/>
    <col width="7.87272727272727" customWidth="1" style="320" min="11012" max="11012"/>
    <col width="7.50909090909091" customWidth="1" style="320" min="11013" max="11013"/>
    <col width="5.93636363636364" customWidth="1" style="320" min="11014" max="11019"/>
    <col width="5.32727272727273" customWidth="1" style="320" min="11020" max="11020"/>
    <col width="5.45454545454545" customWidth="1" style="320" min="11021" max="11021"/>
    <col width="14.5454545454545" customWidth="1" style="320" min="11022" max="11022"/>
    <col width="11.3909090909091" customWidth="1" style="320" min="11023" max="11023"/>
    <col width="9.69090909090909" customWidth="1" style="320" min="11024" max="11024"/>
    <col width="22.6636363636364" customWidth="1" style="320" min="11025" max="11025"/>
    <col width="10.6636363636364" customWidth="1" style="320" min="11026" max="11026"/>
    <col width="9.81818181818182" customWidth="1" style="320" min="11027" max="11264"/>
    <col width="5.45454545454545" customWidth="1" style="320" min="11265" max="11265"/>
    <col width="7.39090909090909" customWidth="1" style="320" min="11266" max="11266"/>
    <col width="6.41818181818182" customWidth="1" style="320" min="11267" max="11267"/>
    <col width="7.87272727272727" customWidth="1" style="320" min="11268" max="11268"/>
    <col width="7.50909090909091" customWidth="1" style="320" min="11269" max="11269"/>
    <col width="5.93636363636364" customWidth="1" style="320" min="11270" max="11275"/>
    <col width="5.32727272727273" customWidth="1" style="320" min="11276" max="11276"/>
    <col width="5.45454545454545" customWidth="1" style="320" min="11277" max="11277"/>
    <col width="14.5454545454545" customWidth="1" style="320" min="11278" max="11278"/>
    <col width="11.3909090909091" customWidth="1" style="320" min="11279" max="11279"/>
    <col width="9.69090909090909" customWidth="1" style="320" min="11280" max="11280"/>
    <col width="22.6636363636364" customWidth="1" style="320" min="11281" max="11281"/>
    <col width="10.6636363636364" customWidth="1" style="320" min="11282" max="11282"/>
    <col width="9.81818181818182" customWidth="1" style="320" min="11283" max="11520"/>
    <col width="5.45454545454545" customWidth="1" style="320" min="11521" max="11521"/>
    <col width="7.39090909090909" customWidth="1" style="320" min="11522" max="11522"/>
    <col width="6.41818181818182" customWidth="1" style="320" min="11523" max="11523"/>
    <col width="7.87272727272727" customWidth="1" style="320" min="11524" max="11524"/>
    <col width="7.50909090909091" customWidth="1" style="320" min="11525" max="11525"/>
    <col width="5.93636363636364" customWidth="1" style="320" min="11526" max="11531"/>
    <col width="5.32727272727273" customWidth="1" style="320" min="11532" max="11532"/>
    <col width="5.45454545454545" customWidth="1" style="320" min="11533" max="11533"/>
    <col width="14.5454545454545" customWidth="1" style="320" min="11534" max="11534"/>
    <col width="11.3909090909091" customWidth="1" style="320" min="11535" max="11535"/>
    <col width="9.69090909090909" customWidth="1" style="320" min="11536" max="11536"/>
    <col width="22.6636363636364" customWidth="1" style="320" min="11537" max="11537"/>
    <col width="10.6636363636364" customWidth="1" style="320" min="11538" max="11538"/>
    <col width="9.81818181818182" customWidth="1" style="320" min="11539" max="11776"/>
    <col width="5.45454545454545" customWidth="1" style="320" min="11777" max="11777"/>
    <col width="7.39090909090909" customWidth="1" style="320" min="11778" max="11778"/>
    <col width="6.41818181818182" customWidth="1" style="320" min="11779" max="11779"/>
    <col width="7.87272727272727" customWidth="1" style="320" min="11780" max="11780"/>
    <col width="7.50909090909091" customWidth="1" style="320" min="11781" max="11781"/>
    <col width="5.93636363636364" customWidth="1" style="320" min="11782" max="11787"/>
    <col width="5.32727272727273" customWidth="1" style="320" min="11788" max="11788"/>
    <col width="5.45454545454545" customWidth="1" style="320" min="11789" max="11789"/>
    <col width="14.5454545454545" customWidth="1" style="320" min="11790" max="11790"/>
    <col width="11.3909090909091" customWidth="1" style="320" min="11791" max="11791"/>
    <col width="9.69090909090909" customWidth="1" style="320" min="11792" max="11792"/>
    <col width="22.6636363636364" customWidth="1" style="320" min="11793" max="11793"/>
    <col width="10.6636363636364" customWidth="1" style="320" min="11794" max="11794"/>
    <col width="9.81818181818182" customWidth="1" style="320" min="11795" max="12032"/>
    <col width="5.45454545454545" customWidth="1" style="320" min="12033" max="12033"/>
    <col width="7.39090909090909" customWidth="1" style="320" min="12034" max="12034"/>
    <col width="6.41818181818182" customWidth="1" style="320" min="12035" max="12035"/>
    <col width="7.87272727272727" customWidth="1" style="320" min="12036" max="12036"/>
    <col width="7.50909090909091" customWidth="1" style="320" min="12037" max="12037"/>
    <col width="5.93636363636364" customWidth="1" style="320" min="12038" max="12043"/>
    <col width="5.32727272727273" customWidth="1" style="320" min="12044" max="12044"/>
    <col width="5.45454545454545" customWidth="1" style="320" min="12045" max="12045"/>
    <col width="14.5454545454545" customWidth="1" style="320" min="12046" max="12046"/>
    <col width="11.3909090909091" customWidth="1" style="320" min="12047" max="12047"/>
    <col width="9.69090909090909" customWidth="1" style="320" min="12048" max="12048"/>
    <col width="22.6636363636364" customWidth="1" style="320" min="12049" max="12049"/>
    <col width="10.6636363636364" customWidth="1" style="320" min="12050" max="12050"/>
    <col width="9.81818181818182" customWidth="1" style="320" min="12051" max="12288"/>
    <col width="5.45454545454545" customWidth="1" style="320" min="12289" max="12289"/>
    <col width="7.39090909090909" customWidth="1" style="320" min="12290" max="12290"/>
    <col width="6.41818181818182" customWidth="1" style="320" min="12291" max="12291"/>
    <col width="7.87272727272727" customWidth="1" style="320" min="12292" max="12292"/>
    <col width="7.50909090909091" customWidth="1" style="320" min="12293" max="12293"/>
    <col width="5.93636363636364" customWidth="1" style="320" min="12294" max="12299"/>
    <col width="5.32727272727273" customWidth="1" style="320" min="12300" max="12300"/>
    <col width="5.45454545454545" customWidth="1" style="320" min="12301" max="12301"/>
    <col width="14.5454545454545" customWidth="1" style="320" min="12302" max="12302"/>
    <col width="11.3909090909091" customWidth="1" style="320" min="12303" max="12303"/>
    <col width="9.69090909090909" customWidth="1" style="320" min="12304" max="12304"/>
    <col width="22.6636363636364" customWidth="1" style="320" min="12305" max="12305"/>
    <col width="10.6636363636364" customWidth="1" style="320" min="12306" max="12306"/>
    <col width="9.81818181818182" customWidth="1" style="320" min="12307" max="12544"/>
    <col width="5.45454545454545" customWidth="1" style="320" min="12545" max="12545"/>
    <col width="7.39090909090909" customWidth="1" style="320" min="12546" max="12546"/>
    <col width="6.41818181818182" customWidth="1" style="320" min="12547" max="12547"/>
    <col width="7.87272727272727" customWidth="1" style="320" min="12548" max="12548"/>
    <col width="7.50909090909091" customWidth="1" style="320" min="12549" max="12549"/>
    <col width="5.93636363636364" customWidth="1" style="320" min="12550" max="12555"/>
    <col width="5.32727272727273" customWidth="1" style="320" min="12556" max="12556"/>
    <col width="5.45454545454545" customWidth="1" style="320" min="12557" max="12557"/>
    <col width="14.5454545454545" customWidth="1" style="320" min="12558" max="12558"/>
    <col width="11.3909090909091" customWidth="1" style="320" min="12559" max="12559"/>
    <col width="9.69090909090909" customWidth="1" style="320" min="12560" max="12560"/>
    <col width="22.6636363636364" customWidth="1" style="320" min="12561" max="12561"/>
    <col width="10.6636363636364" customWidth="1" style="320" min="12562" max="12562"/>
    <col width="9.81818181818182" customWidth="1" style="320" min="12563" max="12800"/>
    <col width="5.45454545454545" customWidth="1" style="320" min="12801" max="12801"/>
    <col width="7.39090909090909" customWidth="1" style="320" min="12802" max="12802"/>
    <col width="6.41818181818182" customWidth="1" style="320" min="12803" max="12803"/>
    <col width="7.87272727272727" customWidth="1" style="320" min="12804" max="12804"/>
    <col width="7.50909090909091" customWidth="1" style="320" min="12805" max="12805"/>
    <col width="5.93636363636364" customWidth="1" style="320" min="12806" max="12811"/>
    <col width="5.32727272727273" customWidth="1" style="320" min="12812" max="12812"/>
    <col width="5.45454545454545" customWidth="1" style="320" min="12813" max="12813"/>
    <col width="14.5454545454545" customWidth="1" style="320" min="12814" max="12814"/>
    <col width="11.3909090909091" customWidth="1" style="320" min="12815" max="12815"/>
    <col width="9.69090909090909" customWidth="1" style="320" min="12816" max="12816"/>
    <col width="22.6636363636364" customWidth="1" style="320" min="12817" max="12817"/>
    <col width="10.6636363636364" customWidth="1" style="320" min="12818" max="12818"/>
    <col width="9.81818181818182" customWidth="1" style="320" min="12819" max="13056"/>
    <col width="5.45454545454545" customWidth="1" style="320" min="13057" max="13057"/>
    <col width="7.39090909090909" customWidth="1" style="320" min="13058" max="13058"/>
    <col width="6.41818181818182" customWidth="1" style="320" min="13059" max="13059"/>
    <col width="7.87272727272727" customWidth="1" style="320" min="13060" max="13060"/>
    <col width="7.50909090909091" customWidth="1" style="320" min="13061" max="13061"/>
    <col width="5.93636363636364" customWidth="1" style="320" min="13062" max="13067"/>
    <col width="5.32727272727273" customWidth="1" style="320" min="13068" max="13068"/>
    <col width="5.45454545454545" customWidth="1" style="320" min="13069" max="13069"/>
    <col width="14.5454545454545" customWidth="1" style="320" min="13070" max="13070"/>
    <col width="11.3909090909091" customWidth="1" style="320" min="13071" max="13071"/>
    <col width="9.69090909090909" customWidth="1" style="320" min="13072" max="13072"/>
    <col width="22.6636363636364" customWidth="1" style="320" min="13073" max="13073"/>
    <col width="10.6636363636364" customWidth="1" style="320" min="13074" max="13074"/>
    <col width="9.81818181818182" customWidth="1" style="320" min="13075" max="13312"/>
    <col width="5.45454545454545" customWidth="1" style="320" min="13313" max="13313"/>
    <col width="7.39090909090909" customWidth="1" style="320" min="13314" max="13314"/>
    <col width="6.41818181818182" customWidth="1" style="320" min="13315" max="13315"/>
    <col width="7.87272727272727" customWidth="1" style="320" min="13316" max="13316"/>
    <col width="7.50909090909091" customWidth="1" style="320" min="13317" max="13317"/>
    <col width="5.93636363636364" customWidth="1" style="320" min="13318" max="13323"/>
    <col width="5.32727272727273" customWidth="1" style="320" min="13324" max="13324"/>
    <col width="5.45454545454545" customWidth="1" style="320" min="13325" max="13325"/>
    <col width="14.5454545454545" customWidth="1" style="320" min="13326" max="13326"/>
    <col width="11.3909090909091" customWidth="1" style="320" min="13327" max="13327"/>
    <col width="9.69090909090909" customWidth="1" style="320" min="13328" max="13328"/>
    <col width="22.6636363636364" customWidth="1" style="320" min="13329" max="13329"/>
    <col width="10.6636363636364" customWidth="1" style="320" min="13330" max="13330"/>
    <col width="9.81818181818182" customWidth="1" style="320" min="13331" max="13568"/>
    <col width="5.45454545454545" customWidth="1" style="320" min="13569" max="13569"/>
    <col width="7.39090909090909" customWidth="1" style="320" min="13570" max="13570"/>
    <col width="6.41818181818182" customWidth="1" style="320" min="13571" max="13571"/>
    <col width="7.87272727272727" customWidth="1" style="320" min="13572" max="13572"/>
    <col width="7.50909090909091" customWidth="1" style="320" min="13573" max="13573"/>
    <col width="5.93636363636364" customWidth="1" style="320" min="13574" max="13579"/>
    <col width="5.32727272727273" customWidth="1" style="320" min="13580" max="13580"/>
    <col width="5.45454545454545" customWidth="1" style="320" min="13581" max="13581"/>
    <col width="14.5454545454545" customWidth="1" style="320" min="13582" max="13582"/>
    <col width="11.3909090909091" customWidth="1" style="320" min="13583" max="13583"/>
    <col width="9.69090909090909" customWidth="1" style="320" min="13584" max="13584"/>
    <col width="22.6636363636364" customWidth="1" style="320" min="13585" max="13585"/>
    <col width="10.6636363636364" customWidth="1" style="320" min="13586" max="13586"/>
    <col width="9.81818181818182" customWidth="1" style="320" min="13587" max="13824"/>
    <col width="5.45454545454545" customWidth="1" style="320" min="13825" max="13825"/>
    <col width="7.39090909090909" customWidth="1" style="320" min="13826" max="13826"/>
    <col width="6.41818181818182" customWidth="1" style="320" min="13827" max="13827"/>
    <col width="7.87272727272727" customWidth="1" style="320" min="13828" max="13828"/>
    <col width="7.50909090909091" customWidth="1" style="320" min="13829" max="13829"/>
    <col width="5.93636363636364" customWidth="1" style="320" min="13830" max="13835"/>
    <col width="5.32727272727273" customWidth="1" style="320" min="13836" max="13836"/>
    <col width="5.45454545454545" customWidth="1" style="320" min="13837" max="13837"/>
    <col width="14.5454545454545" customWidth="1" style="320" min="13838" max="13838"/>
    <col width="11.3909090909091" customWidth="1" style="320" min="13839" max="13839"/>
    <col width="9.69090909090909" customWidth="1" style="320" min="13840" max="13840"/>
    <col width="22.6636363636364" customWidth="1" style="320" min="13841" max="13841"/>
    <col width="10.6636363636364" customWidth="1" style="320" min="13842" max="13842"/>
    <col width="9.81818181818182" customWidth="1" style="320" min="13843" max="14080"/>
    <col width="5.45454545454545" customWidth="1" style="320" min="14081" max="14081"/>
    <col width="7.39090909090909" customWidth="1" style="320" min="14082" max="14082"/>
    <col width="6.41818181818182" customWidth="1" style="320" min="14083" max="14083"/>
    <col width="7.87272727272727" customWidth="1" style="320" min="14084" max="14084"/>
    <col width="7.50909090909091" customWidth="1" style="320" min="14085" max="14085"/>
    <col width="5.93636363636364" customWidth="1" style="320" min="14086" max="14091"/>
    <col width="5.32727272727273" customWidth="1" style="320" min="14092" max="14092"/>
    <col width="5.45454545454545" customWidth="1" style="320" min="14093" max="14093"/>
    <col width="14.5454545454545" customWidth="1" style="320" min="14094" max="14094"/>
    <col width="11.3909090909091" customWidth="1" style="320" min="14095" max="14095"/>
    <col width="9.69090909090909" customWidth="1" style="320" min="14096" max="14096"/>
    <col width="22.6636363636364" customWidth="1" style="320" min="14097" max="14097"/>
    <col width="10.6636363636364" customWidth="1" style="320" min="14098" max="14098"/>
    <col width="9.81818181818182" customWidth="1" style="320" min="14099" max="14336"/>
    <col width="5.45454545454545" customWidth="1" style="320" min="14337" max="14337"/>
    <col width="7.39090909090909" customWidth="1" style="320" min="14338" max="14338"/>
    <col width="6.41818181818182" customWidth="1" style="320" min="14339" max="14339"/>
    <col width="7.87272727272727" customWidth="1" style="320" min="14340" max="14340"/>
    <col width="7.50909090909091" customWidth="1" style="320" min="14341" max="14341"/>
    <col width="5.93636363636364" customWidth="1" style="320" min="14342" max="14347"/>
    <col width="5.32727272727273" customWidth="1" style="320" min="14348" max="14348"/>
    <col width="5.45454545454545" customWidth="1" style="320" min="14349" max="14349"/>
    <col width="14.5454545454545" customWidth="1" style="320" min="14350" max="14350"/>
    <col width="11.3909090909091" customWidth="1" style="320" min="14351" max="14351"/>
    <col width="9.69090909090909" customWidth="1" style="320" min="14352" max="14352"/>
    <col width="22.6636363636364" customWidth="1" style="320" min="14353" max="14353"/>
    <col width="10.6636363636364" customWidth="1" style="320" min="14354" max="14354"/>
    <col width="9.81818181818182" customWidth="1" style="320" min="14355" max="14592"/>
    <col width="5.45454545454545" customWidth="1" style="320" min="14593" max="14593"/>
    <col width="7.39090909090909" customWidth="1" style="320" min="14594" max="14594"/>
    <col width="6.41818181818182" customWidth="1" style="320" min="14595" max="14595"/>
    <col width="7.87272727272727" customWidth="1" style="320" min="14596" max="14596"/>
    <col width="7.50909090909091" customWidth="1" style="320" min="14597" max="14597"/>
    <col width="5.93636363636364" customWidth="1" style="320" min="14598" max="14603"/>
    <col width="5.32727272727273" customWidth="1" style="320" min="14604" max="14604"/>
    <col width="5.45454545454545" customWidth="1" style="320" min="14605" max="14605"/>
    <col width="14.5454545454545" customWidth="1" style="320" min="14606" max="14606"/>
    <col width="11.3909090909091" customWidth="1" style="320" min="14607" max="14607"/>
    <col width="9.69090909090909" customWidth="1" style="320" min="14608" max="14608"/>
    <col width="22.6636363636364" customWidth="1" style="320" min="14609" max="14609"/>
    <col width="10.6636363636364" customWidth="1" style="320" min="14610" max="14610"/>
    <col width="9.81818181818182" customWidth="1" style="320" min="14611" max="14848"/>
    <col width="5.45454545454545" customWidth="1" style="320" min="14849" max="14849"/>
    <col width="7.39090909090909" customWidth="1" style="320" min="14850" max="14850"/>
    <col width="6.41818181818182" customWidth="1" style="320" min="14851" max="14851"/>
    <col width="7.87272727272727" customWidth="1" style="320" min="14852" max="14852"/>
    <col width="7.50909090909091" customWidth="1" style="320" min="14853" max="14853"/>
    <col width="5.93636363636364" customWidth="1" style="320" min="14854" max="14859"/>
    <col width="5.32727272727273" customWidth="1" style="320" min="14860" max="14860"/>
    <col width="5.45454545454545" customWidth="1" style="320" min="14861" max="14861"/>
    <col width="14.5454545454545" customWidth="1" style="320" min="14862" max="14862"/>
    <col width="11.3909090909091" customWidth="1" style="320" min="14863" max="14863"/>
    <col width="9.69090909090909" customWidth="1" style="320" min="14864" max="14864"/>
    <col width="22.6636363636364" customWidth="1" style="320" min="14865" max="14865"/>
    <col width="10.6636363636364" customWidth="1" style="320" min="14866" max="14866"/>
    <col width="9.81818181818182" customWidth="1" style="320" min="14867" max="15104"/>
    <col width="5.45454545454545" customWidth="1" style="320" min="15105" max="15105"/>
    <col width="7.39090909090909" customWidth="1" style="320" min="15106" max="15106"/>
    <col width="6.41818181818182" customWidth="1" style="320" min="15107" max="15107"/>
    <col width="7.87272727272727" customWidth="1" style="320" min="15108" max="15108"/>
    <col width="7.50909090909091" customWidth="1" style="320" min="15109" max="15109"/>
    <col width="5.93636363636364" customWidth="1" style="320" min="15110" max="15115"/>
    <col width="5.32727272727273" customWidth="1" style="320" min="15116" max="15116"/>
    <col width="5.45454545454545" customWidth="1" style="320" min="15117" max="15117"/>
    <col width="14.5454545454545" customWidth="1" style="320" min="15118" max="15118"/>
    <col width="11.3909090909091" customWidth="1" style="320" min="15119" max="15119"/>
    <col width="9.69090909090909" customWidth="1" style="320" min="15120" max="15120"/>
    <col width="22.6636363636364" customWidth="1" style="320" min="15121" max="15121"/>
    <col width="10.6636363636364" customWidth="1" style="320" min="15122" max="15122"/>
    <col width="9.81818181818182" customWidth="1" style="320" min="15123" max="15360"/>
    <col width="5.45454545454545" customWidth="1" style="320" min="15361" max="15361"/>
    <col width="7.39090909090909" customWidth="1" style="320" min="15362" max="15362"/>
    <col width="6.41818181818182" customWidth="1" style="320" min="15363" max="15363"/>
    <col width="7.87272727272727" customWidth="1" style="320" min="15364" max="15364"/>
    <col width="7.50909090909091" customWidth="1" style="320" min="15365" max="15365"/>
    <col width="5.93636363636364" customWidth="1" style="320" min="15366" max="15371"/>
    <col width="5.32727272727273" customWidth="1" style="320" min="15372" max="15372"/>
    <col width="5.45454545454545" customWidth="1" style="320" min="15373" max="15373"/>
    <col width="14.5454545454545" customWidth="1" style="320" min="15374" max="15374"/>
    <col width="11.3909090909091" customWidth="1" style="320" min="15375" max="15375"/>
    <col width="9.69090909090909" customWidth="1" style="320" min="15376" max="15376"/>
    <col width="22.6636363636364" customWidth="1" style="320" min="15377" max="15377"/>
    <col width="10.6636363636364" customWidth="1" style="320" min="15378" max="15378"/>
    <col width="9.81818181818182" customWidth="1" style="320" min="15379" max="15616"/>
    <col width="5.45454545454545" customWidth="1" style="320" min="15617" max="15617"/>
    <col width="7.39090909090909" customWidth="1" style="320" min="15618" max="15618"/>
    <col width="6.41818181818182" customWidth="1" style="320" min="15619" max="15619"/>
    <col width="7.87272727272727" customWidth="1" style="320" min="15620" max="15620"/>
    <col width="7.50909090909091" customWidth="1" style="320" min="15621" max="15621"/>
    <col width="5.93636363636364" customWidth="1" style="320" min="15622" max="15627"/>
    <col width="5.32727272727273" customWidth="1" style="320" min="15628" max="15628"/>
    <col width="5.45454545454545" customWidth="1" style="320" min="15629" max="15629"/>
    <col width="14.5454545454545" customWidth="1" style="320" min="15630" max="15630"/>
    <col width="11.3909090909091" customWidth="1" style="320" min="15631" max="15631"/>
    <col width="9.69090909090909" customWidth="1" style="320" min="15632" max="15632"/>
    <col width="22.6636363636364" customWidth="1" style="320" min="15633" max="15633"/>
    <col width="10.6636363636364" customWidth="1" style="320" min="15634" max="15634"/>
    <col width="9.81818181818182" customWidth="1" style="320" min="15635" max="15872"/>
    <col width="5.45454545454545" customWidth="1" style="320" min="15873" max="15873"/>
    <col width="7.39090909090909" customWidth="1" style="320" min="15874" max="15874"/>
    <col width="6.41818181818182" customWidth="1" style="320" min="15875" max="15875"/>
    <col width="7.87272727272727" customWidth="1" style="320" min="15876" max="15876"/>
    <col width="7.50909090909091" customWidth="1" style="320" min="15877" max="15877"/>
    <col width="5.93636363636364" customWidth="1" style="320" min="15878" max="15883"/>
    <col width="5.32727272727273" customWidth="1" style="320" min="15884" max="15884"/>
    <col width="5.45454545454545" customWidth="1" style="320" min="15885" max="15885"/>
    <col width="14.5454545454545" customWidth="1" style="320" min="15886" max="15886"/>
    <col width="11.3909090909091" customWidth="1" style="320" min="15887" max="15887"/>
    <col width="9.69090909090909" customWidth="1" style="320" min="15888" max="15888"/>
    <col width="22.6636363636364" customWidth="1" style="320" min="15889" max="15889"/>
    <col width="10.6636363636364" customWidth="1" style="320" min="15890" max="15890"/>
    <col width="9.81818181818182" customWidth="1" style="320" min="15891" max="16128"/>
    <col width="5.45454545454545" customWidth="1" style="320" min="16129" max="16129"/>
    <col width="7.39090909090909" customWidth="1" style="320" min="16130" max="16130"/>
    <col width="6.41818181818182" customWidth="1" style="320" min="16131" max="16131"/>
    <col width="7.87272727272727" customWidth="1" style="320" min="16132" max="16132"/>
    <col width="7.50909090909091" customWidth="1" style="320" min="16133" max="16133"/>
    <col width="5.93636363636364" customWidth="1" style="320" min="16134" max="16139"/>
    <col width="5.32727272727273" customWidth="1" style="320" min="16140" max="16140"/>
    <col width="5.45454545454545" customWidth="1" style="320" min="16141" max="16141"/>
    <col width="14.5454545454545" customWidth="1" style="320" min="16142" max="16142"/>
    <col width="11.3909090909091" customWidth="1" style="320" min="16143" max="16143"/>
    <col width="9.69090909090909" customWidth="1" style="320" min="16144" max="16144"/>
    <col width="22.6636363636364" customWidth="1" style="320" min="16145" max="16145"/>
    <col width="10.6636363636364" customWidth="1" style="320" min="16146" max="16146"/>
    <col width="9.81818181818182" customWidth="1" style="320" min="16147" max="16384"/>
  </cols>
  <sheetData>
    <row r="1" ht="20.1" customHeight="1" s="1296">
      <c r="A1" s="323" t="inlineStr">
        <is>
          <t>致同会计师事务所</t>
        </is>
      </c>
    </row>
    <row r="2" ht="24.9" customFormat="1" customHeight="1" s="318">
      <c r="A2" s="325" t="inlineStr">
        <is>
          <t>识别未披露的关联方</t>
        </is>
      </c>
    </row>
    <row r="3" ht="20.1" customHeight="1" s="1296">
      <c r="A3" s="171" t="inlineStr">
        <is>
          <t>被审计单位名称：</t>
        </is>
      </c>
      <c r="H3" s="172" t="inlineStr">
        <is>
          <t>编制人：</t>
        </is>
      </c>
      <c r="O3" s="327" t="inlineStr">
        <is>
          <t>编制日期：</t>
        </is>
      </c>
      <c r="P3" s="320" t="n"/>
      <c r="Q3" s="328" t="inlineStr">
        <is>
          <t>索引号：</t>
        </is>
      </c>
      <c r="R3" s="329" t="inlineStr">
        <is>
          <t>D4-27</t>
        </is>
      </c>
    </row>
    <row r="4" ht="20.1" customHeight="1" s="1296">
      <c r="A4" s="171" t="inlineStr">
        <is>
          <t>会计期间：202X年度</t>
        </is>
      </c>
      <c r="H4" s="172" t="inlineStr">
        <is>
          <t>复核人：</t>
        </is>
      </c>
      <c r="O4" s="327" t="inlineStr">
        <is>
          <t>复核日期：</t>
        </is>
      </c>
      <c r="P4" s="320" t="n"/>
      <c r="Q4" s="328" t="inlineStr">
        <is>
          <t>页次：</t>
        </is>
      </c>
    </row>
    <row r="5" ht="20.1" customHeight="1" s="1296">
      <c r="A5" s="318" t="inlineStr">
        <is>
          <t>一、审计目标：</t>
        </is>
      </c>
    </row>
    <row r="6" ht="20.1" customHeight="1" s="1296">
      <c r="A6" s="330" t="inlineStr">
        <is>
          <t>主要或异常客户是否与被审计单位存在关联方关系。</t>
        </is>
      </c>
    </row>
    <row r="7" ht="20.1" customFormat="1" customHeight="1" s="318">
      <c r="A7" s="318" t="inlineStr">
        <is>
          <t>二、审计过程：</t>
        </is>
      </c>
      <c r="C7" s="320" t="n"/>
      <c r="F7" s="320" t="n"/>
      <c r="H7" s="320" t="n"/>
      <c r="M7" s="331" t="n"/>
      <c r="N7" s="321" t="n"/>
      <c r="O7" s="321" t="n"/>
      <c r="P7" s="332" t="n"/>
    </row>
    <row r="8" ht="20.1" customFormat="1" customHeight="1" s="318">
      <c r="A8" s="333" t="inlineStr">
        <is>
          <t>1.选择大额、异常的客户或交易。</t>
        </is>
      </c>
      <c r="C8" s="334" t="n"/>
      <c r="D8" s="334" t="n"/>
      <c r="E8" s="334" t="n"/>
      <c r="F8" s="334" t="n"/>
      <c r="G8" s="334" t="n"/>
      <c r="H8" s="334" t="n"/>
      <c r="I8" s="334" t="n"/>
      <c r="J8" s="334" t="n"/>
      <c r="K8" s="334" t="n"/>
      <c r="L8" s="334" t="n"/>
      <c r="M8" s="334" t="n"/>
      <c r="N8" s="334" t="n"/>
      <c r="O8" s="334" t="n"/>
      <c r="P8" s="334" t="n"/>
      <c r="Q8" s="334" t="n"/>
      <c r="R8" s="334" t="n"/>
    </row>
    <row r="9" ht="28.2" customFormat="1" customHeight="1" s="318">
      <c r="A9" s="335" t="inlineStr">
        <is>
          <t>2.查询客户工商、银行、税务信息资料，关注其地址、董事/监事/关键管理人员、联系方式等信息，并与其相关发票信息、网站信息进行核对，识别客户是否存在与被审计单位存在疑似关联关系的信息。</t>
        </is>
      </c>
    </row>
    <row r="10" ht="20.1" customFormat="1" customHeight="1" s="318">
      <c r="A10" s="333" t="inlineStr">
        <is>
          <t>3.选取重要客户，获取关联方关系确认函。</t>
        </is>
      </c>
      <c r="C10" s="334" t="n"/>
      <c r="D10" s="334" t="n"/>
      <c r="E10" s="334" t="n"/>
      <c r="F10" s="334" t="n"/>
      <c r="G10" s="334" t="n"/>
      <c r="H10" s="334" t="n"/>
      <c r="I10" s="334" t="n"/>
      <c r="J10" s="334" t="n"/>
      <c r="K10" s="334" t="n"/>
      <c r="L10" s="334" t="n"/>
      <c r="M10" s="334" t="n"/>
      <c r="N10" s="334" t="n"/>
      <c r="O10" s="334" t="n"/>
      <c r="P10" s="334" t="n"/>
      <c r="Q10" s="334" t="n"/>
      <c r="R10" s="334" t="n"/>
    </row>
    <row r="11" ht="28.8" customFormat="1" customHeight="1" s="318">
      <c r="A11" s="335" t="inlineStr">
        <is>
          <t>4.取得发行人实际控制人、董高监及其密切家庭人员的对外投资清单，与重要客户的股东和关键经办人员进行比对，关注与发行人实际控制人、董事、监事、高级管理人员关系密切的家庭成员与发行人的客户是否存在关联方关系。</t>
        </is>
      </c>
    </row>
    <row r="12" ht="27.6" customFormat="1" customHeight="1" s="318">
      <c r="A12" s="335" t="inlineStr">
        <is>
          <t>5.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t>
        </is>
      </c>
    </row>
    <row r="13" ht="28.2" customFormat="1" customHeight="1" s="318">
      <c r="A13" s="335" t="inlineStr">
        <is>
          <t>6.获取发行人主要股东、董事、监事、关键管理人员及上述利益相关方的确认函，确认除其本人在被审计单位领取薪酬或分得股利外，其本人及其关系密切的家庭成员未与被审计单位有任何形式的交易。</t>
        </is>
      </c>
      <c r="S13" s="336" t="n"/>
    </row>
    <row r="14" ht="51" customFormat="1" customHeight="1" s="319">
      <c r="A14" s="337" t="inlineStr">
        <is>
          <t>序号</t>
        </is>
      </c>
      <c r="B14" s="337" t="inlineStr">
        <is>
          <t>姓名</t>
        </is>
      </c>
      <c r="C14" s="337" t="inlineStr">
        <is>
          <t>个人客户</t>
        </is>
      </c>
      <c r="D14" s="337" t="inlineStr">
        <is>
          <t>客户法人</t>
        </is>
      </c>
      <c r="E14" s="337" t="inlineStr">
        <is>
          <t>合同签订人</t>
        </is>
      </c>
      <c r="F14" s="337" t="inlineStr">
        <is>
          <t>高管亲属</t>
        </is>
      </c>
      <c r="G14" s="337" t="inlineStr">
        <is>
          <t>财务部门</t>
        </is>
      </c>
      <c r="H14" s="337" t="inlineStr">
        <is>
          <t>管理部门</t>
        </is>
      </c>
      <c r="I14" s="337" t="inlineStr">
        <is>
          <t>技术部门</t>
        </is>
      </c>
      <c r="J14" s="337" t="inlineStr">
        <is>
          <t>生产部门</t>
        </is>
      </c>
      <c r="K14" s="337" t="inlineStr">
        <is>
          <t>营销部门</t>
        </is>
      </c>
      <c r="L14" s="337" t="inlineStr">
        <is>
          <t>…</t>
        </is>
      </c>
      <c r="M14" s="337" t="inlineStr">
        <is>
          <t>总计</t>
        </is>
      </c>
      <c r="N14" s="337" t="inlineStr">
        <is>
          <t>客户与公司员工或高管或/和亲属重名（Y/N）</t>
        </is>
      </c>
      <c r="O14" s="337" t="inlineStr">
        <is>
          <t>公司股东/高管/亲属/员工</t>
        </is>
      </c>
      <c r="P14" s="338" t="inlineStr">
        <is>
          <t>20XX年度销售额</t>
        </is>
      </c>
      <c r="Q14" s="337" t="inlineStr">
        <is>
          <t>说明</t>
        </is>
      </c>
      <c r="R14" s="337" t="inlineStr">
        <is>
          <t>索引号</t>
        </is>
      </c>
    </row>
    <row r="15" ht="20.1" customHeight="1" s="1296">
      <c r="A15" s="339" t="n">
        <v>1</v>
      </c>
      <c r="B15" s="340" t="inlineStr">
        <is>
          <t>陈XX</t>
        </is>
      </c>
      <c r="C15" s="341" t="n"/>
      <c r="D15" s="341" t="n">
        <v>1</v>
      </c>
      <c r="E15" s="341" t="n"/>
      <c r="F15" s="341" t="n"/>
      <c r="G15" s="341" t="n"/>
      <c r="H15" s="341" t="n"/>
      <c r="I15" s="341" t="n"/>
      <c r="J15" s="341" t="n">
        <v>1</v>
      </c>
      <c r="K15" s="341" t="n"/>
      <c r="L15" s="341" t="n"/>
      <c r="M15" s="341">
        <f>SUM(C15:L15)</f>
        <v/>
      </c>
      <c r="N15" s="341" t="inlineStr">
        <is>
          <t>Y</t>
        </is>
      </c>
      <c r="O15" s="341" t="inlineStr">
        <is>
          <t>公司员工</t>
        </is>
      </c>
      <c r="P15" s="1822" t="n">
        <v>942.91</v>
      </c>
      <c r="Q15" s="343" t="inlineStr">
        <is>
          <t>经销商：AAA公司之法人</t>
        </is>
      </c>
      <c r="R15" s="344" t="n"/>
    </row>
    <row r="16" ht="20.1" customHeight="1" s="1296">
      <c r="A16" s="339" t="n">
        <v>2</v>
      </c>
      <c r="B16" s="340" t="inlineStr">
        <is>
          <t>李YY</t>
        </is>
      </c>
      <c r="C16" s="341" t="n">
        <v>1</v>
      </c>
      <c r="D16" s="341" t="n"/>
      <c r="E16" s="341" t="n"/>
      <c r="F16" s="341" t="n"/>
      <c r="G16" s="341" t="n">
        <v>1</v>
      </c>
      <c r="H16" s="341" t="n"/>
      <c r="I16" s="341" t="n"/>
      <c r="J16" s="341" t="n"/>
      <c r="K16" s="341" t="n"/>
      <c r="L16" s="341" t="n"/>
      <c r="M16" s="341">
        <f>SUM(C16:L16)</f>
        <v/>
      </c>
      <c r="N16" s="341" t="inlineStr">
        <is>
          <t>Y</t>
        </is>
      </c>
      <c r="O16" s="341" t="inlineStr">
        <is>
          <t>公司股东</t>
        </is>
      </c>
      <c r="P16" s="1822" t="n">
        <v>557.16</v>
      </c>
      <c r="Q16" s="343" t="n"/>
      <c r="R16" s="344" t="n"/>
    </row>
    <row r="17" ht="20.1" customHeight="1" s="1296">
      <c r="A17" s="339" t="n">
        <v>3</v>
      </c>
      <c r="B17" s="344" t="n"/>
      <c r="C17" s="339" t="n"/>
      <c r="D17" s="339" t="n"/>
      <c r="E17" s="339" t="n"/>
      <c r="F17" s="339" t="n"/>
      <c r="G17" s="339" t="n"/>
      <c r="H17" s="339" t="n"/>
      <c r="I17" s="339" t="n"/>
      <c r="J17" s="339" t="n"/>
      <c r="K17" s="339" t="n"/>
      <c r="L17" s="339" t="n"/>
      <c r="M17" s="339">
        <f>SUM(C17:L17)</f>
        <v/>
      </c>
      <c r="N17" s="339" t="n"/>
      <c r="O17" s="339" t="n"/>
      <c r="P17" s="1823" t="n"/>
      <c r="Q17" s="346" t="n"/>
      <c r="R17" s="344" t="n"/>
    </row>
    <row r="18" ht="20.1" customHeight="1" s="1296">
      <c r="A18" s="339" t="n">
        <v>4</v>
      </c>
      <c r="B18" s="344" t="n"/>
      <c r="C18" s="339" t="n"/>
      <c r="D18" s="339" t="n"/>
      <c r="E18" s="339" t="n"/>
      <c r="F18" s="339" t="n"/>
      <c r="G18" s="339" t="n"/>
      <c r="H18" s="339" t="n"/>
      <c r="I18" s="339" t="n"/>
      <c r="J18" s="339" t="n"/>
      <c r="K18" s="339" t="n"/>
      <c r="L18" s="339" t="n"/>
      <c r="M18" s="339">
        <f>SUM(C18:L18)</f>
        <v/>
      </c>
      <c r="N18" s="339" t="n"/>
      <c r="O18" s="339" t="n"/>
      <c r="P18" s="1823" t="n"/>
      <c r="Q18" s="346" t="n"/>
      <c r="R18" s="344" t="n"/>
    </row>
    <row r="19" ht="20.1" customHeight="1" s="1296">
      <c r="A19" s="339" t="n">
        <v>5</v>
      </c>
      <c r="B19" s="344" t="n"/>
      <c r="C19" s="339" t="n"/>
      <c r="D19" s="339" t="n"/>
      <c r="E19" s="339" t="n"/>
      <c r="F19" s="339" t="n"/>
      <c r="G19" s="339" t="n"/>
      <c r="H19" s="339" t="n"/>
      <c r="I19" s="339" t="n"/>
      <c r="J19" s="339" t="n"/>
      <c r="K19" s="339" t="n"/>
      <c r="L19" s="339" t="n"/>
      <c r="M19" s="339">
        <f>SUM(C19:L19)</f>
        <v/>
      </c>
      <c r="N19" s="339" t="n"/>
      <c r="O19" s="339" t="n"/>
      <c r="P19" s="1823" t="n"/>
      <c r="Q19" s="346" t="n"/>
      <c r="R19" s="344" t="n"/>
    </row>
    <row r="20" ht="20.1" customHeight="1" s="1296">
      <c r="A20" s="339" t="n">
        <v>6</v>
      </c>
      <c r="B20" s="344" t="n"/>
      <c r="C20" s="339" t="n"/>
      <c r="D20" s="339" t="n"/>
      <c r="E20" s="339" t="n"/>
      <c r="F20" s="339" t="n"/>
      <c r="G20" s="339" t="n"/>
      <c r="H20" s="339" t="n"/>
      <c r="I20" s="339" t="n"/>
      <c r="J20" s="339" t="n"/>
      <c r="K20" s="339" t="n"/>
      <c r="L20" s="339" t="n"/>
      <c r="M20" s="339" t="n"/>
      <c r="N20" s="339" t="n"/>
      <c r="O20" s="339" t="n"/>
      <c r="P20" s="1823" t="n"/>
      <c r="Q20" s="346" t="n"/>
      <c r="R20" s="344" t="n"/>
    </row>
    <row r="21" ht="20.1" customHeight="1" s="1296">
      <c r="A21" s="339" t="n">
        <v>7</v>
      </c>
      <c r="B21" s="344" t="n"/>
      <c r="C21" s="339" t="n"/>
      <c r="D21" s="339" t="n"/>
      <c r="E21" s="339" t="n"/>
      <c r="F21" s="339" t="n"/>
      <c r="G21" s="339" t="n"/>
      <c r="H21" s="339" t="n"/>
      <c r="I21" s="339" t="n"/>
      <c r="J21" s="339" t="n"/>
      <c r="K21" s="339" t="n"/>
      <c r="L21" s="339" t="n"/>
      <c r="M21" s="339" t="n"/>
      <c r="N21" s="339" t="n"/>
      <c r="O21" s="339" t="n"/>
      <c r="P21" s="1823" t="n"/>
      <c r="Q21" s="346" t="n"/>
      <c r="R21" s="344" t="n"/>
    </row>
    <row r="22" ht="20.1" customHeight="1" s="1296">
      <c r="A22" s="339" t="n">
        <v>8</v>
      </c>
      <c r="B22" s="344" t="n"/>
      <c r="C22" s="339" t="n"/>
      <c r="D22" s="339" t="n"/>
      <c r="E22" s="339" t="n"/>
      <c r="F22" s="339" t="n"/>
      <c r="G22" s="339" t="n"/>
      <c r="H22" s="339" t="n"/>
      <c r="I22" s="339" t="n"/>
      <c r="J22" s="339" t="n"/>
      <c r="K22" s="339" t="n"/>
      <c r="L22" s="339" t="n"/>
      <c r="M22" s="339" t="n"/>
      <c r="N22" s="339" t="n"/>
      <c r="O22" s="339" t="n"/>
      <c r="P22" s="1823" t="n"/>
      <c r="Q22" s="346" t="n"/>
      <c r="R22" s="344" t="n"/>
    </row>
    <row r="23" ht="20.1" customHeight="1" s="1296">
      <c r="A23" s="339" t="n">
        <v>9</v>
      </c>
      <c r="B23" s="344" t="n"/>
      <c r="C23" s="339" t="n"/>
      <c r="D23" s="339" t="n"/>
      <c r="E23" s="339" t="n"/>
      <c r="F23" s="339" t="n"/>
      <c r="G23" s="339" t="n"/>
      <c r="H23" s="339" t="n"/>
      <c r="I23" s="339" t="n"/>
      <c r="J23" s="339" t="n"/>
      <c r="K23" s="339" t="n"/>
      <c r="L23" s="339" t="n"/>
      <c r="M23" s="339" t="n"/>
      <c r="N23" s="339" t="n"/>
      <c r="O23" s="339" t="n"/>
      <c r="P23" s="1823" t="n"/>
      <c r="Q23" s="346" t="n"/>
      <c r="R23" s="344" t="n"/>
    </row>
    <row r="24" ht="20.1" customHeight="1" s="1296">
      <c r="A24" s="339" t="n">
        <v>10</v>
      </c>
      <c r="B24" s="344" t="n"/>
      <c r="C24" s="339" t="n"/>
      <c r="D24" s="339" t="n"/>
      <c r="E24" s="339" t="n"/>
      <c r="F24" s="339" t="n"/>
      <c r="G24" s="339" t="n"/>
      <c r="H24" s="339" t="n"/>
      <c r="I24" s="339" t="n"/>
      <c r="J24" s="339" t="n"/>
      <c r="K24" s="339" t="n"/>
      <c r="L24" s="339" t="n"/>
      <c r="M24" s="339" t="n"/>
      <c r="N24" s="339" t="n"/>
      <c r="O24" s="339" t="n"/>
      <c r="P24" s="1823" t="n"/>
      <c r="Q24" s="346" t="n"/>
      <c r="R24" s="344" t="n"/>
    </row>
    <row r="25" ht="20.1" customHeight="1" s="1296">
      <c r="A25" s="339" t="n"/>
      <c r="B25" s="344" t="n"/>
      <c r="C25" s="339" t="n"/>
      <c r="D25" s="339" t="n"/>
      <c r="E25" s="339" t="n"/>
      <c r="F25" s="339" t="n"/>
      <c r="G25" s="339" t="n"/>
      <c r="H25" s="339" t="n"/>
      <c r="I25" s="339" t="n"/>
      <c r="J25" s="339" t="n"/>
      <c r="K25" s="339" t="n"/>
      <c r="L25" s="339" t="n"/>
      <c r="M25" s="339" t="n"/>
      <c r="N25" s="339" t="n"/>
      <c r="O25" s="339" t="n"/>
      <c r="P25" s="1823" t="n"/>
      <c r="Q25" s="346" t="n"/>
      <c r="R25" s="344" t="n"/>
    </row>
    <row r="26" ht="20.1" customHeight="1" s="1296">
      <c r="A26" s="339" t="n"/>
      <c r="B26" s="344" t="n"/>
      <c r="C26" s="339" t="n"/>
      <c r="D26" s="339" t="n"/>
      <c r="E26" s="339" t="n"/>
      <c r="F26" s="339" t="n"/>
      <c r="G26" s="339" t="n"/>
      <c r="H26" s="339" t="n"/>
      <c r="I26" s="339" t="n"/>
      <c r="J26" s="339" t="n"/>
      <c r="K26" s="339" t="n"/>
      <c r="L26" s="339" t="n"/>
      <c r="M26" s="339" t="n"/>
      <c r="N26" s="339" t="n"/>
      <c r="O26" s="339" t="n"/>
      <c r="P26" s="1823" t="n"/>
      <c r="Q26" s="346" t="n"/>
      <c r="R26" s="344" t="n"/>
    </row>
    <row r="27" ht="20.1" customHeight="1" s="1296">
      <c r="A27" s="318" t="inlineStr">
        <is>
          <t>三、审计说明：</t>
        </is>
      </c>
      <c r="P27" s="347" t="n"/>
    </row>
    <row r="28" ht="20.1" customHeight="1" s="1296">
      <c r="A28" s="348" t="inlineStr">
        <is>
          <t>1.公司的主要股东、高管、股东及高管的家属、公司员工名单见&lt;   &gt;，主要概况：</t>
        </is>
      </c>
      <c r="C28" s="321" t="n"/>
      <c r="D28" s="349" t="n"/>
      <c r="E28" s="349" t="n"/>
      <c r="F28" s="321" t="n"/>
      <c r="G28" s="349" t="n"/>
      <c r="H28" s="321" t="n"/>
      <c r="I28" s="349" t="n"/>
      <c r="J28" s="349" t="n"/>
      <c r="K28" s="349" t="n"/>
      <c r="L28" s="349" t="n"/>
      <c r="M28" s="349" t="n"/>
      <c r="P28" s="349" t="n"/>
      <c r="Q28" s="349" t="n"/>
      <c r="R28" s="349" t="n"/>
    </row>
    <row r="29" ht="20.1" customHeight="1" s="1296">
      <c r="A29" s="333" t="inlineStr">
        <is>
          <t>XX公司：高管亲属338；之财务部门65；之管理部门323；之技术部门686；之生产部门1344；之营销部门1165；</t>
        </is>
      </c>
      <c r="P29" s="347" t="n"/>
    </row>
    <row r="30" ht="20.1" customHeight="1" s="1296">
      <c r="A30" s="333" t="inlineStr">
        <is>
          <t>2.客户的法人及关键管理人员概况：</t>
        </is>
      </c>
      <c r="P30" s="347" t="n"/>
    </row>
    <row r="31" ht="20.1" customHeight="1" s="1296">
      <c r="A31" s="333" t="inlineStr">
        <is>
          <t>个人经销商70；副经销商1874；客户法人1697；客户合同签订人39。</t>
        </is>
      </c>
      <c r="P31" s="347" t="n"/>
    </row>
    <row r="32" ht="20.1" customHeight="1" s="1296">
      <c r="A32" s="333" t="inlineStr">
        <is>
          <t>3.对比后，有54个姓名存在重复，涉及127人，其中客户60个；涉及2013年销售额约2.1亿元；</t>
        </is>
      </c>
      <c r="P32" s="347" t="n"/>
    </row>
    <row r="33" ht="20.1" customHeight="1" s="1296">
      <c r="A33" s="333" t="inlineStr">
        <is>
          <t>抽取销售额大于500万的个人客户约11个，涉及27人；涉及2013年销售额约为1.43亿，占2013年总销售额的比例约为67.58%。</t>
        </is>
      </c>
      <c r="P33" s="347" t="n"/>
    </row>
    <row r="34" ht="20.1" customHeight="1" s="1296">
      <c r="A34" s="333" t="inlineStr">
        <is>
          <t>4.获取27人的身份证复印件；对身份证信息的身份证号码、家庭地址，做交叉对比。</t>
        </is>
      </c>
      <c r="P34" s="347" t="n"/>
    </row>
    <row r="35" ht="20.1" customHeight="1" s="1296">
      <c r="A35" s="333" t="inlineStr">
        <is>
          <t>核对未发现身份证号码、登记地址有和公司员工重复的现象。</t>
        </is>
      </c>
      <c r="P35" s="347" t="n"/>
    </row>
    <row r="36" ht="20.1" customHeight="1" s="1296">
      <c r="A36" s="318" t="inlineStr">
        <is>
          <t>四、审计结论：</t>
        </is>
      </c>
      <c r="P36" s="347" t="n"/>
    </row>
    <row r="37" ht="20.1" customHeight="1" s="1296">
      <c r="A37" s="333" t="inlineStr">
        <is>
          <t>未识别出重要客户与公司存在关联方关系。</t>
        </is>
      </c>
      <c r="P37" s="347" t="n"/>
    </row>
    <row r="38" ht="20.1" customHeight="1" s="1296">
      <c r="P38" s="347" t="n"/>
    </row>
    <row r="39" ht="18" customHeight="1" s="1296"/>
    <row r="40">
      <c r="A40" s="350" t="n"/>
    </row>
    <row r="41">
      <c r="A41" s="351" t="n"/>
    </row>
  </sheetData>
  <mergeCells count="6">
    <mergeCell ref="A2:R2"/>
    <mergeCell ref="A11:R11"/>
    <mergeCell ref="A13:R13"/>
    <mergeCell ref="A1:R1"/>
    <mergeCell ref="A9:R9"/>
    <mergeCell ref="A12:R12"/>
  </mergeCells>
  <hyperlinks>
    <hyperlink ref="R3" location="底稿目录!A1" display="='D:\GT_plan\backend\wp_templates\D\[D4-22至D4-32营业收入-IPO 上市 新三板 重组 舞弊应对.xlsx]底稿目录'!F17"/>
  </hyperlinks>
  <pageMargins left="0.708333333333333" right="0.708333333333333" top="0.747916666666667" bottom="0.747916666666667" header="0.314583333333333" footer="0.314583333333333"/>
  <pageSetup orientation="landscape" paperSize="9" scale="90" blackAndWhite="1"/>
  <headerFooter>
    <oddHeader/>
    <oddFooter>&amp;C&amp;P/&amp;N</oddFooter>
    <evenHeader/>
    <evenFooter/>
    <firstHeader/>
    <firstFooter/>
  </headerFooter>
</worksheet>
</file>

<file path=xl/worksheets/sheet36.xml><?xml version="1.0" encoding="utf-8"?>
<worksheet xmlns="http://schemas.openxmlformats.org/spreadsheetml/2006/main">
  <sheetPr>
    <outlinePr summaryBelow="1" summaryRight="1"/>
    <pageSetUpPr/>
  </sheetPr>
  <dimension ref="A1:X36"/>
  <sheetViews>
    <sheetView view="pageBreakPreview" zoomScaleNormal="100" workbookViewId="0">
      <selection activeCell="A1" sqref="A1:O1"/>
    </sheetView>
  </sheetViews>
  <sheetFormatPr baseColWidth="8" defaultColWidth="9.81818181818182" defaultRowHeight="20.1" customHeight="1"/>
  <cols>
    <col width="4.48181818181818" customWidth="1" style="297" min="1" max="1"/>
    <col width="24" customWidth="1" style="297" min="2" max="2"/>
    <col width="13.9363636363636" customWidth="1" style="297" min="3" max="4"/>
    <col width="9.572727272727271" customWidth="1" style="297" min="5" max="7"/>
    <col width="11.7545454545455" customWidth="1" style="297" min="8" max="8"/>
    <col width="9.572727272727271" customWidth="1" style="297" min="9" max="9"/>
    <col width="13.3272727272727" customWidth="1" style="297" min="10" max="10"/>
    <col width="15.6363636363636" customWidth="1" style="297" min="11" max="11"/>
    <col width="11.2727272727273" customWidth="1" style="297" min="12" max="12"/>
    <col width="14.6636363636364" customWidth="1" style="297" min="13" max="13"/>
    <col width="14.5454545454545" customWidth="1" style="297" min="14" max="14"/>
    <col width="15.2727272727273" customWidth="1" style="297" min="15" max="15"/>
    <col width="9.81818181818182" customWidth="1" style="297" min="16" max="16384"/>
  </cols>
  <sheetData>
    <row r="1" customFormat="1" s="171">
      <c r="A1" s="298" t="inlineStr">
        <is>
          <t>致同会计师事务所</t>
        </is>
      </c>
      <c r="P1" s="299" t="n"/>
      <c r="Q1" s="299" t="n"/>
      <c r="R1" s="299" t="n"/>
      <c r="S1" s="299" t="n"/>
    </row>
    <row r="2" customFormat="1" s="171">
      <c r="A2" s="300" t="inlineStr">
        <is>
          <t>客户信息核查清单</t>
        </is>
      </c>
      <c r="P2" s="301" t="n"/>
      <c r="Q2" s="301" t="n"/>
      <c r="R2" s="301" t="n"/>
      <c r="S2" s="301" t="n"/>
    </row>
    <row r="3" customFormat="1" s="171">
      <c r="A3" s="171" t="inlineStr">
        <is>
          <t>被审计单位名称：</t>
        </is>
      </c>
      <c r="E3" s="171" t="inlineStr">
        <is>
          <t>编制人：</t>
        </is>
      </c>
      <c r="K3" s="171" t="inlineStr">
        <is>
          <t>编制日期：</t>
        </is>
      </c>
      <c r="N3" s="302" t="inlineStr">
        <is>
          <t>索引号：</t>
        </is>
      </c>
      <c r="O3" s="303" t="inlineStr">
        <is>
          <t>D4-28</t>
        </is>
      </c>
    </row>
    <row r="4" customFormat="1" s="171">
      <c r="A4" s="171" t="inlineStr">
        <is>
          <t>会计期间：202X年度</t>
        </is>
      </c>
      <c r="E4" s="171" t="inlineStr">
        <is>
          <t>复核人：</t>
        </is>
      </c>
      <c r="K4" s="171" t="inlineStr">
        <is>
          <t>复核日期：</t>
        </is>
      </c>
      <c r="N4" s="302" t="inlineStr">
        <is>
          <t>页次：</t>
        </is>
      </c>
    </row>
    <row r="5" customFormat="1" s="171">
      <c r="A5" s="20" t="inlineStr">
        <is>
          <t>一、审计目标：</t>
        </is>
      </c>
    </row>
    <row r="6" customFormat="1" s="171">
      <c r="A6" s="519" t="inlineStr">
        <is>
          <t>润表中记录的营业收入已发生，且与被审计单位有关，已记录于恰当的账户。</t>
        </is>
      </c>
      <c r="B6" s="519" t="n"/>
    </row>
    <row r="7" customFormat="1" s="171">
      <c r="A7" s="20" t="inlineStr">
        <is>
          <t>二、审计过程：</t>
        </is>
      </c>
    </row>
    <row r="8" customFormat="1" s="171">
      <c r="A8" s="500" t="inlineStr">
        <is>
          <t>1.核查主要客户及交易真实性，包括调查交易对手背景和商业目的等。</t>
        </is>
      </c>
    </row>
    <row r="9" customFormat="1" s="171">
      <c r="A9" s="500" t="inlineStr">
        <is>
          <t>2.对比历年主要客户清单，找出报告期新增的主要客户、原有主要客户交易额大幅减少或合作关系取消的情况，重点关注变化原因。项目组根据客户集中度和风险情况，抽取报告期各期（___）个客户/项目</t>
        </is>
      </c>
      <c r="B9" s="691" t="n"/>
      <c r="C9" s="691" t="n"/>
      <c r="D9" s="691" t="n"/>
      <c r="E9" s="691" t="n"/>
      <c r="F9" s="691" t="n"/>
      <c r="G9" s="691" t="n"/>
      <c r="H9" s="691" t="n"/>
      <c r="I9" s="691" t="n"/>
      <c r="J9" s="691" t="n"/>
      <c r="K9" s="691" t="n"/>
      <c r="L9" s="691" t="n"/>
      <c r="M9" s="691" t="n"/>
      <c r="N9" s="691" t="n"/>
      <c r="O9" s="691" t="n"/>
    </row>
    <row r="10" customFormat="1" s="171">
      <c r="A10" s="500" t="inlineStr">
        <is>
          <t>考虑实施包括查询工商资料、互联网查询、电话访谈关键经办人员、实地走访客户等程序，并编制执行结果汇总表。</t>
        </is>
      </c>
      <c r="B10" s="691" t="n"/>
      <c r="C10" s="691" t="n"/>
      <c r="D10" s="691" t="n"/>
      <c r="E10" s="691" t="n"/>
      <c r="F10" s="691" t="n"/>
      <c r="G10" s="691" t="n"/>
      <c r="H10" s="691" t="n"/>
      <c r="I10" s="691" t="n"/>
      <c r="J10" s="691" t="n"/>
      <c r="K10" s="691" t="n"/>
      <c r="L10" s="691" t="n"/>
      <c r="M10" s="691" t="n"/>
      <c r="N10" s="691" t="n"/>
      <c r="O10" s="691" t="n"/>
    </row>
    <row r="11" customFormat="1" s="171">
      <c r="A11" s="167" t="n"/>
    </row>
    <row r="12" s="1296">
      <c r="A12" s="304" t="inlineStr">
        <is>
          <t>序号</t>
        </is>
      </c>
      <c r="B12" s="304" t="inlineStr">
        <is>
          <t>客户名称</t>
        </is>
      </c>
      <c r="C12" s="304" t="inlineStr">
        <is>
          <t>选取原因</t>
        </is>
      </c>
      <c r="D12" s="304" t="inlineStr">
        <is>
          <t>销售金额</t>
        </is>
      </c>
      <c r="E12" s="304" t="inlineStr">
        <is>
          <t>占总交易
比重</t>
        </is>
      </c>
      <c r="F12" s="304" t="inlineStr">
        <is>
          <t>应收账款
期末余额</t>
        </is>
      </c>
      <c r="G12" s="304" t="inlineStr">
        <is>
          <t>占期末余额比重</t>
        </is>
      </c>
      <c r="H12" s="304" t="inlineStr">
        <is>
          <t>合同负债
期末余额</t>
        </is>
      </c>
      <c r="I12" s="304" t="inlineStr">
        <is>
          <t>占期末余额比重</t>
        </is>
      </c>
      <c r="J12" s="304" t="inlineStr">
        <is>
          <t>核查方式（√）</t>
        </is>
      </c>
      <c r="K12" s="1578" t="n"/>
      <c r="L12" s="1578" t="n"/>
      <c r="M12" s="1578" t="n"/>
      <c r="N12" s="1390" t="n"/>
      <c r="O12" s="305" t="inlineStr">
        <is>
          <t>索引号</t>
        </is>
      </c>
      <c r="S12" s="171" t="n"/>
      <c r="T12" s="171" t="n"/>
      <c r="U12" s="171" t="n"/>
      <c r="V12" s="171" t="n"/>
      <c r="W12" s="171" t="n"/>
      <c r="X12" s="171" t="n"/>
    </row>
    <row r="13" customFormat="1" s="296">
      <c r="A13" s="1579" t="n"/>
      <c r="B13" s="1579" t="n"/>
      <c r="C13" s="1579" t="n"/>
      <c r="D13" s="1579" t="n"/>
      <c r="E13" s="1579" t="n"/>
      <c r="F13" s="1579" t="n"/>
      <c r="G13" s="1579" t="n"/>
      <c r="H13" s="1579" t="n"/>
      <c r="I13" s="1579" t="n"/>
      <c r="J13" s="305" t="inlineStr">
        <is>
          <t>工商资料查询</t>
        </is>
      </c>
      <c r="K13" s="305" t="inlineStr">
        <is>
          <t>互联网信息查询</t>
        </is>
      </c>
      <c r="L13" s="305" t="inlineStr">
        <is>
          <t>函证</t>
        </is>
      </c>
      <c r="M13" s="304" t="inlineStr">
        <is>
          <t>视频、电话访谈</t>
        </is>
      </c>
      <c r="N13" s="305" t="inlineStr">
        <is>
          <t>实地走访</t>
        </is>
      </c>
      <c r="O13" s="1579" t="n"/>
    </row>
    <row r="14" s="1296">
      <c r="A14" s="306" t="n">
        <v>1</v>
      </c>
      <c r="B14" s="307" t="inlineStr">
        <is>
          <t>客户1</t>
        </is>
      </c>
      <c r="C14" s="308" t="inlineStr">
        <is>
          <t>新增主要客户</t>
        </is>
      </c>
      <c r="D14" s="1824" t="n"/>
      <c r="E14" s="310" t="n"/>
      <c r="F14" s="1825" t="n"/>
      <c r="G14" s="310" t="n"/>
      <c r="H14" s="1824" t="n"/>
      <c r="I14" s="312" t="n"/>
      <c r="J14" s="313" t="n"/>
      <c r="K14" s="313" t="n"/>
      <c r="L14" s="313" t="n"/>
      <c r="M14" s="313" t="n"/>
      <c r="N14" s="313" t="n"/>
      <c r="O14" s="314" t="n"/>
    </row>
    <row r="15" s="1296">
      <c r="A15" s="306" t="n">
        <v>2</v>
      </c>
      <c r="B15" s="307" t="inlineStr">
        <is>
          <t>客户2</t>
        </is>
      </c>
      <c r="C15" s="308" t="inlineStr">
        <is>
          <t>第一大客户</t>
        </is>
      </c>
      <c r="D15" s="1824" t="n"/>
      <c r="E15" s="310" t="n"/>
      <c r="F15" s="1825" t="n"/>
      <c r="G15" s="310" t="n"/>
      <c r="H15" s="1824" t="n"/>
      <c r="I15" s="312" t="n"/>
      <c r="J15" s="313" t="n"/>
      <c r="K15" s="313" t="n"/>
      <c r="L15" s="313" t="n"/>
      <c r="M15" s="313" t="n"/>
      <c r="N15" s="313" t="n"/>
      <c r="O15" s="314" t="n"/>
      <c r="Q15" s="171" t="n"/>
      <c r="R15" s="171" t="n"/>
    </row>
    <row r="16" s="1296">
      <c r="A16" s="306" t="n"/>
      <c r="B16" s="307" t="n"/>
      <c r="C16" s="313" t="n"/>
      <c r="D16" s="1826" t="n"/>
      <c r="E16" s="312" t="n"/>
      <c r="F16" s="1827" t="n"/>
      <c r="G16" s="312" t="n"/>
      <c r="H16" s="1826" t="n"/>
      <c r="I16" s="312" t="n"/>
      <c r="J16" s="313" t="n"/>
      <c r="K16" s="313" t="n"/>
      <c r="L16" s="313" t="n"/>
      <c r="M16" s="313" t="n"/>
      <c r="N16" s="313" t="n"/>
      <c r="O16" s="314" t="n"/>
      <c r="Q16" s="171" t="n"/>
      <c r="R16" s="171" t="n"/>
    </row>
    <row r="17" s="1296">
      <c r="A17" s="306" t="n"/>
      <c r="B17" s="307" t="n"/>
      <c r="C17" s="313" t="n"/>
      <c r="D17" s="1826" t="n"/>
      <c r="E17" s="312" t="n"/>
      <c r="F17" s="1827" t="n"/>
      <c r="G17" s="312" t="n"/>
      <c r="H17" s="1826" t="n"/>
      <c r="I17" s="312" t="n"/>
      <c r="J17" s="313" t="n"/>
      <c r="K17" s="313" t="n"/>
      <c r="L17" s="313" t="n"/>
      <c r="M17" s="313" t="n"/>
      <c r="N17" s="313" t="n"/>
      <c r="O17" s="314" t="n"/>
      <c r="Q17" s="171" t="n"/>
      <c r="R17" s="171" t="n"/>
    </row>
    <row r="18" s="1296">
      <c r="A18" s="306" t="n"/>
      <c r="B18" s="307" t="n"/>
      <c r="C18" s="313" t="n"/>
      <c r="D18" s="1826" t="n"/>
      <c r="E18" s="312" t="n"/>
      <c r="F18" s="1827" t="n"/>
      <c r="G18" s="312" t="n"/>
      <c r="H18" s="1826" t="n"/>
      <c r="I18" s="312" t="n"/>
      <c r="J18" s="313" t="n"/>
      <c r="K18" s="313" t="n"/>
      <c r="L18" s="313" t="n"/>
      <c r="M18" s="313" t="n"/>
      <c r="N18" s="313" t="n"/>
      <c r="O18" s="314" t="n"/>
      <c r="Q18" s="171" t="n"/>
      <c r="R18" s="171" t="n"/>
    </row>
    <row r="19" s="1296">
      <c r="A19" s="306" t="n"/>
      <c r="B19" s="307" t="n"/>
      <c r="C19" s="313" t="n"/>
      <c r="D19" s="1826" t="n"/>
      <c r="E19" s="312" t="n"/>
      <c r="F19" s="1827" t="n"/>
      <c r="G19" s="312" t="n"/>
      <c r="H19" s="1826" t="n"/>
      <c r="I19" s="312" t="n"/>
      <c r="J19" s="313" t="n"/>
      <c r="K19" s="313" t="n"/>
      <c r="L19" s="313" t="n"/>
      <c r="M19" s="313" t="n"/>
      <c r="N19" s="313" t="n"/>
      <c r="O19" s="314" t="n"/>
      <c r="P19" s="167" t="n"/>
      <c r="Q19" s="519" t="n"/>
      <c r="R19" s="171" t="n"/>
    </row>
    <row r="20" s="1296">
      <c r="A20" s="306" t="n"/>
      <c r="B20" s="307" t="n"/>
      <c r="C20" s="313" t="n"/>
      <c r="D20" s="1826" t="n"/>
      <c r="E20" s="312" t="n"/>
      <c r="F20" s="1827" t="n"/>
      <c r="G20" s="312" t="n"/>
      <c r="H20" s="1826" t="n"/>
      <c r="I20" s="312" t="n"/>
      <c r="J20" s="313" t="n"/>
      <c r="K20" s="313" t="n"/>
      <c r="L20" s="313" t="n"/>
      <c r="M20" s="313" t="n"/>
      <c r="N20" s="313" t="n"/>
      <c r="O20" s="314" t="n"/>
      <c r="P20" s="167" t="n"/>
      <c r="Q20" s="519" t="n"/>
      <c r="R20" s="171" t="n"/>
    </row>
    <row r="21" s="1296">
      <c r="A21" s="306" t="n"/>
      <c r="B21" s="307" t="n"/>
      <c r="C21" s="313" t="n"/>
      <c r="D21" s="1826" t="n"/>
      <c r="E21" s="312" t="n"/>
      <c r="F21" s="1827" t="n"/>
      <c r="G21" s="312" t="n"/>
      <c r="H21" s="1826" t="n"/>
      <c r="I21" s="312" t="n"/>
      <c r="J21" s="313" t="n"/>
      <c r="K21" s="313" t="n"/>
      <c r="L21" s="313" t="n"/>
      <c r="M21" s="313" t="n"/>
      <c r="N21" s="313" t="n"/>
      <c r="O21" s="314" t="n"/>
    </row>
    <row r="22" s="1296">
      <c r="A22" s="306" t="n"/>
      <c r="B22" s="307" t="n"/>
      <c r="C22" s="313" t="n"/>
      <c r="D22" s="1826" t="n"/>
      <c r="E22" s="312" t="n"/>
      <c r="F22" s="1827" t="n"/>
      <c r="G22" s="312" t="n"/>
      <c r="H22" s="1826" t="n"/>
      <c r="I22" s="312" t="n"/>
      <c r="J22" s="313" t="n"/>
      <c r="K22" s="313" t="n"/>
      <c r="L22" s="313" t="n"/>
      <c r="M22" s="313" t="n"/>
      <c r="N22" s="313" t="n"/>
      <c r="O22" s="314" t="n"/>
    </row>
    <row r="23" s="1296">
      <c r="A23" s="306" t="n"/>
      <c r="B23" s="307" t="n"/>
      <c r="C23" s="313" t="n"/>
      <c r="D23" s="1826" t="n"/>
      <c r="E23" s="312" t="n"/>
      <c r="F23" s="1827" t="n"/>
      <c r="G23" s="312" t="n"/>
      <c r="H23" s="1826" t="n"/>
      <c r="I23" s="312" t="n"/>
      <c r="J23" s="313" t="n"/>
      <c r="K23" s="313" t="n"/>
      <c r="L23" s="313" t="n"/>
      <c r="M23" s="313" t="n"/>
      <c r="N23" s="313" t="n"/>
      <c r="O23" s="314" t="n"/>
    </row>
    <row r="24" s="1296">
      <c r="A24" s="306" t="n"/>
      <c r="B24" s="313" t="n"/>
      <c r="C24" s="313" t="n"/>
      <c r="D24" s="1828" t="n"/>
      <c r="E24" s="314" t="n"/>
      <c r="F24" s="1828" t="n"/>
      <c r="G24" s="314" t="n"/>
      <c r="H24" s="1828" t="n"/>
      <c r="I24" s="314" t="n"/>
      <c r="J24" s="313" t="n"/>
      <c r="K24" s="313" t="n"/>
      <c r="L24" s="313" t="n"/>
      <c r="M24" s="313" t="n"/>
      <c r="N24" s="313" t="n"/>
      <c r="O24" s="314" t="n"/>
    </row>
    <row r="25" s="1296">
      <c r="A25" s="20" t="inlineStr">
        <is>
          <t>三、审计说明：</t>
        </is>
      </c>
    </row>
    <row r="26" s="1296">
      <c r="A26" s="20" t="n"/>
      <c r="K26" s="20" t="n"/>
    </row>
    <row r="27" s="1296">
      <c r="A27" s="20" t="n"/>
      <c r="K27" s="20" t="n"/>
    </row>
    <row r="28" s="1296">
      <c r="A28" s="20" t="n"/>
      <c r="K28" s="20" t="n"/>
    </row>
    <row r="29" s="1296">
      <c r="A29" s="20" t="inlineStr">
        <is>
          <t>四、审计结论：</t>
        </is>
      </c>
      <c r="K29" s="20" t="n"/>
    </row>
    <row r="30" s="1296">
      <c r="A30" s="20" t="n"/>
      <c r="K30" s="20" t="n"/>
    </row>
    <row r="31" s="1296">
      <c r="A31" s="20" t="n"/>
      <c r="K31" s="20" t="n"/>
    </row>
    <row r="32" s="1296">
      <c r="A32" s="20" t="n"/>
    </row>
    <row r="33" s="1296">
      <c r="A33" s="519" t="n"/>
    </row>
    <row r="34" s="1296">
      <c r="A34" s="519" t="n"/>
    </row>
    <row r="35" s="1296">
      <c r="A35" s="519" t="n"/>
    </row>
    <row r="36" s="1296">
      <c r="A36" s="519" t="n"/>
    </row>
  </sheetData>
  <mergeCells count="13">
    <mergeCell ref="A2:O2"/>
    <mergeCell ref="B12:B13"/>
    <mergeCell ref="J12:N12"/>
    <mergeCell ref="A12:A13"/>
    <mergeCell ref="C12:C13"/>
    <mergeCell ref="E12:E13"/>
    <mergeCell ref="F12:F13"/>
    <mergeCell ref="G12:G13"/>
    <mergeCell ref="H12:H13"/>
    <mergeCell ref="A1:O1"/>
    <mergeCell ref="I12:I13"/>
    <mergeCell ref="O12:O13"/>
    <mergeCell ref="D12:D13"/>
  </mergeCells>
  <hyperlinks>
    <hyperlink ref="O3" location="底稿目录!A1" display="='D:\GT_plan\backend\wp_templates\D\[D4-22至D4-32营业收入-IPO 上市 新三板 重组 舞弊应对.xlsx]底稿目录'!F18"/>
  </hyperlinks>
  <pageMargins left="0.708333333333333" right="0.708333333333333" top="0.747916666666667" bottom="0.747916666666667" header="0.314583333333333" footer="0.314583333333333"/>
  <pageSetup orientation="landscape" paperSize="9" scale="73" blackAndWhite="1"/>
  <headerFooter>
    <oddHeader/>
    <oddFooter>&amp;C&amp;P/&amp;N</oddFooter>
    <evenHeader/>
    <evenFooter/>
    <firstHeader/>
    <firstFooter/>
  </headerFooter>
</worksheet>
</file>

<file path=xl/worksheets/sheet37.xml><?xml version="1.0" encoding="utf-8"?>
<worksheet xmlns="http://schemas.openxmlformats.org/spreadsheetml/2006/main">
  <sheetPr>
    <outlinePr summaryBelow="1" summaryRight="1"/>
    <pageSetUpPr/>
  </sheetPr>
  <dimension ref="A1:M76"/>
  <sheetViews>
    <sheetView view="pageBreakPreview" zoomScaleNormal="100" workbookViewId="0">
      <selection activeCell="A1" sqref="A1:M1"/>
    </sheetView>
  </sheetViews>
  <sheetFormatPr baseColWidth="8" defaultColWidth="9.81818181818182" defaultRowHeight="20.1" customHeight="1"/>
  <cols>
    <col width="7.39090909090909" customWidth="1" style="1643" min="1" max="1"/>
    <col width="19.8727272727273" customWidth="1" style="1643" min="2" max="2"/>
    <col width="20.4818181818182" customWidth="1" style="1643" min="3" max="3"/>
    <col width="14.9090909090909" customWidth="1" style="1643" min="4" max="12"/>
    <col width="12.8454545454545" customWidth="1" style="1643" min="13" max="13"/>
    <col width="9.81818181818182" customWidth="1" style="1643" min="14" max="16384"/>
  </cols>
  <sheetData>
    <row r="1" customFormat="1" s="1644">
      <c r="A1" s="1645" t="inlineStr">
        <is>
          <t>致同会计师事务所</t>
        </is>
      </c>
      <c r="B1" s="1311" t="n"/>
      <c r="C1" s="1311" t="n"/>
      <c r="D1" s="1311" t="n"/>
      <c r="E1" s="1311" t="n"/>
      <c r="F1" s="1311" t="n"/>
      <c r="G1" s="1311" t="n"/>
      <c r="H1" s="1311" t="n"/>
      <c r="I1" s="1311" t="n"/>
      <c r="J1" s="1311" t="n"/>
      <c r="K1" s="1311" t="n"/>
      <c r="L1" s="1311" t="n"/>
      <c r="M1" s="1311" t="n"/>
    </row>
    <row r="2" customFormat="1" s="1644">
      <c r="A2" s="1646" t="inlineStr">
        <is>
          <t>客户信息检查表</t>
        </is>
      </c>
      <c r="B2" s="1311" t="n"/>
      <c r="C2" s="1311" t="n"/>
      <c r="D2" s="1311" t="n"/>
      <c r="E2" s="1311" t="n"/>
      <c r="F2" s="1311" t="n"/>
      <c r="G2" s="1311" t="n"/>
      <c r="H2" s="1311" t="n"/>
      <c r="I2" s="1311" t="n"/>
      <c r="J2" s="1311" t="n"/>
      <c r="K2" s="1311" t="n"/>
      <c r="L2" s="1311" t="n"/>
      <c r="M2" s="1311" t="n"/>
    </row>
    <row r="3" s="1296">
      <c r="A3" s="1363" t="inlineStr">
        <is>
          <t>被审计单位名称：</t>
        </is>
      </c>
      <c r="E3" s="1366" t="inlineStr">
        <is>
          <t>编制人：</t>
        </is>
      </c>
      <c r="I3" s="1363" t="inlineStr">
        <is>
          <t>编制日期：</t>
        </is>
      </c>
      <c r="L3" s="1691" t="inlineStr">
        <is>
          <t>索引号：</t>
        </is>
      </c>
      <c r="M3" s="1587" t="inlineStr">
        <is>
          <t>D4-29</t>
        </is>
      </c>
    </row>
    <row r="4" s="1296">
      <c r="A4" s="1363" t="inlineStr">
        <is>
          <t>会计期间：202X年度</t>
        </is>
      </c>
      <c r="E4" s="1366" t="inlineStr">
        <is>
          <t>复核人：</t>
        </is>
      </c>
      <c r="I4" s="1363" t="inlineStr">
        <is>
          <t>复核日期：</t>
        </is>
      </c>
      <c r="L4" s="1691" t="inlineStr">
        <is>
          <t>页次：</t>
        </is>
      </c>
    </row>
    <row r="5" customFormat="1" s="257">
      <c r="A5" s="20" t="inlineStr">
        <is>
          <t>一、审计目标：</t>
        </is>
      </c>
    </row>
    <row r="6" customFormat="1" s="257">
      <c r="A6" s="21" t="inlineStr">
        <is>
          <t>润表中记录的营业收入已发生，且与被审计单位有关，已记录于恰当的账户。</t>
        </is>
      </c>
      <c r="B6" s="21" t="n"/>
    </row>
    <row r="7" customFormat="1" s="257">
      <c r="A7" s="20" t="inlineStr">
        <is>
          <t>二、审计过程</t>
        </is>
      </c>
      <c r="B7" s="20" t="n"/>
    </row>
    <row r="8" customFormat="1" s="257">
      <c r="A8" s="267" t="inlineStr">
        <is>
          <t>1.……</t>
        </is>
      </c>
      <c r="B8" s="20" t="n"/>
    </row>
    <row r="9" customFormat="1" s="257">
      <c r="A9" s="500" t="n"/>
      <c r="B9" s="742" t="n"/>
    </row>
    <row r="10" customFormat="1" s="1829">
      <c r="A10" s="1711" t="inlineStr">
        <is>
          <t>项目</t>
        </is>
      </c>
      <c r="B10" s="1390" t="n"/>
      <c r="C10" s="1830" t="inlineStr">
        <is>
          <t>客户1XXX</t>
        </is>
      </c>
      <c r="D10" s="1830" t="inlineStr">
        <is>
          <t>客户2XXX</t>
        </is>
      </c>
      <c r="E10" s="1830" t="inlineStr">
        <is>
          <t>客户3XXX</t>
        </is>
      </c>
      <c r="F10" s="1830" t="inlineStr">
        <is>
          <t>客户4XXX</t>
        </is>
      </c>
      <c r="G10" s="1830" t="inlineStr">
        <is>
          <t>客户5XXX</t>
        </is>
      </c>
      <c r="H10" s="1830" t="inlineStr">
        <is>
          <t>客户6XXX</t>
        </is>
      </c>
      <c r="I10" s="1830" t="inlineStr">
        <is>
          <t>客户7XXX</t>
        </is>
      </c>
      <c r="J10" s="1830" t="inlineStr">
        <is>
          <t>客户8XXX</t>
        </is>
      </c>
      <c r="K10" s="1830" t="inlineStr">
        <is>
          <t>客户9XXX</t>
        </is>
      </c>
      <c r="L10" s="1830" t="inlineStr">
        <is>
          <t>客户10XXX</t>
        </is>
      </c>
      <c r="M10" s="1830" t="inlineStr">
        <is>
          <t>……</t>
        </is>
      </c>
    </row>
    <row r="11" customFormat="1" s="1829">
      <c r="A11" s="1831" t="inlineStr">
        <is>
          <t>统一社会信用代码</t>
        </is>
      </c>
      <c r="B11" s="1831" t="n"/>
      <c r="C11" s="271" t="n"/>
      <c r="D11" s="271" t="n"/>
      <c r="E11" s="271" t="n"/>
      <c r="F11" s="271" t="n"/>
      <c r="G11" s="271" t="n"/>
      <c r="H11" s="271" t="n"/>
      <c r="I11" s="271" t="n"/>
      <c r="J11" s="271" t="n"/>
      <c r="K11" s="271" t="n"/>
      <c r="L11" s="271" t="n"/>
      <c r="M11" s="271" t="n"/>
    </row>
    <row r="12" customFormat="1" s="1829">
      <c r="A12" s="1831" t="inlineStr">
        <is>
          <t>注册地址</t>
        </is>
      </c>
      <c r="B12" s="1390" t="n"/>
      <c r="C12" s="271" t="n"/>
      <c r="D12" s="271" t="n"/>
      <c r="E12" s="271" t="n"/>
      <c r="F12" s="271" t="n"/>
      <c r="G12" s="271" t="n"/>
      <c r="H12" s="271" t="n"/>
      <c r="I12" s="271" t="n"/>
      <c r="J12" s="271" t="n"/>
      <c r="K12" s="271" t="n"/>
      <c r="L12" s="271" t="n"/>
      <c r="M12" s="271" t="n"/>
    </row>
    <row r="13" customFormat="1" s="1829">
      <c r="A13" s="1831" t="inlineStr">
        <is>
          <t>办公地址</t>
        </is>
      </c>
      <c r="B13" s="1390" t="n"/>
      <c r="C13" s="271" t="n"/>
      <c r="D13" s="271" t="n"/>
      <c r="E13" s="271" t="n"/>
      <c r="F13" s="271" t="n"/>
      <c r="G13" s="271" t="n"/>
      <c r="H13" s="271" t="n"/>
      <c r="I13" s="271" t="n"/>
      <c r="J13" s="271" t="n"/>
      <c r="K13" s="271" t="n"/>
      <c r="L13" s="271" t="n"/>
      <c r="M13" s="271" t="n"/>
    </row>
    <row r="14" customFormat="1" s="1829">
      <c r="A14" s="1831" t="inlineStr">
        <is>
          <t>网站地址</t>
        </is>
      </c>
      <c r="B14" s="1390" t="n"/>
      <c r="C14" s="271" t="n"/>
      <c r="D14" s="271" t="n"/>
      <c r="E14" s="271" t="n"/>
      <c r="F14" s="271" t="n"/>
      <c r="G14" s="271" t="n"/>
      <c r="H14" s="271" t="n"/>
      <c r="I14" s="271" t="n"/>
      <c r="J14" s="271" t="n"/>
      <c r="K14" s="271" t="n"/>
      <c r="L14" s="271" t="n"/>
      <c r="M14" s="271" t="n"/>
    </row>
    <row r="15" customFormat="1" s="1829">
      <c r="A15" s="1831" t="inlineStr">
        <is>
          <t>网站IP地址</t>
        </is>
      </c>
      <c r="B15" s="1390" t="n"/>
      <c r="C15" s="271" t="n"/>
      <c r="D15" s="271" t="n"/>
      <c r="E15" s="271" t="n"/>
      <c r="F15" s="271" t="n"/>
      <c r="G15" s="271" t="n"/>
      <c r="H15" s="271" t="n"/>
      <c r="I15" s="271" t="n"/>
      <c r="J15" s="271" t="n"/>
      <c r="K15" s="271" t="n"/>
      <c r="L15" s="271" t="n"/>
      <c r="M15" s="271" t="n"/>
    </row>
    <row r="16" customFormat="1" s="1829">
      <c r="A16" s="1831" t="inlineStr">
        <is>
          <t>企业邮箱</t>
        </is>
      </c>
      <c r="B16" s="1390" t="n"/>
      <c r="C16" s="271" t="n"/>
      <c r="D16" s="271" t="n"/>
      <c r="E16" s="271" t="n"/>
      <c r="F16" s="271" t="n"/>
      <c r="G16" s="271" t="n"/>
      <c r="H16" s="271" t="n"/>
      <c r="I16" s="271" t="n"/>
      <c r="J16" s="271" t="n"/>
      <c r="K16" s="271" t="n"/>
      <c r="L16" s="271" t="n"/>
      <c r="M16" s="271" t="n"/>
    </row>
    <row r="17" customFormat="1" s="1829">
      <c r="A17" s="1831" t="inlineStr">
        <is>
          <t>成立时间</t>
        </is>
      </c>
      <c r="B17" s="1390" t="n"/>
      <c r="C17" s="271" t="n"/>
      <c r="D17" s="271" t="n"/>
      <c r="E17" s="271" t="n"/>
      <c r="F17" s="271" t="n"/>
      <c r="G17" s="271" t="n"/>
      <c r="H17" s="271" t="n"/>
      <c r="I17" s="271" t="n"/>
      <c r="J17" s="271" t="n"/>
      <c r="K17" s="271" t="n"/>
      <c r="L17" s="271" t="n"/>
      <c r="M17" s="271" t="n"/>
    </row>
    <row r="18" customFormat="1" s="1829">
      <c r="A18" s="1831" t="inlineStr">
        <is>
          <t>注册资本/实缴资本</t>
        </is>
      </c>
      <c r="B18" s="1390" t="n"/>
      <c r="C18" s="271" t="n"/>
      <c r="D18" s="271" t="n"/>
      <c r="E18" s="271" t="n"/>
      <c r="F18" s="271" t="n"/>
      <c r="G18" s="271" t="n"/>
      <c r="H18" s="271" t="n"/>
      <c r="I18" s="271" t="n"/>
      <c r="J18" s="271" t="n"/>
      <c r="K18" s="271" t="n"/>
      <c r="L18" s="271" t="n"/>
      <c r="M18" s="271" t="n"/>
    </row>
    <row r="19" customFormat="1" s="1829">
      <c r="A19" s="1831" t="inlineStr">
        <is>
          <t>经营范围</t>
        </is>
      </c>
      <c r="B19" s="1390" t="n"/>
      <c r="C19" s="271" t="n"/>
      <c r="D19" s="271" t="n"/>
      <c r="E19" s="271" t="n"/>
      <c r="F19" s="271" t="n"/>
      <c r="G19" s="271" t="n"/>
      <c r="H19" s="271" t="n"/>
      <c r="I19" s="271" t="n"/>
      <c r="J19" s="271" t="n"/>
      <c r="K19" s="271" t="n"/>
      <c r="L19" s="271" t="n"/>
      <c r="M19" s="271" t="n"/>
    </row>
    <row r="20" customFormat="1" s="1829">
      <c r="A20" s="1831" t="inlineStr">
        <is>
          <t>人员规模/社保缴纳人数</t>
        </is>
      </c>
      <c r="B20" s="1390" t="n"/>
      <c r="C20" s="271" t="n"/>
      <c r="D20" s="271" t="n"/>
      <c r="E20" s="271" t="n"/>
      <c r="F20" s="271" t="n"/>
      <c r="G20" s="271" t="n"/>
      <c r="H20" s="271" t="n"/>
      <c r="I20" s="271" t="n"/>
      <c r="J20" s="271" t="n"/>
      <c r="K20" s="271" t="n"/>
      <c r="L20" s="271" t="n"/>
      <c r="M20" s="271" t="n"/>
    </row>
    <row r="21" customFormat="1" s="1829">
      <c r="A21" s="1831" t="inlineStr">
        <is>
          <t>法定代表人</t>
        </is>
      </c>
      <c r="B21" s="1390" t="n"/>
      <c r="C21" s="271" t="n"/>
      <c r="D21" s="271" t="n"/>
      <c r="E21" s="271" t="n"/>
      <c r="F21" s="271" t="n"/>
      <c r="G21" s="271" t="n"/>
      <c r="H21" s="271" t="n"/>
      <c r="I21" s="271" t="n"/>
      <c r="J21" s="271" t="n"/>
      <c r="K21" s="271" t="n"/>
      <c r="L21" s="271" t="n"/>
      <c r="M21" s="271" t="n"/>
    </row>
    <row r="22" customFormat="1" s="1829">
      <c r="A22" s="1832" t="inlineStr">
        <is>
          <t>股东名称及
持股比例</t>
        </is>
      </c>
      <c r="B22" s="1833" t="inlineStr">
        <is>
          <t>股东1及持股比例</t>
        </is>
      </c>
      <c r="C22" s="271" t="n"/>
      <c r="D22" s="271" t="n"/>
      <c r="E22" s="271" t="n"/>
      <c r="F22" s="271" t="n"/>
      <c r="G22" s="271" t="n"/>
      <c r="H22" s="271" t="n"/>
      <c r="I22" s="271" t="n"/>
      <c r="J22" s="271" t="n"/>
      <c r="K22" s="271" t="n"/>
      <c r="L22" s="271" t="n"/>
      <c r="M22" s="271" t="n"/>
    </row>
    <row r="23" customFormat="1" s="1829">
      <c r="A23" s="1834" t="n"/>
      <c r="B23" s="1833" t="inlineStr">
        <is>
          <t>股东2及持股比例</t>
        </is>
      </c>
      <c r="C23" s="271" t="n"/>
      <c r="D23" s="271" t="n"/>
      <c r="E23" s="271" t="n"/>
      <c r="F23" s="271" t="n"/>
      <c r="G23" s="271" t="n"/>
      <c r="H23" s="271" t="n"/>
      <c r="I23" s="271" t="n"/>
      <c r="J23" s="271" t="n"/>
      <c r="K23" s="271" t="n"/>
      <c r="L23" s="271" t="n"/>
      <c r="M23" s="271" t="n"/>
    </row>
    <row r="24" customFormat="1" s="1829">
      <c r="A24" s="1834" t="n"/>
      <c r="B24" s="1833" t="inlineStr">
        <is>
          <t>股东3及持股比例</t>
        </is>
      </c>
      <c r="C24" s="271" t="n"/>
      <c r="D24" s="271" t="n"/>
      <c r="E24" s="271" t="n"/>
      <c r="F24" s="271" t="n"/>
      <c r="G24" s="271" t="n"/>
      <c r="H24" s="271" t="n"/>
      <c r="I24" s="271" t="n"/>
      <c r="J24" s="271" t="n"/>
      <c r="K24" s="271" t="n"/>
      <c r="L24" s="271" t="n"/>
      <c r="M24" s="271" t="n"/>
    </row>
    <row r="25" customFormat="1" s="1829">
      <c r="A25" s="1834" t="n"/>
      <c r="B25" s="1833" t="inlineStr">
        <is>
          <t>股东4及持股比例</t>
        </is>
      </c>
      <c r="C25" s="271" t="n"/>
      <c r="D25" s="271" t="n"/>
      <c r="E25" s="271" t="n"/>
      <c r="F25" s="271" t="n"/>
      <c r="G25" s="271" t="n"/>
      <c r="H25" s="271" t="n"/>
      <c r="I25" s="271" t="n"/>
      <c r="J25" s="271" t="n"/>
      <c r="K25" s="271" t="n"/>
      <c r="L25" s="271" t="n"/>
      <c r="M25" s="271" t="n"/>
    </row>
    <row r="26" customFormat="1" s="1829">
      <c r="A26" s="1834" t="n"/>
      <c r="B26" s="1833" t="inlineStr">
        <is>
          <t>股东5及持股比例</t>
        </is>
      </c>
      <c r="C26" s="271" t="n"/>
      <c r="D26" s="271" t="n"/>
      <c r="E26" s="271" t="n"/>
      <c r="F26" s="271" t="n"/>
      <c r="G26" s="271" t="n"/>
      <c r="H26" s="271" t="n"/>
      <c r="I26" s="271" t="n"/>
      <c r="J26" s="271" t="n"/>
      <c r="K26" s="271" t="n"/>
      <c r="L26" s="271" t="n"/>
      <c r="M26" s="271" t="n"/>
    </row>
    <row r="27" customFormat="1" s="1829">
      <c r="A27" s="1579" t="n"/>
      <c r="B27" s="1833" t="inlineStr">
        <is>
          <t>……</t>
        </is>
      </c>
      <c r="C27" s="271" t="n"/>
      <c r="D27" s="271" t="n"/>
      <c r="E27" s="271" t="n"/>
      <c r="F27" s="271" t="n"/>
      <c r="G27" s="271" t="n"/>
      <c r="H27" s="271" t="n"/>
      <c r="I27" s="271" t="n"/>
      <c r="J27" s="271" t="n"/>
      <c r="K27" s="271" t="n"/>
      <c r="L27" s="271" t="n"/>
      <c r="M27" s="271" t="n"/>
    </row>
    <row r="28" customFormat="1" s="1829">
      <c r="A28" s="1832" t="inlineStr">
        <is>
          <t>关键管理人员</t>
        </is>
      </c>
      <c r="B28" s="1833" t="inlineStr">
        <is>
          <t>董事长</t>
        </is>
      </c>
      <c r="C28" s="271" t="n"/>
      <c r="D28" s="271" t="n"/>
      <c r="E28" s="271" t="n"/>
      <c r="F28" s="271" t="n"/>
      <c r="G28" s="271" t="n"/>
      <c r="H28" s="271" t="n"/>
      <c r="I28" s="271" t="n"/>
      <c r="J28" s="271" t="n"/>
      <c r="K28" s="271" t="n"/>
      <c r="L28" s="271" t="n"/>
      <c r="M28" s="271" t="n"/>
    </row>
    <row r="29" customFormat="1" s="1829">
      <c r="A29" s="1834" t="n"/>
      <c r="B29" s="1833" t="inlineStr">
        <is>
          <t>总经理</t>
        </is>
      </c>
      <c r="C29" s="271" t="n"/>
      <c r="D29" s="271" t="n"/>
      <c r="E29" s="271" t="n"/>
      <c r="F29" s="271" t="n"/>
      <c r="G29" s="271" t="n"/>
      <c r="H29" s="271" t="n"/>
      <c r="I29" s="271" t="n"/>
      <c r="J29" s="271" t="n"/>
      <c r="K29" s="271" t="n"/>
      <c r="L29" s="271" t="n"/>
      <c r="M29" s="271" t="n"/>
    </row>
    <row r="30" customFormat="1" s="1829">
      <c r="A30" s="1579" t="n"/>
      <c r="B30" s="1833" t="inlineStr">
        <is>
          <t>……</t>
        </is>
      </c>
      <c r="C30" s="271" t="n"/>
      <c r="D30" s="271" t="n"/>
      <c r="E30" s="271" t="n"/>
      <c r="F30" s="271" t="n"/>
      <c r="G30" s="271" t="n"/>
      <c r="H30" s="271" t="n"/>
      <c r="I30" s="271" t="n"/>
      <c r="J30" s="271" t="n"/>
      <c r="K30" s="271" t="n"/>
      <c r="L30" s="271" t="n"/>
      <c r="M30" s="271" t="n"/>
    </row>
    <row r="31" customFormat="1" s="1829">
      <c r="A31" s="1832" t="inlineStr">
        <is>
          <t>关键经办人员</t>
        </is>
      </c>
      <c r="B31" s="1833" t="n"/>
      <c r="C31" s="271" t="n"/>
      <c r="D31" s="271" t="n"/>
      <c r="E31" s="271" t="n"/>
      <c r="F31" s="271" t="n"/>
      <c r="G31" s="271" t="n"/>
      <c r="H31" s="271" t="n"/>
      <c r="I31" s="271" t="n"/>
      <c r="J31" s="271" t="n"/>
      <c r="K31" s="271" t="n"/>
      <c r="L31" s="271" t="n"/>
      <c r="M31" s="271" t="n"/>
    </row>
    <row r="32" customFormat="1" s="1829">
      <c r="A32" s="1834" t="n"/>
      <c r="B32" s="1833" t="n"/>
      <c r="C32" s="271" t="n"/>
      <c r="D32" s="271" t="n"/>
      <c r="E32" s="271" t="n"/>
      <c r="F32" s="271" t="n"/>
      <c r="G32" s="271" t="n"/>
      <c r="H32" s="271" t="n"/>
      <c r="I32" s="271" t="n"/>
      <c r="J32" s="271" t="n"/>
      <c r="K32" s="271" t="n"/>
      <c r="L32" s="271" t="n"/>
      <c r="M32" s="271" t="n"/>
    </row>
    <row r="33" customFormat="1" s="1829">
      <c r="A33" s="1579" t="n"/>
      <c r="B33" s="1833" t="n"/>
      <c r="C33" s="271" t="n"/>
      <c r="D33" s="271" t="n"/>
      <c r="E33" s="271" t="n"/>
      <c r="F33" s="271" t="n"/>
      <c r="G33" s="271" t="n"/>
      <c r="H33" s="271" t="n"/>
      <c r="I33" s="271" t="n"/>
      <c r="J33" s="271" t="n"/>
      <c r="K33" s="271" t="n"/>
      <c r="L33" s="271" t="n"/>
      <c r="M33" s="271" t="n"/>
    </row>
    <row r="34" customFormat="1" s="1829">
      <c r="A34" s="1831" t="inlineStr">
        <is>
          <t>实际控制人</t>
        </is>
      </c>
      <c r="B34" s="1390" t="n"/>
      <c r="C34" s="271" t="n"/>
      <c r="D34" s="271" t="n"/>
      <c r="E34" s="271" t="n"/>
      <c r="F34" s="271" t="n"/>
      <c r="G34" s="271" t="n"/>
      <c r="H34" s="271" t="n"/>
      <c r="I34" s="271" t="n"/>
      <c r="J34" s="271" t="n"/>
      <c r="K34" s="271" t="n"/>
      <c r="L34" s="271" t="n"/>
      <c r="M34" s="271" t="n"/>
    </row>
    <row r="35" customFormat="1" s="1829">
      <c r="A35" s="1835" t="inlineStr">
        <is>
          <t>是否为关联方</t>
        </is>
      </c>
      <c r="B35" s="1390" t="n"/>
      <c r="C35" s="271" t="n"/>
      <c r="D35" s="271" t="n"/>
      <c r="E35" s="271" t="n"/>
      <c r="F35" s="271" t="n"/>
      <c r="G35" s="271" t="n"/>
      <c r="H35" s="271" t="n"/>
      <c r="I35" s="271" t="n"/>
      <c r="J35" s="271" t="n"/>
      <c r="K35" s="271" t="n"/>
      <c r="L35" s="271" t="n"/>
      <c r="M35" s="271" t="n"/>
    </row>
    <row r="36" customFormat="1" s="1829">
      <c r="A36" s="1836" t="inlineStr">
        <is>
          <t>是否同时为供应商（含同一实际控制人）</t>
        </is>
      </c>
      <c r="B36" s="1837" t="n"/>
      <c r="C36" s="271" t="n"/>
      <c r="D36" s="271" t="n"/>
      <c r="E36" s="271" t="n"/>
      <c r="F36" s="271" t="n"/>
      <c r="G36" s="271" t="n"/>
      <c r="H36" s="271" t="n"/>
      <c r="I36" s="271" t="n"/>
      <c r="J36" s="271" t="n"/>
      <c r="K36" s="271" t="n"/>
      <c r="L36" s="271" t="n"/>
      <c r="M36" s="271" t="n"/>
    </row>
    <row r="37" customFormat="1" s="1829">
      <c r="A37" s="1835" t="inlineStr">
        <is>
          <t>开始合作时间</t>
        </is>
      </c>
      <c r="B37" s="1390" t="n"/>
      <c r="C37" s="271" t="n"/>
      <c r="D37" s="271" t="n"/>
      <c r="E37" s="271" t="n"/>
      <c r="F37" s="271" t="n"/>
      <c r="G37" s="271" t="n"/>
      <c r="H37" s="271" t="n"/>
      <c r="I37" s="271" t="n"/>
      <c r="J37" s="271" t="n"/>
      <c r="K37" s="271" t="n"/>
      <c r="L37" s="271" t="n"/>
      <c r="M37" s="271" t="n"/>
    </row>
    <row r="38" customFormat="1" s="1829">
      <c r="A38" s="1835" t="inlineStr">
        <is>
          <t>是否长期拖欠款项</t>
        </is>
      </c>
      <c r="B38" s="1390" t="n"/>
      <c r="C38" s="271" t="n"/>
      <c r="D38" s="271" t="n"/>
      <c r="E38" s="271" t="n"/>
      <c r="F38" s="271" t="n"/>
      <c r="G38" s="271" t="n"/>
      <c r="H38" s="271" t="n"/>
      <c r="I38" s="271" t="n"/>
      <c r="J38" s="271" t="n"/>
      <c r="K38" s="271" t="n"/>
      <c r="L38" s="271" t="n"/>
      <c r="M38" s="271" t="n"/>
    </row>
    <row r="39" customFormat="1" s="1659">
      <c r="A39" s="1838" t="inlineStr">
        <is>
          <t>经营状态</t>
        </is>
      </c>
      <c r="B39" s="1839" t="n"/>
      <c r="C39" s="282" t="n"/>
      <c r="D39" s="282" t="n"/>
      <c r="E39" s="282" t="n"/>
      <c r="F39" s="282" t="n"/>
      <c r="G39" s="282" t="n"/>
      <c r="H39" s="282" t="n"/>
      <c r="I39" s="282" t="n"/>
      <c r="J39" s="282" t="n"/>
      <c r="K39" s="282" t="n"/>
      <c r="L39" s="282" t="n"/>
      <c r="M39" s="282" t="n"/>
    </row>
    <row r="40" customFormat="1" s="1659">
      <c r="A40" s="1838" t="inlineStr">
        <is>
          <t>是否列入失信人</t>
        </is>
      </c>
      <c r="B40" s="1839" t="n"/>
      <c r="C40" s="282" t="n"/>
      <c r="D40" s="282" t="n"/>
      <c r="E40" s="282" t="n"/>
      <c r="F40" s="282" t="n"/>
      <c r="G40" s="282" t="n"/>
      <c r="H40" s="282" t="n"/>
      <c r="I40" s="282" t="n"/>
      <c r="J40" s="282" t="n"/>
      <c r="K40" s="282" t="n"/>
      <c r="L40" s="282" t="n"/>
      <c r="M40" s="282" t="n"/>
    </row>
    <row r="41" customFormat="1" s="1659">
      <c r="A41" s="1838" t="inlineStr">
        <is>
          <t>信息来源</t>
        </is>
      </c>
      <c r="B41" s="1839" t="n"/>
      <c r="C41" s="282" t="n"/>
      <c r="D41" s="282" t="n"/>
      <c r="E41" s="282" t="n"/>
      <c r="F41" s="282" t="n"/>
      <c r="G41" s="282" t="n"/>
      <c r="H41" s="282" t="n"/>
      <c r="I41" s="282" t="n"/>
      <c r="J41" s="282" t="n"/>
      <c r="K41" s="282" t="n"/>
      <c r="L41" s="282" t="n"/>
      <c r="M41" s="282" t="n"/>
    </row>
    <row r="42" customFormat="1" s="795">
      <c r="A42" s="740" t="inlineStr">
        <is>
          <t>三、审计说明：</t>
        </is>
      </c>
      <c r="B42" s="283" t="n"/>
      <c r="C42" s="283" t="n"/>
      <c r="D42" s="283" t="n"/>
      <c r="E42" s="283" t="n"/>
      <c r="F42" s="283" t="n"/>
      <c r="G42" s="283" t="n"/>
      <c r="H42" s="283" t="n"/>
      <c r="I42" s="283" t="n"/>
      <c r="J42" s="283" t="n"/>
      <c r="K42" s="283" t="n"/>
      <c r="L42" s="283" t="n"/>
    </row>
    <row r="43" customFormat="1" s="795">
      <c r="B43" s="691" t="n"/>
      <c r="C43" s="691" t="n"/>
      <c r="D43" s="691" t="n"/>
      <c r="E43" s="691" t="n"/>
      <c r="F43" s="691" t="n"/>
      <c r="G43" s="691" t="n"/>
      <c r="H43" s="691" t="n"/>
      <c r="I43" s="691" t="n"/>
      <c r="J43" s="691" t="n"/>
      <c r="K43" s="691" t="n"/>
      <c r="L43" s="691" t="n"/>
    </row>
    <row r="44" customFormat="1" s="795">
      <c r="B44" s="691" t="n"/>
      <c r="C44" s="691" t="n"/>
      <c r="D44" s="691" t="n"/>
      <c r="E44" s="691" t="n"/>
      <c r="F44" s="691" t="n"/>
      <c r="G44" s="691" t="n"/>
      <c r="H44" s="691" t="n"/>
      <c r="I44" s="691" t="n"/>
      <c r="J44" s="691" t="n"/>
      <c r="K44" s="691" t="n"/>
      <c r="L44" s="691" t="n"/>
    </row>
    <row r="45" customFormat="1" s="795">
      <c r="A45" s="691" t="n"/>
      <c r="B45" s="691" t="n"/>
      <c r="C45" s="691" t="n"/>
      <c r="D45" s="691" t="n"/>
      <c r="E45" s="691" t="n"/>
      <c r="F45" s="691" t="n"/>
      <c r="G45" s="691" t="n"/>
      <c r="H45" s="691" t="n"/>
      <c r="I45" s="691" t="n"/>
      <c r="J45" s="691" t="n"/>
      <c r="K45" s="691" t="n"/>
      <c r="L45" s="691" t="n"/>
    </row>
    <row r="46" customFormat="1" s="795">
      <c r="A46" s="692" t="inlineStr">
        <is>
          <t>四、审计结论：</t>
        </is>
      </c>
      <c r="B46" s="283" t="n"/>
      <c r="C46" s="283" t="n"/>
      <c r="D46" s="283" t="n"/>
      <c r="E46" s="283" t="n"/>
      <c r="F46" s="283" t="n"/>
      <c r="G46" s="283" t="n"/>
      <c r="H46" s="283" t="n"/>
      <c r="I46" s="283" t="n"/>
      <c r="J46" s="283" t="n"/>
      <c r="K46" s="283" t="n"/>
      <c r="L46" s="283" t="n"/>
    </row>
    <row r="47" customFormat="1" s="795">
      <c r="A47" s="692" t="n"/>
      <c r="B47" s="283" t="n"/>
      <c r="C47" s="283" t="n"/>
      <c r="D47" s="283" t="n"/>
      <c r="E47" s="283" t="n"/>
      <c r="F47" s="283" t="n"/>
      <c r="G47" s="283" t="n"/>
      <c r="H47" s="283" t="n"/>
      <c r="I47" s="283" t="n"/>
      <c r="J47" s="283" t="n"/>
      <c r="K47" s="283" t="n"/>
      <c r="L47" s="283" t="n"/>
    </row>
    <row r="48" s="1296">
      <c r="A48" s="1840" t="inlineStr">
        <is>
          <t>提示：</t>
        </is>
      </c>
      <c r="B48" s="1690" t="n"/>
    </row>
    <row r="49" s="1296">
      <c r="A49" s="1841" t="inlineStr">
        <is>
          <t>1、关注是否存在第三方供应商配合舞弊，根据《中国注册会计师审计准则问题解答第18号——识别和应对第三方配合实施财务舞弊》，配合实施财务舞弊的第三方可能具有的特征举例如下：</t>
        </is>
      </c>
      <c r="B49" s="1690" t="n"/>
    </row>
    <row r="50" s="1296">
      <c r="A50" s="1842" t="inlineStr">
        <is>
          <t>（1）经营时间较短。</t>
        </is>
      </c>
      <c r="B50" s="1690" t="n"/>
    </row>
    <row r="51" s="1296">
      <c r="A51" s="1842" t="inlineStr">
        <is>
          <t>（2）缴纳社保人数较少。</t>
        </is>
      </c>
      <c r="B51" s="1690" t="n"/>
    </row>
    <row r="52" s="1296">
      <c r="A52" s="1842" t="inlineStr">
        <is>
          <t>（3）为个人或个体工商户。</t>
        </is>
      </c>
      <c r="B52" s="1690" t="n"/>
    </row>
    <row r="53" s="1296">
      <c r="A53" s="1842" t="inlineStr">
        <is>
          <t>（4）注册资本与交易规模不匹配。</t>
        </is>
      </c>
      <c r="B53" s="1690" t="n"/>
    </row>
    <row r="54" s="1296">
      <c r="A54" s="1842" t="inlineStr">
        <is>
          <t>（5）交易规模与第三方所处行业状况不匹配。</t>
        </is>
      </c>
      <c r="B54" s="1690" t="n"/>
    </row>
    <row r="55" s="1296">
      <c r="A55" s="1843" t="inlineStr">
        <is>
          <t>（6）经营范围与交易性质不匹配。</t>
        </is>
      </c>
      <c r="B55" s="1690" t="n"/>
    </row>
    <row r="56" s="1296">
      <c r="A56" s="1843" t="inlineStr">
        <is>
          <t>（7）注册地址与被审计单位地址较为接近。</t>
        </is>
      </c>
      <c r="B56" s="1690" t="n"/>
    </row>
    <row r="57" s="1296">
      <c r="A57" s="291" t="inlineStr">
        <is>
          <t>（8）不同第三方（如客户和供应商）的工商登记信息相同或相近，如股东名称、董监高人员、注册地址、联系人和联系方式等。</t>
        </is>
      </c>
      <c r="B57" s="1690" t="n"/>
    </row>
    <row r="58" s="1296">
      <c r="A58" s="291" t="inlineStr">
        <is>
          <t>（9）既是客户又是供应商，或者虽然并非同一客户和供应商，但受同一实际控制人控制。</t>
        </is>
      </c>
      <c r="B58" s="1690" t="n"/>
    </row>
    <row r="59" s="1296">
      <c r="A59" s="291" t="inlineStr">
        <is>
          <t>（10）对被审计单位存在重大依赖，如被审计单位是其主要客户。</t>
        </is>
      </c>
      <c r="B59" s="1690" t="n"/>
    </row>
    <row r="60" s="1296">
      <c r="A60" s="291" t="inlineStr">
        <is>
          <t>（11）被审计单位向其销售的规模与其需求不匹配。</t>
        </is>
      </c>
      <c r="B60" s="1690" t="n"/>
    </row>
    <row r="61" s="1296">
      <c r="A61" s="291" t="inlineStr">
        <is>
          <t>（12）在连续审计期间，对注册会计师实施的常规审计程序配合度持续较高，并都能提供正面的审计证据，如在连续三年审计期间第三方均能提供与函证信息相符的询证函回函。</t>
        </is>
      </c>
      <c r="B61" s="1690" t="n"/>
    </row>
    <row r="62" s="1296">
      <c r="A62" s="291" t="inlineStr">
        <is>
          <t>（13）曾经配合其他方实施财务舞弊。</t>
        </is>
      </c>
      <c r="B62" s="1690" t="n"/>
    </row>
    <row r="63" s="1296">
      <c r="A63" s="291" t="inlineStr">
        <is>
          <t>（14）法律意识淡薄，合规性较差，如近三年因违法违规经营受过行政处罚。</t>
        </is>
      </c>
      <c r="B63" s="1690" t="n"/>
    </row>
    <row r="64" s="1296">
      <c r="A64" s="291" t="inlineStr">
        <is>
          <t>（15）股东或关键管理人员与被审计单位或其相关人员存在特殊关系，例如，为被审计单位员工（或前员工）、被审计单位实际控制人或关键管理人员的亲属。</t>
        </is>
      </c>
      <c r="B64" s="1690" t="n"/>
    </row>
    <row r="65" s="1296">
      <c r="A65" s="1843" t="inlineStr">
        <is>
          <t>（16）存在实现特定目的的需求，如第三方因考核、行业排名等原因有做大收入的需求。</t>
        </is>
      </c>
      <c r="B65" s="1690" t="n"/>
    </row>
    <row r="66" s="1296">
      <c r="A66" s="1844" t="inlineStr">
        <is>
          <t>注册会计师在识别第三方配合实施财务舞弊的风险时，需要考虑第三方的性质，例如，相比企业而言，个人或个体工商户更可能配合被审计单位实施财务舞弊。但不能因为第三方属于特定群体（如国企），就认为不会配合被审计单位实施财务舞弊。</t>
        </is>
      </c>
      <c r="B66" s="1690" t="n"/>
    </row>
    <row r="67" s="1296">
      <c r="A67" s="1844" t="inlineStr">
        <is>
          <t>需要注意的是，第三方具有列举的某项特征，并不表明其配合被审计单位实施了财务舞弊；第三方不具有列举的特征，也并不表明其不存在配合实施财务舞弊的可能。注册会计师应当结合对被审计单位及其环境的了解，在审计过程中对异常情况保持警觉和职业怀疑，在此基础上运用职业判断确定是否存在第三方配合实施财务舞弊的风险。</t>
        </is>
      </c>
      <c r="B67" s="1690" t="n"/>
    </row>
    <row r="68" s="1296">
      <c r="A68" s="1841" t="inlineStr">
        <is>
          <t>2、根据《中国注册会计师审计准则问题解答第18号——识别和应对第三方配合实施财务舞弊》，可能存在第三方配合实施财务舞 弊的迹象还包括：</t>
        </is>
      </c>
    </row>
    <row r="69" s="1296">
      <c r="A69" s="291" t="inlineStr">
        <is>
          <t>（1）被审计单位与不符合其规定条件的第三方发生交易，且无合理理由。例如，被审计单位针对进入供应商名录的企业设定了注册资本下限，但仍与低于注册资本下限的第三方发生了交易。</t>
        </is>
      </c>
      <c r="B69" s="1845" t="n"/>
    </row>
    <row r="70" s="1296">
      <c r="A70" s="1841" t="inlineStr">
        <is>
          <t>（2）交易价格、交易方式或合同条款明显不同于被审计单位与其他方的交易。</t>
        </is>
      </c>
      <c r="B70" s="1846" t="n"/>
    </row>
    <row r="71" s="1296">
      <c r="A71" s="1841" t="inlineStr">
        <is>
          <t>（3）交易的商业逻辑不合理，或不存在商业实质。</t>
        </is>
      </c>
      <c r="B71" s="1847" t="n"/>
    </row>
    <row r="72" s="1296">
      <c r="A72" s="1841" t="inlineStr">
        <is>
          <t>（4）交易发生时间较为敏感。例如临近期末、业绩承诺期。</t>
        </is>
      </c>
    </row>
    <row r="73" s="1296">
      <c r="A73" s="1841" t="inlineStr">
        <is>
          <t>（5）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is>
      </c>
    </row>
    <row r="74" s="1296">
      <c r="A74" s="1841" t="inlineStr">
        <is>
          <t>（6）在确定实地走访对象时，被审计单位刻意引导注册会计师将某客户或供应商排除或纳入走访范围。</t>
        </is>
      </c>
      <c r="B74" s="1848" t="n"/>
    </row>
    <row r="75" s="1296">
      <c r="A75" s="1841" t="inlineStr">
        <is>
          <t>（7）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is>
      </c>
    </row>
    <row r="76" s="1296">
      <c r="A76" s="1841" t="inlineStr">
        <is>
          <t>（8）第三方拒绝确认注册会计师要求其确认的某些事项。例如，注册会计师要求被审计单位客户确认不存在除销售合同之外的“抽屉协议”，该客户拒绝确认。</t>
        </is>
      </c>
    </row>
  </sheetData>
  <mergeCells count="20">
    <mergeCell ref="A15:B15"/>
    <mergeCell ref="A16:B16"/>
    <mergeCell ref="A28:A30"/>
    <mergeCell ref="A37:B37"/>
    <mergeCell ref="A31:A33"/>
    <mergeCell ref="A18:B18"/>
    <mergeCell ref="A12:B12"/>
    <mergeCell ref="A21:B21"/>
    <mergeCell ref="A1:M1"/>
    <mergeCell ref="A14:B14"/>
    <mergeCell ref="A17:B17"/>
    <mergeCell ref="A35:B35"/>
    <mergeCell ref="A20:B20"/>
    <mergeCell ref="A38:B38"/>
    <mergeCell ref="A22:A27"/>
    <mergeCell ref="A19:B19"/>
    <mergeCell ref="A10:B10"/>
    <mergeCell ref="A13:B13"/>
    <mergeCell ref="A2:M2"/>
    <mergeCell ref="A34:B34"/>
  </mergeCells>
  <dataValidations count="1">
    <dataValidation sqref="C35:M38" showDropDown="0" showInputMessage="1" showErrorMessage="1" allowBlank="1" type="list">
      <formula1>"是,否"</formula1>
    </dataValidation>
  </dataValidations>
  <hyperlinks>
    <hyperlink ref="M3" location="底稿目录!A1" display="='D:\GT_plan\backend\wp_templates\D\[D4-22至D4-32营业收入-IPO 上市 新三板 重组 舞弊应对.xlsx]底稿目录'!F19"/>
  </hyperlinks>
  <pageMargins left="0.708333333333333" right="0.708333333333333" top="0.747916666666667" bottom="0.747916666666667" header="0.314583333333333" footer="0.314583333333333"/>
  <pageSetup orientation="landscape" paperSize="9" scale="71" blackAndWhite="1"/>
  <headerFooter>
    <oddHeader/>
    <oddFooter>&amp;C&amp;P/&amp;N</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G38"/>
  <sheetViews>
    <sheetView view="pageBreakPreview" zoomScaleNormal="100" workbookViewId="0">
      <selection activeCell="A1" sqref="A1:G1"/>
    </sheetView>
  </sheetViews>
  <sheetFormatPr baseColWidth="8" defaultColWidth="8.72727272727273" defaultRowHeight="20.1" customHeight="1"/>
  <cols>
    <col width="21.5727272727273" customWidth="1" style="1849" min="1" max="1"/>
    <col width="25.5727272727273" customWidth="1" style="1849" min="2" max="4"/>
    <col width="22.5454545454545" customWidth="1" style="1849" min="5" max="7"/>
    <col width="7.63636363636364" customWidth="1" style="1849" min="8" max="219"/>
    <col width="8.72727272727273" customWidth="1" style="1849" min="220" max="221"/>
    <col width="8.72727272727273" customWidth="1" style="1850" min="222" max="16384"/>
  </cols>
  <sheetData>
    <row r="1" customFormat="1" s="1849">
      <c r="A1" s="1851" t="inlineStr">
        <is>
          <t>致同会计师事务所（特殊普通合伙）</t>
        </is>
      </c>
      <c r="B1" s="1311" t="n"/>
      <c r="C1" s="1311" t="n"/>
      <c r="D1" s="1311" t="n"/>
      <c r="E1" s="1311" t="n"/>
      <c r="F1" s="1311" t="n"/>
      <c r="G1" s="1311" t="n"/>
    </row>
    <row r="2" customFormat="1" s="1849">
      <c r="A2" s="1852" t="inlineStr">
        <is>
          <t>客户访谈记录汇总表</t>
        </is>
      </c>
      <c r="B2" s="1311" t="n"/>
      <c r="C2" s="1311" t="n"/>
      <c r="D2" s="1311" t="n"/>
      <c r="E2" s="1311" t="n"/>
      <c r="F2" s="1311" t="n"/>
      <c r="G2" s="1311" t="n"/>
    </row>
    <row r="3" customFormat="1" s="1853">
      <c r="A3" s="1853" t="inlineStr">
        <is>
          <t>被审计单位名称：</t>
        </is>
      </c>
      <c r="C3" s="1853" t="inlineStr">
        <is>
          <t>编制人：</t>
        </is>
      </c>
      <c r="E3" s="1853" t="inlineStr">
        <is>
          <t>编制日期：</t>
        </is>
      </c>
      <c r="F3" s="1854" t="inlineStr">
        <is>
          <t>索引号：</t>
        </is>
      </c>
      <c r="G3" s="1855" t="inlineStr">
        <is>
          <t>D4-30</t>
        </is>
      </c>
    </row>
    <row r="4" customFormat="1" s="1853">
      <c r="A4" s="1853" t="inlineStr">
        <is>
          <t>会计期间：202X年度</t>
        </is>
      </c>
      <c r="C4" s="1853" t="inlineStr">
        <is>
          <t>复核人：</t>
        </is>
      </c>
      <c r="E4" s="1853" t="inlineStr">
        <is>
          <t>复核日期：</t>
        </is>
      </c>
      <c r="F4" s="1854" t="inlineStr">
        <is>
          <t>页次：</t>
        </is>
      </c>
    </row>
    <row r="5" customFormat="1" s="1853">
      <c r="A5" s="1856" t="inlineStr">
        <is>
          <t>项目</t>
        </is>
      </c>
      <c r="B5" s="1856" t="inlineStr">
        <is>
          <t>客户1</t>
        </is>
      </c>
      <c r="C5" s="1856" t="inlineStr">
        <is>
          <t>客户2</t>
        </is>
      </c>
      <c r="D5" s="1856" t="inlineStr">
        <is>
          <t>客户3</t>
        </is>
      </c>
      <c r="E5" s="1856" t="inlineStr">
        <is>
          <t>客户4</t>
        </is>
      </c>
      <c r="F5" s="1856" t="inlineStr">
        <is>
          <t>客户5</t>
        </is>
      </c>
      <c r="G5" s="1856" t="inlineStr">
        <is>
          <t>客户6</t>
        </is>
      </c>
    </row>
    <row r="6" customFormat="1" s="1853">
      <c r="A6" s="1857" t="inlineStr">
        <is>
          <t>访谈时间</t>
        </is>
      </c>
      <c r="B6" s="252" t="n"/>
      <c r="C6" s="252" t="n"/>
      <c r="D6" s="252" t="n"/>
      <c r="E6" s="252" t="n"/>
      <c r="F6" s="252" t="n"/>
      <c r="G6" s="252" t="n"/>
    </row>
    <row r="7" customFormat="1" s="1853">
      <c r="A7" s="1857" t="inlineStr">
        <is>
          <t>访谈原因</t>
        </is>
      </c>
      <c r="B7" s="252" t="inlineStr">
        <is>
          <t>发行人第X大客户/本期新增客户/采购价格异常客户/……</t>
        </is>
      </c>
      <c r="C7" s="252" t="n"/>
      <c r="D7" s="252" t="n"/>
      <c r="E7" s="252" t="n"/>
      <c r="F7" s="252" t="n"/>
      <c r="G7" s="252" t="n"/>
    </row>
    <row r="8" customFormat="1" s="1853">
      <c r="A8" s="1857" t="inlineStr">
        <is>
          <t>访谈方式</t>
        </is>
      </c>
      <c r="B8" s="252" t="inlineStr">
        <is>
          <t>实地走访/视频访谈/电话访谈/……</t>
        </is>
      </c>
      <c r="C8" s="252" t="n"/>
      <c r="D8" s="252" t="n"/>
      <c r="E8" s="252" t="n"/>
      <c r="F8" s="252" t="n"/>
      <c r="G8" s="252" t="n"/>
    </row>
    <row r="9" customFormat="1" s="1853">
      <c r="A9" s="1857" t="inlineStr">
        <is>
          <t>被访谈公司注册地址</t>
        </is>
      </c>
      <c r="B9" s="252" t="n"/>
      <c r="C9" s="252" t="n"/>
      <c r="D9" s="252" t="n"/>
      <c r="E9" s="252" t="n"/>
      <c r="F9" s="252" t="n"/>
      <c r="G9" s="252" t="n"/>
    </row>
    <row r="10" customFormat="1" s="1853">
      <c r="A10" s="1857" t="inlineStr">
        <is>
          <t>实地走访公司地址</t>
        </is>
      </c>
      <c r="B10" s="252" t="n"/>
      <c r="C10" s="252" t="n"/>
      <c r="D10" s="252" t="n"/>
      <c r="E10" s="252" t="n"/>
      <c r="F10" s="252" t="n"/>
      <c r="G10" s="252" t="n"/>
    </row>
    <row r="11" customFormat="1" s="1853">
      <c r="A11" s="1857" t="inlineStr">
        <is>
          <t>接受访谈人员及身份</t>
        </is>
      </c>
      <c r="B11" s="252" t="inlineStr">
        <is>
          <t>身份信息、职务信息、具体负责的工作等</t>
        </is>
      </c>
      <c r="C11" s="252" t="n"/>
      <c r="D11" s="252" t="n"/>
      <c r="E11" s="252" t="n"/>
      <c r="F11" s="252" t="n"/>
      <c r="G11" s="252" t="n"/>
    </row>
    <row r="12" customFormat="1" s="1853">
      <c r="A12" s="1857" t="inlineStr">
        <is>
          <t>参与访谈的审计人员</t>
        </is>
      </c>
      <c r="B12" s="252" t="n"/>
      <c r="C12" s="252" t="n"/>
      <c r="D12" s="252" t="n"/>
      <c r="E12" s="252" t="n"/>
      <c r="F12" s="252" t="n"/>
      <c r="G12" s="252" t="n"/>
    </row>
    <row r="13" customFormat="1" s="1853">
      <c r="A13" s="1857" t="inlineStr">
        <is>
          <t>参与访谈的其他人员</t>
        </is>
      </c>
      <c r="B13" s="252" t="n"/>
      <c r="C13" s="252" t="n"/>
      <c r="D13" s="252" t="n"/>
      <c r="E13" s="252" t="n"/>
      <c r="F13" s="252" t="n"/>
      <c r="G13" s="252" t="n"/>
    </row>
    <row r="14" customFormat="1" s="1853">
      <c r="A14" s="1857" t="inlineStr">
        <is>
          <t>访谈人员行程信息</t>
        </is>
      </c>
      <c r="B14" s="252" t="inlineStr">
        <is>
          <t>车票、机票、住宿发票复印件或照片，住宿酒店照片</t>
        </is>
      </c>
      <c r="C14" s="252" t="n"/>
      <c r="D14" s="252" t="n"/>
      <c r="E14" s="252" t="n"/>
      <c r="F14" s="252" t="n"/>
      <c r="G14" s="252" t="n"/>
    </row>
    <row r="15" customFormat="1" s="1853">
      <c r="A15" s="1857" t="inlineStr">
        <is>
          <t>是否现场函证</t>
        </is>
      </c>
      <c r="B15" s="252" t="n"/>
      <c r="C15" s="252" t="n"/>
      <c r="D15" s="252" t="n"/>
      <c r="E15" s="252" t="n"/>
      <c r="F15" s="252" t="n"/>
      <c r="G15" s="252" t="n"/>
    </row>
    <row r="16" customFormat="1" s="1853">
      <c r="A16" s="1857" t="inlineStr">
        <is>
          <t>访谈关注要点</t>
        </is>
      </c>
      <c r="B16" s="252" t="n"/>
      <c r="C16" s="252" t="n"/>
      <c r="D16" s="252" t="n"/>
      <c r="E16" s="252" t="n"/>
      <c r="F16" s="252" t="n"/>
      <c r="G16" s="252" t="n"/>
    </row>
    <row r="17" customFormat="1" s="1853">
      <c r="A17" s="1857" t="inlineStr">
        <is>
          <t>合同执行核对情况</t>
        </is>
      </c>
      <c r="B17" s="253" t="n"/>
      <c r="C17" s="252" t="n"/>
      <c r="D17" s="252" t="n"/>
      <c r="E17" s="252" t="n"/>
      <c r="F17" s="252" t="n"/>
      <c r="G17" s="252" t="n"/>
    </row>
    <row r="18" customFormat="1" s="1853">
      <c r="A18" s="1857" t="inlineStr">
        <is>
          <t>交易金额核对是否一致</t>
        </is>
      </c>
      <c r="B18" s="253" t="n"/>
      <c r="C18" s="252" t="n"/>
      <c r="D18" s="252" t="n"/>
      <c r="E18" s="252" t="n"/>
      <c r="F18" s="252" t="n"/>
      <c r="G18" s="252" t="n"/>
    </row>
    <row r="19" customFormat="1" s="1853">
      <c r="A19" s="1857" t="inlineStr">
        <is>
          <t>往来余额核对是否一致</t>
        </is>
      </c>
      <c r="B19" s="253" t="n"/>
      <c r="C19" s="252" t="n"/>
      <c r="D19" s="252" t="n"/>
      <c r="E19" s="252" t="n"/>
      <c r="F19" s="252" t="n"/>
      <c r="G19" s="252" t="n"/>
    </row>
    <row r="20" customFormat="1" s="1853">
      <c r="A20" s="1858" t="inlineStr">
        <is>
          <t>……</t>
        </is>
      </c>
      <c r="B20" s="253" t="n"/>
      <c r="C20" s="252" t="n"/>
      <c r="D20" s="252" t="n"/>
      <c r="E20" s="252" t="n"/>
      <c r="F20" s="252" t="n"/>
      <c r="G20" s="252" t="n"/>
    </row>
    <row r="21" customFormat="1" s="1853">
      <c r="A21" s="1857" t="inlineStr">
        <is>
          <t>访谈结论</t>
        </is>
      </c>
      <c r="B21" s="252" t="n"/>
      <c r="C21" s="252" t="n"/>
      <c r="D21" s="252" t="n"/>
      <c r="E21" s="252" t="n"/>
      <c r="F21" s="252" t="n"/>
      <c r="G21" s="252" t="n"/>
    </row>
    <row r="22" customFormat="1" s="1853">
      <c r="A22" s="1857" t="inlineStr">
        <is>
          <t>访谈表索引</t>
        </is>
      </c>
      <c r="B22" s="253" t="n"/>
      <c r="C22" s="253" t="n"/>
      <c r="D22" s="253" t="n"/>
      <c r="E22" s="253" t="n"/>
      <c r="F22" s="253" t="n"/>
      <c r="G22" s="253" t="n"/>
    </row>
    <row r="23" customFormat="1" s="1849">
      <c r="A23" s="1859" t="inlineStr">
        <is>
          <t>提示1：走访的范围：主要客户（如前十名客户）；新增的主要客户；存在疑虑的重要客户</t>
        </is>
      </c>
      <c r="B23" s="1853" t="n"/>
      <c r="C23" s="1853" t="n"/>
      <c r="D23" s="1853" t="n"/>
      <c r="E23" s="1853" t="n"/>
      <c r="F23" s="1853" t="n"/>
      <c r="G23" s="1853" t="n"/>
    </row>
    <row r="24" customFormat="1" s="1849">
      <c r="A24" s="1859" t="inlineStr">
        <is>
          <t>提示2：访谈需核对和注意事项</t>
        </is>
      </c>
      <c r="B24" s="1853" t="n"/>
      <c r="C24" s="1853" t="n"/>
      <c r="D24" s="1853" t="n"/>
      <c r="E24" s="1853" t="n"/>
      <c r="F24" s="1853" t="n"/>
      <c r="G24" s="1853" t="n"/>
    </row>
    <row r="25" s="1296">
      <c r="A25" s="1859" t="inlineStr">
        <is>
          <t>1.走访地址与注册地址是否一致？不一致的原因是否合理？公司基本情况是否与工商信息查询信息一致？走访的公司地址是否与百度地图等查询走访地址一致？</t>
        </is>
      </c>
    </row>
    <row r="26" s="1296">
      <c r="A26" s="1859" t="inlineStr">
        <is>
          <t>2.交易内容是否与走访公司实际业务范围一致？</t>
        </is>
      </c>
    </row>
    <row r="27" s="1296">
      <c r="A27" s="1859" t="inlineStr">
        <is>
          <t>3.交易金额是否与走访公司规模（注册资本、人数、设备数量等）匹配？</t>
        </is>
      </c>
      <c r="B27" s="1850" t="n"/>
      <c r="C27" s="1850" t="n"/>
    </row>
    <row r="28" s="1296">
      <c r="A28" s="1859" t="inlineStr">
        <is>
          <t>4.交易价格是否与同行业类似交易一致？</t>
        </is>
      </c>
      <c r="B28" s="1850" t="n"/>
      <c r="C28" s="1850" t="n"/>
    </row>
    <row r="29" s="1296">
      <c r="A29" s="1859" t="inlineStr">
        <is>
          <t>5.是否核实走访对象身份？</t>
        </is>
      </c>
      <c r="B29" s="1850" t="n"/>
      <c r="C29" s="1850" t="n"/>
    </row>
    <row r="30" s="1296">
      <c r="A30" s="1859" t="inlineStr">
        <is>
          <t>6.是否根据走访公司及访谈对象具体情况修改访谈问卷？</t>
        </is>
      </c>
      <c r="B30" s="1850" t="n"/>
      <c r="C30" s="1850" t="n"/>
    </row>
    <row r="31" s="1296">
      <c r="A31" s="1859" t="inlineStr">
        <is>
          <t>7.是否现场取得盖公章的函证回函（交易、往来，关联方关系确认）？</t>
        </is>
      </c>
      <c r="B31" s="1850" t="n"/>
      <c r="C31" s="1850" t="n"/>
    </row>
    <row r="32" s="1296">
      <c r="A32" s="1859" t="inlineStr">
        <is>
          <t>8.是否同为客户和供应商？理由是否合理？</t>
        </is>
      </c>
      <c r="B32" s="1850" t="n"/>
      <c r="C32" s="1850" t="n"/>
    </row>
    <row r="33" s="1296">
      <c r="A33" s="1859" t="inlineStr">
        <is>
          <t>9.是否存在异常情况（如地址与被审计单位关联方相同或相近、已处于停产状态、产能利用率异常、无法证明相关产品来自被审计单位）？</t>
        </is>
      </c>
      <c r="B33" s="1850" t="n"/>
      <c r="C33" s="1850" t="n"/>
    </row>
    <row r="34" s="1296">
      <c r="A34" s="1859" t="inlineStr">
        <is>
          <t>10.保留访谈对象身份证复印件、名片/工牌复印件、与访谈对象合影（厂区门口、仓库、车间等地）、走访公司工作现场照片</t>
        </is>
      </c>
      <c r="B34" s="1850" t="n"/>
      <c r="C34" s="1850" t="n"/>
    </row>
    <row r="35" s="1296">
      <c r="B35" s="1850" t="n"/>
      <c r="C35" s="1850" t="n"/>
    </row>
    <row r="36" s="1296">
      <c r="B36" s="1850" t="n"/>
      <c r="C36" s="1850" t="n"/>
      <c r="D36" s="1850" t="n"/>
    </row>
    <row r="37" s="1296">
      <c r="B37" s="1850" t="n"/>
      <c r="C37" s="1850" t="n"/>
    </row>
    <row r="38" s="1296">
      <c r="B38" s="1850" t="n"/>
    </row>
  </sheetData>
  <mergeCells count="2">
    <mergeCell ref="A2:G2"/>
    <mergeCell ref="A1:G1"/>
  </mergeCells>
  <hyperlinks>
    <hyperlink ref="G3" location="底稿目录!A1" display="='D:\GT_plan\backend\wp_templates\D\[D4-22至D4-32营业收入-IPO 上市 新三板 重组 舞弊应对.xlsx]底稿目录'!F20"/>
  </hyperlinks>
  <pageMargins left="0.7086614173228351" right="0.7086614173228351" top="0.748031496062992" bottom="0.748031496062992" header="0.31496062992126" footer="0.31496062992126"/>
  <pageSetup orientation="landscape" paperSize="9" scale="84" blackAndWhite="1"/>
  <headerFooter>
    <oddHeader/>
    <oddFooter>&amp;C&amp;P/&amp;N</oddFooter>
    <evenHeader/>
    <evenFooter/>
    <firstHeader/>
    <firstFooter/>
  </headerFooter>
</worksheet>
</file>

<file path=xl/worksheets/sheet39.xml><?xml version="1.0" encoding="utf-8"?>
<worksheet xmlns="http://schemas.openxmlformats.org/spreadsheetml/2006/main">
  <sheetPr>
    <outlinePr summaryBelow="1" summaryRight="1"/>
    <pageSetUpPr/>
  </sheetPr>
  <dimension ref="A1:J63"/>
  <sheetViews>
    <sheetView showGridLines="0" view="pageBreakPreview" zoomScaleNormal="100" workbookViewId="0">
      <selection activeCell="A1" sqref="A1:G1"/>
    </sheetView>
  </sheetViews>
  <sheetFormatPr baseColWidth="8" defaultColWidth="8.481818181818181" defaultRowHeight="13"/>
  <cols>
    <col width="36.9636363636364" customWidth="1" style="1860" min="1" max="1"/>
    <col width="8.963636363636359" customWidth="1" style="1860" min="2" max="2"/>
    <col width="9.45454545454546" customWidth="1" style="1860" min="3" max="3"/>
    <col width="11.0272727272727" customWidth="1" style="1860" min="4" max="4"/>
    <col width="6.78181818181818" customWidth="1" style="1860" min="5" max="5"/>
    <col width="12.3636363636364" customWidth="1" style="1860" min="6" max="6"/>
    <col width="7.39090909090909" customWidth="1" style="1860" min="7" max="7"/>
    <col width="8.481818181818181" customWidth="1" style="1860" min="8" max="8"/>
    <col width="8.481818181818181" customWidth="1" style="1861" min="9" max="16384"/>
  </cols>
  <sheetData>
    <row r="1" ht="20.1" customFormat="1" customHeight="1" s="1557">
      <c r="A1" s="1862" t="inlineStr">
        <is>
          <t>致同会计师事务所</t>
        </is>
      </c>
    </row>
    <row r="2" ht="24.9" customFormat="1" customHeight="1" s="1557">
      <c r="A2" s="1863" t="inlineStr">
        <is>
          <t>客户访谈记录</t>
        </is>
      </c>
    </row>
    <row r="3" ht="20.1" customFormat="1" customHeight="1" s="1557">
      <c r="A3" s="1860" t="inlineStr">
        <is>
          <t>被审计单位名称：</t>
        </is>
      </c>
      <c r="B3" s="1860" t="inlineStr">
        <is>
          <t>编制人：</t>
        </is>
      </c>
      <c r="D3" s="1860" t="inlineStr">
        <is>
          <t>编制日期：</t>
        </is>
      </c>
      <c r="F3" s="1864" t="inlineStr">
        <is>
          <t>索引号：</t>
        </is>
      </c>
      <c r="G3" s="1865" t="inlineStr">
        <is>
          <t>D4-31</t>
        </is>
      </c>
    </row>
    <row r="4" ht="20.1" customFormat="1" customHeight="1" s="1557">
      <c r="A4" s="1860" t="inlineStr">
        <is>
          <t>会计期间：202X年度</t>
        </is>
      </c>
      <c r="B4" s="1860" t="inlineStr">
        <is>
          <t>复核人：</t>
        </is>
      </c>
      <c r="D4" s="1860" t="inlineStr">
        <is>
          <t>复核日期：</t>
        </is>
      </c>
      <c r="F4" s="1864" t="inlineStr">
        <is>
          <t>页次：</t>
        </is>
      </c>
    </row>
    <row r="5" ht="20.1" customFormat="1" customHeight="1" s="1860">
      <c r="A5" s="1866" t="inlineStr">
        <is>
          <t>访谈对象：</t>
        </is>
      </c>
      <c r="B5" s="1866" t="n"/>
      <c r="C5" s="1866" t="n"/>
      <c r="D5" s="1866" t="n"/>
      <c r="E5" s="1866" t="n"/>
      <c r="F5" s="1860" t="n"/>
      <c r="G5" s="1860" t="n"/>
    </row>
    <row r="6" ht="20.1" customFormat="1" customHeight="1" s="1860">
      <c r="A6" s="1866" t="inlineStr">
        <is>
          <t>访谈时间及地点：</t>
        </is>
      </c>
      <c r="B6" s="1866" t="n"/>
      <c r="C6" s="1866" t="n"/>
      <c r="D6" s="1866" t="n"/>
      <c r="E6" s="1866" t="n"/>
      <c r="F6" s="1860" t="n"/>
      <c r="G6" s="1860" t="n"/>
    </row>
    <row r="7" ht="20.1" customFormat="1" customHeight="1" s="1860">
      <c r="A7" s="1866" t="inlineStr">
        <is>
          <t>接受访谈人员及职务：</t>
        </is>
      </c>
      <c r="B7" s="1866" t="n"/>
      <c r="C7" s="1866" t="n"/>
      <c r="D7" s="1866" t="n"/>
      <c r="E7" s="1866" t="n"/>
      <c r="F7" s="1860" t="n"/>
      <c r="G7" s="1860" t="n"/>
    </row>
    <row r="8" ht="20.1" customFormat="1" customHeight="1" s="1860">
      <c r="A8" s="1866" t="inlineStr">
        <is>
          <t>访谈人：</t>
        </is>
      </c>
      <c r="B8" s="1866" t="n"/>
      <c r="C8" s="1866" t="n"/>
      <c r="D8" s="1866" t="n"/>
      <c r="E8" s="1866" t="n"/>
      <c r="F8" s="1860" t="n"/>
      <c r="G8" s="1860" t="n"/>
    </row>
    <row r="9" ht="20.1" customFormat="1" customHeight="1" s="1860">
      <c r="A9" s="1867" t="inlineStr">
        <is>
          <t>访谈内容：【根据被审计单位实际情况、关注的客户主要风险情况修改访谈内容】</t>
        </is>
      </c>
      <c r="B9" s="1868" t="n"/>
      <c r="C9" s="1866" t="n"/>
      <c r="D9" s="1866" t="n"/>
      <c r="E9" s="1866" t="n"/>
      <c r="F9" s="1860" t="n"/>
      <c r="G9" s="1860" t="n"/>
    </row>
    <row r="10" ht="20.1" customFormat="1" customHeight="1" s="1860">
      <c r="A10" s="1867" t="inlineStr">
        <is>
          <t>一、接受访谈人介绍，包括姓名、任职的公司、职务、具体负责的工作等</t>
        </is>
      </c>
      <c r="B10" s="1868" t="n"/>
      <c r="C10" s="1866" t="n"/>
      <c r="D10" s="1866" t="n"/>
      <c r="E10" s="1866" t="n"/>
      <c r="F10" s="1860" t="n"/>
      <c r="G10" s="1860" t="n"/>
    </row>
    <row r="11" ht="20.1" customFormat="1" customHeight="1" s="1860">
      <c r="A11" s="1867" t="n"/>
      <c r="B11" s="1868" t="n"/>
      <c r="C11" s="1866" t="n"/>
      <c r="D11" s="1866" t="n"/>
      <c r="E11" s="1866" t="n"/>
      <c r="F11" s="1860" t="n"/>
      <c r="G11" s="1860" t="n"/>
    </row>
    <row r="12" ht="20.1" customFormat="1" customHeight="1" s="1860">
      <c r="A12" s="1866" t="inlineStr">
        <is>
          <t>二、客户的基本情况（附有关部门盖章确认的工商登记证明文件、主体纳税证明等）</t>
        </is>
      </c>
      <c r="B12" s="1866" t="n"/>
      <c r="C12" s="1866" t="n"/>
      <c r="D12" s="1866" t="n"/>
      <c r="E12" s="1866" t="n"/>
      <c r="F12" s="1860" t="n"/>
      <c r="G12" s="1860" t="n"/>
      <c r="J12" s="1867" t="n"/>
    </row>
    <row r="13" ht="20.1" customFormat="1" customHeight="1" s="1860">
      <c r="A13" s="1860" t="inlineStr">
        <is>
          <t>公司名称：</t>
        </is>
      </c>
      <c r="B13" s="1860" t="n"/>
      <c r="C13" s="1860" t="n"/>
      <c r="D13" s="1860" t="inlineStr">
        <is>
          <t>注册资本：</t>
        </is>
      </c>
      <c r="E13" s="1860" t="n"/>
      <c r="F13" s="1860" t="n"/>
      <c r="G13" s="1860" t="n"/>
      <c r="J13" s="1867" t="n"/>
    </row>
    <row r="14" ht="20.1" customFormat="1" customHeight="1" s="1860">
      <c r="A14" s="1860" t="inlineStr">
        <is>
          <t>成立日期：</t>
        </is>
      </c>
      <c r="B14" s="1860" t="n"/>
      <c r="C14" s="1860" t="n"/>
      <c r="D14" s="1860" t="inlineStr">
        <is>
          <t>经济性质：</t>
        </is>
      </c>
      <c r="E14" s="1860" t="n"/>
      <c r="F14" s="1860" t="n"/>
      <c r="G14" s="1860" t="n"/>
    </row>
    <row r="15" ht="20.1" customFormat="1" customHeight="1" s="1860">
      <c r="A15" s="1860" t="inlineStr">
        <is>
          <t>法定代表人：</t>
        </is>
      </c>
      <c r="B15" s="1860" t="n"/>
      <c r="C15" s="1860" t="n"/>
      <c r="D15" s="1860" t="inlineStr">
        <is>
          <t>股权结构：</t>
        </is>
      </c>
      <c r="E15" s="1860" t="n"/>
      <c r="F15" s="1860" t="n"/>
      <c r="G15" s="1860" t="n"/>
    </row>
    <row r="16" ht="20.1" customFormat="1" customHeight="1" s="1860">
      <c r="A16" s="1866" t="inlineStr">
        <is>
          <t>三、与客户业务情况</t>
        </is>
      </c>
      <c r="B16" s="1866" t="n"/>
      <c r="C16" s="1866" t="n"/>
      <c r="D16" s="1860" t="n"/>
      <c r="E16" s="1860" t="n"/>
      <c r="F16" s="1860" t="n"/>
      <c r="G16" s="1860" t="n"/>
    </row>
    <row r="17" ht="68.25" customFormat="1" customHeight="1" s="1860">
      <c r="A17" s="1869" t="inlineStr">
        <is>
          <t xml:space="preserve">1.客户与发行人的业务关系为
</t>
        </is>
      </c>
      <c r="C17" s="1869" t="n"/>
      <c r="D17" s="1870" t="inlineStr">
        <is>
          <t>[   ]客户是终端客户
[   ]客户是经销商(客户)
[   ]客户是供应商     
[   ]客户既是客户又是供应商
[   ]客户是ABC的关联方</t>
        </is>
      </c>
    </row>
    <row r="18" ht="20.1" customFormat="1" customHeight="1" s="1860">
      <c r="A18" s="1860" t="inlineStr">
        <is>
          <t>2.客户与发行人的结算方式</t>
        </is>
      </c>
      <c r="B18" s="1860" t="n"/>
      <c r="C18" s="1860" t="n"/>
      <c r="D18" s="1860" t="n"/>
      <c r="E18" s="1860" t="n"/>
      <c r="F18" s="1860" t="n"/>
      <c r="G18" s="1860" t="n"/>
    </row>
    <row r="19" ht="61.5" customFormat="1" customHeight="1" s="1860">
      <c r="A19" s="1870" t="inlineStr">
        <is>
          <t xml:space="preserve">     （1）客户向发行人的采购
</t>
        </is>
      </c>
      <c r="C19" s="1870" t="n"/>
      <c r="D19" s="1870" t="inlineStr">
        <is>
          <t>[   ] 预付款方式
[   ] 货到付款方式
[   ] 赊销方式
[   ] 预付款方式和赊销方式兼有</t>
        </is>
      </c>
    </row>
    <row r="20" ht="59.25" customFormat="1" customHeight="1" s="1860">
      <c r="A20" s="1870" t="inlineStr">
        <is>
          <t xml:space="preserve">      （2）客户向发行人的销售
</t>
        </is>
      </c>
      <c r="C20" s="1870" t="n"/>
      <c r="D20" s="1870" t="inlineStr">
        <is>
          <t>[   ] 预收款方式         
[   ] 货到收款方式
[   ] 赊销方式           
[   ] 预收款方式和赊销方式兼有</t>
        </is>
      </c>
    </row>
    <row r="21" ht="20.1" customFormat="1" customHeight="1" s="1860">
      <c r="A21" s="1860" t="inlineStr">
        <is>
          <t>3.20XX年度至今客户与发行人交易情况</t>
        </is>
      </c>
      <c r="B21" s="1860" t="n"/>
      <c r="C21" s="1860" t="n"/>
      <c r="D21" s="1860" t="n"/>
      <c r="E21" s="1860" t="n"/>
      <c r="F21" s="1860" t="n"/>
      <c r="G21" s="1860" t="n"/>
    </row>
    <row r="22" ht="32.25" customFormat="1" customHeight="1" s="1860">
      <c r="A22" s="1870" t="inlineStr">
        <is>
          <t xml:space="preserve">      （1）所有的交易行为是否签订合同
</t>
        </is>
      </c>
      <c r="C22" s="1870" t="n"/>
      <c r="D22" s="1870" t="inlineStr">
        <is>
          <t>[   ] 是                
[   ] 否</t>
        </is>
      </c>
    </row>
    <row r="23" ht="66" customFormat="1" customHeight="1" s="1860">
      <c r="A23" s="1869" t="inlineStr">
        <is>
          <t xml:space="preserve">（2）客户向发行人采购产品质量情况（适用客户）
</t>
        </is>
      </c>
      <c r="C23" s="1869" t="n"/>
      <c r="D23" s="1870" t="inlineStr">
        <is>
          <t>[   ] 良好              
[   ]一般
[   ] 产品质量不稳定     
[   ] 产品质量差</t>
        </is>
      </c>
    </row>
    <row r="24" ht="38.25" customFormat="1" customHeight="1" s="1860">
      <c r="A24" s="1870" t="inlineStr">
        <is>
          <t xml:space="preserve">       （3）客户与发行人是否定了约定除质量问题以外的退、换货条款</t>
        </is>
      </c>
      <c r="C24" s="1870" t="n"/>
      <c r="D24" s="1870" t="inlineStr">
        <is>
          <t>[   ]是                 
[   ]否</t>
        </is>
      </c>
    </row>
    <row r="25" ht="69.75" customFormat="1" customHeight="1" s="1860">
      <c r="A25" s="1870" t="inlineStr">
        <is>
          <t xml:space="preserve">      （4）20XX年度至今客户与发行人约定了除质量问题以外的退、换货条款，而发生的退换货金额</t>
        </is>
      </c>
      <c r="C25" s="1870" t="n"/>
      <c r="D25" s="1870" t="inlineStr">
        <is>
          <t>[   ] 无  
[   ]20万元以下  
[   ]20-50万元  
[   ]50-100万元   
[   ] 100万元以上</t>
        </is>
      </c>
    </row>
    <row r="26" ht="47.25" customFormat="1" customHeight="1" s="1860">
      <c r="A26" s="1870" t="inlineStr">
        <is>
          <t xml:space="preserve">      （5）客户向发行人采购的产品验收入库情况
</t>
        </is>
      </c>
      <c r="C26" s="1870" t="n"/>
      <c r="D26" s="1870" t="inlineStr">
        <is>
          <t>[   ]检验合格后计量入库签收确认收到货物 
[   ]直接计量入库签收确认收到货物 
[   ]其他方式请描述</t>
        </is>
      </c>
    </row>
    <row r="27" ht="33.75" customFormat="1" customHeight="1" s="1860">
      <c r="A27" s="1870" t="inlineStr">
        <is>
          <t xml:space="preserve">      （6）客户与发行人的交易是否存在返利的约定</t>
        </is>
      </c>
      <c r="C27" s="1860" t="n"/>
      <c r="D27" s="1870" t="inlineStr">
        <is>
          <t>[   ]是   
[   ]否</t>
        </is>
      </c>
    </row>
    <row r="28" ht="20.1" customFormat="1" customHeight="1" s="1860">
      <c r="A28" s="1870" t="inlineStr">
        <is>
          <t xml:space="preserve">       如存在返利请说明以下情况：</t>
        </is>
      </c>
      <c r="C28" s="1870" t="n"/>
      <c r="D28" s="1860" t="n"/>
      <c r="E28" s="1860" t="n"/>
      <c r="F28" s="1860" t="n"/>
      <c r="G28" s="1860" t="n"/>
    </row>
    <row r="29" ht="32.25" customFormat="1" customHeight="1" s="1860">
      <c r="A29" s="1870" t="inlineStr">
        <is>
          <t xml:space="preserve">          A.通过何种方式支付返利
</t>
        </is>
      </c>
      <c r="C29" s="1870" t="n"/>
      <c r="D29" s="1870" t="inlineStr">
        <is>
          <t>[   ]现金   
[   ]其他方式</t>
        </is>
      </c>
    </row>
    <row r="30" ht="62.25" customFormat="1" customHeight="1" s="1860">
      <c r="A30" s="1870" t="inlineStr">
        <is>
          <t xml:space="preserve">          B.20XX年度至今返利金额
</t>
        </is>
      </c>
      <c r="C30" s="1870" t="n"/>
      <c r="D30" s="1870" t="inlineStr">
        <is>
          <t>[   ]10万元以下   
[   ]10-50万元    
[   ]50-100万元     
[   ]100万元以上</t>
        </is>
      </c>
    </row>
    <row r="31" ht="34.5" customFormat="1" customHeight="1" s="1860">
      <c r="A31" s="1870" t="inlineStr">
        <is>
          <t xml:space="preserve">         （7）客户作为发行人的经销商购买的货物是否已经最终销售(适用经销商)</t>
        </is>
      </c>
      <c r="C31" s="1870" t="n"/>
      <c r="D31" s="1870" t="inlineStr">
        <is>
          <t>[   ]是     
[   ]否</t>
        </is>
      </c>
    </row>
    <row r="32" ht="34.5" customFormat="1" customHeight="1" s="1860">
      <c r="A32" s="1870" t="inlineStr">
        <is>
          <t>4.客户除了上述与被审计单位采购以外，是否还存在其他的资金往来？</t>
        </is>
      </c>
      <c r="B32" s="1870" t="n"/>
      <c r="C32" s="1870" t="n"/>
      <c r="D32" s="1870" t="inlineStr">
        <is>
          <t>[   ]是     
[   ]否</t>
        </is>
      </c>
    </row>
    <row r="33" ht="34.5" customFormat="1" customHeight="1" s="1860">
      <c r="A33" s="1871" t="inlineStr">
        <is>
          <t>5.其他重要事项</t>
        </is>
      </c>
      <c r="B33" s="1870" t="n"/>
      <c r="C33" s="1870" t="n"/>
      <c r="D33" s="1870" t="n"/>
      <c r="E33" s="1870" t="n"/>
      <c r="F33" s="1870" t="n"/>
      <c r="G33" s="1870" t="n"/>
    </row>
    <row r="34" ht="20.1" customFormat="1" customHeight="1" s="1860">
      <c r="A34" s="1872" t="inlineStr">
        <is>
          <t>四、关联关系情况</t>
        </is>
      </c>
      <c r="B34" s="1872" t="n"/>
      <c r="C34" s="1872" t="n"/>
      <c r="D34" s="1860" t="n"/>
      <c r="E34" s="1860" t="n"/>
      <c r="F34" s="1860" t="n"/>
      <c r="G34" s="1860" t="n"/>
    </row>
    <row r="35" ht="41.25" customFormat="1" customHeight="1" s="1860">
      <c r="A35" s="1870" t="inlineStr">
        <is>
          <t>发行人的实际控制人、自然人股东、董事、监事或高管人员及主要关联方是否在客户持有股份（关联方情况详见附表)</t>
        </is>
      </c>
      <c r="C35" s="1870" t="n"/>
      <c r="D35" s="1870" t="inlineStr">
        <is>
          <t>[   ]是       
[   ]否</t>
        </is>
      </c>
      <c r="E35" s="1870" t="n"/>
      <c r="F35" s="1860" t="n"/>
      <c r="G35" s="1860" t="n"/>
    </row>
    <row r="36" ht="25.05" customFormat="1" customHeight="1" s="1860">
      <c r="A36" s="1870" t="inlineStr">
        <is>
          <t xml:space="preserve">    是否担任职务</t>
        </is>
      </c>
      <c r="C36" s="1870" t="n"/>
      <c r="D36" s="1870" t="inlineStr">
        <is>
          <t>[   ]是       
[   ]否</t>
        </is>
      </c>
      <c r="E36" s="1870" t="n"/>
      <c r="F36" s="1860" t="n"/>
      <c r="G36" s="1860" t="n"/>
    </row>
    <row r="37" ht="25.05" customFormat="1" customHeight="1" s="1860">
      <c r="A37" s="1870" t="inlineStr">
        <is>
          <t xml:space="preserve">    是否和客户有交易</t>
        </is>
      </c>
      <c r="C37" s="1870" t="n"/>
      <c r="D37" s="1870" t="inlineStr">
        <is>
          <t>[   ]是       
[   ]否</t>
        </is>
      </c>
      <c r="E37" s="1870" t="n"/>
      <c r="F37" s="1860" t="n"/>
      <c r="G37" s="1860" t="n"/>
    </row>
    <row r="38" ht="25.05" customFormat="1" customHeight="1" s="1860">
      <c r="A38" s="1870" t="n"/>
      <c r="B38" s="1870" t="n"/>
      <c r="C38" s="1870" t="n"/>
      <c r="D38" s="1870" t="n"/>
      <c r="E38" s="1870" t="n"/>
      <c r="F38" s="1860" t="n"/>
      <c r="G38" s="1860" t="n"/>
    </row>
    <row r="39" ht="19.95" customFormat="1" customHeight="1" s="1860">
      <c r="A39" s="1638" t="inlineStr">
        <is>
          <t>附：1.供应商盖章确认的工商登记证明文件、……</t>
        </is>
      </c>
      <c r="B39" s="1870" t="n"/>
      <c r="C39" s="1870" t="n"/>
      <c r="D39" s="1870" t="n"/>
      <c r="E39" s="1870" t="n"/>
      <c r="F39" s="1860" t="n"/>
      <c r="G39" s="1860" t="n"/>
    </row>
    <row r="40" ht="19.95" customFormat="1" customHeight="1" s="1860">
      <c r="A40" s="1873" t="inlineStr">
        <is>
          <t>2.跟函回函</t>
        </is>
      </c>
      <c r="B40" s="1870" t="n"/>
      <c r="C40" s="1870" t="n"/>
      <c r="D40" s="1870" t="n"/>
      <c r="E40" s="1870" t="n"/>
      <c r="F40" s="1860" t="n"/>
      <c r="G40" s="1860" t="n"/>
    </row>
    <row r="41" ht="19.95" customFormat="1" customHeight="1" s="1860">
      <c r="A41" s="1873" t="inlineStr">
        <is>
          <t>3.XX产品销售明细账、XX产品库存商品明细账</t>
        </is>
      </c>
      <c r="B41" s="1870" t="n"/>
      <c r="C41" s="1870" t="n"/>
      <c r="D41" s="1870" t="n"/>
      <c r="E41" s="1870" t="n"/>
      <c r="F41" s="1860" t="n"/>
      <c r="G41" s="1860" t="n"/>
    </row>
    <row r="42" ht="19.95" customFormat="1" customHeight="1" s="1860">
      <c r="A42" s="1873" t="inlineStr">
        <is>
          <t>4.XXX账户资金流水</t>
        </is>
      </c>
      <c r="B42" s="1870" t="n"/>
      <c r="C42" s="1870" t="n"/>
      <c r="D42" s="1870" t="n"/>
      <c r="E42" s="1870" t="n"/>
      <c r="F42" s="1860" t="n"/>
      <c r="G42" s="1860" t="n"/>
    </row>
    <row r="43" ht="19.95" customFormat="1" customHeight="1" s="1860">
      <c r="A43" s="1874" t="inlineStr">
        <is>
          <t>参与访谈的各方人员签字：</t>
        </is>
      </c>
      <c r="B43" s="1638" t="n"/>
      <c r="C43" s="1638" t="n"/>
      <c r="D43" s="1638" t="n"/>
      <c r="E43" s="1638" t="n"/>
      <c r="F43" s="1860" t="n"/>
      <c r="G43" s="1860" t="n"/>
    </row>
    <row r="44" ht="19.95" customFormat="1" customHeight="1" s="1860">
      <c r="A44" s="1638" t="inlineStr">
        <is>
          <t>接受访谈人员：</t>
        </is>
      </c>
      <c r="B44" s="1638" t="n"/>
      <c r="C44" s="1638" t="inlineStr">
        <is>
          <t>审计人员：</t>
        </is>
      </c>
      <c r="D44" s="1638" t="n"/>
      <c r="E44" s="1638" t="inlineStr">
        <is>
          <t>其他人员：</t>
        </is>
      </c>
      <c r="F44" s="1860" t="n"/>
      <c r="G44" s="1860" t="n"/>
    </row>
    <row r="45" ht="19.95" customFormat="1" customHeight="1" s="1860">
      <c r="A45" s="1638" t="n"/>
      <c r="B45" s="1638" t="n"/>
      <c r="C45" s="1638" t="n"/>
      <c r="D45" s="1638" t="n"/>
      <c r="E45" s="1638" t="n"/>
      <c r="F45" s="1860" t="n"/>
      <c r="G45" s="1860" t="n"/>
    </row>
    <row r="46" ht="19.95" customFormat="1" customHeight="1" s="1860">
      <c r="A46" s="1638" t="inlineStr">
        <is>
          <t xml:space="preserve">日期： </t>
        </is>
      </c>
      <c r="B46" s="1638" t="n"/>
      <c r="C46" s="1638" t="n"/>
      <c r="D46" s="1638" t="n"/>
      <c r="E46" s="1638" t="n"/>
      <c r="F46" s="1860" t="n"/>
      <c r="G46" s="1860" t="n"/>
    </row>
    <row r="47" ht="19.95" customHeight="1" s="1296">
      <c r="A47" s="1844" t="inlineStr">
        <is>
          <t>如果识别出客户存在第三方配合实施财务舞弊的风险，则应要求客户就其向注册会计师提供的资料</t>
        </is>
      </c>
      <c r="B47" s="1634" t="n"/>
      <c r="C47" s="1634" t="n"/>
      <c r="D47" s="1634" t="n"/>
      <c r="E47" s="1634" t="n"/>
      <c r="F47" s="1634" t="n"/>
      <c r="G47" s="1634" t="n"/>
    </row>
    <row r="48" ht="19.95" customHeight="1" s="1296">
      <c r="A48" s="1844" t="inlineStr">
        <is>
          <t>、信息以及作出的陈述的真实性和完整性进行承诺，并加盖供应商公章。（所有被访谈的客户</t>
        </is>
      </c>
      <c r="B48" s="1634" t="n"/>
      <c r="C48" s="1634" t="n"/>
      <c r="D48" s="1634" t="n"/>
      <c r="E48" s="1634" t="n"/>
      <c r="F48" s="1634" t="n"/>
      <c r="G48" s="1634" t="n"/>
    </row>
    <row r="49" ht="19.95" customHeight="1" s="1296">
      <c r="A49" s="1844" t="inlineStr">
        <is>
          <t>可参照执行要求提供承诺并在访谈记录加盖公章）</t>
        </is>
      </c>
      <c r="B49" s="1634" t="n"/>
      <c r="C49" s="1634" t="n"/>
      <c r="D49" s="1634" t="n"/>
      <c r="E49" s="1634" t="n"/>
      <c r="F49" s="1634" t="n"/>
      <c r="G49" s="1634" t="n"/>
    </row>
    <row r="50" ht="19.95" customHeight="1" s="1296">
      <c r="A50" s="1873" t="inlineStr">
        <is>
          <t>“本公司向XX会计师事务所提供的信息和资料真实、完整，如存在虚假信息 或重大遗漏，</t>
        </is>
      </c>
      <c r="B50" s="1634" t="n"/>
      <c r="C50" s="1634" t="n"/>
      <c r="D50" s="1634" t="n"/>
      <c r="E50" s="1634" t="n"/>
      <c r="F50" s="1634" t="n"/>
      <c r="G50" s="1634" t="n"/>
    </row>
    <row r="51" ht="19.95" customHeight="1" s="1296">
      <c r="A51" s="1873" t="inlineStr">
        <is>
          <t>本公司愿意承担一切法律责任”。</t>
        </is>
      </c>
      <c r="B51" s="1634" t="n"/>
      <c r="C51" s="1634" t="n"/>
      <c r="D51" s="1634" t="n"/>
      <c r="E51" s="1634" t="n"/>
      <c r="F51" s="1634" t="n"/>
      <c r="G51" s="1634" t="n"/>
    </row>
    <row r="52" ht="19.95" customHeight="1" s="1296">
      <c r="A52" s="1873" t="n"/>
      <c r="B52" s="1634" t="n"/>
      <c r="C52" s="1634" t="n"/>
      <c r="D52" s="1634" t="n"/>
      <c r="E52" s="1634" t="n"/>
      <c r="F52" s="1634" t="n"/>
      <c r="G52" s="1634" t="n"/>
    </row>
    <row r="53" ht="19.95" customHeight="1" s="1296">
      <c r="A53" s="1638" t="n"/>
      <c r="B53" s="1634" t="n"/>
      <c r="C53" s="1634" t="n"/>
      <c r="D53" s="1634" t="n"/>
      <c r="E53" s="1634" t="n"/>
      <c r="F53" s="1634" t="n"/>
      <c r="G53" s="1875" t="inlineStr">
        <is>
          <t>XXX公司（盖章）</t>
        </is>
      </c>
    </row>
    <row r="54" ht="19.95" customHeight="1" s="1296"/>
    <row r="56" ht="14" customHeight="1" s="1296">
      <c r="A56" s="1876" t="inlineStr">
        <is>
          <t>提示：</t>
        </is>
      </c>
    </row>
    <row r="57" ht="14" customHeight="1" s="1296">
      <c r="A57" s="1877" t="inlineStr">
        <is>
          <t>根据《中国注册会计师审计准则问题解答第18号——识别和应对第三方配合实施财务舞弊》，如果已经识别出走访对象存在可能配合被审计单位实施财务舞弊的迹象，</t>
        </is>
      </c>
    </row>
    <row r="58" ht="14" customHeight="1" s="1296">
      <c r="A58" s="1877" t="inlineStr">
        <is>
          <t xml:space="preserve">1.注册会计师需要更有针对性地计划实地走访工作以及设计访谈提纲，安排职业敏感性更强的项目组成员实施实地走访，在访谈前需要注意对访谈信息保密，并考虑在进行实地走访时实施以下程序： </t>
        </is>
      </c>
    </row>
    <row r="59" ht="14" customHeight="1" s="1296">
      <c r="A59" s="1877" t="inlineStr">
        <is>
          <t>（1）选择多名或不同层级的人员访谈相同或类似问题，进行相互印证。</t>
        </is>
      </c>
    </row>
    <row r="60" ht="14" customHeight="1" s="1296">
      <c r="A60" s="1877" t="inlineStr">
        <is>
          <t>（2）核实被询问人员是否与被审计单位存在特殊关系，如是否为被审计单位的前员工，或被审计单位的关联方。</t>
        </is>
      </c>
    </row>
    <row r="61" ht="14" customHeight="1" s="1296">
      <c r="A61" s="1877" t="inlineStr">
        <is>
          <t>（3）对于被审计单位的客户，要求对被审计单位生产的产品实施观察、检查等程序。如相关产品为走访对象的存货，观察其生产经营过程中是否使用该存货，关注相关存货的存放、领用是否为走访对象的真实需要；如相关产品为走访对象的设备，观察设备是否正常使用。</t>
        </is>
      </c>
    </row>
    <row r="62" ht="14" customHeight="1" s="1296">
      <c r="A62" s="1877" t="inlineStr">
        <is>
          <t>（4）对于被审计单位的经销商客户，关注走访对象的库存量是否存在明显不合理，考虑检查经销商进销存记录。</t>
        </is>
      </c>
    </row>
    <row r="63" ht="14" customHeight="1" s="1296">
      <c r="A63" s="1877" t="inlineStr">
        <is>
          <t>2.针对识别出的第三方配合实施财务舞弊的风险，可以考虑采用跟函方式进行函证，观察函证处理过程，评估回函可靠性。</t>
        </is>
      </c>
    </row>
  </sheetData>
  <mergeCells count="31">
    <mergeCell ref="A24:B24"/>
    <mergeCell ref="A30:B30"/>
    <mergeCell ref="D25:G25"/>
    <mergeCell ref="D24:G24"/>
    <mergeCell ref="D30:G30"/>
    <mergeCell ref="A36:B36"/>
    <mergeCell ref="D29:G29"/>
    <mergeCell ref="D23:G23"/>
    <mergeCell ref="D26:G26"/>
    <mergeCell ref="A25:B25"/>
    <mergeCell ref="D20:G20"/>
    <mergeCell ref="A37:B37"/>
    <mergeCell ref="D19:G19"/>
    <mergeCell ref="A27:B27"/>
    <mergeCell ref="D22:G22"/>
    <mergeCell ref="A26:B26"/>
    <mergeCell ref="D31:G31"/>
    <mergeCell ref="A1:G1"/>
    <mergeCell ref="A23:B23"/>
    <mergeCell ref="A17:B17"/>
    <mergeCell ref="D27:G27"/>
    <mergeCell ref="A22:B22"/>
    <mergeCell ref="D32:G32"/>
    <mergeCell ref="A35:B35"/>
    <mergeCell ref="A20:B20"/>
    <mergeCell ref="D17:G17"/>
    <mergeCell ref="A29:B29"/>
    <mergeCell ref="A19:B19"/>
    <mergeCell ref="A28:B28"/>
    <mergeCell ref="A2:G2"/>
    <mergeCell ref="A31:B31"/>
  </mergeCells>
  <hyperlinks>
    <hyperlink ref="G3" location="底稿目录!A1" display="='D:\GT_plan\backend\wp_templates\D\[D4-22至D4-32营业收入-IPO 上市 新三板 重组 舞弊应对.xlsx]底稿目录'!F21"/>
  </hyperlinks>
  <pageMargins left="0.708333333333333" right="0.708333333333333" top="0.747916666666667" bottom="0.747916666666667" header="0.314583333333333" footer="0.314583333333333"/>
  <pageSetup orientation="portrait" paperSize="9" blackAndWhite="1"/>
  <headerFooter>
    <oddHeader/>
    <oddFooter>&amp;C&amp;P/&amp;N</oddFooter>
    <evenHeader/>
    <evenFooter/>
    <firstHeader/>
    <firstFooter/>
  </headerFooter>
</worksheet>
</file>

<file path=xl/worksheets/sheet40.xml><?xml version="1.0" encoding="utf-8"?>
<worksheet xmlns="http://schemas.openxmlformats.org/spreadsheetml/2006/main">
  <sheetPr>
    <tabColor rgb="FF92D050"/>
    <outlinePr summaryBelow="1" summaryRight="1"/>
    <pageSetUpPr/>
  </sheetPr>
  <dimension ref="A1:J67"/>
  <sheetViews>
    <sheetView view="pageBreakPreview" topLeftCell="A16" zoomScaleNormal="100" workbookViewId="0">
      <selection activeCell="A1" sqref="A1:I1"/>
    </sheetView>
  </sheetViews>
  <sheetFormatPr baseColWidth="8" defaultColWidth="8.72727272727273" defaultRowHeight="15"/>
  <cols>
    <col width="4" customWidth="1" style="1878" min="1" max="1"/>
    <col width="14.3" customWidth="1" style="1878" min="2" max="2"/>
    <col width="15.2727272727273" customWidth="1" style="1878" min="3" max="3"/>
    <col width="18.6636363636364" customWidth="1" style="1878" min="4" max="4"/>
    <col width="13.5727272727273" customWidth="1" style="1878" min="5" max="5"/>
    <col width="7.63636363636364" customWidth="1" style="1878" min="6" max="6"/>
    <col width="13.2090909090909" customWidth="1" style="1878" min="7" max="7"/>
    <col width="9.209090909090911" customWidth="1" style="1878" min="8" max="8"/>
    <col width="12" customWidth="1" style="1878" min="9" max="9"/>
    <col width="44.3636363636364" customWidth="1" style="1878" min="10" max="10"/>
    <col width="7.63636363636364" customWidth="1" style="1878" min="11" max="230"/>
    <col width="8.72727272727273" customWidth="1" style="1878" min="231" max="232"/>
    <col width="8.72727272727273" customWidth="1" style="1879" min="233" max="16384"/>
  </cols>
  <sheetData>
    <row r="1" ht="19.95" customFormat="1" customHeight="1" s="1878">
      <c r="A1" s="1851" t="inlineStr">
        <is>
          <t>致同会计师事务所（特殊普通合伙）</t>
        </is>
      </c>
      <c r="B1" s="1311" t="n"/>
      <c r="C1" s="1311" t="n"/>
      <c r="D1" s="1311" t="n"/>
      <c r="E1" s="1311" t="n"/>
      <c r="F1" s="1311" t="n"/>
      <c r="G1" s="1311" t="n"/>
      <c r="H1" s="1311" t="n"/>
      <c r="I1" s="1311" t="n"/>
    </row>
    <row r="2" ht="19.95" customFormat="1" customHeight="1" s="1878">
      <c r="A2" s="1852" t="inlineStr">
        <is>
          <t>访谈记录与核对</t>
        </is>
      </c>
      <c r="B2" s="1311" t="n"/>
      <c r="C2" s="1311" t="n"/>
      <c r="D2" s="1311" t="n"/>
      <c r="E2" s="1311" t="n"/>
      <c r="F2" s="1311" t="n"/>
      <c r="G2" s="1311" t="n"/>
      <c r="H2" s="1311" t="n"/>
      <c r="I2" s="1311" t="n"/>
      <c r="J2" s="1880" t="n"/>
    </row>
    <row r="3" ht="19.95" customFormat="1" customHeight="1" s="1881">
      <c r="A3" s="1881" t="inlineStr">
        <is>
          <t>被审计单位名称：</t>
        </is>
      </c>
      <c r="B3" s="1881" t="n"/>
      <c r="C3" s="1881" t="n"/>
      <c r="E3" s="1881" t="inlineStr">
        <is>
          <t>编制人：</t>
        </is>
      </c>
      <c r="F3" s="1881" t="n"/>
      <c r="G3" s="1881" t="inlineStr">
        <is>
          <t>编制日期：</t>
        </is>
      </c>
      <c r="H3" s="1881" t="n"/>
      <c r="I3" s="1853" t="inlineStr">
        <is>
          <t>索引：</t>
        </is>
      </c>
    </row>
    <row r="4" ht="19.95" customFormat="1" customHeight="1" s="1881">
      <c r="A4" s="1881" t="inlineStr">
        <is>
          <t>会计期间：202X年度</t>
        </is>
      </c>
      <c r="B4" s="1881" t="n"/>
      <c r="C4" s="1881" t="n"/>
      <c r="E4" s="1881" t="inlineStr">
        <is>
          <t>复核人：</t>
        </is>
      </c>
      <c r="F4" s="1881" t="n"/>
      <c r="G4" s="1881" t="inlineStr">
        <is>
          <t>复核日期：</t>
        </is>
      </c>
      <c r="H4" s="1881" t="n"/>
      <c r="I4" s="1881" t="inlineStr">
        <is>
          <t>页次：</t>
        </is>
      </c>
    </row>
    <row r="5" ht="19.95" customFormat="1" customHeight="1" s="1881">
      <c r="A5" s="1882" t="inlineStr">
        <is>
          <t>走访公司名称：</t>
        </is>
      </c>
      <c r="B5" s="1883" t="n"/>
      <c r="C5" s="1884" t="n"/>
      <c r="D5" s="1881" t="n"/>
      <c r="E5" s="1881" t="n"/>
      <c r="F5" s="1881" t="n"/>
      <c r="G5" s="1881" t="n"/>
      <c r="H5" s="1881" t="n"/>
      <c r="I5" s="1881" t="n"/>
    </row>
    <row r="6" ht="19.95" customFormat="1" customHeight="1" s="1881">
      <c r="A6" s="1885" t="inlineStr">
        <is>
          <t>一、走访的公司基本信息</t>
        </is>
      </c>
      <c r="B6" s="1311" t="n"/>
      <c r="C6" s="1311" t="n"/>
      <c r="D6" s="1311" t="n"/>
      <c r="E6" s="1311" t="n"/>
      <c r="F6" s="1311" t="n"/>
      <c r="G6" s="1311" t="n"/>
      <c r="H6" s="1886" t="inlineStr">
        <is>
          <t>〔随需填写〕</t>
        </is>
      </c>
      <c r="I6" s="1311" t="n"/>
      <c r="J6" s="1853" t="n"/>
    </row>
    <row r="7" ht="30.6" customFormat="1" customHeight="1" s="1881">
      <c r="A7" s="1887" t="inlineStr">
        <is>
          <t>【XYZ公司的基本情况，包括：XYZ公司法定代表人、注册地、注册资本、成立时间，股权关系等；公司营业执照复印件或照片、公司章程等】</t>
        </is>
      </c>
      <c r="B7" s="1311" t="n"/>
      <c r="C7" s="1311" t="n"/>
      <c r="D7" s="1311" t="n"/>
      <c r="E7" s="1311" t="n"/>
      <c r="F7" s="1311" t="n"/>
      <c r="G7" s="1311" t="n"/>
      <c r="H7" s="1311" t="n"/>
      <c r="I7" s="1311" t="n"/>
    </row>
    <row r="8" ht="19.95" customFormat="1" customHeight="1" s="1881">
      <c r="A8" s="1887" t="inlineStr">
        <is>
          <t>工商信息查询结果、天眼查等查询结果：</t>
        </is>
      </c>
      <c r="B8" s="1311" t="n"/>
      <c r="C8" s="1311" t="n"/>
      <c r="D8" s="1311" t="n"/>
      <c r="E8" s="1311" t="n"/>
      <c r="F8" s="1311" t="n"/>
      <c r="G8" s="1311" t="n"/>
      <c r="H8" s="1311" t="n"/>
      <c r="I8" s="1311" t="n"/>
    </row>
    <row r="9" ht="22.2" customFormat="1" customHeight="1" s="1881">
      <c r="A9" s="1887" t="n"/>
      <c r="B9" s="1311" t="n"/>
      <c r="C9" s="1311" t="n"/>
      <c r="D9" s="1311" t="n"/>
      <c r="E9" s="1311" t="n"/>
      <c r="F9" s="1311" t="n"/>
      <c r="G9" s="1311" t="n"/>
      <c r="H9" s="1311" t="n"/>
      <c r="I9" s="1311" t="n"/>
    </row>
    <row r="10" ht="19.95" customFormat="1" customHeight="1" s="1881">
      <c r="A10" s="1887" t="inlineStr">
        <is>
          <t>百度地图等查询走访地址的结果：</t>
        </is>
      </c>
      <c r="B10" s="1311" t="n"/>
      <c r="C10" s="1311" t="n"/>
      <c r="D10" s="1311" t="n"/>
      <c r="E10" s="1311" t="n"/>
      <c r="F10" s="1311" t="n"/>
      <c r="G10" s="1311" t="n"/>
      <c r="H10" s="1311" t="n"/>
      <c r="I10" s="1311" t="n"/>
    </row>
    <row r="11" ht="27" customFormat="1" customHeight="1" s="1881">
      <c r="A11" s="1887" t="n"/>
      <c r="B11" s="1311" t="n"/>
      <c r="C11" s="1311" t="n"/>
      <c r="D11" s="1311" t="n"/>
      <c r="E11" s="1311" t="n"/>
      <c r="F11" s="1311" t="n"/>
      <c r="G11" s="1311" t="n"/>
      <c r="H11" s="1311" t="n"/>
      <c r="I11" s="1311" t="n"/>
    </row>
    <row r="12" ht="20.1" customFormat="1" customHeight="1" s="1881">
      <c r="A12" s="1885" t="inlineStr">
        <is>
          <t>二、交易基本信息</t>
        </is>
      </c>
      <c r="B12" s="1311" t="n"/>
      <c r="C12" s="1311" t="n"/>
      <c r="D12" s="1311" t="n"/>
      <c r="E12" s="1311" t="n"/>
      <c r="F12" s="1311" t="n"/>
      <c r="G12" s="1311" t="n"/>
      <c r="H12" s="1886" t="inlineStr">
        <is>
          <t>〔随需填写〕</t>
        </is>
      </c>
      <c r="I12" s="1311" t="n"/>
    </row>
    <row r="13" ht="54.75" customFormat="1" customHeight="1" s="1881">
      <c r="A13" s="1887" t="inlineStr">
        <is>
          <t>【XYZ公司与发行人的业务关系，发生业务的起始时间、交易金额、交易量、交易量是否异常，若异常应在访谈结论中明确交易量异常变动的原因，XYZ公司原行业状况、与发行人的交易占XYZ公司的总交易比重（公司基本情况需通过获取XYZ公司工商资料，并与发行人记录情况、增值税发票、XYZ公司网站信息等核对】</t>
        </is>
      </c>
      <c r="B13" s="1311" t="n"/>
      <c r="C13" s="1311" t="n"/>
      <c r="D13" s="1311" t="n"/>
      <c r="E13" s="1311" t="n"/>
      <c r="F13" s="1311" t="n"/>
      <c r="G13" s="1311" t="n"/>
      <c r="H13" s="1311" t="n"/>
      <c r="I13" s="1311" t="n"/>
    </row>
    <row r="14" ht="60.75" customFormat="1" customHeight="1" s="1881">
      <c r="A14" s="1888" t="inlineStr">
        <is>
          <t>如：</t>
        </is>
      </c>
      <c r="B14" s="1889" t="inlineStr">
        <is>
          <t>与发行人合作从2006年至今已超过了5年，XYZ公司主要从发行人采购AAA材料，最近三年一期（2010年、2011年、2012年）的交易量和交易金额，占总交易额比重分别为                                                 ；三年的交易量、交易金额稳步上升，交易比重保持平稳，未见异常变动。发行人的销售员经常到访XYZ公司维护客户关系，两家公司的合作关系良好，均有继续合作发展的意愿。</t>
        </is>
      </c>
      <c r="C14" s="1311" t="n"/>
      <c r="D14" s="1311" t="n"/>
      <c r="E14" s="1311" t="n"/>
      <c r="F14" s="1311" t="n"/>
      <c r="G14" s="1311" t="n"/>
      <c r="H14" s="1311" t="n"/>
      <c r="I14" s="1311" t="n"/>
    </row>
    <row r="15" ht="60.75" customFormat="1" customHeight="1" s="1881">
      <c r="A15" s="1888" t="n"/>
      <c r="B15" s="1889" t="inlineStr">
        <is>
          <t>检查了XYZ公司的营业执照、组织机构代码证、税务登记证、章程等工商资料（若为特许经营行业，应检查相应证照）并取得复印件，与发行人记录情况、增值税发票、XYZ公司网站的相关信息等核对一致。【若为新增、异常客户/供应商或关联方客户/供应商，考虑获取XYZ公司的工商登记资料、纳税资料、银行账户流水等资料，并了解公司的实际控制人、关键经办人员等相关情况进行核对分析，包括核对XYZ公司的经营业绩、银行账户往来是否与其声称的经营状况和营运能力、现金流量相关等】</t>
        </is>
      </c>
      <c r="C15" s="1311" t="n"/>
      <c r="D15" s="1311" t="n"/>
      <c r="E15" s="1311" t="n"/>
      <c r="F15" s="1311" t="n"/>
      <c r="G15" s="1311" t="n"/>
      <c r="H15" s="1311" t="n"/>
      <c r="I15" s="1311" t="n"/>
    </row>
    <row r="16" ht="20.1" customFormat="1" customHeight="1" s="1881">
      <c r="A16" s="1888" t="n"/>
      <c r="B16" s="1889" t="inlineStr">
        <is>
          <t>XYZ公司不是ABC的关联方</t>
        </is>
      </c>
      <c r="C16" s="1311" t="n"/>
      <c r="D16" s="1311" t="n"/>
      <c r="E16" s="1311" t="n"/>
      <c r="F16" s="1311" t="n"/>
      <c r="G16" s="1311" t="n"/>
      <c r="H16" s="1311" t="n"/>
      <c r="I16" s="1311" t="n"/>
    </row>
    <row r="17" ht="20.1" customFormat="1" customHeight="1" s="1881">
      <c r="A17" s="1888" t="n"/>
      <c r="B17" s="1888" t="inlineStr">
        <is>
          <t>XYZ公司今年对AAA材料的采购目标为3亿（含税），其中约有20%采购自发行人</t>
        </is>
      </c>
      <c r="C17" s="1888" t="n"/>
      <c r="D17" s="1888" t="n"/>
      <c r="E17" s="1888" t="n"/>
      <c r="F17" s="1888" t="n"/>
      <c r="G17" s="1888" t="n"/>
      <c r="H17" s="1888" t="n"/>
      <c r="I17" s="1888" t="n"/>
    </row>
    <row r="18" ht="20.1" customFormat="1" customHeight="1" s="1881">
      <c r="A18" s="1888" t="n"/>
      <c r="B18" s="1888" t="inlineStr">
        <is>
          <t>XYZ公司的业务区域主要集中在山西陕西地区</t>
        </is>
      </c>
      <c r="C18" s="1888" t="n"/>
      <c r="D18" s="1888" t="n"/>
      <c r="E18" s="1888" t="n"/>
      <c r="F18" s="1888" t="n"/>
      <c r="G18" s="1888" t="n"/>
      <c r="H18" s="1888" t="n"/>
      <c r="I18" s="1888" t="n"/>
    </row>
    <row r="19" ht="20.1" customFormat="1" customHeight="1" s="1881">
      <c r="A19" s="1888" t="n"/>
      <c r="B19" s="1888" t="inlineStr">
        <is>
          <t>XYZ公司所在行业具有季节性，春、夏、秋为旺季，冬为淡季；因此原材料采购呈现类似特征。</t>
        </is>
      </c>
      <c r="C19" s="1888" t="n"/>
      <c r="D19" s="1888" t="n"/>
      <c r="E19" s="1888" t="n"/>
      <c r="F19" s="1888" t="n"/>
      <c r="G19" s="1888" t="n"/>
      <c r="H19" s="1888" t="n"/>
      <c r="I19" s="1888" t="n"/>
    </row>
    <row r="20" ht="20.1" customFormat="1" customHeight="1" s="1881">
      <c r="A20" s="1888" t="n"/>
      <c r="B20" s="1888" t="inlineStr">
        <is>
          <t>……</t>
        </is>
      </c>
      <c r="C20" s="1888" t="n"/>
      <c r="D20" s="1888" t="n"/>
      <c r="E20" s="1888" t="n"/>
      <c r="F20" s="1888" t="n"/>
      <c r="G20" s="1888" t="n"/>
      <c r="H20" s="1888" t="n"/>
      <c r="I20" s="1888" t="n"/>
    </row>
    <row r="21" ht="20.1" customFormat="1" customHeight="1" s="1881">
      <c r="A21" s="1885" t="inlineStr">
        <is>
          <t>三、与发行人的主要合同条款核对</t>
        </is>
      </c>
      <c r="B21" s="1311" t="n"/>
      <c r="C21" s="1311" t="n"/>
      <c r="D21" s="1311" t="n"/>
      <c r="E21" s="1311" t="n"/>
      <c r="F21" s="1311" t="n"/>
      <c r="G21" s="1311" t="n"/>
      <c r="H21" s="1886" t="inlineStr">
        <is>
          <t>〔随需填写〕</t>
        </is>
      </c>
      <c r="I21" s="1311" t="n"/>
    </row>
    <row r="22" ht="34.5" customFormat="1" customHeight="1" s="1881">
      <c r="A22" s="1887" t="inlineStr">
        <is>
          <t>【询问及取得合同样本：核对XYZ公司与发行人的合同条款（交易模式、交易规模、付款方式、付款期限、运输条款、运输保险受益人、销售佣金比例、质保金比例、信用期等）】</t>
        </is>
      </c>
      <c r="B22" s="1311" t="n"/>
      <c r="C22" s="1311" t="n"/>
      <c r="D22" s="1311" t="n"/>
      <c r="E22" s="1311" t="n"/>
      <c r="F22" s="1311" t="n"/>
      <c r="G22" s="1311" t="n"/>
      <c r="H22" s="1311" t="n"/>
      <c r="I22" s="1311" t="n"/>
    </row>
    <row r="23" ht="19.95" customFormat="1" customHeight="1" s="1881">
      <c r="A23" s="1888" t="inlineStr">
        <is>
          <t>如：</t>
        </is>
      </c>
      <c r="B23" s="1890" t="inlineStr">
        <is>
          <t>项目</t>
        </is>
      </c>
      <c r="C23" s="1890" t="inlineStr">
        <is>
          <t>询问所得信息</t>
        </is>
      </c>
      <c r="D23" s="1311" t="n"/>
      <c r="E23" s="1311" t="n"/>
      <c r="F23" s="1311" t="n"/>
      <c r="G23" s="1890" t="inlineStr">
        <is>
          <t>来自发行人合同条款</t>
        </is>
      </c>
      <c r="H23" s="1311" t="n"/>
      <c r="I23" s="1311" t="n"/>
    </row>
    <row r="24" ht="19.95" customFormat="1" customHeight="1" s="1881">
      <c r="A24" s="1888" t="n"/>
      <c r="B24" s="1889" t="inlineStr">
        <is>
          <t>交易模式</t>
        </is>
      </c>
      <c r="C24" s="213" t="inlineStr">
        <is>
          <t>包销</t>
        </is>
      </c>
      <c r="D24" s="1311" t="n"/>
      <c r="E24" s="1311" t="n"/>
      <c r="F24" s="1311" t="n"/>
      <c r="G24" s="213" t="inlineStr">
        <is>
          <t>与合同条款一致</t>
        </is>
      </c>
      <c r="H24" s="1311" t="n"/>
      <c r="I24" s="1311" t="n"/>
    </row>
    <row r="25" ht="19.95" customFormat="1" customHeight="1" s="1881">
      <c r="A25" s="1888" t="n"/>
      <c r="B25" s="1889" t="inlineStr">
        <is>
          <t>交易标的</t>
        </is>
      </c>
      <c r="C25" s="213" t="inlineStr">
        <is>
          <t>AAA材料</t>
        </is>
      </c>
      <c r="D25" s="1311" t="n"/>
      <c r="E25" s="1311" t="n"/>
      <c r="F25" s="1311" t="n"/>
      <c r="G25" s="213" t="inlineStr">
        <is>
          <t>与合同条款一致</t>
        </is>
      </c>
      <c r="H25" s="1311" t="n"/>
      <c r="I25" s="1311" t="n"/>
    </row>
    <row r="26" ht="19.95" customFormat="1" customHeight="1" s="1881">
      <c r="A26" s="1888" t="n"/>
      <c r="B26" s="1889" t="inlineStr">
        <is>
          <t>交易规模</t>
        </is>
      </c>
      <c r="C26" s="213" t="inlineStr">
        <is>
          <t>500-600吨（含税金额约5000-6000万）</t>
        </is>
      </c>
      <c r="D26" s="1311" t="n"/>
      <c r="E26" s="1311" t="n"/>
      <c r="F26" s="1311" t="n"/>
      <c r="G26" s="213" t="inlineStr">
        <is>
          <t>与合同条款一致</t>
        </is>
      </c>
      <c r="H26" s="1311" t="n"/>
      <c r="I26" s="1311" t="n"/>
    </row>
    <row r="27" ht="19.95" customFormat="1" customHeight="1" s="1881">
      <c r="A27" s="1888" t="n"/>
      <c r="B27" s="1889" t="inlineStr">
        <is>
          <t>付款方式</t>
        </is>
      </c>
      <c r="C27" s="213" t="inlineStr">
        <is>
          <t>银行承兑汇票或银行转账</t>
        </is>
      </c>
      <c r="D27" s="1311" t="n"/>
      <c r="E27" s="1311" t="n"/>
      <c r="F27" s="1311" t="n"/>
      <c r="G27" s="213" t="inlineStr">
        <is>
          <t>与合同条款一致</t>
        </is>
      </c>
      <c r="H27" s="1311" t="n"/>
      <c r="I27" s="1311" t="n"/>
    </row>
    <row r="28" ht="19.95" customFormat="1" customHeight="1" s="1881">
      <c r="A28" s="1888" t="n"/>
      <c r="B28" s="1889" t="inlineStr">
        <is>
          <t>预付款项及质保金</t>
        </is>
      </c>
      <c r="C28" s="213" t="n"/>
      <c r="D28" s="1311" t="n"/>
      <c r="E28" s="1311" t="n"/>
      <c r="F28" s="1311" t="n"/>
      <c r="G28" s="213" t="n"/>
      <c r="H28" s="1311" t="n"/>
      <c r="I28" s="1311" t="n"/>
    </row>
    <row r="29" ht="27.6" customFormat="1" customHeight="1" s="1881">
      <c r="A29" s="1888" t="n"/>
      <c r="B29" s="1889" t="inlineStr">
        <is>
          <t>付款期限</t>
        </is>
      </c>
      <c r="C29" s="213" t="inlineStr">
        <is>
          <t>收货验收后，3个月内（较同行业稍优惠，行业平均约为2.5月，75天）</t>
        </is>
      </c>
      <c r="D29" s="1311" t="n"/>
      <c r="E29" s="1311" t="n"/>
      <c r="F29" s="1311" t="n"/>
      <c r="G29" s="213" t="inlineStr">
        <is>
          <t>与合同条款一致</t>
        </is>
      </c>
      <c r="H29" s="1311" t="n"/>
      <c r="I29" s="1311" t="n"/>
    </row>
    <row r="30" ht="19.95" customFormat="1" customHeight="1" s="1881">
      <c r="A30" s="1888" t="n"/>
      <c r="B30" s="1889" t="inlineStr">
        <is>
          <t>订货到发货时间</t>
        </is>
      </c>
      <c r="C30" s="213" t="inlineStr">
        <is>
          <t>1个月以内，基本在1周之内发货（一般每月发一次订单）</t>
        </is>
      </c>
      <c r="D30" s="1311" t="n"/>
      <c r="E30" s="1311" t="n"/>
      <c r="F30" s="1311" t="n"/>
      <c r="G30" s="213" t="inlineStr">
        <is>
          <t>合同条款为1个月之内</t>
        </is>
      </c>
      <c r="H30" s="1311" t="n"/>
      <c r="I30" s="1311" t="n"/>
    </row>
    <row r="31" ht="40.2" customFormat="1" customHeight="1" s="1881">
      <c r="A31" s="1888" t="n"/>
      <c r="B31" s="1889" t="inlineStr">
        <is>
          <t>佣金返利</t>
        </is>
      </c>
      <c r="C31" s="213" t="inlineStr">
        <is>
          <t>5-6%，每季度按5%结算一次，全年若超过6000万采购量，按全年5.5%结算差额部分，若超过7000万，按全年6%结算差额部分；每年4月份进行全年佣金返利。</t>
        </is>
      </c>
      <c r="D31" s="1311" t="n"/>
      <c r="E31" s="1311" t="n"/>
      <c r="F31" s="1311" t="n"/>
      <c r="G31" s="213" t="inlineStr">
        <is>
          <t>与合同条款一致</t>
        </is>
      </c>
      <c r="H31" s="1311" t="n"/>
      <c r="I31" s="1311" t="n"/>
    </row>
    <row r="32" ht="19.95" customFormat="1" customHeight="1" s="1881">
      <c r="A32" s="1888" t="n"/>
      <c r="B32" s="1889" t="inlineStr">
        <is>
          <t>佣金水平</t>
        </is>
      </c>
      <c r="C32" s="213" t="inlineStr">
        <is>
          <t>略高于同行业的返利水平，行业平均为4.8-5.5%</t>
        </is>
      </c>
      <c r="D32" s="1311" t="n"/>
      <c r="E32" s="1311" t="n"/>
      <c r="F32" s="1311" t="n"/>
      <c r="G32" s="213" t="inlineStr">
        <is>
          <t>与合同条款一致</t>
        </is>
      </c>
      <c r="H32" s="1311" t="n"/>
      <c r="I32" s="1311" t="n"/>
    </row>
    <row r="33" ht="31.2" customFormat="1" customHeight="1" s="1881">
      <c r="A33" s="1888" t="n"/>
      <c r="B33" s="1889" t="inlineStr">
        <is>
          <t>运输方式及费用承担</t>
        </is>
      </c>
      <c r="C33" s="213" t="inlineStr">
        <is>
          <t>实际承运单位：。物流公司汽运运输，运输时间3-5天，运费由发行人负责；运费中含保险费，保险受益人为发行人</t>
        </is>
      </c>
      <c r="D33" s="1311" t="n"/>
      <c r="E33" s="1311" t="n"/>
      <c r="F33" s="1311" t="n"/>
      <c r="G33" s="213" t="inlineStr">
        <is>
          <t>与合同条款一致</t>
        </is>
      </c>
      <c r="H33" s="1311" t="n"/>
      <c r="I33" s="1311" t="n"/>
    </row>
    <row r="34" ht="30" customFormat="1" customHeight="1" s="1881">
      <c r="A34" s="1888" t="n"/>
      <c r="B34" s="1889" t="inlineStr">
        <is>
          <t>交付方式</t>
        </is>
      </c>
      <c r="C34" s="213" t="inlineStr">
        <is>
          <t>XYZ收到材料，验收合格后，在发行人的验收单和物流公司的运单上签字确认后，交付完毕</t>
        </is>
      </c>
      <c r="D34" s="1311" t="n"/>
      <c r="E34" s="1311" t="n"/>
      <c r="F34" s="1311" t="n"/>
      <c r="G34" s="213" t="inlineStr">
        <is>
          <t>与合同条款一致</t>
        </is>
      </c>
      <c r="H34" s="1311" t="n"/>
      <c r="I34" s="1311" t="n"/>
    </row>
    <row r="35" ht="19.95" customFormat="1" customHeight="1" s="1881">
      <c r="A35" s="1888" t="n"/>
      <c r="B35" s="1889" t="inlineStr">
        <is>
          <t>质量保证</t>
        </is>
      </c>
      <c r="C35" s="213" t="inlineStr">
        <is>
          <t>收货验收后质保1个月</t>
        </is>
      </c>
      <c r="D35" s="1311" t="n"/>
      <c r="E35" s="1311" t="n"/>
      <c r="F35" s="1311" t="n"/>
      <c r="G35" s="213" t="inlineStr">
        <is>
          <t>与合同条款一致</t>
        </is>
      </c>
      <c r="H35" s="1311" t="n"/>
      <c r="I35" s="1311" t="n"/>
    </row>
    <row r="36" ht="19.95" customFormat="1" customHeight="1" s="1881">
      <c r="A36" s="1888" t="n"/>
      <c r="B36" s="1889" t="inlineStr">
        <is>
          <t>验收或检验</t>
        </is>
      </c>
      <c r="C36" s="213" t="inlineStr">
        <is>
          <t>出具验收报告/验收单</t>
        </is>
      </c>
      <c r="D36" s="1311" t="n"/>
      <c r="E36" s="1311" t="n"/>
      <c r="F36" s="1311" t="n"/>
      <c r="G36" s="213" t="inlineStr">
        <is>
          <t>与凭证检查情况一致</t>
        </is>
      </c>
      <c r="H36" s="1311" t="n"/>
      <c r="I36" s="1311" t="n"/>
    </row>
    <row r="37" ht="28.8" customFormat="1" customHeight="1" s="1881">
      <c r="A37" s="1888" t="n"/>
      <c r="B37" s="1889" t="inlineStr">
        <is>
          <t>退货、换货情况</t>
        </is>
      </c>
      <c r="C37" s="213" t="inlineStr">
        <is>
          <t>合作5年来，仅在3年前发生过一次质保期内的质量问题，换货解决，价值约为20万</t>
        </is>
      </c>
      <c r="D37" s="1311" t="n"/>
      <c r="E37" s="1311" t="n"/>
      <c r="F37" s="1311" t="n"/>
      <c r="G37" s="213" t="inlineStr">
        <is>
          <t>与从发行人处获取的信息一致</t>
        </is>
      </c>
      <c r="H37" s="1311" t="n"/>
      <c r="I37" s="1311" t="n"/>
    </row>
    <row r="38" ht="19.95" customFormat="1" customHeight="1" s="1881">
      <c r="A38" s="1888" t="n"/>
      <c r="B38" s="1889" t="inlineStr">
        <is>
          <t>是否涉及委托加工</t>
        </is>
      </c>
      <c r="C38" s="213" t="n"/>
      <c r="D38" s="1311" t="n"/>
      <c r="E38" s="1311" t="n"/>
      <c r="F38" s="1311" t="n"/>
      <c r="G38" s="213" t="n"/>
      <c r="H38" s="213" t="n"/>
      <c r="I38" s="213" t="n"/>
    </row>
    <row r="39" ht="19.95" customFormat="1" customHeight="1" s="1881">
      <c r="A39" s="1888" t="n"/>
      <c r="B39" s="1889" t="inlineStr">
        <is>
          <t>是否存在实物返利</t>
        </is>
      </c>
      <c r="C39" s="213" t="n"/>
      <c r="D39" s="1311" t="n"/>
      <c r="E39" s="1311" t="n"/>
      <c r="F39" s="1311" t="n"/>
      <c r="G39" s="213" t="n"/>
      <c r="H39" s="213" t="n"/>
      <c r="I39" s="213" t="n"/>
    </row>
    <row r="40" ht="19.95" customFormat="1" customHeight="1" s="1881">
      <c r="A40" s="1888" t="n"/>
      <c r="B40" s="1889" t="inlineStr">
        <is>
          <t>现金交易情况</t>
        </is>
      </c>
      <c r="C40" s="213" t="n"/>
      <c r="D40" s="1311" t="n"/>
      <c r="E40" s="1311" t="n"/>
      <c r="F40" s="1311" t="n"/>
      <c r="G40" s="213" t="n"/>
      <c r="H40" s="213" t="n"/>
      <c r="I40" s="213" t="n"/>
    </row>
    <row r="41" ht="19.95" customFormat="1" customHeight="1" s="1881">
      <c r="A41" s="1888" t="n"/>
      <c r="B41" s="1889" t="inlineStr">
        <is>
          <t>第三方收款/付款</t>
        </is>
      </c>
      <c r="C41" s="213" t="n"/>
      <c r="D41" s="1311" t="n"/>
      <c r="E41" s="1311" t="n"/>
      <c r="F41" s="1311" t="n"/>
      <c r="G41" s="213" t="n"/>
      <c r="H41" s="213" t="n"/>
      <c r="I41" s="213" t="n"/>
    </row>
    <row r="42" ht="19.95" customFormat="1" customHeight="1" s="1881">
      <c r="A42" s="1888" t="n"/>
      <c r="B42" s="1889" t="inlineStr">
        <is>
          <t>代收款、代付款情况</t>
        </is>
      </c>
      <c r="C42" s="213" t="n"/>
      <c r="D42" s="1311" t="n"/>
      <c r="E42" s="1311" t="n"/>
      <c r="F42" s="1311" t="n"/>
      <c r="G42" s="213" t="n"/>
      <c r="H42" s="213" t="n"/>
      <c r="I42" s="213" t="n"/>
    </row>
    <row r="43" ht="19.95" customFormat="1" customHeight="1" s="1881">
      <c r="A43" s="1888" t="n"/>
      <c r="B43" s="1889" t="inlineStr">
        <is>
          <t>其他资金往来</t>
        </is>
      </c>
      <c r="C43" s="213" t="n"/>
      <c r="D43" s="1311" t="n"/>
      <c r="E43" s="1311" t="n"/>
      <c r="F43" s="1311" t="n"/>
      <c r="G43" s="213" t="n"/>
      <c r="H43" s="213" t="n"/>
      <c r="I43" s="213" t="n"/>
    </row>
    <row r="44" ht="19.95" customFormat="1" customHeight="1" s="1881">
      <c r="A44" s="1888" t="n"/>
      <c r="B44" s="1889" t="inlineStr">
        <is>
          <t>是否涉诉</t>
        </is>
      </c>
      <c r="C44" s="213" t="n"/>
      <c r="D44" s="1311" t="n"/>
      <c r="E44" s="1311" t="n"/>
      <c r="F44" s="1311" t="n"/>
      <c r="G44" s="213" t="n"/>
      <c r="H44" s="213" t="n"/>
      <c r="I44" s="213" t="n"/>
    </row>
    <row r="45" ht="19.95" customFormat="1" customHeight="1" s="1881">
      <c r="A45" s="1888" t="n"/>
      <c r="B45" s="1891" t="inlineStr">
        <is>
          <t>……</t>
        </is>
      </c>
      <c r="C45" s="1888" t="n"/>
      <c r="D45" s="1888" t="n"/>
      <c r="E45" s="1888" t="n"/>
      <c r="F45" s="1888" t="n"/>
      <c r="G45" s="1888" t="n"/>
      <c r="H45" s="1888" t="n"/>
      <c r="I45" s="1888" t="n"/>
    </row>
    <row r="46" ht="19.95" customFormat="1" customHeight="1" s="1881">
      <c r="A46" s="1885" t="inlineStr">
        <is>
          <t>四、走访经营场所</t>
        </is>
      </c>
      <c r="B46" s="1311" t="n"/>
      <c r="C46" s="1311" t="n"/>
      <c r="D46" s="1311" t="n"/>
      <c r="E46" s="1311" t="n"/>
      <c r="F46" s="1311" t="n"/>
      <c r="G46" s="1311" t="n"/>
      <c r="H46" s="1886" t="inlineStr">
        <is>
          <t>〔随需填写〕</t>
        </is>
      </c>
      <c r="I46" s="1311" t="n"/>
    </row>
    <row r="47" ht="20.1" customFormat="1" customHeight="1" s="1881">
      <c r="A47" s="1887" t="inlineStr">
        <is>
          <t>【走访XYZ的生产经营场所等（若适用），关注其生产经营现状与访谈内容相互印证】</t>
        </is>
      </c>
      <c r="B47" s="1311" t="n"/>
      <c r="C47" s="1311" t="n"/>
      <c r="D47" s="1311" t="n"/>
      <c r="E47" s="1311" t="n"/>
      <c r="F47" s="1311" t="n"/>
      <c r="G47" s="1311" t="n"/>
      <c r="H47" s="1311" t="n"/>
      <c r="I47" s="1311" t="n"/>
    </row>
    <row r="48" ht="20.1" customFormat="1" customHeight="1" s="1881">
      <c r="A48" s="1888" t="inlineStr">
        <is>
          <t>如：</t>
        </is>
      </c>
      <c r="B48" s="1889" t="inlineStr">
        <is>
          <t>XYZ公司位于XXX工业园区，园区面积300亩，主要生产XXXX，主要原材料AAA，年产能XXXX吨。</t>
        </is>
      </c>
      <c r="C48" s="1311" t="n"/>
      <c r="D48" s="1311" t="n"/>
      <c r="E48" s="1311" t="n"/>
      <c r="F48" s="1311" t="n"/>
      <c r="G48" s="1311" t="n"/>
      <c r="H48" s="1311" t="n"/>
      <c r="I48" s="1311" t="n"/>
    </row>
    <row r="49" ht="20.1" customFormat="1" customHeight="1" s="1881">
      <c r="A49" s="1888" t="n"/>
      <c r="B49" s="1889" t="inlineStr">
        <is>
          <t>XYZ公司目前处于生产旺季，现场观察厂房生产正常，开工率约为90%；</t>
        </is>
      </c>
      <c r="C49" s="1311" t="n"/>
      <c r="D49" s="1311" t="n"/>
      <c r="E49" s="1311" t="n"/>
      <c r="F49" s="1311" t="n"/>
      <c r="G49" s="1311" t="n"/>
      <c r="H49" s="1311" t="n"/>
      <c r="I49" s="1311" t="n"/>
    </row>
    <row r="50" ht="28.5" customFormat="1" customHeight="1" s="1881">
      <c r="A50" s="1888" t="n"/>
      <c r="B50" s="1889" t="inlineStr">
        <is>
          <t>走访XYZ公司的原料库，见到约20吨发行人生产的AAA材料（与年消耗500-600吨，每月订货的应用库存量相符），走访产成品库，见到XXXX产品约30吨，见到XYZ公司向其客户发运XXXX产品。</t>
        </is>
      </c>
      <c r="C50" s="1311" t="n"/>
      <c r="D50" s="1311" t="n"/>
      <c r="E50" s="1311" t="n"/>
      <c r="F50" s="1311" t="n"/>
      <c r="G50" s="1311" t="n"/>
      <c r="H50" s="1311" t="n"/>
      <c r="I50" s="1311" t="n"/>
    </row>
    <row r="51" ht="26.4" customFormat="1" customHeight="1" s="1881">
      <c r="A51" s="1888" t="n"/>
      <c r="B51" s="1889" t="inlineStr">
        <is>
          <t>XYZ公司XXXX产品的销售良好，采用赊销方式，直接销售给最终用户，平均收款周期为2个月；与行业状况基本相符。</t>
        </is>
      </c>
      <c r="C51" s="1311" t="n"/>
      <c r="D51" s="1311" t="n"/>
      <c r="E51" s="1311" t="n"/>
      <c r="F51" s="1311" t="n"/>
      <c r="G51" s="1311" t="n"/>
      <c r="H51" s="1311" t="n"/>
      <c r="I51" s="1311" t="n"/>
    </row>
    <row r="52" ht="20.1" customFormat="1" customHeight="1" s="1881">
      <c r="A52" s="1888" t="n"/>
      <c r="B52" s="1888" t="inlineStr">
        <is>
          <t>……</t>
        </is>
      </c>
      <c r="C52" s="1888" t="n"/>
      <c r="D52" s="1888" t="n"/>
      <c r="E52" s="1888" t="n"/>
      <c r="F52" s="1888" t="n"/>
      <c r="G52" s="1888" t="n"/>
      <c r="H52" s="1888" t="n"/>
      <c r="I52" s="1888" t="n"/>
    </row>
    <row r="53" ht="20.1" customFormat="1" customHeight="1" s="1881">
      <c r="A53" s="1887" t="inlineStr">
        <is>
          <t>产品使用场景的照片（显示客户公司名称的铭牌，注明日期）：</t>
        </is>
      </c>
      <c r="B53" s="1311" t="n"/>
      <c r="C53" s="1311" t="n"/>
      <c r="D53" s="1311" t="n"/>
      <c r="E53" s="1311" t="n"/>
      <c r="F53" s="1311" t="n"/>
      <c r="G53" s="1311" t="n"/>
      <c r="H53" s="1311" t="n"/>
      <c r="I53" s="1311" t="n"/>
    </row>
    <row r="54" ht="44.4" customFormat="1" customHeight="1" s="1881">
      <c r="A54" s="1887" t="n"/>
      <c r="B54" s="1311" t="n"/>
      <c r="C54" s="1311" t="n"/>
      <c r="D54" s="1311" t="n"/>
      <c r="E54" s="1311" t="n"/>
      <c r="F54" s="1311" t="n"/>
      <c r="G54" s="1311" t="n"/>
      <c r="H54" s="1311" t="n"/>
      <c r="I54" s="1311" t="n"/>
    </row>
    <row r="55" ht="20.1" customFormat="1" customHeight="1" s="1881">
      <c r="A55" s="1885" t="inlineStr">
        <is>
          <t>五、现场函证</t>
        </is>
      </c>
      <c r="B55" s="1311" t="n"/>
      <c r="C55" s="1311" t="n"/>
      <c r="D55" s="1311" t="n"/>
      <c r="E55" s="1311" t="n"/>
      <c r="F55" s="1311" t="n"/>
      <c r="G55" s="1311" t="n"/>
      <c r="H55" s="1886" t="inlineStr">
        <is>
          <t>〔随需填写〕</t>
        </is>
      </c>
      <c r="I55" s="1311" t="n"/>
    </row>
    <row r="56" ht="30.75" customFormat="1" customHeight="1" s="1881">
      <c r="A56" s="1887" t="inlineStr">
        <is>
          <t>【对XYZ公司进行现场函证（函证内容包括但不限于与发行人的：采购量、采购总额、截止日的债权/债务余额、重要合同条款及其他项目组认为必要的信息；关联方关系确认函）】</t>
        </is>
      </c>
      <c r="B56" s="1311" t="n"/>
      <c r="C56" s="1311" t="n"/>
      <c r="D56" s="1311" t="n"/>
      <c r="E56" s="1311" t="n"/>
      <c r="F56" s="1311" t="n"/>
      <c r="G56" s="1311" t="n"/>
      <c r="H56" s="1311" t="n"/>
      <c r="I56" s="1311" t="n"/>
    </row>
    <row r="57" ht="32.25" customFormat="1" customHeight="1" s="1881">
      <c r="A57" s="1888" t="inlineStr">
        <is>
          <t>如：</t>
        </is>
      </c>
      <c r="B57" s="1889" t="inlineStr">
        <is>
          <t>现场获取经XYZ公司盖章确认的函证，XYZ公司对函证信息确认一致（差异为20吨、200万，系XYZ公司尚未对12月份采购的原材料入账所致，经查12月份发票、出库单、运单核对一致），详见索引号       。</t>
        </is>
      </c>
      <c r="C57" s="1311" t="n"/>
      <c r="D57" s="1311" t="n"/>
      <c r="E57" s="1311" t="n"/>
      <c r="F57" s="1311" t="n"/>
      <c r="G57" s="1311" t="n"/>
      <c r="H57" s="1311" t="n"/>
      <c r="I57" s="1311" t="n"/>
    </row>
    <row r="58" ht="20.1" customFormat="1" customHeight="1" s="1881">
      <c r="A58" s="1888" t="n"/>
      <c r="B58" s="1888" t="inlineStr">
        <is>
          <t>……</t>
        </is>
      </c>
      <c r="C58" s="1888" t="n"/>
      <c r="D58" s="1888" t="n"/>
      <c r="E58" s="1888" t="n"/>
      <c r="F58" s="1888" t="n"/>
      <c r="G58" s="1888" t="n"/>
      <c r="H58" s="1888" t="n"/>
      <c r="I58" s="1888" t="n"/>
    </row>
    <row r="59" ht="20.1" customFormat="1" customHeight="1" s="1881">
      <c r="A59" s="1885" t="inlineStr">
        <is>
          <t>六、关联方关系</t>
        </is>
      </c>
      <c r="B59" s="1311" t="n"/>
      <c r="C59" s="1311" t="n"/>
      <c r="D59" s="1311" t="n"/>
      <c r="E59" s="1311" t="n"/>
      <c r="F59" s="1311" t="n"/>
      <c r="G59" s="1311" t="n"/>
      <c r="H59" s="1886" t="inlineStr">
        <is>
          <t>〔随需填写〕</t>
        </is>
      </c>
      <c r="I59" s="1311" t="n"/>
    </row>
    <row r="60" ht="20.1" customFormat="1" customHeight="1" s="1881">
      <c r="A60" s="1887" t="inlineStr">
        <is>
          <t>走访公司的控股股东、实际控制人：</t>
        </is>
      </c>
      <c r="B60" s="1311" t="n"/>
      <c r="C60" s="1311" t="n"/>
      <c r="D60" s="1311" t="n"/>
      <c r="E60" s="1311" t="n"/>
      <c r="F60" s="1311" t="n"/>
      <c r="G60" s="1311" t="n"/>
      <c r="H60" s="1311" t="n"/>
      <c r="I60" s="1311" t="n"/>
    </row>
    <row r="61" ht="20.1" customFormat="1" customHeight="1" s="1881">
      <c r="A61" s="1887" t="inlineStr">
        <is>
          <t>走访公司的董监高、关键经办人员（如采购、销售部门负责人、出纳等）：</t>
        </is>
      </c>
      <c r="B61" s="1311" t="n"/>
      <c r="C61" s="1311" t="n"/>
      <c r="D61" s="1311" t="n"/>
      <c r="E61" s="1311" t="n"/>
      <c r="F61" s="1311" t="n"/>
      <c r="G61" s="1311" t="n"/>
      <c r="H61" s="1311" t="n"/>
      <c r="I61" s="1311" t="n"/>
    </row>
    <row r="62" ht="25.2" customFormat="1" customHeight="1" s="1881">
      <c r="A62" s="1887" t="n"/>
      <c r="B62" s="1311" t="n"/>
      <c r="C62" s="1311" t="n"/>
      <c r="D62" s="1311" t="n"/>
      <c r="E62" s="1311" t="n"/>
      <c r="F62" s="1311" t="n"/>
      <c r="G62" s="1311" t="n"/>
      <c r="H62" s="1311" t="n"/>
      <c r="I62" s="1311" t="n"/>
    </row>
    <row r="63" ht="20.1" customFormat="1" customHeight="1" s="1881">
      <c r="A63" s="1885" t="inlineStr">
        <is>
          <t>七、其他</t>
        </is>
      </c>
      <c r="B63" s="1311" t="n"/>
      <c r="C63" s="1311" t="n"/>
      <c r="D63" s="1311" t="n"/>
      <c r="E63" s="1311" t="n"/>
      <c r="F63" s="1311" t="n"/>
      <c r="G63" s="1311" t="n"/>
      <c r="H63" s="1886" t="inlineStr">
        <is>
          <t>〔随需填写〕</t>
        </is>
      </c>
      <c r="I63" s="1311" t="n"/>
    </row>
    <row r="64" ht="20.1" customFormat="1" customHeight="1" s="1881">
      <c r="A64" s="1888" t="n"/>
      <c r="B64" s="1888" t="n"/>
      <c r="C64" s="1888" t="n"/>
      <c r="D64" s="1888" t="n"/>
      <c r="E64" s="1888" t="n"/>
      <c r="F64" s="1888" t="n"/>
      <c r="G64" s="1888" t="n"/>
      <c r="H64" s="1888" t="n"/>
      <c r="I64" s="1888" t="n"/>
    </row>
    <row r="65" ht="20.1" customFormat="1" customHeight="1" s="1881">
      <c r="A65" s="1881" t="n"/>
      <c r="B65" s="1881" t="n"/>
      <c r="C65" s="1881" t="n"/>
      <c r="D65" s="1881" t="n"/>
      <c r="E65" s="1881" t="n"/>
      <c r="F65" s="1881" t="n"/>
      <c r="G65" s="1881" t="n"/>
      <c r="H65" s="1881" t="n"/>
      <c r="I65" s="1881" t="n"/>
    </row>
    <row r="66" ht="20.1" customFormat="1" customHeight="1" s="1881">
      <c r="A66" s="1892" t="inlineStr">
        <is>
          <t>走访结论：</t>
        </is>
      </c>
      <c r="B66" s="1881" t="n"/>
      <c r="C66" s="1881" t="n"/>
      <c r="D66" s="1881" t="n"/>
      <c r="E66" s="1881" t="n"/>
      <c r="F66" s="1881" t="n"/>
      <c r="G66" s="1881" t="n"/>
      <c r="H66" s="1881" t="n"/>
      <c r="I66" s="1881" t="n"/>
    </row>
    <row r="67" ht="13" customFormat="1" customHeight="1" s="1878">
      <c r="A67" s="1881" t="n"/>
      <c r="B67" s="1881" t="n"/>
      <c r="C67" s="1881" t="n"/>
      <c r="D67" s="1881" t="n"/>
      <c r="E67" s="1881" t="n"/>
      <c r="F67" s="1881" t="n"/>
      <c r="G67" s="1881" t="n"/>
      <c r="H67" s="1881" t="n"/>
      <c r="I67" s="1881" t="n"/>
    </row>
  </sheetData>
  <mergeCells count="75">
    <mergeCell ref="A7:I7"/>
    <mergeCell ref="C23:F23"/>
    <mergeCell ref="G28:I28"/>
    <mergeCell ref="C39:F39"/>
    <mergeCell ref="G37:I37"/>
    <mergeCell ref="B16:I16"/>
    <mergeCell ref="H63:I63"/>
    <mergeCell ref="C38:F38"/>
    <mergeCell ref="A56:I56"/>
    <mergeCell ref="G34:I34"/>
    <mergeCell ref="H55:I55"/>
    <mergeCell ref="C32:F32"/>
    <mergeCell ref="C37:F37"/>
    <mergeCell ref="G30:I30"/>
    <mergeCell ref="A63:G63"/>
    <mergeCell ref="C28:F28"/>
    <mergeCell ref="G33:I33"/>
    <mergeCell ref="G24:I24"/>
    <mergeCell ref="H21:I21"/>
    <mergeCell ref="A2:I2"/>
    <mergeCell ref="H6:I6"/>
    <mergeCell ref="B48:I48"/>
    <mergeCell ref="A47:I47"/>
    <mergeCell ref="H59:I59"/>
    <mergeCell ref="H46:I46"/>
    <mergeCell ref="C34:F34"/>
    <mergeCell ref="C30:F30"/>
    <mergeCell ref="G35:I35"/>
    <mergeCell ref="A8:I8"/>
    <mergeCell ref="B14:I14"/>
    <mergeCell ref="G26:I26"/>
    <mergeCell ref="A22:I22"/>
    <mergeCell ref="C24:F24"/>
    <mergeCell ref="G29:I29"/>
    <mergeCell ref="C33:F33"/>
    <mergeCell ref="C42:F42"/>
    <mergeCell ref="A53:I53"/>
    <mergeCell ref="B57:I57"/>
    <mergeCell ref="A59:G59"/>
    <mergeCell ref="G25:I25"/>
    <mergeCell ref="A62:I62"/>
    <mergeCell ref="G32:I32"/>
    <mergeCell ref="A10:I10"/>
    <mergeCell ref="C35:F35"/>
    <mergeCell ref="A6:G6"/>
    <mergeCell ref="A13:I13"/>
    <mergeCell ref="C26:F26"/>
    <mergeCell ref="G31:I31"/>
    <mergeCell ref="C29:F29"/>
    <mergeCell ref="A9:I9"/>
    <mergeCell ref="C25:F25"/>
    <mergeCell ref="C41:F41"/>
    <mergeCell ref="B49:I49"/>
    <mergeCell ref="C44:F44"/>
    <mergeCell ref="A46:G46"/>
    <mergeCell ref="C40:F40"/>
    <mergeCell ref="H12:I12"/>
    <mergeCell ref="C31:F31"/>
    <mergeCell ref="G36:I36"/>
    <mergeCell ref="A11:I11"/>
    <mergeCell ref="B15:I15"/>
    <mergeCell ref="G27:I27"/>
    <mergeCell ref="A60:I60"/>
    <mergeCell ref="A21:G21"/>
    <mergeCell ref="C43:F43"/>
    <mergeCell ref="B51:I51"/>
    <mergeCell ref="A12:G12"/>
    <mergeCell ref="G23:I23"/>
    <mergeCell ref="A1:I1"/>
    <mergeCell ref="A55:G55"/>
    <mergeCell ref="A61:I61"/>
    <mergeCell ref="C27:F27"/>
    <mergeCell ref="C36:F36"/>
    <mergeCell ref="B50:I50"/>
    <mergeCell ref="A54:I54"/>
  </mergeCells>
  <pageMargins left="0.708333333333333" right="0.708333333333333" top="0.747916666666667" bottom="0.747916666666667" header="0.314583333333333" footer="0.314583333333333"/>
  <pageSetup orientation="portrait" paperSize="9" scale="75" blackAndWhite="1"/>
  <headerFooter>
    <oddHeader/>
    <oddFooter>&amp;C&amp;P/&amp;N</oddFooter>
    <evenHeader/>
    <evenFooter/>
    <firstHeader/>
    <firstFooter/>
  </headerFooter>
</worksheet>
</file>

<file path=xl/worksheets/sheet41.xml><?xml version="1.0" encoding="utf-8"?>
<worksheet xmlns="http://schemas.openxmlformats.org/spreadsheetml/2006/main">
  <sheetPr>
    <outlinePr summaryBelow="1" summaryRight="1"/>
    <pageSetUpPr/>
  </sheetPr>
  <dimension ref="A1:I52"/>
  <sheetViews>
    <sheetView view="pageBreakPreview" zoomScaleNormal="100" workbookViewId="0">
      <selection activeCell="A1" sqref="A1:I1"/>
    </sheetView>
  </sheetViews>
  <sheetFormatPr baseColWidth="8" defaultColWidth="9.81818181818182" defaultRowHeight="20.1" customHeight="1"/>
  <cols>
    <col width="5.93636363636364" customWidth="1" style="795" min="1" max="1"/>
    <col width="18.3" customWidth="1" style="795" min="2" max="2"/>
    <col width="15.2727272727273" customWidth="1" style="795" min="3" max="3"/>
    <col width="16.2363636363636" customWidth="1" style="795" min="4" max="4"/>
    <col width="20.3636363636364" customWidth="1" style="795" min="5" max="5"/>
    <col width="18.3" customWidth="1" style="795" min="6" max="6"/>
    <col width="17.2090909090909" customWidth="1" style="795" min="7" max="7"/>
    <col width="17.5727272727273" customWidth="1" style="795" min="8" max="8"/>
    <col width="13.2090909090909" customWidth="1" style="795" min="9" max="9"/>
    <col width="9.81818181818182" customWidth="1" style="795" min="10" max="16384"/>
  </cols>
  <sheetData>
    <row r="1" customFormat="1" s="794">
      <c r="A1" s="798" t="inlineStr">
        <is>
          <t>致同会计师事务所</t>
        </is>
      </c>
    </row>
    <row r="2" customFormat="1" s="794">
      <c r="A2" s="799" t="inlineStr">
        <is>
          <t>客户、供应商等资金流水检查</t>
        </is>
      </c>
    </row>
    <row r="3" s="1296">
      <c r="A3" s="171" t="inlineStr">
        <is>
          <t>被审计单位名称：</t>
        </is>
      </c>
      <c r="C3" s="172" t="inlineStr">
        <is>
          <t>编制人：</t>
        </is>
      </c>
      <c r="F3" s="171" t="inlineStr">
        <is>
          <t>编制日期：</t>
        </is>
      </c>
      <c r="G3" s="171" t="n"/>
      <c r="H3" s="800" t="inlineStr">
        <is>
          <t>索引号：</t>
        </is>
      </c>
      <c r="I3" s="174" t="inlineStr">
        <is>
          <t>D4-32</t>
        </is>
      </c>
    </row>
    <row r="4" s="1296">
      <c r="A4" s="171" t="inlineStr">
        <is>
          <t>会计期间：202X年度</t>
        </is>
      </c>
      <c r="C4" s="172" t="inlineStr">
        <is>
          <t>复核人：</t>
        </is>
      </c>
      <c r="F4" s="171" t="inlineStr">
        <is>
          <t>复核日期：</t>
        </is>
      </c>
      <c r="G4" s="171" t="n"/>
      <c r="H4" s="800" t="inlineStr">
        <is>
          <t>页次：</t>
        </is>
      </c>
    </row>
    <row r="5" s="1296">
      <c r="A5" s="20" t="inlineStr">
        <is>
          <t>一、审计目标：</t>
        </is>
      </c>
      <c r="C5" s="175" t="n"/>
      <c r="D5" s="176" t="n"/>
    </row>
    <row r="6" s="1296">
      <c r="A6" s="519" t="inlineStr">
        <is>
          <t>润表中记录的营业收入已发生，且与被审计单位有关，已记录于恰当的账户。</t>
        </is>
      </c>
      <c r="C6" s="175" t="n"/>
      <c r="D6" s="176" t="n"/>
    </row>
    <row r="7" s="1296">
      <c r="A7" s="20" t="inlineStr">
        <is>
          <t>二、审计过程：</t>
        </is>
      </c>
      <c r="B7" s="178" t="n"/>
      <c r="C7" s="176" t="n"/>
      <c r="D7" s="176" t="n"/>
    </row>
    <row r="8" ht="28.2" customHeight="1" s="1296">
      <c r="A8" s="179" t="inlineStr">
        <is>
          <t>1.获取被审计单位主要供应商、客户资金流水，检查是否与被审计单位控股股东、实际控制人以及其他关联方存在大额资金往来，如有，应确定该等资金往来是否与被审计单位收入舞弊有关。</t>
        </is>
      </c>
      <c r="B8" s="1311" t="n"/>
      <c r="C8" s="1311" t="n"/>
      <c r="D8" s="1311" t="n"/>
      <c r="E8" s="1311" t="n"/>
      <c r="F8" s="1311" t="n"/>
      <c r="G8" s="1311" t="n"/>
      <c r="H8" s="1311" t="n"/>
      <c r="I8" s="1311" t="n"/>
    </row>
    <row r="9" s="1296">
      <c r="A9" s="500" t="inlineStr">
        <is>
          <t>2.获取被审计单位控股股东、实际控制人、关键管理人员以及其他关联方银行账户资金流水，检查是否存在前述各方提供资金配合被审计单位虚构收入的情况。</t>
        </is>
      </c>
      <c r="B9" s="519" t="n"/>
      <c r="C9" s="176" t="n"/>
      <c r="D9" s="176" t="n"/>
    </row>
    <row r="10" s="1296">
      <c r="A10" s="742" t="n"/>
      <c r="B10" s="519" t="n"/>
      <c r="C10" s="176" t="n"/>
      <c r="D10" s="176" t="n"/>
    </row>
    <row r="11" customFormat="1" s="167">
      <c r="A11" s="182" t="inlineStr">
        <is>
          <t>序号</t>
        </is>
      </c>
      <c r="B11" s="183" t="inlineStr">
        <is>
          <t>单位名称/姓名</t>
        </is>
      </c>
      <c r="C11" s="183" t="inlineStr">
        <is>
          <t>本期交易金额</t>
        </is>
      </c>
      <c r="D11" s="183" t="inlineStr">
        <is>
          <t>占同类交易比例</t>
        </is>
      </c>
      <c r="E11" s="183" t="inlineStr">
        <is>
          <t>开户银行</t>
        </is>
      </c>
      <c r="F11" s="183" t="inlineStr">
        <is>
          <t>账号</t>
        </is>
      </c>
      <c r="G11" s="184" t="inlineStr">
        <is>
          <t>资金流水获取途径</t>
        </is>
      </c>
      <c r="H11" s="183" t="inlineStr">
        <is>
          <t>是否发现异常交易</t>
        </is>
      </c>
      <c r="I11" s="183" t="inlineStr">
        <is>
          <t>索引号</t>
        </is>
      </c>
    </row>
    <row r="12" customFormat="1" s="167">
      <c r="B12" s="185" t="inlineStr">
        <is>
          <t>主要供应商</t>
        </is>
      </c>
      <c r="C12" s="1893" t="n"/>
      <c r="D12" s="187" t="n"/>
      <c r="E12" s="188" t="n"/>
      <c r="F12" s="188" t="n"/>
      <c r="G12" s="187" t="n"/>
      <c r="H12" s="187" t="n"/>
      <c r="I12" s="187" t="n"/>
    </row>
    <row r="13" s="1296">
      <c r="A13" s="189" t="inlineStr">
        <is>
          <t>1</t>
        </is>
      </c>
      <c r="B13" s="188" t="n"/>
      <c r="C13" s="1894" t="n"/>
      <c r="D13" s="185" t="n"/>
      <c r="E13" s="185" t="n"/>
      <c r="F13" s="185" t="n"/>
      <c r="G13" s="185" t="n"/>
      <c r="H13" s="185" t="n"/>
      <c r="I13" s="185" t="n"/>
    </row>
    <row r="14" s="1296">
      <c r="A14" s="189" t="inlineStr">
        <is>
          <t>2</t>
        </is>
      </c>
      <c r="B14" s="188" t="n"/>
      <c r="C14" s="1894" t="n"/>
      <c r="D14" s="185" t="n"/>
      <c r="E14" s="185" t="n"/>
      <c r="F14" s="185" t="n"/>
      <c r="G14" s="185" t="n"/>
      <c r="H14" s="185" t="n"/>
      <c r="I14" s="185" t="n"/>
    </row>
    <row r="15" s="1296">
      <c r="A15" s="189" t="inlineStr">
        <is>
          <t>3</t>
        </is>
      </c>
      <c r="B15" s="188" t="n"/>
      <c r="C15" s="1894" t="n"/>
      <c r="D15" s="185" t="n"/>
      <c r="E15" s="185" t="n"/>
      <c r="F15" s="185" t="n"/>
      <c r="G15" s="185" t="n"/>
      <c r="H15" s="185" t="n"/>
      <c r="I15" s="185" t="n"/>
    </row>
    <row r="16" s="1296">
      <c r="A16" s="189" t="inlineStr">
        <is>
          <t>4</t>
        </is>
      </c>
      <c r="B16" s="188" t="n"/>
      <c r="C16" s="1894" t="n"/>
      <c r="D16" s="185" t="n"/>
      <c r="E16" s="185" t="n"/>
      <c r="F16" s="185" t="n"/>
      <c r="G16" s="185" t="n"/>
      <c r="H16" s="185" t="n"/>
      <c r="I16" s="185" t="n"/>
    </row>
    <row r="17" s="1296">
      <c r="A17" s="189" t="inlineStr">
        <is>
          <t>5</t>
        </is>
      </c>
      <c r="B17" s="188" t="n"/>
      <c r="C17" s="1894" t="n"/>
      <c r="D17" s="185" t="n"/>
      <c r="E17" s="185" t="n"/>
      <c r="F17" s="185" t="n"/>
      <c r="G17" s="185" t="n"/>
      <c r="H17" s="185" t="n"/>
      <c r="I17" s="185" t="n"/>
    </row>
    <row r="18" s="1296">
      <c r="A18" s="189" t="inlineStr">
        <is>
          <t>……</t>
        </is>
      </c>
      <c r="B18" s="188" t="n"/>
      <c r="C18" s="1894" t="n"/>
      <c r="D18" s="185" t="n"/>
      <c r="E18" s="185" t="n"/>
      <c r="F18" s="185" t="n"/>
      <c r="G18" s="185" t="n"/>
      <c r="H18" s="185" t="n"/>
      <c r="I18" s="185" t="n"/>
    </row>
    <row r="19" s="1296">
      <c r="B19" s="185" t="inlineStr">
        <is>
          <t>主要客户</t>
        </is>
      </c>
      <c r="C19" s="1894" t="n"/>
      <c r="D19" s="185" t="n"/>
      <c r="E19" s="185" t="n"/>
      <c r="F19" s="185" t="n"/>
      <c r="G19" s="185" t="n"/>
      <c r="H19" s="185" t="n"/>
      <c r="I19" s="185" t="n"/>
    </row>
    <row r="20" s="1296">
      <c r="A20" s="189" t="inlineStr">
        <is>
          <t>1</t>
        </is>
      </c>
      <c r="B20" s="188" t="n"/>
      <c r="C20" s="1894" t="n"/>
      <c r="D20" s="185" t="n"/>
      <c r="E20" s="185" t="n"/>
      <c r="F20" s="185" t="n"/>
      <c r="G20" s="185" t="n"/>
      <c r="H20" s="185" t="n"/>
      <c r="I20" s="185" t="n"/>
    </row>
    <row r="21" s="1296">
      <c r="A21" s="189" t="inlineStr">
        <is>
          <t>2</t>
        </is>
      </c>
      <c r="B21" s="188" t="n"/>
      <c r="C21" s="1894" t="n"/>
      <c r="D21" s="185" t="n"/>
      <c r="E21" s="185" t="n"/>
      <c r="F21" s="185" t="n"/>
      <c r="G21" s="185" t="n"/>
      <c r="H21" s="185" t="n"/>
      <c r="I21" s="185" t="n"/>
    </row>
    <row r="22" s="1296">
      <c r="A22" s="189" t="inlineStr">
        <is>
          <t>3</t>
        </is>
      </c>
      <c r="B22" s="188" t="n"/>
      <c r="C22" s="1894" t="n"/>
      <c r="D22" s="185" t="n"/>
      <c r="E22" s="185" t="n"/>
      <c r="F22" s="185" t="n"/>
      <c r="G22" s="185" t="n"/>
      <c r="H22" s="185" t="n"/>
      <c r="I22" s="185" t="n"/>
    </row>
    <row r="23" s="1296">
      <c r="A23" s="189" t="inlineStr">
        <is>
          <t>4</t>
        </is>
      </c>
      <c r="B23" s="188" t="n"/>
      <c r="C23" s="1894" t="n"/>
      <c r="D23" s="185" t="n"/>
      <c r="E23" s="185" t="n"/>
      <c r="F23" s="185" t="n"/>
      <c r="G23" s="185" t="n"/>
      <c r="H23" s="185" t="n"/>
      <c r="I23" s="185" t="n"/>
    </row>
    <row r="24" s="1296">
      <c r="A24" s="189" t="inlineStr">
        <is>
          <t>5</t>
        </is>
      </c>
      <c r="B24" s="188" t="n"/>
      <c r="C24" s="1894" t="n"/>
      <c r="D24" s="185" t="n"/>
      <c r="E24" s="185" t="n"/>
      <c r="F24" s="185" t="n"/>
      <c r="G24" s="185" t="n"/>
      <c r="H24" s="185" t="n"/>
      <c r="I24" s="185" t="n"/>
    </row>
    <row r="25" s="1296">
      <c r="A25" s="189" t="inlineStr">
        <is>
          <t>……</t>
        </is>
      </c>
      <c r="B25" s="188" t="n"/>
      <c r="C25" s="1894" t="n"/>
      <c r="D25" s="185" t="n"/>
      <c r="E25" s="185" t="n"/>
      <c r="F25" s="185" t="n"/>
      <c r="G25" s="185" t="n"/>
      <c r="H25" s="185" t="n"/>
      <c r="I25" s="185" t="n"/>
    </row>
    <row r="26" s="1296">
      <c r="B26" s="185" t="inlineStr">
        <is>
          <t>控股股东</t>
        </is>
      </c>
      <c r="C26" s="1894" t="n"/>
      <c r="D26" s="185" t="n"/>
      <c r="E26" s="185" t="n"/>
      <c r="F26" s="185" t="n"/>
      <c r="G26" s="185" t="n"/>
      <c r="H26" s="185" t="n"/>
      <c r="I26" s="185" t="n"/>
    </row>
    <row r="27" s="1296">
      <c r="A27" s="189" t="inlineStr">
        <is>
          <t>1</t>
        </is>
      </c>
      <c r="B27" s="188" t="n"/>
      <c r="C27" s="1894" t="n"/>
      <c r="D27" s="185" t="n"/>
      <c r="E27" s="185" t="n"/>
      <c r="F27" s="185" t="n"/>
      <c r="G27" s="185" t="n"/>
      <c r="H27" s="185" t="n"/>
      <c r="I27" s="185" t="n"/>
    </row>
    <row r="28" s="1296">
      <c r="A28" s="189" t="inlineStr">
        <is>
          <t>2</t>
        </is>
      </c>
      <c r="B28" s="188" t="n"/>
      <c r="C28" s="1894" t="n"/>
      <c r="D28" s="185" t="n"/>
      <c r="E28" s="185" t="n"/>
      <c r="F28" s="185" t="n"/>
      <c r="G28" s="185" t="n"/>
      <c r="H28" s="185" t="n"/>
      <c r="I28" s="185" t="n"/>
    </row>
    <row r="29" s="1296">
      <c r="A29" s="189" t="inlineStr">
        <is>
          <t>……</t>
        </is>
      </c>
      <c r="B29" s="188" t="n"/>
      <c r="C29" s="1894" t="n"/>
      <c r="D29" s="185" t="n"/>
      <c r="E29" s="185" t="n"/>
      <c r="F29" s="185" t="n"/>
      <c r="G29" s="185" t="n"/>
      <c r="H29" s="185" t="n"/>
      <c r="I29" s="185" t="n"/>
    </row>
    <row r="30" s="1296">
      <c r="B30" s="185" t="inlineStr">
        <is>
          <t>实际控制人</t>
        </is>
      </c>
      <c r="C30" s="1894" t="n"/>
      <c r="D30" s="185" t="n"/>
      <c r="E30" s="185" t="n"/>
      <c r="F30" s="185" t="n"/>
      <c r="G30" s="185" t="n"/>
      <c r="H30" s="185" t="n"/>
      <c r="I30" s="185" t="n"/>
    </row>
    <row r="31" s="1296">
      <c r="A31" s="189" t="inlineStr">
        <is>
          <t>1</t>
        </is>
      </c>
      <c r="B31" s="188" t="n"/>
      <c r="C31" s="1894" t="n"/>
      <c r="D31" s="185" t="n"/>
      <c r="E31" s="185" t="n"/>
      <c r="F31" s="185" t="n"/>
      <c r="G31" s="185" t="n"/>
      <c r="H31" s="185" t="n"/>
      <c r="I31" s="185" t="n"/>
    </row>
    <row r="32" s="1296">
      <c r="A32" s="189" t="inlineStr">
        <is>
          <t>2</t>
        </is>
      </c>
      <c r="B32" s="188" t="n"/>
      <c r="C32" s="1894" t="n"/>
      <c r="D32" s="185" t="n"/>
      <c r="E32" s="185" t="n"/>
      <c r="F32" s="185" t="n"/>
      <c r="G32" s="185" t="n"/>
      <c r="H32" s="185" t="n"/>
      <c r="I32" s="185" t="n"/>
    </row>
    <row r="33" s="1296">
      <c r="A33" s="189" t="inlineStr">
        <is>
          <t>……</t>
        </is>
      </c>
      <c r="B33" s="188" t="n"/>
      <c r="C33" s="1894" t="n"/>
      <c r="D33" s="185" t="n"/>
      <c r="E33" s="185" t="n"/>
      <c r="F33" s="185" t="n"/>
      <c r="G33" s="185" t="n"/>
      <c r="H33" s="185" t="n"/>
      <c r="I33" s="185" t="n"/>
    </row>
    <row r="34" s="1296">
      <c r="B34" s="185" t="inlineStr">
        <is>
          <t>关键管理人员</t>
        </is>
      </c>
      <c r="C34" s="1894" t="n"/>
      <c r="D34" s="185" t="n"/>
      <c r="E34" s="185" t="n"/>
      <c r="F34" s="185" t="n"/>
      <c r="G34" s="185" t="n"/>
      <c r="H34" s="185" t="n"/>
      <c r="I34" s="185" t="n"/>
    </row>
    <row r="35" s="1296">
      <c r="A35" s="189" t="inlineStr">
        <is>
          <t>1</t>
        </is>
      </c>
      <c r="B35" s="188" t="n"/>
      <c r="C35" s="1894" t="n"/>
      <c r="D35" s="185" t="n"/>
      <c r="E35" s="185" t="n"/>
      <c r="F35" s="185" t="n"/>
      <c r="G35" s="185" t="n"/>
      <c r="H35" s="185" t="n"/>
      <c r="I35" s="185" t="n"/>
    </row>
    <row r="36" s="1296">
      <c r="A36" s="189" t="inlineStr">
        <is>
          <t>2</t>
        </is>
      </c>
      <c r="B36" s="188" t="n"/>
      <c r="C36" s="1894" t="n"/>
      <c r="D36" s="185" t="n"/>
      <c r="E36" s="185" t="n"/>
      <c r="F36" s="185" t="n"/>
      <c r="G36" s="185" t="n"/>
      <c r="H36" s="185" t="n"/>
      <c r="I36" s="185" t="n"/>
    </row>
    <row r="37" s="1296">
      <c r="A37" s="189" t="inlineStr">
        <is>
          <t>3</t>
        </is>
      </c>
      <c r="B37" s="188" t="n"/>
      <c r="C37" s="1894" t="n"/>
      <c r="D37" s="185" t="n"/>
      <c r="E37" s="185" t="n"/>
      <c r="F37" s="185" t="n"/>
      <c r="G37" s="185" t="n"/>
      <c r="H37" s="185" t="n"/>
      <c r="I37" s="185" t="n"/>
    </row>
    <row r="38" s="1296">
      <c r="A38" s="189" t="inlineStr">
        <is>
          <t>4</t>
        </is>
      </c>
      <c r="B38" s="188" t="n"/>
      <c r="C38" s="1894" t="n"/>
      <c r="D38" s="185" t="n"/>
      <c r="E38" s="185" t="n"/>
      <c r="F38" s="185" t="n"/>
      <c r="G38" s="185" t="n"/>
      <c r="H38" s="185" t="n"/>
      <c r="I38" s="185" t="n"/>
    </row>
    <row r="39" s="1296">
      <c r="A39" s="189" t="inlineStr">
        <is>
          <t>5</t>
        </is>
      </c>
      <c r="B39" s="188" t="n"/>
      <c r="C39" s="1894" t="n"/>
      <c r="D39" s="185" t="n"/>
      <c r="E39" s="185" t="n"/>
      <c r="F39" s="185" t="n"/>
      <c r="G39" s="185" t="n"/>
      <c r="H39" s="185" t="n"/>
      <c r="I39" s="185" t="n"/>
    </row>
    <row r="40" s="1296">
      <c r="A40" s="189" t="inlineStr">
        <is>
          <t>……</t>
        </is>
      </c>
      <c r="B40" s="188" t="n"/>
      <c r="C40" s="1894" t="n"/>
      <c r="D40" s="185" t="n"/>
      <c r="E40" s="185" t="n"/>
      <c r="F40" s="185" t="n"/>
      <c r="G40" s="185" t="n"/>
      <c r="H40" s="185" t="n"/>
      <c r="I40" s="185" t="n"/>
    </row>
    <row r="41" s="1296">
      <c r="B41" s="185" t="inlineStr">
        <is>
          <t>其他关联方</t>
        </is>
      </c>
      <c r="C41" s="1894" t="n"/>
      <c r="D41" s="185" t="n"/>
      <c r="E41" s="185" t="n"/>
      <c r="F41" s="185" t="n"/>
      <c r="G41" s="185" t="n"/>
      <c r="H41" s="185" t="n"/>
      <c r="I41" s="185" t="n"/>
    </row>
    <row r="42" s="1296">
      <c r="A42" s="189" t="inlineStr">
        <is>
          <t>1</t>
        </is>
      </c>
      <c r="B42" s="188" t="n"/>
      <c r="C42" s="1894" t="n"/>
      <c r="D42" s="185" t="n"/>
      <c r="E42" s="185" t="n"/>
      <c r="F42" s="185" t="n"/>
      <c r="G42" s="185" t="n"/>
      <c r="H42" s="185" t="n"/>
      <c r="I42" s="185" t="n"/>
    </row>
    <row r="43" s="1296">
      <c r="A43" s="189" t="inlineStr">
        <is>
          <t>2</t>
        </is>
      </c>
      <c r="B43" s="188" t="n"/>
      <c r="C43" s="1894" t="n"/>
      <c r="D43" s="185" t="n"/>
      <c r="E43" s="185" t="n"/>
      <c r="F43" s="185" t="n"/>
      <c r="G43" s="185" t="n"/>
      <c r="H43" s="185" t="n"/>
      <c r="I43" s="185" t="n"/>
    </row>
    <row r="44" s="1296">
      <c r="A44" s="189" t="inlineStr">
        <is>
          <t>3</t>
        </is>
      </c>
      <c r="B44" s="188" t="n"/>
      <c r="C44" s="1894" t="n"/>
      <c r="D44" s="185" t="n"/>
      <c r="E44" s="185" t="n"/>
      <c r="F44" s="185" t="n"/>
      <c r="G44" s="185" t="n"/>
      <c r="H44" s="185" t="n"/>
      <c r="I44" s="185" t="n"/>
    </row>
    <row r="45" s="1296">
      <c r="A45" s="189" t="inlineStr">
        <is>
          <t>4</t>
        </is>
      </c>
      <c r="B45" s="188" t="n"/>
      <c r="C45" s="1894" t="n"/>
      <c r="D45" s="185" t="n"/>
      <c r="E45" s="185" t="n"/>
      <c r="F45" s="185" t="n"/>
      <c r="G45" s="185" t="n"/>
      <c r="H45" s="185" t="n"/>
      <c r="I45" s="185" t="n"/>
    </row>
    <row r="46" s="1296">
      <c r="A46" s="189" t="inlineStr">
        <is>
          <t>5</t>
        </is>
      </c>
      <c r="B46" s="185" t="n"/>
      <c r="C46" s="1894" t="n"/>
      <c r="D46" s="185" t="n"/>
      <c r="E46" s="185" t="n"/>
      <c r="F46" s="185" t="n"/>
      <c r="G46" s="185" t="n"/>
      <c r="H46" s="185" t="n"/>
      <c r="I46" s="185" t="n"/>
    </row>
    <row r="47" s="1296">
      <c r="A47" s="191" t="inlineStr">
        <is>
          <t>……</t>
        </is>
      </c>
      <c r="C47" s="192" t="n"/>
    </row>
    <row r="48" s="1296">
      <c r="A48" s="740" t="inlineStr">
        <is>
          <t>三、审计说明</t>
        </is>
      </c>
    </row>
    <row r="49" s="1296">
      <c r="A49" s="740" t="n"/>
      <c r="B49" s="194" t="n"/>
    </row>
    <row r="52" s="1296">
      <c r="A52" s="740" t="inlineStr">
        <is>
          <t>四、审计结论</t>
        </is>
      </c>
    </row>
  </sheetData>
  <mergeCells count="3">
    <mergeCell ref="A1:I1"/>
    <mergeCell ref="A8:I8"/>
    <mergeCell ref="A2:I2"/>
  </mergeCells>
  <hyperlinks>
    <hyperlink ref="I3" location="底稿目录!A1" display="='D:\GT_plan\backend\wp_templates\D\[D4-22至D4-32营业收入-IPO 上市 新三板 重组 舞弊应对.xlsx]底稿目录'!F22"/>
  </hyperlinks>
  <pageMargins left="0.708333333333333" right="0.708333333333333" top="0.747916666666667" bottom="0.747916666666667" header="0.314583333333333" footer="0.314583333333333"/>
  <pageSetup orientation="portrait" paperSize="9" scale="65" blackAndWhite="1"/>
  <headerFooter>
    <oddHeader/>
    <oddFooter>&amp;C&amp;P/&amp;N</oddFooter>
    <evenHeader/>
    <evenFooter/>
    <firstHeader/>
    <firstFooter/>
  </headerFooter>
</worksheet>
</file>

<file path=xl/worksheets/sheet4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ColWidth="9.81818181818182" defaultRowHeight="20.1" customHeight="1"/>
  <cols>
    <col width="77.4545454545455" customWidth="1" style="108" min="1" max="1"/>
    <col width="2.94545454545455" customWidth="1" style="108" min="2" max="2"/>
    <col width="2.72727272727273" customWidth="1" style="108" min="3" max="3"/>
    <col width="4.8" customWidth="1" style="108" min="4" max="4"/>
    <col width="23.3454545454545" customWidth="1" style="108" min="5" max="5"/>
    <col width="7.52727272727273" customWidth="1" style="108" min="6" max="6"/>
    <col width="9.81818181818182" customWidth="1" style="108" min="7" max="16384"/>
  </cols>
  <sheetData>
    <row r="1" s="1296">
      <c r="A1" s="1295" t="inlineStr">
        <is>
          <t>底稿开列时，可先在以下单元格填写有关内容，以便其他底稿引用有关数据：</t>
        </is>
      </c>
      <c r="B1" s="1294" t="n"/>
      <c r="C1" s="1294" t="n"/>
      <c r="D1" s="1294" t="n"/>
      <c r="E1" s="1294" t="n"/>
      <c r="F1" s="1294" t="n"/>
    </row>
    <row r="2" s="1296">
      <c r="A2" s="1297" t="inlineStr">
        <is>
          <t>被审计单位：</t>
        </is>
      </c>
      <c r="B2" s="1298" t="n"/>
      <c r="C2" s="1298" t="n"/>
      <c r="D2" s="1299" t="inlineStr">
        <is>
          <t>序号</t>
        </is>
      </c>
      <c r="E2" s="1299" t="inlineStr">
        <is>
          <t>内容</t>
        </is>
      </c>
      <c r="F2" s="1299" t="inlineStr">
        <is>
          <t>索引号</t>
        </is>
      </c>
    </row>
    <row r="3" s="1296">
      <c r="A3" s="157" t="inlineStr">
        <is>
          <t>会计期间：202X年度</t>
        </is>
      </c>
      <c r="B3" s="1298" t="n"/>
      <c r="C3" s="1298" t="n"/>
      <c r="D3" s="1895" t="n">
        <v>1</v>
      </c>
      <c r="E3" s="1302" t="inlineStr">
        <is>
          <t>其他业务毛利率分析表</t>
        </is>
      </c>
      <c r="F3" s="1303" t="inlineStr">
        <is>
          <t>D4-33</t>
        </is>
      </c>
    </row>
    <row r="4" s="1296">
      <c r="A4" s="1297" t="inlineStr">
        <is>
          <t>编制人：</t>
        </is>
      </c>
      <c r="B4" s="1293" t="n"/>
      <c r="C4" s="1293" t="n"/>
      <c r="D4" s="1895" t="n">
        <v>2</v>
      </c>
      <c r="E4" s="1302" t="inlineStr">
        <is>
          <t>其他业务收入合同测算表</t>
        </is>
      </c>
      <c r="F4" s="1303" t="inlineStr">
        <is>
          <t>D4-34</t>
        </is>
      </c>
    </row>
    <row r="5" s="1296">
      <c r="A5" s="1297" t="inlineStr">
        <is>
          <t>编制日期：</t>
        </is>
      </c>
      <c r="B5" s="1293" t="n"/>
      <c r="C5" s="1293" t="n"/>
      <c r="D5" s="1895" t="n">
        <v>3</v>
      </c>
      <c r="E5" s="1302" t="inlineStr">
        <is>
          <t>其他业务收入检查表</t>
        </is>
      </c>
      <c r="F5" s="1303" t="inlineStr">
        <is>
          <t>D4-35</t>
        </is>
      </c>
    </row>
    <row r="6" s="1296">
      <c r="A6" s="984" t="inlineStr">
        <is>
          <t>复核人：</t>
        </is>
      </c>
      <c r="B6" s="1293" t="n"/>
      <c r="C6" s="1293" t="n"/>
      <c r="D6" s="1895" t="n">
        <v>4</v>
      </c>
      <c r="E6" s="1302" t="inlineStr">
        <is>
          <t>其他业务收入截止性测试</t>
        </is>
      </c>
      <c r="F6" s="1303" t="inlineStr">
        <is>
          <t>D4-36</t>
        </is>
      </c>
    </row>
    <row r="7" s="1296">
      <c r="A7" s="984" t="inlineStr">
        <is>
          <t>复核日期：</t>
        </is>
      </c>
      <c r="B7" s="1293" t="n"/>
      <c r="C7" s="1293" t="n"/>
      <c r="D7" s="1294" t="n"/>
      <c r="E7" s="1294" t="n"/>
      <c r="F7" s="1294" t="n"/>
    </row>
    <row r="8" s="1296">
      <c r="A8" s="163" t="n"/>
      <c r="B8" s="1293" t="n"/>
      <c r="C8" s="1293" t="n"/>
      <c r="D8" s="1294" t="n"/>
      <c r="E8" s="1294" t="n"/>
      <c r="F8" s="1294" t="n"/>
    </row>
    <row r="9" s="1296">
      <c r="A9" s="986" t="inlineStr">
        <is>
          <t>关于工作底稿与审计程序索引号对应的说明</t>
        </is>
      </c>
      <c r="B9" s="1293" t="n"/>
      <c r="C9" s="1293" t="n"/>
      <c r="D9" s="1294" t="n"/>
      <c r="E9" s="1294" t="n"/>
      <c r="F9" s="1294" t="n"/>
    </row>
    <row r="10" s="1296">
      <c r="A10" s="990"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1293" t="n"/>
      <c r="C10" s="1293" t="n"/>
      <c r="D10" s="1294" t="n"/>
      <c r="E10" s="1294" t="n"/>
      <c r="F10" s="1294" t="n"/>
    </row>
    <row r="11" s="1296">
      <c r="A11" s="1311" t="n"/>
      <c r="B11" s="1293" t="n"/>
      <c r="C11" s="1293" t="n"/>
      <c r="D11" s="1294" t="n"/>
      <c r="E11" s="1294" t="n"/>
      <c r="F11" s="1294" t="n"/>
    </row>
    <row r="12" s="1296">
      <c r="A12" s="1311" t="n"/>
    </row>
    <row r="13" s="1296">
      <c r="A13" s="1311" t="n"/>
    </row>
    <row r="14" s="1296">
      <c r="A14" s="990"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s="1296">
      <c r="A15" s="1311" t="n"/>
    </row>
    <row r="16" s="1296">
      <c r="A16" s="1311" t="n"/>
    </row>
    <row r="17" s="1296">
      <c r="A17" s="995" t="inlineStr">
        <is>
          <t>3.工作底稿索引号的编码规则：实质性程序索引号按循环从“D”到“N”,循环内账户以顺序号排列，模板中底稿索引号按账户顺序+自然数顺序（即模板中索引号按二级自然顺序排列，如D1-1、D1-2、D1-3、……D1-N）。</t>
        </is>
      </c>
    </row>
    <row r="18" s="1296">
      <c r="A18" s="1311" t="n"/>
    </row>
    <row r="19" s="1296">
      <c r="A19" s="1311" t="n"/>
    </row>
  </sheetData>
  <mergeCells count="3">
    <mergeCell ref="A14:A16"/>
    <mergeCell ref="A17:A19"/>
    <mergeCell ref="A10:A13"/>
  </mergeCells>
  <hyperlinks>
    <hyperlink ref="E3" location="'其他业务毛利率分析表D4-33'!A1" display="其他业务毛利率分析表"/>
    <hyperlink ref="E4" location="'其他业务收入合同测算表D4-34'!A1" display="其他业务收入合同测算表"/>
    <hyperlink ref="E5" location="'其他业务收入检查表D4-35'!A1" display="其他业务收入检查表"/>
    <hyperlink ref="E6" location="'其他业务收入截止性测试D4-36'!A1" display="其他业务收入截止性测试"/>
  </hyperlinks>
  <pageMargins left="0.708333333333333" right="0.708333333333333" top="0.747916666666667" bottom="0.747916666666667" header="0.314583333333333" footer="0.314583333333333"/>
  <pageSetup orientation="portrait" paperSize="9" scale="81" blackAndWhite="1"/>
  <headerFooter>
    <oddHeader/>
    <oddFooter>&amp;C&amp;P/&amp;N</oddFooter>
    <evenHeader/>
    <evenFooter/>
    <firstHeader/>
    <firstFooter/>
  </headerFooter>
</worksheet>
</file>

<file path=xl/worksheets/sheet43.xml><?xml version="1.0" encoding="utf-8"?>
<worksheet xmlns="http://schemas.openxmlformats.org/spreadsheetml/2006/main">
  <sheetPr>
    <outlinePr summaryBelow="1" summaryRight="1"/>
    <pageSetUpPr/>
  </sheetPr>
  <dimension ref="A1:M31"/>
  <sheetViews>
    <sheetView view="pageBreakPreview" zoomScaleNormal="100" workbookViewId="0">
      <selection activeCell="A1" sqref="A1:M1"/>
    </sheetView>
  </sheetViews>
  <sheetFormatPr baseColWidth="8" defaultColWidth="9.81818181818182" defaultRowHeight="20.1" customHeight="1"/>
  <cols>
    <col width="9.81818181818182" customWidth="1" style="111" min="1" max="1"/>
    <col width="11.2363636363636" customWidth="1" style="111" min="2" max="3"/>
    <col width="9.81818181818182" customWidth="1" style="111" min="4" max="4"/>
    <col width="11.4545454545455" customWidth="1" style="111" min="5" max="6"/>
    <col width="9.81818181818182" customWidth="1" style="111" min="7" max="7"/>
    <col width="11.7818181818182" customWidth="1" style="111" min="8" max="9"/>
    <col width="9.81818181818182" customWidth="1" style="111" min="10" max="10"/>
    <col width="11.6727272727273" customWidth="1" style="111" min="11" max="12"/>
    <col width="9.81818181818182" customWidth="1" style="111" min="13" max="16384"/>
  </cols>
  <sheetData>
    <row r="1" s="1296">
      <c r="A1" s="134" t="inlineStr">
        <is>
          <t>致同会计师事务所</t>
        </is>
      </c>
    </row>
    <row r="2" s="1296">
      <c r="A2" s="135" t="inlineStr">
        <is>
          <t>其他业务毛利率分析表</t>
        </is>
      </c>
    </row>
    <row r="3" s="1296">
      <c r="A3" s="488" t="inlineStr">
        <is>
          <t>被审计单位：</t>
        </is>
      </c>
      <c r="B3" s="109" t="n"/>
      <c r="C3" s="109" t="n"/>
      <c r="D3" s="109" t="n"/>
      <c r="E3" s="109" t="n"/>
      <c r="F3" s="110" t="inlineStr">
        <is>
          <t>编制人：</t>
        </is>
      </c>
      <c r="G3" s="110" t="n"/>
      <c r="H3" s="109" t="n"/>
      <c r="I3" s="110" t="inlineStr">
        <is>
          <t>编制日期：</t>
        </is>
      </c>
      <c r="J3" s="136" t="n"/>
      <c r="K3" s="137" t="n"/>
      <c r="L3" s="138" t="inlineStr">
        <is>
          <t xml:space="preserve">索引号： </t>
        </is>
      </c>
      <c r="M3" s="303" t="inlineStr">
        <is>
          <t>D4-33</t>
        </is>
      </c>
    </row>
    <row r="4" s="1296">
      <c r="A4" s="488" t="inlineStr">
        <is>
          <t>会计期间：202X年度</t>
        </is>
      </c>
      <c r="B4" s="109" t="n"/>
      <c r="C4" s="109" t="n"/>
      <c r="D4" s="109" t="n"/>
      <c r="E4" s="109" t="n"/>
      <c r="F4" s="110" t="inlineStr">
        <is>
          <t>复核人：</t>
        </is>
      </c>
      <c r="G4" s="110" t="n"/>
      <c r="H4" s="109" t="n"/>
      <c r="I4" s="110" t="inlineStr">
        <is>
          <t>复核日期：</t>
        </is>
      </c>
      <c r="J4" s="136" t="n"/>
      <c r="K4" s="137" t="n"/>
      <c r="L4" s="138" t="inlineStr">
        <is>
          <t>页次：</t>
        </is>
      </c>
      <c r="M4" s="110" t="n"/>
    </row>
    <row r="5" customFormat="1" s="139">
      <c r="A5" s="118" t="inlineStr">
        <is>
          <t>一、审计目标：</t>
        </is>
      </c>
      <c r="B5" s="114" t="n"/>
      <c r="C5" s="114" t="n"/>
      <c r="D5" s="114" t="n"/>
      <c r="E5" s="114" t="n"/>
      <c r="F5" s="114" t="n"/>
      <c r="G5" s="114" t="n"/>
      <c r="H5" s="114" t="n"/>
      <c r="I5" s="114" t="n"/>
      <c r="J5" s="114" t="n"/>
      <c r="K5" s="114" t="n"/>
      <c r="L5" s="139" t="n"/>
      <c r="M5" s="139" t="n"/>
    </row>
    <row r="6" customFormat="1" s="139">
      <c r="A6" s="116" t="inlineStr">
        <is>
          <t>1.利润表中记录的其他业务收入已发生，且与被审计单位有关，已记录于恰当的账户。</t>
        </is>
      </c>
      <c r="B6" s="116" t="n"/>
      <c r="C6" s="116" t="n"/>
      <c r="D6" s="116" t="n"/>
      <c r="E6" s="116" t="n"/>
      <c r="F6" s="116" t="n"/>
      <c r="G6" s="116" t="n"/>
      <c r="H6" s="116" t="n"/>
      <c r="I6" s="116" t="n"/>
      <c r="J6" s="116" t="n"/>
      <c r="K6" s="116" t="n"/>
      <c r="L6" s="139" t="n"/>
      <c r="M6" s="139" t="n"/>
    </row>
    <row r="7" customFormat="1" s="139">
      <c r="A7" s="116" t="inlineStr">
        <is>
          <t>2.所有应当记录的其他业务收入均已记录，所有应当包括在财务报表中的相关披露均已包括。</t>
        </is>
      </c>
      <c r="B7" s="116" t="n"/>
      <c r="C7" s="116" t="n"/>
      <c r="D7" s="116" t="n"/>
      <c r="E7" s="116" t="n"/>
      <c r="F7" s="116" t="n"/>
      <c r="G7" s="116" t="n"/>
      <c r="H7" s="116" t="n"/>
      <c r="I7" s="116" t="n"/>
      <c r="J7" s="116" t="n"/>
      <c r="K7" s="116" t="n"/>
      <c r="L7" s="139" t="n"/>
      <c r="M7" s="139" t="n"/>
    </row>
    <row r="8" customFormat="1" s="139">
      <c r="A8" s="116" t="inlineStr">
        <is>
          <t>3.与其他业务收入有关的金额及其他数据已恰当记录，相关披露已得到恰当计量和描述。</t>
        </is>
      </c>
      <c r="B8" s="116" t="n"/>
      <c r="C8" s="116" t="n"/>
      <c r="D8" s="116" t="n"/>
      <c r="E8" s="116" t="n"/>
      <c r="F8" s="116" t="n"/>
      <c r="G8" s="116" t="n"/>
      <c r="H8" s="116" t="n"/>
      <c r="I8" s="116" t="n"/>
      <c r="J8" s="116" t="n"/>
      <c r="K8" s="116" t="n"/>
    </row>
    <row r="9" customFormat="1" s="139">
      <c r="A9" s="118" t="inlineStr">
        <is>
          <t>二、审计过程：</t>
        </is>
      </c>
      <c r="B9" s="114" t="n"/>
      <c r="C9" s="114" t="n"/>
      <c r="D9" s="114" t="n"/>
      <c r="E9" s="114" t="n"/>
      <c r="F9" s="114" t="n"/>
      <c r="G9" s="114" t="n"/>
      <c r="H9" s="114" t="n"/>
      <c r="I9" s="114" t="n"/>
      <c r="J9" s="114" t="n"/>
      <c r="K9" s="114" t="n"/>
    </row>
    <row r="10" s="1296">
      <c r="A10" s="140" t="inlineStr">
        <is>
          <t>月份</t>
        </is>
      </c>
      <c r="B10" s="140" t="inlineStr">
        <is>
          <t>合计</t>
        </is>
      </c>
      <c r="C10" s="1327" t="n"/>
      <c r="D10" s="1328" t="n"/>
      <c r="E10" s="141" t="inlineStr">
        <is>
          <t>出租固定资产</t>
        </is>
      </c>
      <c r="F10" s="1327" t="n"/>
      <c r="G10" s="1328" t="n"/>
      <c r="H10" s="141" t="inlineStr">
        <is>
          <t>出租无形资产</t>
        </is>
      </c>
      <c r="I10" s="1327" t="n"/>
      <c r="J10" s="1328" t="n"/>
      <c r="K10" s="141" t="inlineStr">
        <is>
          <t>销售材料</t>
        </is>
      </c>
      <c r="L10" s="1327" t="n"/>
      <c r="M10" s="1328" t="n"/>
    </row>
    <row r="11" s="1296">
      <c r="A11" s="1335" t="n"/>
      <c r="B11" s="140" t="inlineStr">
        <is>
          <t>收入</t>
        </is>
      </c>
      <c r="C11" s="140" t="inlineStr">
        <is>
          <t>成本</t>
        </is>
      </c>
      <c r="D11" s="140" t="inlineStr">
        <is>
          <t>毛利率</t>
        </is>
      </c>
      <c r="E11" s="140" t="inlineStr">
        <is>
          <t>收入</t>
        </is>
      </c>
      <c r="F11" s="140" t="inlineStr">
        <is>
          <t>成本</t>
        </is>
      </c>
      <c r="G11" s="140" t="inlineStr">
        <is>
          <t>毛利率</t>
        </is>
      </c>
      <c r="H11" s="140" t="inlineStr">
        <is>
          <t>收入</t>
        </is>
      </c>
      <c r="I11" s="140" t="inlineStr">
        <is>
          <t>成本</t>
        </is>
      </c>
      <c r="J11" s="140" t="inlineStr">
        <is>
          <t>毛利率</t>
        </is>
      </c>
      <c r="K11" s="140" t="inlineStr">
        <is>
          <t>收入</t>
        </is>
      </c>
      <c r="L11" s="140" t="inlineStr">
        <is>
          <t>成本</t>
        </is>
      </c>
      <c r="M11" s="142" t="inlineStr">
        <is>
          <t>毛利率</t>
        </is>
      </c>
    </row>
    <row r="12" s="1296">
      <c r="A12" s="143" t="n">
        <v>1</v>
      </c>
      <c r="B12" s="1896">
        <f>E12+H12+K12</f>
        <v/>
      </c>
      <c r="C12" s="1896">
        <f>F12+I12+L12</f>
        <v/>
      </c>
      <c r="D12" s="145">
        <f>(B12-C12)/B12</f>
        <v/>
      </c>
      <c r="E12" s="1897" t="n"/>
      <c r="F12" s="1897" t="n"/>
      <c r="G12" s="145">
        <f>(E12-F12)/E12</f>
        <v/>
      </c>
      <c r="H12" s="1897" t="n"/>
      <c r="I12" s="1897" t="n"/>
      <c r="J12" s="145">
        <f>(H12-I12)/H12</f>
        <v/>
      </c>
      <c r="K12" s="1897" t="n"/>
      <c r="L12" s="1897" t="n"/>
      <c r="M12" s="145">
        <f>(K12-L12)/K12</f>
        <v/>
      </c>
    </row>
    <row r="13" s="1296">
      <c r="A13" s="143" t="n">
        <v>2</v>
      </c>
      <c r="B13" s="1896">
        <f>E13+H13+K13</f>
        <v/>
      </c>
      <c r="C13" s="1896">
        <f>F13+I13+L13</f>
        <v/>
      </c>
      <c r="D13" s="145">
        <f>(B13-C13)/B13</f>
        <v/>
      </c>
      <c r="E13" s="1897" t="n"/>
      <c r="F13" s="1897" t="n"/>
      <c r="G13" s="145">
        <f>(E13-F13)/E13</f>
        <v/>
      </c>
      <c r="H13" s="1897" t="n"/>
      <c r="I13" s="1897" t="n"/>
      <c r="J13" s="145">
        <f>(H13-I13)/H13</f>
        <v/>
      </c>
      <c r="K13" s="1897" t="n"/>
      <c r="L13" s="1897" t="n"/>
      <c r="M13" s="145">
        <f>(K13-L13)/K13</f>
        <v/>
      </c>
    </row>
    <row r="14" s="1296">
      <c r="A14" s="143" t="n">
        <v>3</v>
      </c>
      <c r="B14" s="1896">
        <f>E14+H14+K14</f>
        <v/>
      </c>
      <c r="C14" s="1896">
        <f>F14+I14+L14</f>
        <v/>
      </c>
      <c r="D14" s="145">
        <f>(B14-C14)/B14</f>
        <v/>
      </c>
      <c r="E14" s="1897" t="n"/>
      <c r="F14" s="1897" t="n"/>
      <c r="G14" s="145">
        <f>(E14-F14)/E14</f>
        <v/>
      </c>
      <c r="H14" s="1897" t="n"/>
      <c r="I14" s="1897" t="n"/>
      <c r="J14" s="145">
        <f>(H14-I14)/H14</f>
        <v/>
      </c>
      <c r="K14" s="1897" t="n"/>
      <c r="L14" s="1897" t="n"/>
      <c r="M14" s="145">
        <f>(K14-L14)/K14</f>
        <v/>
      </c>
    </row>
    <row r="15" s="1296">
      <c r="A15" s="143" t="n">
        <v>4</v>
      </c>
      <c r="B15" s="1896">
        <f>E15+H15+K15</f>
        <v/>
      </c>
      <c r="C15" s="1896">
        <f>F15+I15+L15</f>
        <v/>
      </c>
      <c r="D15" s="145">
        <f>(B15-C15)/B15</f>
        <v/>
      </c>
      <c r="E15" s="1897" t="n"/>
      <c r="F15" s="1897" t="n"/>
      <c r="G15" s="145">
        <f>(E15-F15)/E15</f>
        <v/>
      </c>
      <c r="H15" s="1897" t="n"/>
      <c r="I15" s="1897" t="n"/>
      <c r="J15" s="145">
        <f>(H15-I15)/H15</f>
        <v/>
      </c>
      <c r="K15" s="1897" t="n"/>
      <c r="L15" s="1897" t="n"/>
      <c r="M15" s="145">
        <f>(K15-L15)/K15</f>
        <v/>
      </c>
    </row>
    <row r="16" s="1296">
      <c r="A16" s="143" t="n">
        <v>5</v>
      </c>
      <c r="B16" s="1896">
        <f>E16+H16+K16</f>
        <v/>
      </c>
      <c r="C16" s="1896">
        <f>F16+I16+L16</f>
        <v/>
      </c>
      <c r="D16" s="145">
        <f>(B16-C16)/B16</f>
        <v/>
      </c>
      <c r="E16" s="1897" t="n"/>
      <c r="F16" s="1897" t="n"/>
      <c r="G16" s="145">
        <f>(E16-F16)/E16</f>
        <v/>
      </c>
      <c r="H16" s="1897" t="n"/>
      <c r="I16" s="1897" t="n"/>
      <c r="J16" s="145">
        <f>(H16-I16)/H16</f>
        <v/>
      </c>
      <c r="K16" s="1897" t="n"/>
      <c r="L16" s="1897" t="n"/>
      <c r="M16" s="145">
        <f>(K16-L16)/K16</f>
        <v/>
      </c>
    </row>
    <row r="17" s="1296">
      <c r="A17" s="143" t="n">
        <v>6</v>
      </c>
      <c r="B17" s="1896">
        <f>E17+H17+K17</f>
        <v/>
      </c>
      <c r="C17" s="1896">
        <f>F17+I17+L17</f>
        <v/>
      </c>
      <c r="D17" s="145">
        <f>(B17-C17)/B17</f>
        <v/>
      </c>
      <c r="E17" s="1897" t="n"/>
      <c r="F17" s="1897" t="n"/>
      <c r="G17" s="145">
        <f>(E17-F17)/E17</f>
        <v/>
      </c>
      <c r="H17" s="1897" t="n"/>
      <c r="I17" s="1897" t="n"/>
      <c r="J17" s="145">
        <f>(H17-I17)/H17</f>
        <v/>
      </c>
      <c r="K17" s="1897" t="n"/>
      <c r="L17" s="1897" t="n"/>
      <c r="M17" s="145">
        <f>(K17-L17)/K17</f>
        <v/>
      </c>
    </row>
    <row r="18" s="1296">
      <c r="A18" s="143" t="n">
        <v>7</v>
      </c>
      <c r="B18" s="1896">
        <f>E18+H18+K18</f>
        <v/>
      </c>
      <c r="C18" s="1896">
        <f>F18+I18+L18</f>
        <v/>
      </c>
      <c r="D18" s="145">
        <f>(B18-C18)/B18</f>
        <v/>
      </c>
      <c r="E18" s="1897" t="n"/>
      <c r="F18" s="1897" t="n"/>
      <c r="G18" s="145">
        <f>(E18-F18)/E18</f>
        <v/>
      </c>
      <c r="H18" s="1897" t="n"/>
      <c r="I18" s="1897" t="n"/>
      <c r="J18" s="145">
        <f>(H18-I18)/H18</f>
        <v/>
      </c>
      <c r="K18" s="1897" t="n"/>
      <c r="L18" s="1897" t="n"/>
      <c r="M18" s="145">
        <f>(K18-L18)/K18</f>
        <v/>
      </c>
    </row>
    <row r="19" s="1296">
      <c r="A19" s="143" t="n">
        <v>8</v>
      </c>
      <c r="B19" s="1896">
        <f>E19+H19+K19</f>
        <v/>
      </c>
      <c r="C19" s="1896">
        <f>F19+I19+L19</f>
        <v/>
      </c>
      <c r="D19" s="145">
        <f>(B19-C19)/B19</f>
        <v/>
      </c>
      <c r="E19" s="1897" t="n"/>
      <c r="F19" s="1897" t="n"/>
      <c r="G19" s="145">
        <f>(E19-F19)/E19</f>
        <v/>
      </c>
      <c r="H19" s="1897" t="n"/>
      <c r="I19" s="1897" t="n"/>
      <c r="J19" s="145">
        <f>(H19-I19)/H19</f>
        <v/>
      </c>
      <c r="K19" s="1897" t="n"/>
      <c r="L19" s="1897" t="n"/>
      <c r="M19" s="145">
        <f>(K19-L19)/K19</f>
        <v/>
      </c>
    </row>
    <row r="20" s="1296">
      <c r="A20" s="143" t="n">
        <v>9</v>
      </c>
      <c r="B20" s="1896">
        <f>E20+H20+K20</f>
        <v/>
      </c>
      <c r="C20" s="1896">
        <f>F20+I20+L20</f>
        <v/>
      </c>
      <c r="D20" s="145">
        <f>(B20-C20)/B20</f>
        <v/>
      </c>
      <c r="E20" s="1897" t="n"/>
      <c r="F20" s="1897" t="n"/>
      <c r="G20" s="145">
        <f>(E20-F20)/E20</f>
        <v/>
      </c>
      <c r="H20" s="1897" t="n"/>
      <c r="I20" s="1897" t="n"/>
      <c r="J20" s="145">
        <f>(H20-I20)/H20</f>
        <v/>
      </c>
      <c r="K20" s="1897" t="n"/>
      <c r="L20" s="1897" t="n"/>
      <c r="M20" s="145">
        <f>(K20-L20)/K20</f>
        <v/>
      </c>
    </row>
    <row r="21" s="1296">
      <c r="A21" s="143" t="n">
        <v>10</v>
      </c>
      <c r="B21" s="1896">
        <f>E21+H21+K21</f>
        <v/>
      </c>
      <c r="C21" s="1896">
        <f>F21+I21+L21</f>
        <v/>
      </c>
      <c r="D21" s="145">
        <f>(B21-C21)/B21</f>
        <v/>
      </c>
      <c r="E21" s="1897" t="n"/>
      <c r="F21" s="1897" t="n"/>
      <c r="G21" s="145">
        <f>(E21-F21)/E21</f>
        <v/>
      </c>
      <c r="H21" s="1897" t="n"/>
      <c r="I21" s="1898" t="n"/>
      <c r="J21" s="145">
        <f>(H21-I21)/H21</f>
        <v/>
      </c>
      <c r="K21" s="1898" t="n"/>
      <c r="L21" s="1898" t="n"/>
      <c r="M21" s="145">
        <f>(K21-L21)/K21</f>
        <v/>
      </c>
    </row>
    <row r="22" s="1296">
      <c r="A22" s="143" t="n">
        <v>11</v>
      </c>
      <c r="B22" s="1896">
        <f>E22+H22+K22</f>
        <v/>
      </c>
      <c r="C22" s="1896">
        <f>F22+I22+L22</f>
        <v/>
      </c>
      <c r="D22" s="145">
        <f>(B22-C22)/B22</f>
        <v/>
      </c>
      <c r="E22" s="1897" t="n"/>
      <c r="F22" s="1897" t="n"/>
      <c r="G22" s="145">
        <f>(E22-F22)/E22</f>
        <v/>
      </c>
      <c r="H22" s="1897" t="n"/>
      <c r="I22" s="1898" t="n"/>
      <c r="J22" s="145">
        <f>(H22-I22)/H22</f>
        <v/>
      </c>
      <c r="K22" s="1898" t="n"/>
      <c r="L22" s="1898" t="n"/>
      <c r="M22" s="145">
        <f>(K22-L22)/K22</f>
        <v/>
      </c>
    </row>
    <row r="23" s="1296">
      <c r="A23" s="143" t="n">
        <v>12</v>
      </c>
      <c r="B23" s="1896">
        <f>E23+H23+K23</f>
        <v/>
      </c>
      <c r="C23" s="1896">
        <f>F23+I23+L23</f>
        <v/>
      </c>
      <c r="D23" s="145">
        <f>(B23-C23)/B23</f>
        <v/>
      </c>
      <c r="E23" s="1898" t="n"/>
      <c r="F23" s="1898" t="n"/>
      <c r="G23" s="145">
        <f>(E23-F23)/E23</f>
        <v/>
      </c>
      <c r="H23" s="1898" t="n"/>
      <c r="I23" s="1898" t="n"/>
      <c r="J23" s="145">
        <f>(H23-I23)/H23</f>
        <v/>
      </c>
      <c r="K23" s="1898" t="n"/>
      <c r="L23" s="1898" t="n"/>
      <c r="M23" s="145">
        <f>(K23-L23)/K23</f>
        <v/>
      </c>
    </row>
    <row r="24" s="1296">
      <c r="A24" s="148" t="inlineStr">
        <is>
          <t>合 计</t>
        </is>
      </c>
      <c r="B24" s="1896">
        <f>SUM(B12:B23)</f>
        <v/>
      </c>
      <c r="C24" s="1896">
        <f>SUM(C12:C23)</f>
        <v/>
      </c>
      <c r="D24" s="145">
        <f>(B24-C24)/B24</f>
        <v/>
      </c>
      <c r="E24" s="1896">
        <f>SUM(E12:E23)</f>
        <v/>
      </c>
      <c r="F24" s="1896">
        <f>SUM(F12:F23)</f>
        <v/>
      </c>
      <c r="G24" s="145">
        <f>(E24-F24)/E24</f>
        <v/>
      </c>
      <c r="H24" s="1896">
        <f>SUM(H12:H23)</f>
        <v/>
      </c>
      <c r="I24" s="1896">
        <f>SUM(I12:I23)</f>
        <v/>
      </c>
      <c r="J24" s="145">
        <f>(H24-I24)/H24</f>
        <v/>
      </c>
      <c r="K24" s="1896">
        <f>SUM(K12:K23)</f>
        <v/>
      </c>
      <c r="L24" s="1896">
        <f>SUM(L12:L23)</f>
        <v/>
      </c>
      <c r="M24" s="145">
        <f>(K24-L24)/K24</f>
        <v/>
      </c>
    </row>
    <row r="25" s="1296">
      <c r="A25" s="149" t="inlineStr">
        <is>
          <t>上年数</t>
        </is>
      </c>
      <c r="B25" s="1896">
        <f>E25+H25+K25</f>
        <v/>
      </c>
      <c r="C25" s="1896">
        <f>F25+I25+L25</f>
        <v/>
      </c>
      <c r="D25" s="145">
        <f>(B25-C25)/B25</f>
        <v/>
      </c>
      <c r="E25" s="1899" t="n"/>
      <c r="F25" s="1899" t="n"/>
      <c r="G25" s="145">
        <f>(E25-F25)/E25</f>
        <v/>
      </c>
      <c r="H25" s="1899" t="n"/>
      <c r="I25" s="1899" t="n"/>
      <c r="J25" s="145">
        <f>(H25-I25)/H25</f>
        <v/>
      </c>
      <c r="K25" s="1899" t="n"/>
      <c r="L25" s="1899" t="n"/>
      <c r="M25" s="145">
        <f>(K25-L25)/K25</f>
        <v/>
      </c>
    </row>
    <row r="26" s="1296">
      <c r="A26" s="149" t="inlineStr">
        <is>
          <t>变动额</t>
        </is>
      </c>
      <c r="B26" s="1896">
        <f>B24-B25</f>
        <v/>
      </c>
      <c r="C26" s="1896">
        <f>C24-C25</f>
        <v/>
      </c>
      <c r="D26" s="145">
        <f>D24-D25</f>
        <v/>
      </c>
      <c r="E26" s="1896">
        <f>E24-E25</f>
        <v/>
      </c>
      <c r="F26" s="1896">
        <f>F24-F25</f>
        <v/>
      </c>
      <c r="G26" s="145">
        <f>G24-G25</f>
        <v/>
      </c>
      <c r="H26" s="1896">
        <f>H24-H25</f>
        <v/>
      </c>
      <c r="I26" s="1896">
        <f>I24-I25</f>
        <v/>
      </c>
      <c r="J26" s="145">
        <f>J24-J25</f>
        <v/>
      </c>
      <c r="K26" s="1896">
        <f>K24-K25</f>
        <v/>
      </c>
      <c r="L26" s="1896">
        <f>L24-L25</f>
        <v/>
      </c>
      <c r="M26" s="145">
        <f>M24-M25</f>
        <v/>
      </c>
    </row>
    <row r="27" s="1296">
      <c r="A27" s="151" t="inlineStr">
        <is>
          <t>变动比例</t>
        </is>
      </c>
      <c r="B27" s="1896">
        <f>IF(AND(B25=0,B24=0),0,IF(B25&lt;=0,"不适用",B26/B25))</f>
        <v/>
      </c>
      <c r="C27" s="1896">
        <f>IF(AND(C25=0,C24=0),0,IF(C25&lt;=0,"不适用",C26/C25))</f>
        <v/>
      </c>
      <c r="D27" s="145">
        <f>IF(AND(D25=0,D24=0),0,IF(D25&lt;=0,"不适用",D26/D25))</f>
        <v/>
      </c>
      <c r="E27" s="1896">
        <f>IF(AND(E25=0,E24=0),0,IF(E25&lt;=0,"不适用",E26/E25))</f>
        <v/>
      </c>
      <c r="F27" s="1896">
        <f>IF(AND(F25=0,F24=0),0,IF(F25&lt;=0,"不适用",F26/F25))</f>
        <v/>
      </c>
      <c r="G27" s="145">
        <f>IF(AND(G25=0,G24=0),0,IF(G25&lt;=0,"不适用",G26/G25))</f>
        <v/>
      </c>
      <c r="H27" s="1896">
        <f>IF(AND(H25=0,H24=0),0,IF(H25&lt;=0,"不适用",H26/H25))</f>
        <v/>
      </c>
      <c r="I27" s="1896">
        <f>IF(AND(I25=0,I24=0),0,IF(I25&lt;=0,"不适用",I26/I25))</f>
        <v/>
      </c>
      <c r="J27" s="145">
        <f>IF(AND(J25=0,J24=0),0,IF(J25&lt;=0,"不适用",J26/J25))</f>
        <v/>
      </c>
      <c r="K27" s="1896">
        <f>IF(AND(K25=0,K24=0),0,IF(K25&lt;=0,"不适用",K26/K25))</f>
        <v/>
      </c>
      <c r="L27" s="1896">
        <f>IF(AND(L25=0,L24=0),0,IF(L25&lt;=0,"不适用",L26/L25))</f>
        <v/>
      </c>
      <c r="M27" s="145">
        <f>IF(AND(M25=0,M24=0),0,IF(M25&lt;=0,"不适用",M26/M25))</f>
        <v/>
      </c>
    </row>
    <row r="28" s="1296">
      <c r="A28" s="130" t="inlineStr">
        <is>
          <t>三、审计说明：</t>
        </is>
      </c>
      <c r="B28" s="130" t="n"/>
      <c r="C28" s="130" t="n"/>
      <c r="D28" s="130" t="n"/>
      <c r="E28" s="56" t="n"/>
      <c r="F28" s="56" t="n"/>
      <c r="G28" s="56" t="n"/>
      <c r="H28" s="56" t="n"/>
      <c r="I28" s="56" t="n"/>
      <c r="J28" s="56" t="n"/>
      <c r="K28" s="56" t="n"/>
      <c r="L28" s="56" t="n"/>
      <c r="M28" s="56" t="n"/>
    </row>
    <row r="29" s="1296">
      <c r="A29" s="132" t="n"/>
      <c r="B29" s="132" t="n"/>
      <c r="C29" s="132" t="n"/>
      <c r="D29" s="132" t="n"/>
      <c r="E29" s="58" t="n"/>
      <c r="F29" s="58" t="n"/>
      <c r="G29" s="58" t="n"/>
      <c r="H29" s="58" t="n"/>
      <c r="I29" s="58" t="n"/>
      <c r="J29" s="58" t="n"/>
      <c r="K29" s="58" t="n"/>
      <c r="L29" s="58" t="n"/>
      <c r="M29" s="58" t="n"/>
    </row>
    <row r="30" s="1296">
      <c r="A30" s="133" t="inlineStr">
        <is>
          <t>四、审计结论：</t>
        </is>
      </c>
      <c r="B30" s="58" t="n"/>
      <c r="C30" s="58" t="n"/>
      <c r="D30" s="58" t="n"/>
      <c r="E30" s="58" t="n"/>
      <c r="F30" s="58" t="n"/>
      <c r="G30" s="58" t="n"/>
      <c r="H30" s="58" t="n"/>
      <c r="I30" s="58" t="n"/>
      <c r="J30" s="58" t="n"/>
      <c r="K30" s="58" t="n"/>
      <c r="L30" s="58" t="n"/>
      <c r="M30" s="58" t="n"/>
    </row>
    <row r="31" customFormat="1" s="488">
      <c r="A31" s="488" t="n"/>
      <c r="B31" s="488" t="n"/>
      <c r="C31" s="488" t="n"/>
      <c r="D31" s="488" t="n"/>
      <c r="E31" s="488" t="n"/>
      <c r="F31" s="488" t="n"/>
      <c r="G31" s="488" t="n"/>
      <c r="H31" s="488" t="n"/>
      <c r="I31" s="488" t="n"/>
      <c r="J31" s="488" t="n"/>
      <c r="K31" s="488" t="n"/>
      <c r="L31" s="488" t="n"/>
      <c r="M31" s="488" t="n"/>
    </row>
  </sheetData>
  <mergeCells count="7">
    <mergeCell ref="B10:D10"/>
    <mergeCell ref="E10:G10"/>
    <mergeCell ref="H10:J10"/>
    <mergeCell ref="A1:M1"/>
    <mergeCell ref="K10:M10"/>
    <mergeCell ref="A10:A11"/>
    <mergeCell ref="A2:M2"/>
  </mergeCells>
  <hyperlinks>
    <hyperlink ref="M3" location="底稿目录!A1" display="='D:\GT_plan\backend\wp_templates\D\[D4-33至D4-36 其他业务收入.xlsx]底稿目录'!F3"/>
  </hyperlinks>
  <pageMargins left="0.7086614173228351" right="0.7086614173228351" top="0.748031496062992" bottom="0.748031496062992" header="0.31496062992126" footer="0.31496062992126"/>
  <pageSetup orientation="landscape" paperSize="9" scale="81" blackAndWhite="1"/>
  <headerFooter>
    <oddHeader/>
    <oddFooter>&amp;C&amp;P/&amp;N</oddFooter>
    <evenHeader/>
    <evenFooter/>
    <firstHeader/>
    <firstFooter/>
  </headerFooter>
</worksheet>
</file>

<file path=xl/worksheets/sheet44.xml><?xml version="1.0" encoding="utf-8"?>
<worksheet xmlns="http://schemas.openxmlformats.org/spreadsheetml/2006/main">
  <sheetPr>
    <outlinePr summaryBelow="1" summaryRight="1"/>
    <pageSetUpPr/>
  </sheetPr>
  <dimension ref="A1:K29"/>
  <sheetViews>
    <sheetView view="pageBreakPreview" zoomScaleNormal="100" workbookViewId="0">
      <selection activeCell="A1" sqref="A1:K1"/>
    </sheetView>
  </sheetViews>
  <sheetFormatPr baseColWidth="8" defaultColWidth="9.81818181818182" defaultRowHeight="20.1" customHeight="1"/>
  <cols>
    <col width="5.34545454545455" customWidth="1" style="108" min="1" max="1"/>
    <col width="9.81818181818182" customWidth="1" style="108" min="2" max="16384"/>
  </cols>
  <sheetData>
    <row r="1" customFormat="1" s="111">
      <c r="A1" s="134" t="inlineStr">
        <is>
          <t>致同会计师事务所</t>
        </is>
      </c>
    </row>
    <row r="2" customFormat="1" s="111">
      <c r="A2" s="135" t="inlineStr">
        <is>
          <t>其他业务收入合同测算表</t>
        </is>
      </c>
    </row>
    <row r="3" customFormat="1" s="111">
      <c r="A3" s="488" t="inlineStr">
        <is>
          <t>被审计单位：</t>
        </is>
      </c>
      <c r="B3" s="109" t="n"/>
      <c r="C3" s="109" t="n"/>
      <c r="D3" s="109" t="n"/>
      <c r="E3" s="110" t="inlineStr">
        <is>
          <t>编制人：</t>
        </is>
      </c>
      <c r="F3" s="111" t="n"/>
      <c r="G3" s="111" t="n"/>
      <c r="H3" s="110" t="inlineStr">
        <is>
          <t>编制日期：</t>
        </is>
      </c>
      <c r="I3" s="111" t="n"/>
      <c r="J3" s="112" t="inlineStr">
        <is>
          <t xml:space="preserve">索引号： </t>
        </is>
      </c>
      <c r="K3" s="303" t="inlineStr">
        <is>
          <t>D4-34</t>
        </is>
      </c>
    </row>
    <row r="4" customFormat="1" s="111">
      <c r="A4" s="488" t="inlineStr">
        <is>
          <t>会计期间：202X年度</t>
        </is>
      </c>
      <c r="B4" s="109" t="n"/>
      <c r="C4" s="109" t="n"/>
      <c r="D4" s="109" t="n"/>
      <c r="E4" s="110" t="inlineStr">
        <is>
          <t>复核人：</t>
        </is>
      </c>
      <c r="F4" s="111" t="n"/>
      <c r="G4" s="111" t="n"/>
      <c r="H4" s="110" t="inlineStr">
        <is>
          <t>复核日期：</t>
        </is>
      </c>
      <c r="I4" s="111" t="n"/>
      <c r="J4" s="112" t="inlineStr">
        <is>
          <t>页次：</t>
        </is>
      </c>
      <c r="K4" s="110" t="n"/>
    </row>
    <row r="5" customFormat="1" s="139">
      <c r="A5" s="118" t="inlineStr">
        <is>
          <t>一、审计目标：</t>
        </is>
      </c>
      <c r="B5" s="114" t="n"/>
      <c r="C5" s="114" t="n"/>
      <c r="D5" s="114" t="n"/>
      <c r="E5" s="114" t="n"/>
      <c r="F5" s="114" t="n"/>
      <c r="G5" s="114" t="n"/>
      <c r="H5" s="114" t="n"/>
      <c r="I5" s="114" t="n"/>
      <c r="J5" s="114" t="n"/>
      <c r="K5" s="114" t="n"/>
    </row>
    <row r="6" customFormat="1" s="139">
      <c r="A6" s="117" t="inlineStr">
        <is>
          <t>1.利润表中记录的其他业务收入已发生，且与被审计单位有关，已记录于恰当的账户。</t>
        </is>
      </c>
      <c r="B6" s="116" t="n"/>
      <c r="C6" s="116" t="n"/>
      <c r="D6" s="116" t="n"/>
      <c r="E6" s="116" t="n"/>
      <c r="F6" s="116" t="n"/>
      <c r="G6" s="116" t="n"/>
      <c r="H6" s="116" t="n"/>
      <c r="I6" s="116" t="n"/>
      <c r="J6" s="116" t="n"/>
      <c r="K6" s="116" t="n"/>
    </row>
    <row r="7" customFormat="1" s="139">
      <c r="A7" s="117" t="inlineStr">
        <is>
          <t>2.所有应当记录的其他业务收入均已记录，所有应当包括在财务报表中的相关披露均已包括</t>
        </is>
      </c>
      <c r="B7" s="116" t="n"/>
      <c r="C7" s="116" t="n"/>
      <c r="D7" s="116" t="n"/>
      <c r="E7" s="116" t="n"/>
      <c r="F7" s="116" t="n"/>
      <c r="G7" s="116" t="n"/>
      <c r="H7" s="116" t="n"/>
      <c r="I7" s="116" t="n"/>
      <c r="J7" s="116" t="n"/>
      <c r="K7" s="116" t="n"/>
    </row>
    <row r="8" customFormat="1" s="139">
      <c r="A8" s="117" t="inlineStr">
        <is>
          <t>3.与其他业务收入有关的金额及其他数据已恰当记录，相关披露已得到恰当计量和描述</t>
        </is>
      </c>
      <c r="B8" s="116" t="n"/>
      <c r="C8" s="116" t="n"/>
      <c r="D8" s="116" t="n"/>
      <c r="E8" s="116" t="n"/>
      <c r="F8" s="116" t="n"/>
      <c r="G8" s="116" t="n"/>
      <c r="H8" s="116" t="n"/>
      <c r="I8" s="116" t="n"/>
      <c r="J8" s="116" t="n"/>
      <c r="K8" s="116" t="n"/>
    </row>
    <row r="9" customFormat="1" s="139">
      <c r="A9" s="117" t="inlineStr">
        <is>
          <t>4.与其他业务收入有关的交易和事项已记录于正确的会计期间。</t>
        </is>
      </c>
      <c r="B9" s="116" t="n"/>
      <c r="C9" s="116" t="n"/>
      <c r="D9" s="116" t="n"/>
      <c r="E9" s="116" t="n"/>
      <c r="F9" s="116" t="n"/>
      <c r="G9" s="116" t="n"/>
      <c r="H9" s="116" t="n"/>
      <c r="I9" s="116" t="n"/>
      <c r="J9" s="116" t="n"/>
      <c r="K9" s="116" t="n"/>
    </row>
    <row r="10" customFormat="1" s="139">
      <c r="A10" s="118" t="inlineStr">
        <is>
          <t>二、审计过程：</t>
        </is>
      </c>
      <c r="B10" s="114" t="n"/>
      <c r="C10" s="114" t="n"/>
      <c r="D10" s="114" t="n"/>
      <c r="E10" s="114" t="n"/>
      <c r="F10" s="114" t="n"/>
      <c r="G10" s="114" t="n"/>
      <c r="H10" s="114" t="n"/>
      <c r="I10" s="114" t="n"/>
      <c r="J10" s="114" t="n"/>
      <c r="K10" s="114" t="n"/>
    </row>
    <row r="11" s="1296">
      <c r="A11" s="119" t="inlineStr">
        <is>
          <t>1.房屋租赁业务（其他租赁可参照）</t>
        </is>
      </c>
      <c r="B11" s="119" t="n"/>
      <c r="C11" s="119" t="n"/>
      <c r="D11" s="119" t="n"/>
      <c r="E11" s="119" t="n"/>
      <c r="F11" s="119" t="n"/>
      <c r="G11" s="119" t="n"/>
      <c r="H11" s="119" t="n"/>
      <c r="I11" s="119" t="n"/>
      <c r="J11" s="119" t="n"/>
      <c r="K11" s="119" t="n"/>
    </row>
    <row r="12" ht="30.75" customHeight="1" s="1296">
      <c r="A12" s="120" t="inlineStr">
        <is>
          <t>序号</t>
        </is>
      </c>
      <c r="B12" s="120" t="inlineStr">
        <is>
          <t>承租方</t>
        </is>
      </c>
      <c r="C12" s="121" t="inlineStr">
        <is>
          <t>租赁期间</t>
        </is>
      </c>
      <c r="D12" s="121" t="inlineStr">
        <is>
          <t>租赁面积</t>
        </is>
      </c>
      <c r="E12" s="121" t="inlineStr">
        <is>
          <t>合同单价</t>
        </is>
      </c>
      <c r="F12" s="121" t="inlineStr">
        <is>
          <t>合同索引</t>
        </is>
      </c>
      <c r="G12" s="121" t="inlineStr">
        <is>
          <t>本期实际
租赁月数</t>
        </is>
      </c>
      <c r="H12" s="121" t="inlineStr">
        <is>
          <t>本期应计收入</t>
        </is>
      </c>
      <c r="I12" s="121" t="inlineStr">
        <is>
          <t>本期实计收入</t>
        </is>
      </c>
      <c r="J12" s="121" t="inlineStr">
        <is>
          <t>差异</t>
        </is>
      </c>
      <c r="K12" s="121" t="inlineStr">
        <is>
          <t>索引号</t>
        </is>
      </c>
    </row>
    <row r="13" s="1296">
      <c r="A13" s="122" t="n">
        <v>1</v>
      </c>
      <c r="B13" s="123" t="n"/>
      <c r="C13" s="124" t="n"/>
      <c r="D13" s="1900" t="n"/>
      <c r="E13" s="1900" t="n"/>
      <c r="F13" s="124" t="n"/>
      <c r="G13" s="1900" t="n"/>
      <c r="H13" s="1900" t="n"/>
      <c r="I13" s="1900" t="n"/>
      <c r="J13" s="1901">
        <f>H13-I13</f>
        <v/>
      </c>
      <c r="K13" s="124" t="n"/>
    </row>
    <row r="14" s="1296">
      <c r="A14" s="122" t="n">
        <v>2</v>
      </c>
      <c r="B14" s="123" t="n"/>
      <c r="C14" s="124" t="n"/>
      <c r="D14" s="1900" t="n"/>
      <c r="E14" s="1900" t="n"/>
      <c r="F14" s="124" t="n"/>
      <c r="G14" s="1900" t="n"/>
      <c r="H14" s="1900" t="n"/>
      <c r="I14" s="1900" t="n"/>
      <c r="J14" s="1901">
        <f>H14-I14</f>
        <v/>
      </c>
      <c r="K14" s="124" t="n"/>
    </row>
    <row r="15" s="1296">
      <c r="A15" s="122" t="n">
        <v>3</v>
      </c>
      <c r="B15" s="123" t="n"/>
      <c r="C15" s="124" t="n"/>
      <c r="D15" s="1900" t="n"/>
      <c r="E15" s="1900" t="n"/>
      <c r="F15" s="124" t="n"/>
      <c r="G15" s="1900" t="n"/>
      <c r="H15" s="1900" t="n"/>
      <c r="I15" s="1900" t="n"/>
      <c r="J15" s="1901">
        <f>H15-I15</f>
        <v/>
      </c>
      <c r="K15" s="124" t="n"/>
    </row>
    <row r="16" s="1296">
      <c r="A16" s="122" t="n">
        <v>4</v>
      </c>
      <c r="B16" s="123" t="n"/>
      <c r="C16" s="124" t="n"/>
      <c r="D16" s="1900" t="n"/>
      <c r="E16" s="1900" t="n"/>
      <c r="F16" s="124" t="n"/>
      <c r="G16" s="1900" t="n"/>
      <c r="H16" s="1900" t="n"/>
      <c r="I16" s="1900" t="n"/>
      <c r="J16" s="1901">
        <f>H16-I16</f>
        <v/>
      </c>
      <c r="K16" s="124" t="n"/>
    </row>
    <row r="17" s="1296">
      <c r="A17" s="122" t="n">
        <v>5</v>
      </c>
      <c r="B17" s="123" t="n"/>
      <c r="C17" s="124" t="n"/>
      <c r="D17" s="1900" t="n"/>
      <c r="E17" s="1900" t="n"/>
      <c r="F17" s="124" t="n"/>
      <c r="G17" s="1900" t="n"/>
      <c r="H17" s="1900" t="n"/>
      <c r="I17" s="1900" t="n"/>
      <c r="J17" s="1901">
        <f>H17-I17</f>
        <v/>
      </c>
      <c r="K17" s="124" t="n"/>
    </row>
    <row r="18" s="1296">
      <c r="A18" s="119" t="inlineStr">
        <is>
          <t>2.咨询业务</t>
        </is>
      </c>
      <c r="B18" s="119" t="n"/>
      <c r="C18" s="119" t="n"/>
      <c r="D18" s="119" t="n"/>
      <c r="E18" s="119" t="n"/>
      <c r="F18" s="119" t="n"/>
      <c r="G18" s="119" t="n"/>
      <c r="H18" s="119" t="n"/>
      <c r="I18" s="119" t="n"/>
      <c r="J18" s="127" t="n"/>
      <c r="K18" s="119" t="n"/>
    </row>
    <row r="19" s="1296">
      <c r="A19" s="120" t="inlineStr">
        <is>
          <t>序号</t>
        </is>
      </c>
      <c r="B19" s="120" t="inlineStr">
        <is>
          <t>委托方</t>
        </is>
      </c>
      <c r="C19" s="1390" t="n"/>
      <c r="D19" s="121" t="inlineStr">
        <is>
          <t>咨询项目</t>
        </is>
      </c>
      <c r="E19" s="121" t="inlineStr">
        <is>
          <t>委托期限</t>
        </is>
      </c>
      <c r="F19" s="121" t="inlineStr">
        <is>
          <t>合同金额</t>
        </is>
      </c>
      <c r="G19" s="121" t="inlineStr">
        <is>
          <t>合同索引</t>
        </is>
      </c>
      <c r="H19" s="121" t="inlineStr">
        <is>
          <t>本期应计收入</t>
        </is>
      </c>
      <c r="I19" s="121" t="inlineStr">
        <is>
          <t>本期实计收入</t>
        </is>
      </c>
      <c r="J19" s="121" t="inlineStr">
        <is>
          <t>差异</t>
        </is>
      </c>
      <c r="K19" s="121" t="inlineStr">
        <is>
          <t>索引号</t>
        </is>
      </c>
    </row>
    <row r="20" s="1296">
      <c r="A20" s="122" t="n">
        <v>1</v>
      </c>
      <c r="B20" s="128" t="n"/>
      <c r="C20" s="1390" t="n"/>
      <c r="D20" s="122" t="n"/>
      <c r="E20" s="124" t="n"/>
      <c r="F20" s="1900" t="n"/>
      <c r="G20" s="1902" t="n"/>
      <c r="H20" s="1900" t="n"/>
      <c r="I20" s="1900" t="n"/>
      <c r="J20" s="1901">
        <f>H20-I20</f>
        <v/>
      </c>
      <c r="K20" s="124" t="n"/>
    </row>
    <row r="21" s="1296">
      <c r="A21" s="122" t="n">
        <v>2</v>
      </c>
      <c r="B21" s="128" t="n"/>
      <c r="C21" s="1390" t="n"/>
      <c r="D21" s="122" t="n"/>
      <c r="E21" s="124" t="n"/>
      <c r="F21" s="1900" t="n"/>
      <c r="G21" s="1902" t="n"/>
      <c r="H21" s="1900" t="n"/>
      <c r="I21" s="1900" t="n"/>
      <c r="J21" s="1901">
        <f>H21-I21</f>
        <v/>
      </c>
      <c r="K21" s="124" t="n"/>
    </row>
    <row r="22" s="1296">
      <c r="A22" s="122" t="n">
        <v>3</v>
      </c>
      <c r="B22" s="128" t="n"/>
      <c r="C22" s="1390" t="n"/>
      <c r="D22" s="122" t="n"/>
      <c r="E22" s="124" t="n"/>
      <c r="F22" s="1900" t="n"/>
      <c r="G22" s="1902" t="n"/>
      <c r="H22" s="1900" t="n"/>
      <c r="I22" s="1900" t="n"/>
      <c r="J22" s="1901">
        <f>H22-I22</f>
        <v/>
      </c>
      <c r="K22" s="124" t="n"/>
    </row>
    <row r="23" s="1296">
      <c r="A23" s="122" t="n">
        <v>4</v>
      </c>
      <c r="B23" s="128" t="n"/>
      <c r="C23" s="1390" t="n"/>
      <c r="D23" s="122" t="n"/>
      <c r="E23" s="124" t="n"/>
      <c r="F23" s="1900" t="n"/>
      <c r="G23" s="1902" t="n"/>
      <c r="H23" s="1900" t="n"/>
      <c r="I23" s="1900" t="n"/>
      <c r="J23" s="1901">
        <f>H23-I23</f>
        <v/>
      </c>
      <c r="K23" s="124" t="n"/>
    </row>
    <row r="24" s="1296">
      <c r="A24" s="122" t="n">
        <v>5</v>
      </c>
      <c r="B24" s="128" t="n"/>
      <c r="C24" s="1390" t="n"/>
      <c r="D24" s="122" t="n"/>
      <c r="E24" s="124" t="n"/>
      <c r="F24" s="1900" t="n"/>
      <c r="G24" s="1902" t="n"/>
      <c r="H24" s="1900" t="n"/>
      <c r="I24" s="1900" t="n"/>
      <c r="J24" s="1901">
        <f>H24-I24</f>
        <v/>
      </c>
      <c r="K24" s="124" t="n"/>
    </row>
    <row r="25" customFormat="1" s="107">
      <c r="A25" s="130" t="inlineStr">
        <is>
          <t>三、审计说明：</t>
        </is>
      </c>
      <c r="B25" s="131" t="n"/>
      <c r="C25" s="131" t="n"/>
      <c r="D25" s="131" t="n"/>
      <c r="E25" s="131" t="n"/>
      <c r="F25" s="131" t="n"/>
      <c r="G25" s="131" t="n"/>
      <c r="H25" s="131" t="n"/>
      <c r="I25" s="131" t="n"/>
      <c r="J25" s="131" t="n"/>
      <c r="K25" s="131" t="n"/>
    </row>
    <row r="26" customFormat="1" s="107">
      <c r="A26" s="132" t="n"/>
      <c r="B26" s="488" t="n"/>
      <c r="C26" s="488" t="n"/>
      <c r="D26" s="488" t="n"/>
      <c r="E26" s="488" t="n"/>
      <c r="F26" s="488" t="n"/>
      <c r="G26" s="488" t="n"/>
      <c r="H26" s="488" t="n"/>
      <c r="I26" s="488" t="n"/>
      <c r="J26" s="488" t="n"/>
      <c r="K26" s="488" t="n"/>
    </row>
    <row r="27" customFormat="1" s="107">
      <c r="A27" s="58" t="n"/>
      <c r="B27" s="488" t="n"/>
      <c r="C27" s="488" t="n"/>
      <c r="D27" s="488" t="n"/>
      <c r="E27" s="488" t="n"/>
      <c r="F27" s="488" t="n"/>
      <c r="G27" s="488" t="n"/>
      <c r="H27" s="488" t="n"/>
      <c r="I27" s="488" t="n"/>
      <c r="J27" s="488" t="n"/>
      <c r="K27" s="488" t="n"/>
    </row>
    <row r="28" customFormat="1" s="107">
      <c r="A28" s="133" t="inlineStr">
        <is>
          <t>四、审计结论：</t>
        </is>
      </c>
      <c r="B28" s="488" t="n"/>
      <c r="C28" s="488" t="n"/>
      <c r="D28" s="488" t="n"/>
      <c r="E28" s="488" t="n"/>
      <c r="F28" s="488" t="n"/>
      <c r="G28" s="488" t="n"/>
      <c r="H28" s="488" t="n"/>
      <c r="I28" s="488" t="n"/>
      <c r="J28" s="488" t="n"/>
      <c r="K28" s="488" t="n"/>
    </row>
    <row r="29" customFormat="1" s="107">
      <c r="A29" s="488" t="n"/>
      <c r="B29" s="488" t="n"/>
      <c r="C29" s="488" t="n"/>
      <c r="D29" s="488" t="n"/>
      <c r="E29" s="488" t="n"/>
      <c r="F29" s="488" t="n"/>
      <c r="G29" s="488" t="n"/>
      <c r="H29" s="488" t="n"/>
      <c r="I29" s="488" t="n"/>
      <c r="J29" s="488" t="n"/>
      <c r="K29" s="488" t="n"/>
    </row>
  </sheetData>
  <mergeCells count="8">
    <mergeCell ref="B24:C24"/>
    <mergeCell ref="B21:C21"/>
    <mergeCell ref="B19:C19"/>
    <mergeCell ref="B20:C20"/>
    <mergeCell ref="A2:K2"/>
    <mergeCell ref="B23:C23"/>
    <mergeCell ref="B22:C22"/>
    <mergeCell ref="A1:K1"/>
  </mergeCells>
  <hyperlinks>
    <hyperlink ref="K3" location="底稿目录!A1" display="='D:\GT_plan\backend\wp_templates\D\[D4-33至D4-36 其他业务收入.xlsx]底稿目录'!F4"/>
  </hyperlinks>
  <pageMargins left="0.708333333333333" right="0.708333333333333" top="0.747916666666667" bottom="0.747916666666667" header="0.314583333333333" footer="0.314583333333333"/>
  <pageSetup orientation="portrait" paperSize="9" scale="85" blackAndWhite="1"/>
  <headerFooter>
    <oddHeader/>
    <oddFooter>&amp;C&amp;P/&amp;N</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AH36"/>
  <sheetViews>
    <sheetView view="pageBreakPreview" zoomScaleNormal="100" workbookViewId="0">
      <selection activeCell="A1" sqref="A1:Q1"/>
    </sheetView>
  </sheetViews>
  <sheetFormatPr baseColWidth="8" defaultColWidth="9.81818181818182" defaultRowHeight="13"/>
  <cols>
    <col width="10.2545454545455" customWidth="1" style="488" min="1" max="1"/>
    <col width="9.81818181818182" customWidth="1" style="488" min="2" max="2"/>
    <col width="21.4909090909091" customWidth="1" style="488" min="3" max="3"/>
    <col width="10.4727272727273" customWidth="1" style="488" min="4" max="4"/>
    <col width="10.5818181818182" customWidth="1" style="488" min="5" max="5"/>
    <col width="12.5454545454545" customWidth="1" style="488" min="6" max="6"/>
    <col width="28.0363636363636" customWidth="1" style="488" min="7" max="7"/>
    <col width="3.81818181818182" customWidth="1" style="488" min="8" max="14"/>
    <col width="10.8" customWidth="1" style="488" min="15" max="15"/>
    <col width="5.56363636363636" customWidth="1" style="488" min="16" max="16"/>
    <col width="12.5454545454545" customWidth="1" style="488" min="17" max="17"/>
    <col width="9.81818181818182" customWidth="1" style="488" min="18" max="16384"/>
  </cols>
  <sheetData>
    <row r="1" ht="20.1" customFormat="1" customHeight="1" s="1092">
      <c r="A1" s="64" t="inlineStr">
        <is>
          <t>致同会计师事务所</t>
        </is>
      </c>
      <c r="B1" s="1311" t="n"/>
      <c r="C1" s="1311" t="n"/>
      <c r="D1" s="1311" t="n"/>
      <c r="E1" s="1311" t="n"/>
      <c r="F1" s="1311" t="n"/>
      <c r="G1" s="1311" t="n"/>
      <c r="H1" s="1311" t="n"/>
      <c r="I1" s="1311" t="n"/>
      <c r="J1" s="1311" t="n"/>
      <c r="K1" s="1311" t="n"/>
      <c r="L1" s="1311" t="n"/>
      <c r="M1" s="1311" t="n"/>
      <c r="N1" s="1311" t="n"/>
      <c r="O1" s="1311" t="n"/>
      <c r="P1" s="1311" t="n"/>
      <c r="Q1" s="1311" t="n"/>
    </row>
    <row r="2" ht="25.2" customFormat="1" customHeight="1" s="1092">
      <c r="A2" s="986" t="inlineStr">
        <is>
          <t>其他业务收入的检查表</t>
        </is>
      </c>
      <c r="B2" s="1311" t="n"/>
      <c r="C2" s="1311" t="n"/>
      <c r="D2" s="1311" t="n"/>
      <c r="E2" s="1311" t="n"/>
      <c r="F2" s="1311" t="n"/>
      <c r="G2" s="1311" t="n"/>
      <c r="H2" s="1311" t="n"/>
      <c r="I2" s="1311" t="n"/>
      <c r="J2" s="1311" t="n"/>
      <c r="K2" s="1311" t="n"/>
      <c r="L2" s="1311" t="n"/>
      <c r="M2" s="1311" t="n"/>
      <c r="N2" s="1311" t="n"/>
      <c r="O2" s="1311" t="n"/>
      <c r="P2" s="1311" t="n"/>
      <c r="Q2" s="1311" t="n"/>
    </row>
    <row r="3" ht="20.1" customHeight="1" s="1296">
      <c r="A3" s="488" t="inlineStr">
        <is>
          <t>被审计单位：</t>
        </is>
      </c>
      <c r="B3" s="66" t="n"/>
      <c r="C3" s="66" t="n"/>
      <c r="D3" s="66" t="inlineStr">
        <is>
          <t>编制人：</t>
        </is>
      </c>
      <c r="G3" s="66" t="inlineStr">
        <is>
          <t>编制日期：</t>
        </is>
      </c>
      <c r="P3" s="1068" t="inlineStr">
        <is>
          <t>索引号：</t>
        </is>
      </c>
      <c r="Q3" s="801" t="inlineStr">
        <is>
          <t>D4-35</t>
        </is>
      </c>
    </row>
    <row r="4" ht="20.1" customHeight="1" s="1296">
      <c r="A4" s="488" t="inlineStr">
        <is>
          <t>会计期间：202X年度</t>
        </is>
      </c>
      <c r="B4" s="66" t="n"/>
      <c r="C4" s="66" t="n"/>
      <c r="D4" s="66" t="inlineStr">
        <is>
          <t>复核人：</t>
        </is>
      </c>
      <c r="G4" s="66" t="inlineStr">
        <is>
          <t>复核日期：</t>
        </is>
      </c>
      <c r="P4" s="1068" t="inlineStr">
        <is>
          <t>页次：</t>
        </is>
      </c>
    </row>
    <row r="5" ht="20.1" customFormat="1" customHeight="1" s="139">
      <c r="A5" s="118" t="inlineStr">
        <is>
          <t>一、审计目标：</t>
        </is>
      </c>
      <c r="B5" s="114" t="n"/>
      <c r="C5" s="114" t="n"/>
      <c r="D5" s="114" t="n"/>
      <c r="E5" s="114" t="n"/>
      <c r="F5" s="114" t="n"/>
      <c r="G5" s="114" t="n"/>
      <c r="H5" s="114" t="n"/>
      <c r="I5" s="114" t="n"/>
      <c r="J5" s="114" t="n"/>
      <c r="K5" s="114" t="n"/>
    </row>
    <row r="6" ht="20.1" customFormat="1" customHeight="1" s="139">
      <c r="A6" s="116" t="inlineStr">
        <is>
          <t>1.利润表中记录的其他业务收入已发生，且与被审计单位有关，已记录于恰当的账户。2.与其他业务收入有关的金额及其他数据已恰当记录，相关披露已得到恰当计量和描述。</t>
        </is>
      </c>
      <c r="B6" s="116" t="n"/>
      <c r="C6" s="116" t="n"/>
      <c r="D6" s="116" t="n"/>
      <c r="E6" s="116" t="n"/>
      <c r="F6" s="116" t="n"/>
      <c r="G6" s="116" t="n"/>
      <c r="H6" s="116" t="n"/>
      <c r="I6" s="116" t="n"/>
      <c r="J6" s="116" t="n"/>
      <c r="K6" s="116" t="n"/>
      <c r="U6" s="116" t="n"/>
    </row>
    <row r="7" ht="20.1" customFormat="1" customHeight="1" s="139">
      <c r="A7" s="114" t="inlineStr">
        <is>
          <t>二、样本选取标准与规模：</t>
        </is>
      </c>
      <c r="B7" s="114" t="n"/>
      <c r="C7" s="114" t="n"/>
      <c r="D7" s="114" t="n"/>
      <c r="E7" s="114" t="n"/>
      <c r="F7" s="114" t="n"/>
      <c r="G7" s="114" t="n"/>
      <c r="H7" s="114" t="n"/>
      <c r="I7" s="114" t="n"/>
      <c r="J7" s="114" t="n"/>
      <c r="K7" s="114" t="n"/>
      <c r="U7" s="116" t="n"/>
    </row>
    <row r="8" ht="20.1" customFormat="1" customHeight="1" s="139">
      <c r="A8" s="1903" t="inlineStr">
        <is>
          <t>测试总体：</t>
        </is>
      </c>
      <c r="B8" s="1658" t="inlineStr">
        <is>
          <t>如借方发生额所有凭证共XX笔金额XX、贷方发生额所有凭证共XX笔金额XX</t>
        </is>
      </c>
      <c r="C8" s="488" t="n"/>
      <c r="D8" s="488" t="n"/>
      <c r="E8" s="488" t="n"/>
      <c r="F8" s="1903" t="inlineStr">
        <is>
          <t>特定样本：</t>
        </is>
      </c>
      <c r="G8" s="1658" t="inlineStr">
        <is>
          <t>XX金额以上（大额）、关联方/关联交易形成的款项、XX异常款项全部测试，共XX笔；</t>
        </is>
      </c>
      <c r="H8" s="114" t="n"/>
      <c r="I8" s="114" t="n"/>
      <c r="J8" s="114" t="n"/>
    </row>
    <row r="9" ht="20.1" customFormat="1" customHeight="1" s="139">
      <c r="A9" s="1903" t="inlineStr">
        <is>
          <t>抽样总体：</t>
        </is>
      </c>
      <c r="B9" s="1658" t="inlineStr">
        <is>
          <t>测试总体扣除特定样本以外的样本，共XX笔、金额XX</t>
        </is>
      </c>
      <c r="C9" s="488" t="n"/>
      <c r="D9" s="488" t="n"/>
      <c r="E9" s="488" t="n"/>
      <c r="F9" s="1903" t="inlineStr">
        <is>
          <t>确定的抽样样本量：</t>
        </is>
      </c>
      <c r="G9" s="1658" t="inlineStr">
        <is>
          <t>抽取XX笔（如果使用了样本计算器计算样本量，样本量计算过程见&lt;XX&gt;底稿）</t>
        </is>
      </c>
      <c r="H9" s="114" t="n"/>
      <c r="I9" s="114" t="n"/>
      <c r="J9" s="114" t="n"/>
    </row>
    <row r="10" ht="20.1" customFormat="1" customHeight="1" s="139">
      <c r="A10" s="1903" t="inlineStr">
        <is>
          <t>抽样方法：</t>
        </is>
      </c>
      <c r="B10" s="1658" t="inlineStr">
        <is>
          <t>随机选样/系统选样/货币单元抽样/随意选样（非统计抽样适用）</t>
        </is>
      </c>
      <c r="C10" s="488" t="n"/>
      <c r="D10" s="488" t="n"/>
      <c r="E10" s="488" t="n"/>
      <c r="F10" s="1903" t="inlineStr">
        <is>
          <t>抽样过程：</t>
        </is>
      </c>
      <c r="G10" s="1658" t="inlineStr">
        <is>
          <t>使用IDEA（XX抽样工具）选择XX数量、金额XX的样本进行测试，抽样工具中的样本选择过程和结果见&lt;XX&gt;底稿</t>
        </is>
      </c>
      <c r="H10" s="114" t="n"/>
      <c r="I10" s="114" t="n"/>
      <c r="J10" s="114" t="n"/>
    </row>
    <row r="11" ht="20.1" customFormat="1" customHeight="1" s="139">
      <c r="A11" s="394" t="inlineStr">
        <is>
          <t>三、测试：</t>
        </is>
      </c>
      <c r="B11" s="1092" t="n"/>
      <c r="C11" s="116" t="n"/>
      <c r="D11" s="116" t="n"/>
      <c r="E11" s="116" t="n"/>
      <c r="F11" s="116" t="n"/>
      <c r="G11" s="116" t="n"/>
    </row>
    <row r="12" ht="20.1" customFormat="1" customHeight="1" s="139">
      <c r="A12" s="76" t="inlineStr">
        <is>
          <t>测试内容说明：1.原始凭证是否齐全；2.记账凭证与原始凭证是否相符；3.账务处理是否正确；4.是否记录于恰当的会计期间；5.……</t>
        </is>
      </c>
      <c r="B12" s="77" t="n"/>
      <c r="C12" s="77" t="n"/>
      <c r="D12" s="78" t="n"/>
      <c r="E12" s="79" t="n"/>
    </row>
    <row r="13" ht="20.1" customHeight="1" s="1296">
      <c r="A13" s="451" t="inlineStr">
        <is>
          <t>日期</t>
        </is>
      </c>
      <c r="B13" s="451" t="inlineStr">
        <is>
          <t>凭证编号</t>
        </is>
      </c>
      <c r="C13" s="451" t="inlineStr">
        <is>
          <t>业务内容</t>
        </is>
      </c>
      <c r="D13" s="451" t="inlineStr">
        <is>
          <t>对方科目</t>
        </is>
      </c>
      <c r="E13" s="451" t="inlineStr">
        <is>
          <t>明细科目</t>
        </is>
      </c>
      <c r="F13" s="452" t="inlineStr">
        <is>
          <t>金额</t>
        </is>
      </c>
      <c r="G13" s="82" t="inlineStr">
        <is>
          <t>支持性文件</t>
        </is>
      </c>
      <c r="H13" s="451" t="inlineStr">
        <is>
          <t>核对内容</t>
        </is>
      </c>
      <c r="I13" s="1327" t="n"/>
      <c r="J13" s="1327" t="n"/>
      <c r="K13" s="1327" t="n"/>
      <c r="L13" s="1327" t="n"/>
      <c r="M13" s="1327" t="n"/>
      <c r="N13" s="1328" t="n"/>
      <c r="O13" s="83" t="inlineStr">
        <is>
          <t>索引号</t>
        </is>
      </c>
      <c r="P13" s="452" t="inlineStr">
        <is>
          <t>是否异常</t>
        </is>
      </c>
      <c r="Q13" s="84" t="inlineStr">
        <is>
          <t>备注说明</t>
        </is>
      </c>
    </row>
    <row r="14" ht="20.1" customHeight="1" s="1296">
      <c r="A14" s="1335" t="n"/>
      <c r="B14" s="1335" t="n"/>
      <c r="C14" s="1335" t="n"/>
      <c r="D14" s="1335" t="n"/>
      <c r="E14" s="1335" t="n"/>
      <c r="F14" s="1335" t="n"/>
      <c r="G14" s="1335" t="n"/>
      <c r="H14" s="451" t="n">
        <v>1</v>
      </c>
      <c r="I14" s="451" t="n">
        <v>2</v>
      </c>
      <c r="J14" s="451" t="n">
        <v>3</v>
      </c>
      <c r="K14" s="451" t="n">
        <v>4</v>
      </c>
      <c r="L14" s="451" t="n">
        <v>5</v>
      </c>
      <c r="M14" s="451" t="n">
        <v>6</v>
      </c>
      <c r="N14" s="451" t="n"/>
      <c r="O14" s="1579" t="n"/>
      <c r="P14" s="1335" t="n"/>
      <c r="Q14" s="1335" t="n"/>
    </row>
    <row r="15" ht="20.1" customHeight="1" s="1296">
      <c r="A15" s="85" t="n"/>
      <c r="B15" s="86" t="n"/>
      <c r="C15" s="87" t="n"/>
      <c r="D15" s="86" t="n"/>
      <c r="E15" s="86" t="n"/>
      <c r="F15" s="1904" t="n"/>
      <c r="G15" s="1905" t="n"/>
      <c r="H15" s="1906" t="n"/>
      <c r="I15" s="1906" t="n"/>
      <c r="J15" s="1906" t="n"/>
      <c r="K15" s="1906" t="n"/>
      <c r="L15" s="1906" t="n"/>
      <c r="M15" s="1906" t="n"/>
      <c r="N15" s="1906" t="n"/>
      <c r="O15" s="91" t="n"/>
      <c r="P15" s="91" t="n"/>
      <c r="Q15" s="87" t="n"/>
      <c r="U15" s="114" t="n"/>
      <c r="V15" s="114" t="n"/>
      <c r="W15" s="114" t="n"/>
      <c r="X15" s="114" t="n"/>
      <c r="Y15" s="139" t="n"/>
      <c r="Z15" s="114" t="n"/>
      <c r="AA15" s="114" t="n"/>
      <c r="AB15" s="114" t="n"/>
      <c r="AC15" s="114" t="n"/>
      <c r="AD15" s="139" t="n"/>
      <c r="AE15" s="139" t="n"/>
      <c r="AF15" s="139" t="n"/>
      <c r="AG15" s="139" t="n"/>
      <c r="AH15" s="139" t="n"/>
    </row>
    <row r="16" ht="20.1" customHeight="1" s="1296">
      <c r="A16" s="85" t="n"/>
      <c r="B16" s="86" t="n"/>
      <c r="C16" s="87" t="n"/>
      <c r="D16" s="86" t="n"/>
      <c r="E16" s="86" t="n"/>
      <c r="F16" s="1904" t="n"/>
      <c r="G16" s="1905" t="n"/>
      <c r="H16" s="1906" t="n"/>
      <c r="I16" s="1906" t="n"/>
      <c r="J16" s="1906" t="n"/>
      <c r="K16" s="1906" t="n"/>
      <c r="L16" s="1906" t="n"/>
      <c r="M16" s="1906" t="n"/>
      <c r="N16" s="1906" t="n"/>
      <c r="O16" s="91" t="n"/>
      <c r="P16" s="91" t="n"/>
      <c r="Q16" s="87" t="n"/>
      <c r="AB16" s="488" t="n"/>
      <c r="AC16" s="139" t="n"/>
      <c r="AD16" s="139" t="n"/>
      <c r="AE16" s="1907" t="n"/>
      <c r="AF16" s="1907" t="n"/>
      <c r="AG16" s="1907" t="n"/>
      <c r="AH16" s="139" t="n"/>
    </row>
    <row r="17" ht="20.1" customHeight="1" s="1296">
      <c r="A17" s="85" t="n"/>
      <c r="B17" s="86" t="n"/>
      <c r="C17" s="87" t="n"/>
      <c r="D17" s="86" t="n"/>
      <c r="E17" s="86" t="n"/>
      <c r="F17" s="1904" t="n"/>
      <c r="G17" s="1905" t="n"/>
      <c r="H17" s="1906" t="n"/>
      <c r="I17" s="1906" t="n"/>
      <c r="J17" s="1906" t="n"/>
      <c r="K17" s="1906" t="n"/>
      <c r="L17" s="1906" t="n"/>
      <c r="M17" s="1906" t="n"/>
      <c r="N17" s="1906" t="n"/>
      <c r="O17" s="91" t="n"/>
      <c r="P17" s="91" t="n"/>
      <c r="Q17" s="87" t="n"/>
      <c r="AB17" s="488" t="n"/>
      <c r="AC17" s="139" t="n"/>
      <c r="AD17" s="139" t="n"/>
      <c r="AE17" s="1907" t="n"/>
      <c r="AF17" s="1907" t="n"/>
      <c r="AG17" s="1907" t="n"/>
      <c r="AH17" s="139" t="n"/>
    </row>
    <row r="18" ht="20.1" customHeight="1" s="1296">
      <c r="A18" s="85" t="n"/>
      <c r="B18" s="86" t="n"/>
      <c r="C18" s="87" t="n"/>
      <c r="D18" s="86" t="n"/>
      <c r="E18" s="86" t="n"/>
      <c r="F18" s="1904" t="n"/>
      <c r="G18" s="1905" t="n"/>
      <c r="H18" s="1906" t="n"/>
      <c r="I18" s="1906" t="n"/>
      <c r="J18" s="1906" t="n"/>
      <c r="K18" s="1906" t="n"/>
      <c r="L18" s="1906" t="n"/>
      <c r="M18" s="1906" t="n"/>
      <c r="N18" s="1906" t="n"/>
      <c r="O18" s="91" t="n"/>
      <c r="P18" s="91" t="n"/>
      <c r="Q18" s="87" t="n"/>
      <c r="AB18" s="488" t="n"/>
      <c r="AC18" s="139" t="n"/>
      <c r="AD18" s="139" t="n"/>
      <c r="AE18" s="1907" t="n"/>
      <c r="AF18" s="1907" t="n"/>
      <c r="AG18" s="1907" t="n"/>
      <c r="AH18" s="139" t="n"/>
    </row>
    <row r="19" ht="20.1" customHeight="1" s="1296">
      <c r="A19" s="85" t="n"/>
      <c r="B19" s="86" t="n"/>
      <c r="C19" s="87" t="n"/>
      <c r="D19" s="86" t="n"/>
      <c r="E19" s="86" t="n"/>
      <c r="F19" s="1904" t="n"/>
      <c r="G19" s="1905" t="n"/>
      <c r="H19" s="1906" t="n"/>
      <c r="I19" s="1906" t="n"/>
      <c r="J19" s="1906" t="n"/>
      <c r="K19" s="1906" t="n"/>
      <c r="L19" s="1906" t="n"/>
      <c r="M19" s="1906" t="n"/>
      <c r="N19" s="1906" t="n"/>
      <c r="O19" s="91" t="n"/>
      <c r="P19" s="91" t="n"/>
      <c r="Q19" s="87" t="n"/>
      <c r="AB19" s="488" t="n"/>
      <c r="AC19" s="139" t="n"/>
      <c r="AD19" s="139" t="n"/>
      <c r="AE19" s="1907" t="n"/>
      <c r="AF19" s="1907" t="n"/>
      <c r="AG19" s="1907" t="n"/>
      <c r="AH19" s="139" t="n"/>
    </row>
    <row r="20" ht="20.1" customHeight="1" s="1296">
      <c r="A20" s="85" t="n"/>
      <c r="B20" s="86" t="n"/>
      <c r="C20" s="87" t="n"/>
      <c r="D20" s="86" t="n"/>
      <c r="E20" s="86" t="n"/>
      <c r="F20" s="1904" t="n"/>
      <c r="G20" s="1905" t="n"/>
      <c r="H20" s="1906" t="n"/>
      <c r="I20" s="1906" t="n"/>
      <c r="J20" s="1906" t="n"/>
      <c r="K20" s="1906" t="n"/>
      <c r="L20" s="1906" t="n"/>
      <c r="M20" s="1906" t="n"/>
      <c r="N20" s="1906" t="n"/>
      <c r="O20" s="91" t="n"/>
      <c r="P20" s="91" t="n"/>
      <c r="Q20" s="87" t="n"/>
      <c r="AB20" s="488" t="n"/>
      <c r="AC20" s="139" t="n"/>
      <c r="AD20" s="139" t="n"/>
      <c r="AE20" s="1907" t="n"/>
      <c r="AF20" s="1907" t="n"/>
      <c r="AG20" s="1907" t="n"/>
      <c r="AH20" s="139" t="n"/>
    </row>
    <row r="21" ht="20.1" customHeight="1" s="1296">
      <c r="A21" s="85" t="n"/>
      <c r="B21" s="86" t="n"/>
      <c r="C21" s="87" t="n"/>
      <c r="D21" s="86" t="n"/>
      <c r="E21" s="86" t="n"/>
      <c r="F21" s="1904" t="n"/>
      <c r="G21" s="1905" t="n"/>
      <c r="H21" s="1906" t="n"/>
      <c r="I21" s="1906" t="n"/>
      <c r="J21" s="1906" t="n"/>
      <c r="K21" s="1906" t="n"/>
      <c r="L21" s="1906" t="n"/>
      <c r="M21" s="1906" t="n"/>
      <c r="N21" s="1906" t="n"/>
      <c r="O21" s="91" t="n"/>
      <c r="P21" s="91" t="n"/>
      <c r="Q21" s="87" t="n"/>
      <c r="AC21" s="1658" t="n"/>
      <c r="AD21" s="139" t="n"/>
      <c r="AE21" s="1907" t="n"/>
      <c r="AF21" s="1903" t="n"/>
      <c r="AG21" s="1658" t="n"/>
      <c r="AH21" s="139" t="n"/>
    </row>
    <row r="22" ht="20.1" customHeight="1" s="1296">
      <c r="A22" s="85" t="n"/>
      <c r="B22" s="86" t="n"/>
      <c r="C22" s="87" t="n"/>
      <c r="D22" s="86" t="n"/>
      <c r="E22" s="86" t="n"/>
      <c r="F22" s="1904" t="n"/>
      <c r="G22" s="1905" t="n"/>
      <c r="H22" s="1906" t="n"/>
      <c r="I22" s="1906" t="n"/>
      <c r="J22" s="1906" t="n"/>
      <c r="K22" s="1906" t="n"/>
      <c r="L22" s="1906" t="n"/>
      <c r="M22" s="1906" t="n"/>
      <c r="N22" s="1906" t="n"/>
      <c r="O22" s="91" t="n"/>
      <c r="P22" s="91" t="n"/>
      <c r="Q22" s="87" t="n"/>
      <c r="AC22" s="1658" t="n"/>
      <c r="AD22" s="139" t="n"/>
      <c r="AE22" s="1907" t="n"/>
      <c r="AF22" s="1903" t="n"/>
      <c r="AG22" s="1658" t="n"/>
      <c r="AH22" s="139" t="n"/>
    </row>
    <row r="23" ht="20.1" customHeight="1" s="1296">
      <c r="A23" s="85" t="n"/>
      <c r="B23" s="86" t="n"/>
      <c r="C23" s="87" t="n"/>
      <c r="D23" s="86" t="n"/>
      <c r="E23" s="86" t="n"/>
      <c r="F23" s="1904" t="n"/>
      <c r="G23" s="1905" t="n"/>
      <c r="H23" s="1906" t="n"/>
      <c r="I23" s="1906" t="n"/>
      <c r="J23" s="1906" t="n"/>
      <c r="K23" s="1906" t="n"/>
      <c r="L23" s="1906" t="n"/>
      <c r="M23" s="1906" t="n"/>
      <c r="N23" s="1906" t="n"/>
      <c r="O23" s="91" t="n"/>
      <c r="P23" s="91" t="n"/>
      <c r="Q23" s="87" t="n"/>
      <c r="AC23" s="1658" t="n"/>
      <c r="AD23" s="139" t="n"/>
      <c r="AE23" s="1907" t="n"/>
      <c r="AF23" s="1903" t="n"/>
      <c r="AG23" s="1658" t="n"/>
      <c r="AH23" s="139" t="n"/>
    </row>
    <row r="24" ht="20.1" customHeight="1" s="1296">
      <c r="A24" s="85" t="n"/>
      <c r="B24" s="86" t="n"/>
      <c r="C24" s="87" t="n"/>
      <c r="D24" s="86" t="n"/>
      <c r="E24" s="86" t="n"/>
      <c r="F24" s="1904" t="n"/>
      <c r="G24" s="1905" t="n"/>
      <c r="H24" s="1906" t="n"/>
      <c r="I24" s="1906" t="n"/>
      <c r="J24" s="1906" t="n"/>
      <c r="K24" s="1906" t="n"/>
      <c r="L24" s="1906" t="n"/>
      <c r="M24" s="1906" t="n"/>
      <c r="N24" s="1906" t="n"/>
      <c r="O24" s="91" t="n"/>
      <c r="P24" s="91" t="n"/>
      <c r="Q24" s="87" t="n"/>
      <c r="AC24" s="1658" t="n"/>
      <c r="AD24" s="139" t="n"/>
      <c r="AE24" s="1907" t="n"/>
      <c r="AF24" s="1903" t="n"/>
      <c r="AG24" s="1658" t="n"/>
      <c r="AH24" s="139" t="n"/>
    </row>
    <row r="25" ht="20.1" customHeight="1" s="1296">
      <c r="A25" s="85" t="n"/>
      <c r="B25" s="86" t="n"/>
      <c r="C25" s="87" t="n"/>
      <c r="D25" s="86" t="n"/>
      <c r="E25" s="86" t="n"/>
      <c r="F25" s="1904" t="n"/>
      <c r="G25" s="1905" t="n"/>
      <c r="H25" s="1906" t="n"/>
      <c r="I25" s="1906" t="n"/>
      <c r="J25" s="1906" t="n"/>
      <c r="K25" s="1906" t="n"/>
      <c r="L25" s="1906" t="n"/>
      <c r="M25" s="1906" t="n"/>
      <c r="N25" s="1906" t="n"/>
      <c r="O25" s="91" t="n"/>
      <c r="P25" s="91" t="n"/>
      <c r="Q25" s="87" t="n"/>
      <c r="AB25" s="488" t="n"/>
      <c r="AC25" s="139" t="n"/>
      <c r="AD25" s="1907" t="inlineStr">
        <is>
          <t xml:space="preserve"> </t>
        </is>
      </c>
      <c r="AE25" s="1907" t="n"/>
      <c r="AF25" s="1903" t="n"/>
      <c r="AG25" s="1658" t="n"/>
      <c r="AH25" s="139" t="n"/>
    </row>
    <row r="26" ht="20.1" customFormat="1" customHeight="1" s="63">
      <c r="A26" s="93" t="inlineStr">
        <is>
          <t>合计</t>
        </is>
      </c>
      <c r="B26" s="1327" t="n"/>
      <c r="C26" s="1327" t="n"/>
      <c r="D26" s="1328" t="n"/>
      <c r="E26" s="94" t="n"/>
      <c r="F26" s="1908">
        <f>SUM(F15:F25)</f>
        <v/>
      </c>
      <c r="G26" s="1909" t="n"/>
      <c r="H26" s="1910" t="n"/>
      <c r="I26" s="1910" t="n"/>
      <c r="J26" s="1910" t="n"/>
      <c r="K26" s="1910" t="n"/>
      <c r="L26" s="1910" t="n"/>
      <c r="M26" s="1910" t="n"/>
      <c r="N26" s="1910" t="n"/>
      <c r="O26" s="451" t="n"/>
      <c r="P26" s="451" t="n"/>
      <c r="Q26" s="98" t="n"/>
      <c r="U26" s="99" t="n"/>
      <c r="V26" s="99" t="n"/>
      <c r="W26" s="100" t="n"/>
      <c r="X26" s="101" t="n"/>
      <c r="Y26" s="102" t="n"/>
      <c r="Z26" s="103" t="n"/>
      <c r="AA26" s="103" t="n"/>
      <c r="AB26" s="103" t="n"/>
      <c r="AC26" s="103" t="n"/>
      <c r="AD26" s="103" t="n"/>
      <c r="AE26" s="103" t="n"/>
      <c r="AF26" s="103" t="n"/>
      <c r="AG26" s="103" t="n"/>
      <c r="AH26" s="103" t="n"/>
    </row>
    <row r="27" ht="20.1" customFormat="1" customHeight="1" s="63">
      <c r="A27" s="93" t="inlineStr">
        <is>
          <t>本期发生额</t>
        </is>
      </c>
      <c r="B27" s="1327" t="n"/>
      <c r="C27" s="1327" t="n"/>
      <c r="D27" s="1328" t="n"/>
      <c r="E27" s="94" t="n"/>
      <c r="F27" s="1908" t="n">
        <v>0</v>
      </c>
      <c r="G27" s="1909" t="n"/>
      <c r="H27" s="1910" t="n"/>
      <c r="I27" s="1910" t="n"/>
      <c r="J27" s="1910" t="n"/>
      <c r="K27" s="1910" t="n"/>
      <c r="L27" s="1910" t="n"/>
      <c r="M27" s="1910" t="n"/>
      <c r="N27" s="1910" t="n"/>
      <c r="O27" s="451" t="n"/>
      <c r="P27" s="451" t="n"/>
      <c r="Q27" s="98" t="n"/>
      <c r="U27" s="99" t="n"/>
      <c r="V27" s="99" t="n"/>
      <c r="W27" s="100" t="n"/>
      <c r="X27" s="101" t="n"/>
      <c r="Y27" s="102" t="n"/>
      <c r="Z27" s="103" t="n"/>
      <c r="AA27" s="103" t="n"/>
      <c r="AB27" s="103" t="n"/>
      <c r="AC27" s="103" t="n"/>
      <c r="AD27" s="103" t="n"/>
      <c r="AE27" s="103" t="n"/>
      <c r="AF27" s="103" t="n"/>
      <c r="AG27" s="103" t="n"/>
      <c r="AH27" s="103" t="n"/>
    </row>
    <row r="28" ht="20.1" customFormat="1" customHeight="1" s="63">
      <c r="A28" s="93" t="inlineStr">
        <is>
          <t>检查比例</t>
        </is>
      </c>
      <c r="B28" s="1327" t="n"/>
      <c r="C28" s="1327" t="n"/>
      <c r="D28" s="1328" t="n"/>
      <c r="E28" s="94" t="n"/>
      <c r="F28" s="104">
        <f>F26/F27</f>
        <v/>
      </c>
      <c r="G28" s="1909" t="n"/>
      <c r="H28" s="1910" t="n"/>
      <c r="I28" s="1910" t="n"/>
      <c r="J28" s="1910" t="n"/>
      <c r="K28" s="1910" t="n"/>
      <c r="L28" s="1910" t="n"/>
      <c r="M28" s="1910" t="n"/>
      <c r="N28" s="1910" t="n"/>
      <c r="O28" s="451" t="n"/>
      <c r="P28" s="451" t="n"/>
      <c r="Q28" s="98" t="n"/>
    </row>
    <row r="29" ht="20.1" customHeight="1" s="1296">
      <c r="A29" s="394" t="inlineStr">
        <is>
          <t>四、审计说明：</t>
        </is>
      </c>
      <c r="H29" s="1092" t="n"/>
      <c r="I29" s="105" t="n"/>
      <c r="J29" s="105" t="n"/>
      <c r="K29" s="105" t="n"/>
      <c r="L29" s="105" t="n"/>
      <c r="M29" s="105" t="n"/>
      <c r="N29" s="105" t="n"/>
      <c r="O29" s="105" t="n"/>
      <c r="P29" s="105" t="n"/>
      <c r="Q29" s="66" t="n"/>
    </row>
    <row r="30" ht="20.1" customHeight="1" s="1296">
      <c r="H30" s="66" t="n"/>
      <c r="J30" s="66" t="n"/>
      <c r="K30" s="66" t="n"/>
      <c r="L30" s="66" t="n"/>
      <c r="M30" s="66" t="n"/>
      <c r="N30" s="66" t="n"/>
      <c r="O30" s="66" t="n"/>
      <c r="P30" s="66" t="n"/>
      <c r="Q30" s="66" t="n"/>
    </row>
    <row r="31" ht="20.1" customHeight="1" s="1296">
      <c r="H31" s="66" t="n"/>
      <c r="I31" s="66" t="n"/>
      <c r="J31" s="66" t="n"/>
      <c r="K31" s="66" t="n"/>
      <c r="L31" s="66" t="n"/>
      <c r="M31" s="66" t="n"/>
      <c r="N31" s="66" t="n"/>
      <c r="O31" s="66" t="n"/>
      <c r="P31" s="66" t="n"/>
      <c r="Q31" s="66" t="n"/>
    </row>
    <row r="32" ht="20.1" customHeight="1" s="1296">
      <c r="H32" s="66" t="n"/>
      <c r="I32" s="66" t="n"/>
      <c r="J32" s="66" t="n"/>
      <c r="K32" s="66" t="n"/>
      <c r="L32" s="66" t="n"/>
      <c r="M32" s="66" t="n"/>
      <c r="N32" s="66" t="n"/>
      <c r="O32" s="66" t="n"/>
      <c r="P32" s="66" t="n"/>
      <c r="Q32" s="66" t="n"/>
    </row>
    <row r="33" ht="20.1" customHeight="1" s="1296">
      <c r="A33" s="1092" t="inlineStr">
        <is>
          <t>五、审计结论：</t>
        </is>
      </c>
      <c r="H33" s="66" t="n"/>
      <c r="I33" s="66" t="n"/>
      <c r="J33" s="66" t="n"/>
      <c r="K33" s="66" t="n"/>
      <c r="L33" s="66" t="n"/>
      <c r="M33" s="66" t="n"/>
      <c r="N33" s="66" t="n"/>
      <c r="O33" s="66" t="n"/>
      <c r="P33" s="66" t="n"/>
      <c r="Q33" s="66" t="n"/>
    </row>
    <row r="34" ht="20.1" customHeight="1" s="1296">
      <c r="H34" s="66" t="n"/>
      <c r="I34" s="66" t="n"/>
      <c r="J34" s="66" t="n"/>
      <c r="K34" s="66" t="n"/>
      <c r="L34" s="66" t="n"/>
      <c r="M34" s="66" t="n"/>
      <c r="N34" s="66" t="n"/>
      <c r="O34" s="66" t="n"/>
      <c r="P34" s="66" t="n"/>
      <c r="Q34" s="66" t="n"/>
    </row>
    <row r="35" ht="18" customHeight="1" s="1296">
      <c r="A35" s="105" t="n"/>
      <c r="C35" s="66" t="n"/>
      <c r="D35" s="66" t="n"/>
      <c r="E35" s="66" t="n"/>
      <c r="F35" s="66" t="n"/>
      <c r="G35" s="66" t="n"/>
      <c r="H35" s="66" t="n"/>
      <c r="I35" s="66" t="n"/>
      <c r="J35" s="66" t="n"/>
      <c r="K35" s="66" t="n"/>
      <c r="L35" s="66" t="n"/>
      <c r="M35" s="66" t="n"/>
      <c r="N35" s="66" t="n"/>
      <c r="O35" s="66" t="n"/>
      <c r="P35" s="66" t="n"/>
      <c r="Q35" s="66" t="n"/>
    </row>
    <row r="36" ht="18" customHeight="1" s="1296">
      <c r="A36" s="105" t="n"/>
      <c r="C36" s="66" t="n"/>
      <c r="D36" s="66" t="n"/>
      <c r="E36" s="66" t="n"/>
      <c r="F36" s="66" t="n"/>
      <c r="G36" s="66" t="n"/>
      <c r="H36" s="66" t="n"/>
      <c r="I36" s="66" t="n"/>
      <c r="J36" s="66" t="n"/>
      <c r="K36" s="66" t="n"/>
      <c r="L36" s="66" t="n"/>
      <c r="M36" s="66" t="n"/>
      <c r="N36" s="66" t="n"/>
      <c r="O36" s="66" t="n"/>
      <c r="P36" s="66" t="n"/>
      <c r="Q36" s="66" t="n"/>
    </row>
  </sheetData>
  <mergeCells count="16">
    <mergeCell ref="F13:F14"/>
    <mergeCell ref="A27:D27"/>
    <mergeCell ref="O13:O14"/>
    <mergeCell ref="H13:N13"/>
    <mergeCell ref="A13:A14"/>
    <mergeCell ref="B13:B14"/>
    <mergeCell ref="E13:E14"/>
    <mergeCell ref="A26:D26"/>
    <mergeCell ref="D13:D14"/>
    <mergeCell ref="G13:G14"/>
    <mergeCell ref="P13:P14"/>
    <mergeCell ref="A2:Q2"/>
    <mergeCell ref="Q13:Q14"/>
    <mergeCell ref="A28:D28"/>
    <mergeCell ref="A1:Q1"/>
    <mergeCell ref="C13:C14"/>
  </mergeCells>
  <dataValidations count="1">
    <dataValidation sqref="H15:N28" showDropDown="0" showInputMessage="1" showErrorMessage="1" allowBlank="1" type="list">
      <formula1>"√,×"</formula1>
    </dataValidation>
  </dataValidations>
  <hyperlinks>
    <hyperlink ref="Q3" location="底稿目录!A1" display="='D:\GT_plan\backend\wp_templates\D\[D4-33至D4-36 其他业务收入.xlsx]底稿目录'!F5"/>
  </hyperlinks>
  <pageMargins left="0.7086614173228351" right="0.7086614173228351" top="0.748031496062992" bottom="0.748031496062992" header="0.31496062992126" footer="0.31496062992126"/>
  <pageSetup orientation="landscape" paperSize="9" scale="80" blackAndWhite="1"/>
  <headerFooter>
    <oddHeader/>
    <oddFooter>&amp;C&amp;P/&amp;N</oddFooter>
    <evenHeader/>
    <evenFooter/>
    <firstHeader/>
    <firstFooter/>
  </headerFooter>
</worksheet>
</file>

<file path=xl/worksheets/sheet46.xml><?xml version="1.0" encoding="utf-8"?>
<worksheet xmlns="http://schemas.openxmlformats.org/spreadsheetml/2006/main">
  <sheetPr>
    <outlinePr summaryBelow="1" summaryRight="1"/>
    <pageSetUpPr/>
  </sheetPr>
  <dimension ref="A1:M59"/>
  <sheetViews>
    <sheetView view="pageBreakPreview" zoomScaleNormal="100" workbookViewId="0">
      <selection activeCell="A1" sqref="A1:K1"/>
    </sheetView>
  </sheetViews>
  <sheetFormatPr baseColWidth="8" defaultColWidth="9.81818181818182" defaultRowHeight="20.1" customHeight="1"/>
  <cols>
    <col width="9.81818181818182" customWidth="1" style="488" min="1" max="11"/>
    <col width="9.49090909090909" customWidth="1" style="488" min="12" max="12"/>
    <col width="9.81818181818182" customWidth="1" style="488" min="13" max="16384"/>
  </cols>
  <sheetData>
    <row r="1" s="1296">
      <c r="A1" s="134" t="inlineStr">
        <is>
          <t>致同会计师事务所</t>
        </is>
      </c>
      <c r="L1" s="4" t="n"/>
      <c r="M1" s="4" t="n"/>
    </row>
    <row r="2" s="1296">
      <c r="A2" s="135" t="inlineStr">
        <is>
          <t>其他业务收入截止性测试</t>
        </is>
      </c>
      <c r="L2" s="4" t="n"/>
      <c r="M2" s="4" t="n"/>
    </row>
    <row r="3" s="1296">
      <c r="A3" s="109" t="inlineStr">
        <is>
          <t>被审计单位：</t>
        </is>
      </c>
      <c r="B3" s="109" t="n"/>
      <c r="C3" s="109" t="n"/>
      <c r="D3" s="109" t="n"/>
      <c r="E3" s="112" t="inlineStr">
        <is>
          <t>编制人：</t>
        </is>
      </c>
      <c r="F3" s="488" t="n"/>
      <c r="G3" s="488" t="n"/>
      <c r="H3" s="112" t="inlineStr">
        <is>
          <t>编制日期：</t>
        </is>
      </c>
      <c r="I3" s="488" t="n"/>
      <c r="J3" s="112" t="inlineStr">
        <is>
          <t xml:space="preserve">   索引号： </t>
        </is>
      </c>
      <c r="K3" s="303" t="inlineStr">
        <is>
          <t>D4-36</t>
        </is>
      </c>
    </row>
    <row r="4" s="1296">
      <c r="A4" s="109" t="inlineStr">
        <is>
          <t>会计期间：202X年度</t>
        </is>
      </c>
      <c r="B4" s="109" t="n"/>
      <c r="C4" s="109" t="n"/>
      <c r="D4" s="109" t="n"/>
      <c r="E4" s="112" t="inlineStr">
        <is>
          <t>复核人：</t>
        </is>
      </c>
      <c r="F4" s="488" t="n"/>
      <c r="G4" s="488" t="n"/>
      <c r="H4" s="112" t="inlineStr">
        <is>
          <t>复核日期：</t>
        </is>
      </c>
      <c r="I4" s="488" t="n"/>
      <c r="J4" s="110" t="inlineStr">
        <is>
          <t>页次：</t>
        </is>
      </c>
      <c r="K4" s="488" t="n"/>
    </row>
    <row r="5" customFormat="1" s="488">
      <c r="A5" s="20" t="inlineStr">
        <is>
          <t>一、审计目标</t>
        </is>
      </c>
      <c r="B5" s="22" t="n"/>
      <c r="C5" s="22" t="n"/>
      <c r="D5" s="22" t="n"/>
      <c r="E5" s="22" t="n"/>
      <c r="F5" s="22" t="n"/>
      <c r="G5" s="22" t="n"/>
      <c r="H5" s="22" t="n"/>
      <c r="I5" s="22" t="n"/>
      <c r="J5" s="22" t="n"/>
      <c r="K5" s="488" t="n"/>
    </row>
    <row r="6" customFormat="1" s="488">
      <c r="A6" s="21" t="inlineStr">
        <is>
          <t>确认与其他业务收入有关事项已记录于正确的会计期间。</t>
        </is>
      </c>
      <c r="B6" s="257" t="n"/>
      <c r="C6" s="21" t="n"/>
      <c r="D6" s="21" t="n"/>
      <c r="E6" s="21" t="n"/>
      <c r="F6" s="21" t="n"/>
      <c r="G6" s="21" t="n"/>
      <c r="H6" s="21" t="n"/>
      <c r="I6" s="21" t="n"/>
      <c r="J6" s="21" t="n"/>
      <c r="K6" s="488" t="n"/>
    </row>
    <row r="7" customFormat="1" s="488">
      <c r="A7" s="20" t="inlineStr">
        <is>
          <t>二、审计过程</t>
        </is>
      </c>
      <c r="B7" s="22" t="n"/>
      <c r="C7" s="22" t="n"/>
      <c r="D7" s="22" t="n"/>
      <c r="E7" s="22" t="n"/>
      <c r="F7" s="22" t="n"/>
      <c r="G7" s="22" t="n"/>
      <c r="H7" s="22" t="n"/>
      <c r="I7" s="22" t="n"/>
      <c r="J7" s="22" t="n"/>
      <c r="K7" s="488" t="n"/>
    </row>
    <row r="8" customFormat="1" s="488">
      <c r="A8" s="267" t="inlineStr">
        <is>
          <t>1.获取报表日前（______）天、后（______）天，且金额大于______元收入记账凭证与发货单（或验收单、出库单等）核对确认</t>
        </is>
      </c>
      <c r="B8" s="17" t="n"/>
      <c r="C8" s="355" t="n"/>
      <c r="D8" s="355" t="n"/>
      <c r="E8" s="355" t="n"/>
      <c r="F8" s="355" t="n"/>
      <c r="G8" s="355" t="n"/>
      <c r="H8" s="355" t="n"/>
      <c r="I8" s="355" t="n"/>
      <c r="J8" s="355" t="n"/>
      <c r="K8" s="488" t="n"/>
    </row>
    <row r="9" customFormat="1" s="488">
      <c r="A9" s="267" t="inlineStr">
        <is>
          <t>收入是否记入了恰当的期间；</t>
        </is>
      </c>
      <c r="B9" s="17" t="n"/>
      <c r="C9" s="355" t="n"/>
      <c r="D9" s="355" t="n"/>
      <c r="E9" s="355" t="n"/>
      <c r="F9" s="355" t="n"/>
      <c r="G9" s="355" t="n"/>
      <c r="H9" s="355" t="n"/>
      <c r="I9" s="355" t="n"/>
      <c r="J9" s="355" t="n"/>
      <c r="K9" s="488" t="n"/>
    </row>
    <row r="10" customFormat="1" s="488">
      <c r="A10" s="267" t="inlineStr">
        <is>
          <t>2.获取报表日前（______）天、后（______）天，且金额大于______元发货单（或验收单、出库单等）与收入记账凭证核对确认</t>
        </is>
      </c>
      <c r="B10" s="21" t="n"/>
      <c r="C10" s="22" t="n"/>
      <c r="D10" s="22" t="n"/>
      <c r="E10" s="22" t="n"/>
      <c r="F10" s="22" t="n"/>
      <c r="G10" s="22" t="n"/>
      <c r="H10" s="22" t="n"/>
      <c r="I10" s="22" t="n"/>
      <c r="J10" s="22" t="n"/>
      <c r="K10" s="488" t="n"/>
    </row>
    <row r="11" customFormat="1" s="488">
      <c r="A11" s="267" t="inlineStr">
        <is>
          <t>收入是否记入了恰当的期间；</t>
        </is>
      </c>
      <c r="B11" s="21" t="n"/>
      <c r="C11" s="22" t="n"/>
      <c r="D11" s="22" t="n"/>
      <c r="E11" s="22" t="n"/>
      <c r="F11" s="22" t="n"/>
      <c r="G11" s="22" t="n"/>
      <c r="H11" s="22" t="n"/>
      <c r="I11" s="22" t="n"/>
      <c r="J11" s="22" t="n"/>
      <c r="K11" s="488" t="n"/>
    </row>
    <row r="12" ht="36" customFormat="1" customHeight="1" s="488">
      <c r="A12" s="19" t="inlineStr">
        <is>
          <t>如果存在跨期舞弊风险或者所检查样本中发现有跨期的，应扩大测试期间和样本，甚至可以考虑将截止测试期间延长至审计报告日。同时考虑是否存在内控缺陷。</t>
        </is>
      </c>
    </row>
    <row r="13" customFormat="1" s="488">
      <c r="A13" s="20" t="inlineStr">
        <is>
          <t>（一）账到单据</t>
        </is>
      </c>
      <c r="B13" s="21" t="n"/>
      <c r="C13" s="22" t="n"/>
      <c r="D13" s="22" t="n"/>
      <c r="E13" s="22" t="n"/>
      <c r="F13" s="22" t="n"/>
      <c r="G13" s="22" t="n"/>
      <c r="H13" s="22" t="n"/>
      <c r="I13" s="22" t="n"/>
      <c r="J13" s="22" t="n"/>
    </row>
    <row r="14" s="1296">
      <c r="A14" s="451" t="inlineStr">
        <is>
          <t>记账凭证</t>
        </is>
      </c>
      <c r="B14" s="1327" t="n"/>
      <c r="C14" s="1327" t="n"/>
      <c r="D14" s="1327" t="n"/>
      <c r="E14" s="1328" t="n"/>
      <c r="F14" s="1911" t="inlineStr">
        <is>
          <t>发货单（或验收单、出库单等）</t>
        </is>
      </c>
      <c r="G14" s="1912" t="n"/>
      <c r="H14" s="1912" t="n"/>
      <c r="I14" s="1912" t="n"/>
      <c r="J14" s="1913" t="n"/>
      <c r="K14" s="452" t="inlineStr">
        <is>
          <t>是否跨期√(×)</t>
        </is>
      </c>
    </row>
    <row r="15" s="1296">
      <c r="A15" s="1722" t="inlineStr">
        <is>
          <t>日期</t>
        </is>
      </c>
      <c r="B15" s="1722" t="inlineStr">
        <is>
          <t>编号</t>
        </is>
      </c>
      <c r="C15" s="1722" t="inlineStr">
        <is>
          <t>品名</t>
        </is>
      </c>
      <c r="D15" s="1722" t="inlineStr">
        <is>
          <t>数量</t>
        </is>
      </c>
      <c r="E15" s="1722" t="inlineStr">
        <is>
          <t>金额</t>
        </is>
      </c>
      <c r="F15" s="1722" t="inlineStr">
        <is>
          <t>日期</t>
        </is>
      </c>
      <c r="G15" s="1722" t="inlineStr">
        <is>
          <t>编号</t>
        </is>
      </c>
      <c r="H15" s="31" t="inlineStr">
        <is>
          <t>品名</t>
        </is>
      </c>
      <c r="I15" s="31" t="inlineStr">
        <is>
          <t>数量</t>
        </is>
      </c>
      <c r="J15" s="31" t="inlineStr">
        <is>
          <t>金额</t>
        </is>
      </c>
      <c r="K15" s="1335" t="n"/>
    </row>
    <row r="16" s="1296">
      <c r="A16" s="33" t="n"/>
      <c r="B16" s="34" t="n"/>
      <c r="C16" s="34" t="n"/>
      <c r="D16" s="1914" t="n"/>
      <c r="E16" s="1914" t="n"/>
      <c r="F16" s="1914" t="n"/>
      <c r="G16" s="36" t="n"/>
      <c r="H16" s="1915" t="n"/>
      <c r="I16" s="1915" t="n"/>
      <c r="J16" s="1915" t="n"/>
      <c r="K16" s="1914" t="n"/>
    </row>
    <row r="17" s="1296">
      <c r="A17" s="33" t="n"/>
      <c r="B17" s="34" t="n"/>
      <c r="C17" s="34" t="n"/>
      <c r="D17" s="1914" t="n"/>
      <c r="E17" s="1914" t="n"/>
      <c r="F17" s="1914" t="n"/>
      <c r="G17" s="36" t="n"/>
      <c r="H17" s="1915" t="n"/>
      <c r="I17" s="1915" t="n"/>
      <c r="J17" s="1915" t="n"/>
      <c r="K17" s="1914" t="n"/>
    </row>
    <row r="18" s="1296">
      <c r="A18" s="33" t="n"/>
      <c r="B18" s="34" t="n"/>
      <c r="C18" s="34" t="n"/>
      <c r="D18" s="1914" t="n"/>
      <c r="E18" s="1914" t="n"/>
      <c r="F18" s="1914" t="n"/>
      <c r="G18" s="36" t="n"/>
      <c r="H18" s="1915" t="n"/>
      <c r="I18" s="1915" t="n"/>
      <c r="J18" s="1915" t="n"/>
      <c r="K18" s="1914" t="n"/>
    </row>
    <row r="19" s="1296">
      <c r="A19" s="33" t="n"/>
      <c r="B19" s="34" t="n"/>
      <c r="C19" s="34" t="n"/>
      <c r="D19" s="1914" t="n"/>
      <c r="E19" s="1914" t="n"/>
      <c r="F19" s="1914" t="n"/>
      <c r="G19" s="36" t="n"/>
      <c r="H19" s="1915" t="n"/>
      <c r="I19" s="1915" t="n"/>
      <c r="J19" s="1915" t="n"/>
      <c r="K19" s="1914" t="n"/>
    </row>
    <row r="20" s="1296">
      <c r="A20" s="33" t="n"/>
      <c r="B20" s="34" t="n"/>
      <c r="C20" s="34" t="n"/>
      <c r="D20" s="1914" t="n"/>
      <c r="E20" s="1914" t="n"/>
      <c r="F20" s="1914" t="n"/>
      <c r="G20" s="36" t="n"/>
      <c r="H20" s="1915" t="n"/>
      <c r="I20" s="1915" t="n"/>
      <c r="J20" s="1915" t="n"/>
      <c r="K20" s="1914" t="n"/>
    </row>
    <row r="21" s="1296">
      <c r="A21" s="33" t="n"/>
      <c r="B21" s="34" t="n"/>
      <c r="C21" s="34" t="n"/>
      <c r="D21" s="1914" t="n"/>
      <c r="E21" s="1914" t="n"/>
      <c r="F21" s="1914" t="n"/>
      <c r="G21" s="36" t="n"/>
      <c r="H21" s="1915" t="n"/>
      <c r="I21" s="1915" t="n"/>
      <c r="J21" s="1915" t="n"/>
      <c r="K21" s="1914" t="n"/>
    </row>
    <row r="22" s="1296">
      <c r="A22" s="33" t="n"/>
      <c r="B22" s="34" t="n"/>
      <c r="C22" s="34" t="n"/>
      <c r="D22" s="1914" t="n"/>
      <c r="E22" s="1914" t="n"/>
      <c r="F22" s="1914" t="n"/>
      <c r="G22" s="36" t="n"/>
      <c r="H22" s="1915" t="n"/>
      <c r="I22" s="1915" t="n"/>
      <c r="J22" s="1915" t="n"/>
      <c r="K22" s="1914" t="n"/>
    </row>
    <row r="23" s="1296">
      <c r="A23" s="33" t="n"/>
      <c r="B23" s="34" t="n"/>
      <c r="C23" s="34" t="n"/>
      <c r="D23" s="1914" t="n"/>
      <c r="E23" s="1914" t="n"/>
      <c r="F23" s="1914" t="n"/>
      <c r="G23" s="36" t="n"/>
      <c r="H23" s="1915" t="n"/>
      <c r="I23" s="1915" t="n"/>
      <c r="J23" s="1915" t="n"/>
      <c r="K23" s="1914" t="n"/>
    </row>
    <row r="24" s="1296">
      <c r="A24" s="38" t="inlineStr">
        <is>
          <t>截止日期：202X年12月31日</t>
        </is>
      </c>
      <c r="B24" s="38" t="n"/>
      <c r="C24" s="38" t="n"/>
      <c r="D24" s="38" t="n"/>
      <c r="E24" s="38" t="n"/>
      <c r="F24" s="38" t="n"/>
      <c r="G24" s="38" t="n"/>
      <c r="H24" s="38" t="n"/>
      <c r="I24" s="38" t="n"/>
      <c r="J24" s="38" t="n"/>
      <c r="K24" s="38" t="n"/>
    </row>
    <row r="25" s="1296">
      <c r="A25" s="33" t="n"/>
      <c r="B25" s="34" t="n"/>
      <c r="C25" s="34" t="n"/>
      <c r="D25" s="1914" t="n"/>
      <c r="E25" s="1914" t="n"/>
      <c r="F25" s="1914" t="n"/>
      <c r="G25" s="36" t="n"/>
      <c r="H25" s="1915" t="n"/>
      <c r="I25" s="1915" t="n"/>
      <c r="J25" s="1915" t="n"/>
      <c r="K25" s="1914" t="n"/>
    </row>
    <row r="26" s="1296">
      <c r="A26" s="33" t="n"/>
      <c r="B26" s="34" t="n"/>
      <c r="C26" s="34" t="n"/>
      <c r="D26" s="1914" t="n"/>
      <c r="E26" s="1914" t="n"/>
      <c r="F26" s="1914" t="n"/>
      <c r="G26" s="36" t="n"/>
      <c r="H26" s="1915" t="n"/>
      <c r="I26" s="1915" t="n"/>
      <c r="J26" s="1915" t="n"/>
      <c r="K26" s="1914" t="n"/>
    </row>
    <row r="27" s="1296">
      <c r="A27" s="33" t="n"/>
      <c r="B27" s="34" t="n"/>
      <c r="C27" s="34" t="n"/>
      <c r="D27" s="1914" t="n"/>
      <c r="E27" s="1914" t="n"/>
      <c r="F27" s="1914" t="n"/>
      <c r="G27" s="36" t="n"/>
      <c r="H27" s="1915" t="n"/>
      <c r="I27" s="1915" t="n"/>
      <c r="J27" s="1915" t="n"/>
      <c r="K27" s="1914" t="n"/>
    </row>
    <row r="28" s="1296">
      <c r="A28" s="33" t="n"/>
      <c r="B28" s="34" t="n"/>
      <c r="C28" s="34" t="n"/>
      <c r="D28" s="1914" t="n"/>
      <c r="E28" s="1914" t="n"/>
      <c r="F28" s="1914" t="n"/>
      <c r="G28" s="36" t="n"/>
      <c r="H28" s="1915" t="n"/>
      <c r="I28" s="1915" t="n"/>
      <c r="J28" s="1915" t="n"/>
      <c r="K28" s="1914" t="n"/>
    </row>
    <row r="29" s="1296">
      <c r="A29" s="33" t="n"/>
      <c r="B29" s="34" t="n"/>
      <c r="C29" s="34" t="n"/>
      <c r="D29" s="1914" t="n"/>
      <c r="E29" s="1914" t="n"/>
      <c r="F29" s="1914" t="n"/>
      <c r="G29" s="36" t="n"/>
      <c r="H29" s="1915" t="n"/>
      <c r="I29" s="1915" t="n"/>
      <c r="J29" s="1915" t="n"/>
      <c r="K29" s="1914" t="n"/>
    </row>
    <row r="30" s="1296">
      <c r="A30" s="33" t="n"/>
      <c r="B30" s="34" t="n"/>
      <c r="C30" s="34" t="n"/>
      <c r="D30" s="1914" t="n"/>
      <c r="E30" s="1914" t="n"/>
      <c r="F30" s="1914" t="n"/>
      <c r="G30" s="36" t="n"/>
      <c r="H30" s="1915" t="n"/>
      <c r="I30" s="1915" t="n"/>
      <c r="J30" s="1915" t="n"/>
      <c r="K30" s="1914" t="n"/>
    </row>
    <row r="31" s="1296">
      <c r="A31" s="33" t="n"/>
      <c r="B31" s="34" t="n"/>
      <c r="C31" s="34" t="n"/>
      <c r="D31" s="1914" t="n"/>
      <c r="E31" s="1914" t="n"/>
      <c r="F31" s="1914" t="n"/>
      <c r="G31" s="36" t="n"/>
      <c r="H31" s="1915" t="n"/>
      <c r="I31" s="1915" t="n"/>
      <c r="J31" s="1915" t="n"/>
      <c r="K31" s="1914" t="n"/>
    </row>
    <row r="32" s="1296">
      <c r="A32" s="33" t="n"/>
      <c r="B32" s="34" t="n"/>
      <c r="C32" s="34" t="n"/>
      <c r="D32" s="1914" t="n"/>
      <c r="E32" s="1914" t="n"/>
      <c r="F32" s="1914" t="n"/>
      <c r="G32" s="36" t="n"/>
      <c r="H32" s="1915" t="n"/>
      <c r="I32" s="1915" t="n"/>
      <c r="J32" s="1915" t="n"/>
      <c r="K32" s="1914" t="n"/>
    </row>
    <row r="33" s="1296">
      <c r="A33" s="1648" t="inlineStr">
        <is>
          <t>（二）单据到账</t>
        </is>
      </c>
      <c r="B33" s="40" t="n"/>
      <c r="C33" s="40" t="n"/>
      <c r="D33" s="1916" t="n"/>
      <c r="E33" s="1916" t="n"/>
      <c r="F33" s="1916" t="n"/>
      <c r="G33" s="1917" t="n"/>
      <c r="H33" s="1917" t="n"/>
      <c r="I33" s="1917" t="n"/>
      <c r="J33" s="1917" t="n"/>
      <c r="K33" s="1916" t="n"/>
    </row>
    <row r="34" s="1296">
      <c r="A34" s="43" t="inlineStr">
        <is>
          <t>发货单（或验收单、出库单等）</t>
        </is>
      </c>
      <c r="B34" s="1327" t="n"/>
      <c r="C34" s="1327" t="n"/>
      <c r="D34" s="1327" t="n"/>
      <c r="E34" s="1328" t="n"/>
      <c r="F34" s="31" t="inlineStr">
        <is>
          <t>记账凭证</t>
        </is>
      </c>
      <c r="G34" s="1578" t="n"/>
      <c r="H34" s="1578" t="n"/>
      <c r="I34" s="1578" t="n"/>
      <c r="J34" s="1390" t="n"/>
      <c r="K34" s="44" t="inlineStr">
        <is>
          <t>是否跨期</t>
        </is>
      </c>
    </row>
    <row r="35" s="1296">
      <c r="A35" s="31" t="inlineStr">
        <is>
          <t>日期</t>
        </is>
      </c>
      <c r="B35" s="31" t="inlineStr">
        <is>
          <t>编号</t>
        </is>
      </c>
      <c r="C35" s="31" t="inlineStr">
        <is>
          <t>品名</t>
        </is>
      </c>
      <c r="D35" s="31" t="inlineStr">
        <is>
          <t>数量</t>
        </is>
      </c>
      <c r="E35" s="31" t="inlineStr">
        <is>
          <t>金额</t>
        </is>
      </c>
      <c r="F35" s="44" t="inlineStr">
        <is>
          <t>日期</t>
        </is>
      </c>
      <c r="G35" s="45" t="inlineStr">
        <is>
          <t>编号</t>
        </is>
      </c>
      <c r="H35" s="31" t="inlineStr">
        <is>
          <t>品名</t>
        </is>
      </c>
      <c r="I35" s="31" t="inlineStr">
        <is>
          <t>数量</t>
        </is>
      </c>
      <c r="J35" s="31" t="inlineStr">
        <is>
          <t>金额</t>
        </is>
      </c>
      <c r="K35" s="44" t="inlineStr">
        <is>
          <t>√（×）</t>
        </is>
      </c>
    </row>
    <row r="36" s="1296">
      <c r="A36" s="46" t="n"/>
      <c r="B36" s="47" t="n"/>
      <c r="C36" s="48" t="n"/>
      <c r="D36" s="1727" t="n"/>
      <c r="E36" s="1727" t="n"/>
      <c r="F36" s="46" t="n"/>
      <c r="G36" s="36" t="n"/>
      <c r="H36" s="47" t="n"/>
      <c r="I36" s="47" t="n"/>
      <c r="J36" s="1727" t="n"/>
      <c r="K36" s="50" t="n"/>
    </row>
    <row r="37" s="1296">
      <c r="A37" s="46" t="n"/>
      <c r="B37" s="47" t="n"/>
      <c r="C37" s="48" t="n"/>
      <c r="D37" s="1727" t="n"/>
      <c r="E37" s="1727" t="n"/>
      <c r="F37" s="46" t="n"/>
      <c r="G37" s="36" t="n"/>
      <c r="H37" s="47" t="n"/>
      <c r="I37" s="47" t="n"/>
      <c r="J37" s="1727" t="n"/>
      <c r="K37" s="50" t="n"/>
    </row>
    <row r="38" s="1296">
      <c r="A38" s="46" t="n"/>
      <c r="B38" s="47" t="n"/>
      <c r="C38" s="48" t="n"/>
      <c r="D38" s="1727" t="n"/>
      <c r="E38" s="1727" t="n"/>
      <c r="F38" s="46" t="n"/>
      <c r="G38" s="36" t="n"/>
      <c r="H38" s="47" t="n"/>
      <c r="I38" s="47" t="n"/>
      <c r="J38" s="1727" t="n"/>
      <c r="K38" s="50" t="n"/>
    </row>
    <row r="39" s="1296">
      <c r="A39" s="46" t="n"/>
      <c r="B39" s="47" t="n"/>
      <c r="C39" s="48" t="n"/>
      <c r="D39" s="1727" t="n"/>
      <c r="E39" s="1727" t="n"/>
      <c r="F39" s="46" t="n"/>
      <c r="G39" s="36" t="n"/>
      <c r="H39" s="47" t="n"/>
      <c r="I39" s="47" t="n"/>
      <c r="J39" s="1727" t="n"/>
      <c r="K39" s="50" t="n"/>
    </row>
    <row r="40" s="1296">
      <c r="A40" s="46" t="n"/>
      <c r="B40" s="47" t="n"/>
      <c r="C40" s="48" t="n"/>
      <c r="D40" s="1727" t="n"/>
      <c r="E40" s="1727" t="n"/>
      <c r="F40" s="46" t="n"/>
      <c r="G40" s="36" t="n"/>
      <c r="H40" s="47" t="n"/>
      <c r="I40" s="47" t="n"/>
      <c r="J40" s="1727" t="n"/>
      <c r="K40" s="50" t="n"/>
    </row>
    <row r="41" s="1296">
      <c r="A41" s="46" t="n"/>
      <c r="B41" s="47" t="n"/>
      <c r="C41" s="48" t="n"/>
      <c r="D41" s="1727" t="n"/>
      <c r="E41" s="1727" t="n"/>
      <c r="F41" s="46" t="n"/>
      <c r="G41" s="36" t="n"/>
      <c r="H41" s="47" t="n"/>
      <c r="I41" s="47" t="n"/>
      <c r="J41" s="1727" t="n"/>
      <c r="K41" s="50" t="n"/>
    </row>
    <row r="42" s="1296">
      <c r="A42" s="46" t="n"/>
      <c r="B42" s="47" t="n"/>
      <c r="C42" s="48" t="n"/>
      <c r="D42" s="1727" t="n"/>
      <c r="E42" s="1727" t="n"/>
      <c r="F42" s="46" t="n"/>
      <c r="G42" s="36" t="n"/>
      <c r="H42" s="47" t="n"/>
      <c r="I42" s="47" t="n"/>
      <c r="J42" s="1727" t="n"/>
      <c r="K42" s="50" t="n"/>
    </row>
    <row r="43" s="1296">
      <c r="A43" s="46" t="n"/>
      <c r="B43" s="47" t="n"/>
      <c r="C43" s="48" t="n"/>
      <c r="D43" s="1727" t="n"/>
      <c r="E43" s="1727" t="n"/>
      <c r="F43" s="46" t="n"/>
      <c r="G43" s="36" t="n"/>
      <c r="H43" s="47" t="n"/>
      <c r="I43" s="47" t="n"/>
      <c r="J43" s="1727" t="n"/>
      <c r="K43" s="50" t="n"/>
    </row>
    <row r="44" s="1296">
      <c r="A44" s="51" t="inlineStr">
        <is>
          <t>截止日期：202X年12月31日</t>
        </is>
      </c>
      <c r="B44" s="52" t="n"/>
      <c r="C44" s="53" t="n"/>
      <c r="D44" s="52" t="n"/>
      <c r="E44" s="52" t="n"/>
      <c r="F44" s="51" t="n"/>
      <c r="G44" s="52" t="n"/>
      <c r="H44" s="52" t="n"/>
      <c r="I44" s="52" t="n"/>
      <c r="J44" s="52" t="n"/>
      <c r="K44" s="54" t="n"/>
    </row>
    <row r="45" s="1296">
      <c r="A45" s="46" t="n"/>
      <c r="B45" s="47" t="n"/>
      <c r="C45" s="48" t="n"/>
      <c r="D45" s="1727" t="n"/>
      <c r="E45" s="1727" t="n"/>
      <c r="F45" s="46" t="n"/>
      <c r="G45" s="36" t="n"/>
      <c r="H45" s="47" t="n"/>
      <c r="I45" s="47" t="n"/>
      <c r="J45" s="1727" t="n"/>
      <c r="K45" s="50" t="n"/>
    </row>
    <row r="46" s="1296">
      <c r="A46" s="46" t="n"/>
      <c r="B46" s="47" t="n"/>
      <c r="C46" s="48" t="n"/>
      <c r="D46" s="1727" t="n"/>
      <c r="E46" s="1727" t="n"/>
      <c r="F46" s="46" t="n"/>
      <c r="G46" s="36" t="n"/>
      <c r="H46" s="47" t="n"/>
      <c r="I46" s="47" t="n"/>
      <c r="J46" s="1727" t="n"/>
      <c r="K46" s="50" t="n"/>
    </row>
    <row r="47" s="1296">
      <c r="A47" s="46" t="n"/>
      <c r="B47" s="47" t="n"/>
      <c r="C47" s="48" t="n"/>
      <c r="D47" s="1727" t="n"/>
      <c r="E47" s="1727" t="n"/>
      <c r="F47" s="46" t="n"/>
      <c r="G47" s="36" t="n"/>
      <c r="H47" s="47" t="n"/>
      <c r="I47" s="47" t="n"/>
      <c r="J47" s="1727" t="n"/>
      <c r="K47" s="50" t="n"/>
    </row>
    <row r="48" s="1296">
      <c r="A48" s="46" t="n"/>
      <c r="B48" s="47" t="n"/>
      <c r="C48" s="48" t="n"/>
      <c r="D48" s="1727" t="n"/>
      <c r="E48" s="1727" t="n"/>
      <c r="F48" s="46" t="n"/>
      <c r="G48" s="36" t="n"/>
      <c r="H48" s="47" t="n"/>
      <c r="I48" s="47" t="n"/>
      <c r="J48" s="1727" t="n"/>
      <c r="K48" s="50" t="n"/>
    </row>
    <row r="49" s="1296">
      <c r="A49" s="46" t="n"/>
      <c r="B49" s="47" t="n"/>
      <c r="C49" s="48" t="n"/>
      <c r="D49" s="1727" t="n"/>
      <c r="E49" s="1727" t="n"/>
      <c r="F49" s="46" t="n"/>
      <c r="G49" s="36" t="n"/>
      <c r="H49" s="47" t="n"/>
      <c r="I49" s="47" t="n"/>
      <c r="J49" s="1727" t="n"/>
      <c r="K49" s="50" t="n"/>
    </row>
    <row r="50" s="1296">
      <c r="A50" s="46" t="n"/>
      <c r="B50" s="47" t="n"/>
      <c r="C50" s="48" t="n"/>
      <c r="D50" s="1727" t="n"/>
      <c r="E50" s="1727" t="n"/>
      <c r="F50" s="46" t="n"/>
      <c r="G50" s="36" t="n"/>
      <c r="H50" s="47" t="n"/>
      <c r="I50" s="47" t="n"/>
      <c r="J50" s="1727" t="n"/>
      <c r="K50" s="50" t="n"/>
    </row>
    <row r="51" s="1296">
      <c r="A51" s="46" t="n"/>
      <c r="B51" s="47" t="n"/>
      <c r="C51" s="48" t="n"/>
      <c r="D51" s="1727" t="n"/>
      <c r="E51" s="1727" t="n"/>
      <c r="F51" s="46" t="n"/>
      <c r="G51" s="36" t="n"/>
      <c r="H51" s="47" t="n"/>
      <c r="I51" s="47" t="n"/>
      <c r="J51" s="1727" t="n"/>
      <c r="K51" s="50" t="n"/>
    </row>
    <row r="52" s="1296">
      <c r="A52" s="46" t="n"/>
      <c r="B52" s="47" t="n"/>
      <c r="C52" s="48" t="n"/>
      <c r="D52" s="1727" t="n"/>
      <c r="E52" s="1727" t="n"/>
      <c r="F52" s="46" t="n"/>
      <c r="G52" s="36" t="n"/>
      <c r="H52" s="47" t="n"/>
      <c r="I52" s="47" t="n"/>
      <c r="J52" s="1727" t="n"/>
      <c r="K52" s="50" t="n"/>
    </row>
    <row r="53" customFormat="1" s="488">
      <c r="A53" s="55" t="inlineStr">
        <is>
          <t>三、审计说明：</t>
        </is>
      </c>
      <c r="B53" s="56" t="n"/>
      <c r="C53" s="56" t="n"/>
      <c r="D53" s="56" t="n"/>
      <c r="E53" s="56" t="n"/>
      <c r="F53" s="56" t="n"/>
      <c r="G53" s="56" t="n"/>
      <c r="H53" s="56" t="n"/>
      <c r="I53" s="56" t="n"/>
      <c r="J53" s="56" t="n"/>
      <c r="K53" s="56" t="n"/>
    </row>
    <row r="54" customFormat="1" s="488">
      <c r="A54" s="57" t="n"/>
      <c r="B54" s="58" t="n"/>
      <c r="C54" s="58" t="n"/>
      <c r="D54" s="58" t="n"/>
      <c r="E54" s="58" t="n"/>
      <c r="F54" s="58" t="n"/>
      <c r="G54" s="58" t="n"/>
      <c r="H54" s="58" t="n"/>
      <c r="I54" s="58" t="n"/>
      <c r="J54" s="58" t="n"/>
      <c r="K54" s="58" t="n"/>
    </row>
    <row r="55" customFormat="1" s="488">
      <c r="A55" s="58" t="n"/>
      <c r="B55" s="58" t="n"/>
      <c r="C55" s="58" t="n"/>
      <c r="D55" s="58" t="n"/>
      <c r="E55" s="58" t="n"/>
      <c r="F55" s="58" t="n"/>
      <c r="G55" s="58" t="n"/>
      <c r="H55" s="58" t="n"/>
      <c r="I55" s="58" t="n"/>
      <c r="J55" s="58" t="n"/>
      <c r="K55" s="58" t="n"/>
    </row>
    <row r="56" customFormat="1" s="488">
      <c r="A56" s="1092" t="inlineStr">
        <is>
          <t>四、审计结论：</t>
        </is>
      </c>
      <c r="B56" s="58" t="n"/>
      <c r="C56" s="58" t="n"/>
      <c r="D56" s="58" t="n"/>
      <c r="E56" s="58" t="n"/>
      <c r="F56" s="58" t="n"/>
      <c r="G56" s="58" t="n"/>
      <c r="H56" s="58" t="n"/>
      <c r="I56" s="58" t="n"/>
      <c r="J56" s="58" t="n"/>
      <c r="K56" s="58" t="n"/>
    </row>
    <row r="57" customFormat="1" s="488">
      <c r="A57" s="488" t="n"/>
      <c r="B57" s="58" t="n"/>
      <c r="C57" s="58" t="n"/>
      <c r="D57" s="58" t="n"/>
      <c r="E57" s="58" t="n"/>
      <c r="F57" s="58" t="n"/>
      <c r="G57" s="58" t="n"/>
      <c r="H57" s="58" t="n"/>
      <c r="I57" s="58" t="n"/>
      <c r="J57" s="58" t="n"/>
      <c r="K57" s="58" t="n"/>
    </row>
    <row r="58" s="1296">
      <c r="A58" s="60" t="inlineStr">
        <is>
          <t>提示1：本表适用于对“以发货单为确认收入时点”的被审计单位的截止测试，项目组在使用模板时，请根据企业的收入确认政策修改或调整。</t>
        </is>
      </c>
    </row>
    <row r="59" s="1296">
      <c r="A59" s="60" t="inlineStr">
        <is>
          <t>提示2：如果存在跨期舞弊风险或者所检查样本中发现有跨期的，应扩大测试期间和样本，甚至可以考虑将截止测试期间延长至审计报告日。同时考虑是否存在内控缺陷。</t>
        </is>
      </c>
    </row>
  </sheetData>
  <mergeCells count="8">
    <mergeCell ref="A34:E34"/>
    <mergeCell ref="K14:K15"/>
    <mergeCell ref="A12:K12"/>
    <mergeCell ref="F34:J34"/>
    <mergeCell ref="A2:K2"/>
    <mergeCell ref="A14:E14"/>
    <mergeCell ref="F14:J14"/>
    <mergeCell ref="A1:K1"/>
  </mergeCells>
  <dataValidations count="1">
    <dataValidation sqref="K16:K23 K25:K33 K36:K44 K51:K52" showDropDown="0" showInputMessage="1" showErrorMessage="1" allowBlank="1" type="list">
      <formula1>"√,×"</formula1>
    </dataValidation>
  </dataValidations>
  <hyperlinks>
    <hyperlink ref="K3" location="底稿目录!A1" display="='D:\GT_plan\backend\wp_templates\D\[D4-33至D4-36 其他业务收入.xlsx]底稿目录'!F6"/>
  </hyperlinks>
  <pageMargins left="0.708333333333333" right="0.708333333333333" top="0.747916666666667" bottom="0.747916666666667" header="0.314583333333333" footer="0.314583333333333"/>
  <pageSetup orientation="portrait" paperSize="9" scale="82" blackAndWhite="1"/>
  <headerFooter>
    <oddHeader/>
    <oddFooter>&amp;C&amp;P/&amp;N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2026-07-15T13:17:05Z</dcterms:created>
  <dcterms:modified xmlns:dcterms="http://purl.org/dc/terms/" xmlns:xsi="http://www.w3.org/2001/XMLSchema-instance" xsi:type="dcterms:W3CDTF">2026-10-28T04:26:48Z</dcterms:modified>
  <cp:lastModifiedBy>杨志</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705586423C6E42219A525541CFB40F33_13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1</vt:i4>
  </property>
</Properties>
</file>