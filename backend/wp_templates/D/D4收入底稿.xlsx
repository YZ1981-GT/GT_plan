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底稿目录" sheetId="2" r:id="rId1"/>
    <sheet name="营业收入审计程序表D4A" sheetId="3" r:id="rId2"/>
    <sheet name="营业收入审定表D4-1" sheetId="5" r:id="rId3"/>
    <sheet name="附注披露信息（上市公司）" sheetId="6" r:id="rId4"/>
    <sheet name="附注披露信息（国企）" sheetId="7" r:id="rId5"/>
    <sheet name="主营业务收入明细表D4-2" sheetId="8" r:id="rId6"/>
    <sheet name="其他业务收入明细表D4-3" sheetId="9" r:id="rId7"/>
    <sheet name="营业收入调整分录汇总D4-4" sheetId="10" r:id="rId8"/>
    <sheet name="营业收入会计政策检查D4-5" sheetId="12" r:id="rId9"/>
    <sheet name="底稿目录 (2)" sheetId="13" r:id="rId10"/>
    <sheet name="重要指标分析D4-6" sheetId="14" r:id="rId11"/>
    <sheet name="毛利率分析表D4-7" sheetId="15" r:id="rId12"/>
    <sheet name="重要产品毛利分析D4-8" sheetId="16" r:id="rId13"/>
    <sheet name="重要客户结构分析D4-9" sheetId="17" r:id="rId14"/>
    <sheet name="重要客户销售价格分析D4-10" sheetId="18" r:id="rId15"/>
    <sheet name="产品销售价格分析D4-11" sheetId="19" r:id="rId16"/>
    <sheet name="合同检查表D4-12" sheetId="20" r:id="rId17"/>
    <sheet name="底稿目录 (3)" sheetId="21" r:id="rId18"/>
    <sheet name="营业收入账面金额与ERP系统核对记录D4-13" sheetId="22" r:id="rId19"/>
    <sheet name="营业收入发生检查表D4-14" sheetId="23" r:id="rId20"/>
    <sheet name="营业收入完整性检查表D4-15" sheetId="24" r:id="rId21"/>
    <sheet name="出口收入电子口岸系统核对D4-16" sheetId="25" r:id="rId22"/>
    <sheet name="营业收入截止测试（账到单据）D4-17" sheetId="26" r:id="rId23"/>
    <sheet name="营业收入截止测试（单据到账）D4-18" sheetId="27" r:id="rId24"/>
    <sheet name="销售折扣与折让检查D4-19" sheetId="28" r:id="rId25"/>
    <sheet name="销售退货检查表 D4-20" sheetId="29" r:id="rId26"/>
    <sheet name="关联方销售情况及价格分析D4-21" sheetId="30" r:id="rId27"/>
    <sheet name="底稿目录 (4)" sheetId="31" r:id="rId28"/>
    <sheet name="程序表D4-22A" sheetId="32" r:id="rId29"/>
    <sheet name="重要指标分析表D4-22" sheetId="33" r:id="rId30"/>
    <sheet name="收入与开具发票金额比较分析D4-23" sheetId="34" r:id="rId31"/>
    <sheet name="第三方回款检查D4-24" sheetId="35" r:id="rId32"/>
    <sheet name="经销商检查D4-25" sheetId="36" r:id="rId33"/>
    <sheet name="境外销售收入检查D4-26" sheetId="37" r:id="rId34"/>
    <sheet name="识别未披露的关联方D4-27" sheetId="38" r:id="rId35"/>
    <sheet name="客户信息核查清单D4-28" sheetId="39" r:id="rId36"/>
    <sheet name="客户信息检查表D4-29" sheetId="40" r:id="rId37"/>
    <sheet name="客户访谈记录汇总表D4-30" sheetId="41" r:id="rId38"/>
    <sheet name="客户访谈记录 D4-31" sheetId="42" r:id="rId39"/>
    <sheet name="访谈记录与核对示例" sheetId="43" r:id="rId40"/>
    <sheet name="客户、供应商等资金流水检查D4-32" sheetId="44" r:id="rId41"/>
    <sheet name="底稿目录 (5)" sheetId="45" r:id="rId42"/>
    <sheet name="其他业务毛利率分析表D4-33" sheetId="46" r:id="rId43"/>
    <sheet name="其他业务收入合同测算表D4-34" sheetId="47" r:id="rId44"/>
    <sheet name="其他业务收入检查表D4-35" sheetId="48" r:id="rId45"/>
    <sheet name="其他业务收入截止性测试D4-36" sheetId="49"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xlnm._FilterDatabase" hidden="1">#REF!</definedName>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L" hidden="1">{#N/A,#N/A,FALSE,"BBPREP"}</definedName>
    <definedName name="RDES" hidden="1">#REF!</definedName>
    <definedName name="s" hidden="1">{#N/A,#N/A,FALSE,"BBPREP"}</definedName>
    <definedName name="t" hidden="1">{#N/A,#N/A,FALSE,"BBPREP"}</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[4]索引!$D$15:$D$76</definedName>
    <definedName name="底稿目录" hidden="1">#REF!</definedName>
    <definedName name="去" hidden="1">#REF!</definedName>
    <definedName name="新目录" hidden="1">#REF!</definedName>
    <definedName name="_xlnm._FilterDatabase" localSheetId="1" hidden="1">营业收入审计程序表D4A!$A$15:$J$39</definedName>
    <definedName name="AFV" localSheetId="1" hidden="1">#REF!</definedName>
    <definedName name="b" localSheetId="1" hidden="1">#REF!</definedName>
    <definedName name="bs" localSheetId="1" hidden="1">{#N/A,#N/A,FALSE,"BBPREP"}</definedName>
    <definedName name="bs_1" localSheetId="1" hidden="1">{#N/A,#N/A,FALSE,"BBPREP"}</definedName>
    <definedName name="FAD" localSheetId="1" hidden="1">[6]Breakdown!#REF!</definedName>
    <definedName name="FASD" localSheetId="1" hidden="1">#REF!</definedName>
    <definedName name="FEDC" localSheetId="1" hidden="1">'[7]2004'!#REF!</definedName>
    <definedName name="_xlnm.Print_Area" localSheetId="1">营业收入审计程序表D4A!$A$1:$J$39</definedName>
    <definedName name="_xlnm.Print_Titles" localSheetId="1">营业收入审计程序表D4A!$15:$16</definedName>
    <definedName name="XREF_COLUMN_1" localSheetId="1" hidden="1">#REF!</definedName>
    <definedName name="XREF_COLUMN_2" localSheetId="1" hidden="1">[6]Breakdown!#REF!</definedName>
    <definedName name="XREF_COLUMN_3" localSheetId="1" hidden="1">#REF!</definedName>
    <definedName name="XREF_COLUMN_5" localSheetId="1" hidden="1">'[7]2004'!#REF!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本循环科目" localSheetId="1" hidden="1">[3]索引!$D$15:$D$76</definedName>
    <definedName name="底稿目录" localSheetId="1" hidden="1">#REF!</definedName>
    <definedName name="新目录" localSheetId="1" hidden="1">#REF!</definedName>
    <definedName name="FAD" localSheetId="2" hidden="1">[6]Breakdown!#REF!</definedName>
    <definedName name="FEDC" localSheetId="2" hidden="1">'[7]2004'!#REF!</definedName>
    <definedName name="_xlnm.Print_Area" localSheetId="2">'营业收入审定表D4-1'!$A$1:$I$37</definedName>
    <definedName name="XREF_COLUMN_2" localSheetId="2" hidden="1">[6]Breakdown!#REF!</definedName>
    <definedName name="XREF_COLUMN_5" localSheetId="2" hidden="1">'[7]2004'!#REF!</definedName>
    <definedName name="FAD" localSheetId="3" hidden="1">[6]Breakdown!#REF!</definedName>
    <definedName name="FEDC" localSheetId="3" hidden="1">'[7]2004'!#REF!</definedName>
    <definedName name="_xlnm.Print_Area" localSheetId="3">'附注披露信息（上市公司）'!$A$1:$I$88</definedName>
    <definedName name="XREF_COLUMN_2" localSheetId="3" hidden="1">[6]Breakdown!#REF!</definedName>
    <definedName name="XREF_COLUMN_5" localSheetId="3" hidden="1">'[7]2004'!#REF!</definedName>
    <definedName name="FAD" localSheetId="4" hidden="1">[6]Breakdown!#REF!</definedName>
    <definedName name="FEDC" localSheetId="4" hidden="1">'[7]2004'!#REF!</definedName>
    <definedName name="_xlnm.Print_Area" localSheetId="4">'附注披露信息（国企）'!$A$1:$I$74</definedName>
    <definedName name="XREF_COLUMN_2" localSheetId="4" hidden="1">[6]Breakdown!#REF!</definedName>
    <definedName name="XREF_COLUMN_5" localSheetId="4" hidden="1">'[7]2004'!#REF!</definedName>
    <definedName name="FAD" localSheetId="5" hidden="1">[6]Breakdown!#REF!</definedName>
    <definedName name="FEDC" localSheetId="5" hidden="1">'[7]2004'!#REF!</definedName>
    <definedName name="_xlnm.Print_Area" localSheetId="5">'主营业务收入明细表D4-2'!$A$1:$V$31</definedName>
    <definedName name="XREF_COLUMN_2" localSheetId="5" hidden="1">[6]Breakdown!#REF!</definedName>
    <definedName name="XREF_COLUMN_5" localSheetId="5" hidden="1">'[7]2004'!#REF!</definedName>
    <definedName name="_xlnm._FilterDatabase" localSheetId="6" hidden="1">#REF!</definedName>
    <definedName name="AFV" localSheetId="6" hidden="1">#REF!</definedName>
    <definedName name="b" localSheetId="6" hidden="1">#REF!</definedName>
    <definedName name="bs" localSheetId="6" hidden="1">{#N/A,#N/A,FALSE,"BBPREP"}</definedName>
    <definedName name="bs_1" localSheetId="6" hidden="1">{#N/A,#N/A,FALSE,"BBPREP"}</definedName>
    <definedName name="CCD" localSheetId="6" hidden="1">#REF!</definedName>
    <definedName name="CDE" localSheetId="6" hidden="1">#REF!</definedName>
    <definedName name="DEX" localSheetId="6" hidden="1">#REF!</definedName>
    <definedName name="EDC" localSheetId="6" hidden="1">#REF!</definedName>
    <definedName name="FAD" localSheetId="6" hidden="1">[6]Breakdown!#REF!</definedName>
    <definedName name="FASD" localSheetId="6" hidden="1">#REF!</definedName>
    <definedName name="FEDC" localSheetId="6" hidden="1">'[7]2004'!#REF!</definedName>
    <definedName name="_xlnm.Print_Area" localSheetId="6">'其他业务收入明细表D4-3'!$A$1:$N$28</definedName>
    <definedName name="RDES" localSheetId="6" hidden="1">#REF!</definedName>
    <definedName name="VFE" localSheetId="6" hidden="1">#REF!</definedName>
    <definedName name="XAP" localSheetId="6" hidden="1">#REF!</definedName>
    <definedName name="XAQ" localSheetId="6" hidden="1">#REF!</definedName>
    <definedName name="XCD" localSheetId="6" hidden="1">#REF!</definedName>
    <definedName name="XREF_COLUMN_1" localSheetId="6" hidden="1">#REF!</definedName>
    <definedName name="XREF_COLUMN_2" localSheetId="6" hidden="1">[6]Breakdown!#REF!</definedName>
    <definedName name="XREF_COLUMN_3" localSheetId="6" hidden="1">#REF!</definedName>
    <definedName name="XREF_COLUMN_5" localSheetId="6" hidden="1">'[7]2004'!#REF!</definedName>
    <definedName name="XRefActiveRow" localSheetId="6" hidden="1">#REF!</definedName>
    <definedName name="XRefCopy1" localSheetId="6" hidden="1">#REF!</definedName>
    <definedName name="XRefCopy1Row" localSheetId="6" hidden="1">#REF!</definedName>
    <definedName name="XRefCopy2Row" localSheetId="6" hidden="1">#REF!</definedName>
    <definedName name="XRefPaste1" localSheetId="6" hidden="1">#REF!</definedName>
    <definedName name="XRefPaste1Row" localSheetId="6" hidden="1">#REF!</definedName>
    <definedName name="XRefPaste2" localSheetId="6" hidden="1">#REF!</definedName>
    <definedName name="XRefPaste2Row" localSheetId="6" hidden="1">#REF!</definedName>
    <definedName name="XRefPaste3" localSheetId="6" hidden="1">#REF!</definedName>
    <definedName name="XRefPaste3Row" localSheetId="6" hidden="1">#REF!</definedName>
    <definedName name="本循环科目" localSheetId="6" hidden="1">[3]索引!$D$15:$D$76</definedName>
    <definedName name="底稿目录" localSheetId="6" hidden="1">#REF!</definedName>
    <definedName name="去" localSheetId="6" hidden="1">#REF!</definedName>
    <definedName name="新目录" localSheetId="6" hidden="1">#REF!</definedName>
    <definedName name="FAD" localSheetId="7" hidden="1">[6]Breakdown!#REF!</definedName>
    <definedName name="FEDC" localSheetId="7" hidden="1">'[7]2004'!#REF!</definedName>
    <definedName name="_xlnm.Print_Area" localSheetId="7">'营业收入调整分录汇总D4-4'!$A$1:$J$20</definedName>
    <definedName name="XREF_COLUMN_2" localSheetId="7" hidden="1">[6]Breakdown!#REF!</definedName>
    <definedName name="XREF_COLUMN_5" localSheetId="7" hidden="1">'[7]2004'!#REF!</definedName>
    <definedName name="_xlnm.Print_Area" localSheetId="8">'营业收入会计政策检查D4-5'!$A$1:$E$57</definedName>
    <definedName name="_xlnm.Print_Area" localSheetId="10">'重要指标分析D4-6'!$A$1:$H$29</definedName>
    <definedName name="_xlnm.Print_Area" localSheetId="11">'毛利率分析表D4-7'!$A$1:$W$31</definedName>
    <definedName name="_xlnm.Print_Titles" localSheetId="11">'毛利率分析表D4-7'!$1:$4</definedName>
    <definedName name="_xlnm.Print_Area" localSheetId="12">'重要产品毛利分析D4-8'!$A$1:$X$39</definedName>
    <definedName name="_xlnm.Print_Area" localSheetId="13">'重要客户结构分析D4-9'!$A$1:$G$45</definedName>
    <definedName name="_xlnm.Print_Area" localSheetId="14">'重要客户销售价格分析D4-10'!$A$1:$N$39</definedName>
    <definedName name="_xlnm.Print_Area" localSheetId="15">'产品销售价格分析D4-11'!$A$1:$O$26</definedName>
    <definedName name="_xlnm._FilterDatabase" localSheetId="16" hidden="1">#REF!</definedName>
    <definedName name="AFV" localSheetId="16" hidden="1">#REF!</definedName>
    <definedName name="bs" localSheetId="16" hidden="1">{#N/A,#N/A,FALSE,"BBPREP"}</definedName>
    <definedName name="bs_1" localSheetId="16" hidden="1">{#N/A,#N/A,FALSE,"BBPREP"}</definedName>
    <definedName name="CCD" localSheetId="16" hidden="1">#REF!</definedName>
    <definedName name="CDE" localSheetId="16" hidden="1">#REF!</definedName>
    <definedName name="DEX" localSheetId="16" hidden="1">#REF!</definedName>
    <definedName name="EDC" localSheetId="16" hidden="1">#REF!</definedName>
    <definedName name="FAD" localSheetId="16" hidden="1">[6]Breakdown!#REF!</definedName>
    <definedName name="FASD" localSheetId="16" hidden="1">#REF!</definedName>
    <definedName name="FEDC" localSheetId="16" hidden="1">'[7]2004'!#REF!</definedName>
    <definedName name="L" localSheetId="16" hidden="1">{#N/A,#N/A,FALSE,"BBPREP"}</definedName>
    <definedName name="_xlnm.Print_Area" localSheetId="16">'合同检查表D4-12'!$A$1:$K$37</definedName>
    <definedName name="RDES" localSheetId="16" hidden="1">#REF!</definedName>
    <definedName name="s" localSheetId="16" hidden="1">{#N/A,#N/A,FALSE,"BBPREP"}</definedName>
    <definedName name="SAPBEXrevision" hidden="1">1</definedName>
    <definedName name="SAPBEXsysID" hidden="1">"PE4"</definedName>
    <definedName name="SAPBEXwbID" hidden="1">"3Q4R7W3VD66V3CXTGQHGIRCBE"</definedName>
    <definedName name="t" localSheetId="16" hidden="1">{#N/A,#N/A,FALSE,"BBPREP"}</definedName>
    <definedName name="VFE" localSheetId="16" hidden="1">#REF!</definedName>
    <definedName name="XAP" localSheetId="16" hidden="1">#REF!</definedName>
    <definedName name="XAQ" localSheetId="16" hidden="1">#REF!</definedName>
    <definedName name="XCD" localSheetId="16" hidden="1">#REF!</definedName>
    <definedName name="XREF_COLUMN_1" localSheetId="16" hidden="1">#REF!</definedName>
    <definedName name="XREF_COLUMN_2" localSheetId="16" hidden="1">[6]Breakdown!#REF!</definedName>
    <definedName name="XREF_COLUMN_3" localSheetId="16" hidden="1">#REF!</definedName>
    <definedName name="XREF_COLUMN_5" localSheetId="16" hidden="1">'[7]2004'!#REF!</definedName>
    <definedName name="XRefActiveRow" localSheetId="16" hidden="1">#REF!</definedName>
    <definedName name="XRefCopy1" localSheetId="16" hidden="1">#REF!</definedName>
    <definedName name="XRefCopy1Row" localSheetId="16" hidden="1">#REF!</definedName>
    <definedName name="XRefCopy2Row" localSheetId="16" hidden="1">#REF!</definedName>
    <definedName name="XRefPaste1" localSheetId="16" hidden="1">#REF!</definedName>
    <definedName name="XRefPaste1Row" localSheetId="16" hidden="1">#REF!</definedName>
    <definedName name="XRefPaste2" localSheetId="16" hidden="1">#REF!</definedName>
    <definedName name="XRefPaste2Row" localSheetId="16" hidden="1">#REF!</definedName>
    <definedName name="XRefPaste3" localSheetId="16" hidden="1">#REF!</definedName>
    <definedName name="XRefPaste3Row" localSheetId="16" hidden="1">#REF!</definedName>
    <definedName name="本循环科目" localSheetId="16" hidden="1">[10]索引!$D$15:$D$76</definedName>
    <definedName name="底稿目录" localSheetId="16" hidden="1">#REF!</definedName>
    <definedName name="去" localSheetId="16" hidden="1">#REF!</definedName>
    <definedName name="新目录" localSheetId="16" hidden="1">#REF!</definedName>
    <definedName name="_xlnm._FilterDatabase" localSheetId="17" hidden="1">#REF!</definedName>
    <definedName name="AFV" localSheetId="17" hidden="1">#REF!</definedName>
    <definedName name="CCD" localSheetId="17" hidden="1">#REF!</definedName>
    <definedName name="CDE" localSheetId="17" hidden="1">#REF!</definedName>
    <definedName name="DEX" localSheetId="17" hidden="1">#REF!</definedName>
    <definedName name="EDC" localSheetId="17" hidden="1">#REF!</definedName>
    <definedName name="FAD" localSheetId="17" hidden="1">[6]Breakdown!#REF!</definedName>
    <definedName name="FASD" localSheetId="17" hidden="1">#REF!</definedName>
    <definedName name="FEDC" localSheetId="17" hidden="1">'[7]2004'!#REF!</definedName>
    <definedName name="RDES" localSheetId="17" hidden="1">#REF!</definedName>
    <definedName name="VFE" localSheetId="17" hidden="1">#REF!</definedName>
    <definedName name="XAP" localSheetId="17" hidden="1">#REF!</definedName>
    <definedName name="XAQ" localSheetId="17" hidden="1">#REF!</definedName>
    <definedName name="XCD" localSheetId="17" hidden="1">#REF!</definedName>
    <definedName name="XREF_COLUMN_1" localSheetId="17" hidden="1">#REF!</definedName>
    <definedName name="XREF_COLUMN_2" localSheetId="17" hidden="1">[6]Breakdown!#REF!</definedName>
    <definedName name="XREF_COLUMN_3" localSheetId="17" hidden="1">#REF!</definedName>
    <definedName name="XREF_COLUMN_5" localSheetId="17" hidden="1">'[7]2004'!#REF!</definedName>
    <definedName name="XRefActiveRow" localSheetId="17" hidden="1">#REF!</definedName>
    <definedName name="XRefCopy1" localSheetId="17" hidden="1">#REF!</definedName>
    <definedName name="XRefCopy1Row" localSheetId="17" hidden="1">#REF!</definedName>
    <definedName name="XRefCopy2Row" localSheetId="17" hidden="1">#REF!</definedName>
    <definedName name="XRefPaste1" localSheetId="17" hidden="1">#REF!</definedName>
    <definedName name="XRefPaste1Row" localSheetId="17" hidden="1">#REF!</definedName>
    <definedName name="XRefPaste2" localSheetId="17" hidden="1">#REF!</definedName>
    <definedName name="XRefPaste2Row" localSheetId="17" hidden="1">#REF!</definedName>
    <definedName name="XRefPaste3" localSheetId="17" hidden="1">#REF!</definedName>
    <definedName name="XRefPaste3Row" localSheetId="17" hidden="1">#REF!</definedName>
    <definedName name="本循环科目" localSheetId="17" hidden="1">[10]索引!$D$15:$D$76</definedName>
    <definedName name="底稿目录" localSheetId="17" hidden="1">#REF!</definedName>
    <definedName name="去" localSheetId="17" hidden="1">#REF!</definedName>
    <definedName name="新目录" localSheetId="17" hidden="1">#REF!</definedName>
    <definedName name="_xlnm._FilterDatabase" localSheetId="18" hidden="1">#REF!</definedName>
    <definedName name="AFV" localSheetId="18" hidden="1">#REF!</definedName>
    <definedName name="bs" localSheetId="18" hidden="1">{#N/A,#N/A,FALSE,"BBPREP"}</definedName>
    <definedName name="bs_1" localSheetId="18" hidden="1">{#N/A,#N/A,FALSE,"BBPREP"}</definedName>
    <definedName name="CCD" localSheetId="18" hidden="1">#REF!</definedName>
    <definedName name="CDE" localSheetId="18" hidden="1">#REF!</definedName>
    <definedName name="DEX" localSheetId="18" hidden="1">#REF!</definedName>
    <definedName name="EDC" localSheetId="18" hidden="1">#REF!</definedName>
    <definedName name="FAD" localSheetId="18" hidden="1">[6]Breakdown!#REF!</definedName>
    <definedName name="FASD" localSheetId="18" hidden="1">#REF!</definedName>
    <definedName name="FEDC" localSheetId="18" hidden="1">'[7]2004'!#REF!</definedName>
    <definedName name="L" localSheetId="18" hidden="1">{#N/A,#N/A,FALSE,"BBPREP"}</definedName>
    <definedName name="_xlnm.Print_Area" localSheetId="18">'营业收入账面金额与ERP系统核对记录D4-13'!$A$1:$E$18</definedName>
    <definedName name="RDES" localSheetId="18" hidden="1">#REF!</definedName>
    <definedName name="s" localSheetId="18" hidden="1">{#N/A,#N/A,FALSE,"BBPREP"}</definedName>
    <definedName name="t" localSheetId="18" hidden="1">{#N/A,#N/A,FALSE,"BBPREP"}</definedName>
    <definedName name="VFE" localSheetId="18" hidden="1">#REF!</definedName>
    <definedName name="XAP" localSheetId="18" hidden="1">#REF!</definedName>
    <definedName name="XAQ" localSheetId="18" hidden="1">#REF!</definedName>
    <definedName name="XCD" localSheetId="18" hidden="1">#REF!</definedName>
    <definedName name="XREF_COLUMN_1" localSheetId="18" hidden="1">#REF!</definedName>
    <definedName name="XREF_COLUMN_2" localSheetId="18" hidden="1">[6]Breakdown!#REF!</definedName>
    <definedName name="XREF_COLUMN_3" localSheetId="18" hidden="1">#REF!</definedName>
    <definedName name="XREF_COLUMN_5" localSheetId="18" hidden="1">'[7]2004'!#REF!</definedName>
    <definedName name="XRefActiveRow" localSheetId="18" hidden="1">#REF!</definedName>
    <definedName name="XRefCopy1" localSheetId="18" hidden="1">#REF!</definedName>
    <definedName name="XRefCopy1Row" localSheetId="18" hidden="1">#REF!</definedName>
    <definedName name="XRefCopy2Row" localSheetId="18" hidden="1">#REF!</definedName>
    <definedName name="XRefPaste1" localSheetId="18" hidden="1">#REF!</definedName>
    <definedName name="XRefPaste1Row" localSheetId="18" hidden="1">#REF!</definedName>
    <definedName name="XRefPaste2" localSheetId="18" hidden="1">#REF!</definedName>
    <definedName name="XRefPaste2Row" localSheetId="18" hidden="1">#REF!</definedName>
    <definedName name="XRefPaste3" localSheetId="18" hidden="1">#REF!</definedName>
    <definedName name="XRefPaste3Row" localSheetId="18" hidden="1">#REF!</definedName>
    <definedName name="本循环科目" localSheetId="18" hidden="1">[10]索引!$D$15:$D$76</definedName>
    <definedName name="底稿目录" localSheetId="18" hidden="1">#REF!</definedName>
    <definedName name="去" localSheetId="18" hidden="1">#REF!</definedName>
    <definedName name="新目录" localSheetId="18" hidden="1">#REF!</definedName>
    <definedName name="_xlnm._FilterDatabase" localSheetId="19" hidden="1">#REF!</definedName>
    <definedName name="AFV" localSheetId="19" hidden="1">#REF!</definedName>
    <definedName name="CCD" localSheetId="19" hidden="1">#REF!</definedName>
    <definedName name="CDE" localSheetId="19" hidden="1">#REF!</definedName>
    <definedName name="DEX" localSheetId="19" hidden="1">#REF!</definedName>
    <definedName name="EDC" localSheetId="19" hidden="1">#REF!</definedName>
    <definedName name="FAD" localSheetId="19" hidden="1">[6]Breakdown!#REF!</definedName>
    <definedName name="FASD" localSheetId="19" hidden="1">#REF!</definedName>
    <definedName name="FEDC" localSheetId="19" hidden="1">'[7]2004'!#REF!</definedName>
    <definedName name="_xlnm.Print_Area" localSheetId="19">'营业收入发生检查表D4-14'!$A$1:$AK$47</definedName>
    <definedName name="RDES" localSheetId="19" hidden="1">#REF!</definedName>
    <definedName name="VFE" localSheetId="19" hidden="1">#REF!</definedName>
    <definedName name="XAP" localSheetId="19" hidden="1">#REF!</definedName>
    <definedName name="XAQ" localSheetId="19" hidden="1">#REF!</definedName>
    <definedName name="XCD" localSheetId="19" hidden="1">#REF!</definedName>
    <definedName name="XREF_COLUMN_1" localSheetId="19" hidden="1">#REF!</definedName>
    <definedName name="XREF_COLUMN_2" localSheetId="19" hidden="1">[6]Breakdown!#REF!</definedName>
    <definedName name="XREF_COLUMN_3" localSheetId="19" hidden="1">#REF!</definedName>
    <definedName name="XREF_COLUMN_5" localSheetId="19" hidden="1">'[7]2004'!#REF!</definedName>
    <definedName name="XRefActiveRow" localSheetId="19" hidden="1">#REF!</definedName>
    <definedName name="XRefCopy1" localSheetId="19" hidden="1">#REF!</definedName>
    <definedName name="XRefCopy1Row" localSheetId="19" hidden="1">#REF!</definedName>
    <definedName name="XRefCopy2Row" localSheetId="19" hidden="1">#REF!</definedName>
    <definedName name="XRefPaste1" localSheetId="19" hidden="1">#REF!</definedName>
    <definedName name="XRefPaste1Row" localSheetId="19" hidden="1">#REF!</definedName>
    <definedName name="XRefPaste2" localSheetId="19" hidden="1">#REF!</definedName>
    <definedName name="XRefPaste2Row" localSheetId="19" hidden="1">#REF!</definedName>
    <definedName name="XRefPaste3" localSheetId="19" hidden="1">#REF!</definedName>
    <definedName name="XRefPaste3Row" localSheetId="19" hidden="1">#REF!</definedName>
    <definedName name="本循环科目" localSheetId="19" hidden="1">[10]索引!$D$15:$D$76</definedName>
    <definedName name="底稿目录" localSheetId="19" hidden="1">#REF!</definedName>
    <definedName name="去" localSheetId="19" hidden="1">#REF!</definedName>
    <definedName name="新目录" localSheetId="19" hidden="1">#REF!</definedName>
    <definedName name="_xlnm._FilterDatabase" localSheetId="20" hidden="1">#REF!</definedName>
    <definedName name="AFV" localSheetId="20" hidden="1">#REF!</definedName>
    <definedName name="CCD" localSheetId="20" hidden="1">#REF!</definedName>
    <definedName name="CDE" localSheetId="20" hidden="1">#REF!</definedName>
    <definedName name="DEX" localSheetId="20" hidden="1">#REF!</definedName>
    <definedName name="EDC" localSheetId="20" hidden="1">#REF!</definedName>
    <definedName name="FAD" localSheetId="20" hidden="1">[6]Breakdown!#REF!</definedName>
    <definedName name="FASD" localSheetId="20" hidden="1">#REF!</definedName>
    <definedName name="FEDC" localSheetId="20" hidden="1">'[7]2004'!#REF!</definedName>
    <definedName name="_xlnm.Print_Area" localSheetId="20">'营业收入完整性检查表D4-15'!$A$1:$Q$31</definedName>
    <definedName name="RDES" localSheetId="20" hidden="1">#REF!</definedName>
    <definedName name="VFE" localSheetId="20" hidden="1">#REF!</definedName>
    <definedName name="XAP" localSheetId="20" hidden="1">#REF!</definedName>
    <definedName name="XAQ" localSheetId="20" hidden="1">#REF!</definedName>
    <definedName name="XCD" localSheetId="20" hidden="1">#REF!</definedName>
    <definedName name="XREF_COLUMN_1" localSheetId="20" hidden="1">#REF!</definedName>
    <definedName name="XREF_COLUMN_2" localSheetId="20" hidden="1">[6]Breakdown!#REF!</definedName>
    <definedName name="XREF_COLUMN_3" localSheetId="20" hidden="1">#REF!</definedName>
    <definedName name="XREF_COLUMN_5" localSheetId="20" hidden="1">'[7]2004'!#REF!</definedName>
    <definedName name="XRefActiveRow" localSheetId="20" hidden="1">#REF!</definedName>
    <definedName name="XRefCopy1" localSheetId="20" hidden="1">#REF!</definedName>
    <definedName name="XRefCopy1Row" localSheetId="20" hidden="1">#REF!</definedName>
    <definedName name="XRefCopy2Row" localSheetId="20" hidden="1">#REF!</definedName>
    <definedName name="XRefPaste1" localSheetId="20" hidden="1">#REF!</definedName>
    <definedName name="XRefPaste1Row" localSheetId="20" hidden="1">#REF!</definedName>
    <definedName name="XRefPaste2" localSheetId="20" hidden="1">#REF!</definedName>
    <definedName name="XRefPaste2Row" localSheetId="20" hidden="1">#REF!</definedName>
    <definedName name="XRefPaste3" localSheetId="20" hidden="1">#REF!</definedName>
    <definedName name="XRefPaste3Row" localSheetId="20" hidden="1">#REF!</definedName>
    <definedName name="本循环科目" localSheetId="20" hidden="1">[10]索引!$D$15:$D$76</definedName>
    <definedName name="底稿目录" localSheetId="20" hidden="1">#REF!</definedName>
    <definedName name="去" localSheetId="20" hidden="1">#REF!</definedName>
    <definedName name="新目录" localSheetId="20" hidden="1">#REF!</definedName>
    <definedName name="_xlnm._FilterDatabase" localSheetId="21" hidden="1">#REF!</definedName>
    <definedName name="AFV" localSheetId="21" hidden="1">#REF!</definedName>
    <definedName name="CCD" localSheetId="21" hidden="1">#REF!</definedName>
    <definedName name="CDE" localSheetId="21" hidden="1">#REF!</definedName>
    <definedName name="DEX" localSheetId="21" hidden="1">#REF!</definedName>
    <definedName name="EDC" localSheetId="21" hidden="1">#REF!</definedName>
    <definedName name="FAD" localSheetId="21" hidden="1">[6]Breakdown!#REF!</definedName>
    <definedName name="FASD" localSheetId="21" hidden="1">#REF!</definedName>
    <definedName name="FEDC" localSheetId="21" hidden="1">'[7]2004'!#REF!</definedName>
    <definedName name="_xlnm.Print_Area" localSheetId="21">'出口收入电子口岸系统核对D4-16'!$A$1:$K$21</definedName>
    <definedName name="RDES" localSheetId="21" hidden="1">#REF!</definedName>
    <definedName name="VFE" localSheetId="21" hidden="1">#REF!</definedName>
    <definedName name="XAP" localSheetId="21" hidden="1">#REF!</definedName>
    <definedName name="XAQ" localSheetId="21" hidden="1">#REF!</definedName>
    <definedName name="XCD" localSheetId="21" hidden="1">#REF!</definedName>
    <definedName name="XREF_COLUMN_1" localSheetId="21" hidden="1">#REF!</definedName>
    <definedName name="XREF_COLUMN_2" localSheetId="21" hidden="1">[6]Breakdown!#REF!</definedName>
    <definedName name="XREF_COLUMN_3" localSheetId="21" hidden="1">#REF!</definedName>
    <definedName name="XREF_COLUMN_5" localSheetId="21" hidden="1">'[7]2004'!#REF!</definedName>
    <definedName name="XRefActiveRow" localSheetId="21" hidden="1">#REF!</definedName>
    <definedName name="XRefCopy1" localSheetId="21" hidden="1">#REF!</definedName>
    <definedName name="XRefCopy1Row" localSheetId="21" hidden="1">#REF!</definedName>
    <definedName name="XRefCopy2Row" localSheetId="21" hidden="1">#REF!</definedName>
    <definedName name="XRefPaste1" localSheetId="21" hidden="1">#REF!</definedName>
    <definedName name="XRefPaste1Row" localSheetId="21" hidden="1">#REF!</definedName>
    <definedName name="XRefPaste2" localSheetId="21" hidden="1">#REF!</definedName>
    <definedName name="XRefPaste2Row" localSheetId="21" hidden="1">#REF!</definedName>
    <definedName name="XRefPaste3" localSheetId="21" hidden="1">#REF!</definedName>
    <definedName name="XRefPaste3Row" localSheetId="21" hidden="1">#REF!</definedName>
    <definedName name="本循环科目" localSheetId="21" hidden="1">[10]索引!$D$15:$D$76</definedName>
    <definedName name="底稿目录" localSheetId="21" hidden="1">#REF!</definedName>
    <definedName name="去" localSheetId="21" hidden="1">#REF!</definedName>
    <definedName name="新目录" localSheetId="21" hidden="1">#REF!</definedName>
    <definedName name="_xlnm._FilterDatabase" localSheetId="22" hidden="1">#REF!</definedName>
    <definedName name="AFV" localSheetId="22" hidden="1">#REF!</definedName>
    <definedName name="CCD" localSheetId="22" hidden="1">#REF!</definedName>
    <definedName name="CDE" localSheetId="22" hidden="1">#REF!</definedName>
    <definedName name="DEX" localSheetId="22" hidden="1">#REF!</definedName>
    <definedName name="EDC" localSheetId="22" hidden="1">#REF!</definedName>
    <definedName name="FAD" localSheetId="22" hidden="1">[6]Breakdown!#REF!</definedName>
    <definedName name="FASD" localSheetId="22" hidden="1">#REF!</definedName>
    <definedName name="FEDC" localSheetId="22" hidden="1">'[7]2004'!#REF!</definedName>
    <definedName name="_xlnm.Print_Area" localSheetId="22">'营业收入截止测试（账到单据）D4-17'!$A$1:$K$41</definedName>
    <definedName name="RDES" localSheetId="22" hidden="1">#REF!</definedName>
    <definedName name="VFE" localSheetId="22" hidden="1">#REF!</definedName>
    <definedName name="XAP" localSheetId="22" hidden="1">#REF!</definedName>
    <definedName name="XAQ" localSheetId="22" hidden="1">#REF!</definedName>
    <definedName name="XCD" localSheetId="22" hidden="1">#REF!</definedName>
    <definedName name="XREF_COLUMN_1" localSheetId="22" hidden="1">#REF!</definedName>
    <definedName name="XREF_COLUMN_2" localSheetId="22" hidden="1">[6]Breakdown!#REF!</definedName>
    <definedName name="XREF_COLUMN_3" localSheetId="22" hidden="1">#REF!</definedName>
    <definedName name="XREF_COLUMN_5" localSheetId="22" hidden="1">'[7]2004'!#REF!</definedName>
    <definedName name="XRefActiveRow" localSheetId="22" hidden="1">#REF!</definedName>
    <definedName name="XRefCopy1" localSheetId="22" hidden="1">#REF!</definedName>
    <definedName name="XRefCopy1Row" localSheetId="22" hidden="1">#REF!</definedName>
    <definedName name="XRefCopy2Row" localSheetId="22" hidden="1">#REF!</definedName>
    <definedName name="XRefPaste1" localSheetId="22" hidden="1">#REF!</definedName>
    <definedName name="XRefPaste1Row" localSheetId="22" hidden="1">#REF!</definedName>
    <definedName name="XRefPaste2" localSheetId="22" hidden="1">#REF!</definedName>
    <definedName name="XRefPaste2Row" localSheetId="22" hidden="1">#REF!</definedName>
    <definedName name="XRefPaste3" localSheetId="22" hidden="1">#REF!</definedName>
    <definedName name="XRefPaste3Row" localSheetId="22" hidden="1">#REF!</definedName>
    <definedName name="Z_110E17E1_2BDE_11D8_A6E1_00D009A73964_.wvu.PrintArea" localSheetId="22" hidden="1">'营业收入截止测试（账到单据）D4-17'!$A$1:$K$9</definedName>
    <definedName name="Z_414F4590_4A74_4CEA_9FEB_C62076447B62_.wvu.PrintArea" localSheetId="22" hidden="1">'营业收入截止测试（账到单据）D4-17'!$A$1:$K$9</definedName>
    <definedName name="Z_80FEA70C_6BD1_442C_8680_7065F5D1BB65_.wvu.PrintArea" localSheetId="22" hidden="1">'营业收入截止测试（账到单据）D4-17'!$A$1:$K$9</definedName>
    <definedName name="本循环科目" localSheetId="22" hidden="1">[10]索引!$D$15:$D$76</definedName>
    <definedName name="底稿目录" localSheetId="22" hidden="1">#REF!</definedName>
    <definedName name="去" localSheetId="22" hidden="1">#REF!</definedName>
    <definedName name="新目录" localSheetId="22" hidden="1">#REF!</definedName>
    <definedName name="_xlnm._FilterDatabase" localSheetId="23" hidden="1">#REF!</definedName>
    <definedName name="AFV" localSheetId="23" hidden="1">#REF!</definedName>
    <definedName name="CCD" localSheetId="23" hidden="1">#REF!</definedName>
    <definedName name="CDE" localSheetId="23" hidden="1">#REF!</definedName>
    <definedName name="DEX" localSheetId="23" hidden="1">#REF!</definedName>
    <definedName name="EDC" localSheetId="23" hidden="1">#REF!</definedName>
    <definedName name="FAD" localSheetId="23" hidden="1">[6]Breakdown!#REF!</definedName>
    <definedName name="FASD" localSheetId="23" hidden="1">#REF!</definedName>
    <definedName name="FEDC" localSheetId="23" hidden="1">'[7]2004'!#REF!</definedName>
    <definedName name="_xlnm.Print_Area" localSheetId="23">'营业收入截止测试（单据到账）D4-18'!$A$1:$K$41</definedName>
    <definedName name="RDES" localSheetId="23" hidden="1">#REF!</definedName>
    <definedName name="VFE" localSheetId="23" hidden="1">#REF!</definedName>
    <definedName name="XAP" localSheetId="23" hidden="1">#REF!</definedName>
    <definedName name="XAQ" localSheetId="23" hidden="1">#REF!</definedName>
    <definedName name="XCD" localSheetId="23" hidden="1">#REF!</definedName>
    <definedName name="XREF_COLUMN_1" localSheetId="23" hidden="1">#REF!</definedName>
    <definedName name="XREF_COLUMN_2" localSheetId="23" hidden="1">[6]Breakdown!#REF!</definedName>
    <definedName name="XREF_COLUMN_3" localSheetId="23" hidden="1">#REF!</definedName>
    <definedName name="XREF_COLUMN_5" localSheetId="23" hidden="1">'[7]2004'!#REF!</definedName>
    <definedName name="XRefActiveRow" localSheetId="23" hidden="1">#REF!</definedName>
    <definedName name="XRefCopy1" localSheetId="23" hidden="1">#REF!</definedName>
    <definedName name="XRefCopy1Row" localSheetId="23" hidden="1">#REF!</definedName>
    <definedName name="XRefCopy2Row" localSheetId="23" hidden="1">#REF!</definedName>
    <definedName name="XRefPaste1" localSheetId="23" hidden="1">#REF!</definedName>
    <definedName name="XRefPaste1Row" localSheetId="23" hidden="1">#REF!</definedName>
    <definedName name="XRefPaste2" localSheetId="23" hidden="1">#REF!</definedName>
    <definedName name="XRefPaste2Row" localSheetId="23" hidden="1">#REF!</definedName>
    <definedName name="XRefPaste3" localSheetId="23" hidden="1">#REF!</definedName>
    <definedName name="XRefPaste3Row" localSheetId="23" hidden="1">#REF!</definedName>
    <definedName name="Z_110E17E1_2BDE_11D8_A6E1_00D009A73964_.wvu.PrintArea" localSheetId="23" hidden="1">'营业收入截止测试（单据到账）D4-18'!$A$1:$K$35</definedName>
    <definedName name="Z_414F4590_4A74_4CEA_9FEB_C62076447B62_.wvu.PrintArea" localSheetId="23" hidden="1">'营业收入截止测试（单据到账）D4-18'!$A$1:$K$35</definedName>
    <definedName name="Z_80FEA70C_6BD1_442C_8680_7065F5D1BB65_.wvu.PrintArea" localSheetId="23" hidden="1">'营业收入截止测试（单据到账）D4-18'!$A$1:$K$35</definedName>
    <definedName name="本循环科目" localSheetId="23" hidden="1">[10]索引!$D$15:$D$76</definedName>
    <definedName name="底稿目录" localSheetId="23" hidden="1">#REF!</definedName>
    <definedName name="去" localSheetId="23" hidden="1">#REF!</definedName>
    <definedName name="新目录" localSheetId="23" hidden="1">#REF!</definedName>
    <definedName name="_xlnm._FilterDatabase" localSheetId="24" hidden="1">#REF!</definedName>
    <definedName name="AFV" localSheetId="24" hidden="1">#REF!</definedName>
    <definedName name="CCD" localSheetId="24" hidden="1">#REF!</definedName>
    <definedName name="CDE" localSheetId="24" hidden="1">#REF!</definedName>
    <definedName name="DEX" localSheetId="24" hidden="1">#REF!</definedName>
    <definedName name="EDC" localSheetId="24" hidden="1">#REF!</definedName>
    <definedName name="FAD" localSheetId="24" hidden="1">[6]Breakdown!#REF!</definedName>
    <definedName name="FASD" localSheetId="24" hidden="1">#REF!</definedName>
    <definedName name="FEDC" localSheetId="24" hidden="1">'[7]2004'!#REF!</definedName>
    <definedName name="_xlnm.Print_Area" localSheetId="24">'销售折扣与折让检查D4-19'!$A$1:$O$29</definedName>
    <definedName name="RDES" localSheetId="24" hidden="1">#REF!</definedName>
    <definedName name="VFE" localSheetId="24" hidden="1">#REF!</definedName>
    <definedName name="XAP" localSheetId="24" hidden="1">#REF!</definedName>
    <definedName name="XAQ" localSheetId="24" hidden="1">#REF!</definedName>
    <definedName name="XCD" localSheetId="24" hidden="1">#REF!</definedName>
    <definedName name="XREF_COLUMN_1" localSheetId="24" hidden="1">#REF!</definedName>
    <definedName name="XREF_COLUMN_2" localSheetId="24" hidden="1">[6]Breakdown!#REF!</definedName>
    <definedName name="XREF_COLUMN_3" localSheetId="24" hidden="1">#REF!</definedName>
    <definedName name="XREF_COLUMN_5" localSheetId="24" hidden="1">'[7]2004'!#REF!</definedName>
    <definedName name="XRefActiveRow" localSheetId="24" hidden="1">#REF!</definedName>
    <definedName name="XRefCopy1" localSheetId="24" hidden="1">#REF!</definedName>
    <definedName name="XRefCopy1Row" localSheetId="24" hidden="1">#REF!</definedName>
    <definedName name="XRefCopy2Row" localSheetId="24" hidden="1">#REF!</definedName>
    <definedName name="XRefPaste1" localSheetId="24" hidden="1">#REF!</definedName>
    <definedName name="XRefPaste1Row" localSheetId="24" hidden="1">#REF!</definedName>
    <definedName name="XRefPaste2" localSheetId="24" hidden="1">#REF!</definedName>
    <definedName name="XRefPaste2Row" localSheetId="24" hidden="1">#REF!</definedName>
    <definedName name="XRefPaste3" localSheetId="24" hidden="1">#REF!</definedName>
    <definedName name="XRefPaste3Row" localSheetId="24" hidden="1">#REF!</definedName>
    <definedName name="本循环科目" localSheetId="24" hidden="1">[10]索引!$D$15:$D$76</definedName>
    <definedName name="底稿目录" localSheetId="24" hidden="1">#REF!</definedName>
    <definedName name="去" localSheetId="24" hidden="1">#REF!</definedName>
    <definedName name="新目录" localSheetId="24" hidden="1">#REF!</definedName>
    <definedName name="_xlnm._FilterDatabase" localSheetId="25" hidden="1">#REF!</definedName>
    <definedName name="AFV" localSheetId="25" hidden="1">#REF!</definedName>
    <definedName name="CCD" localSheetId="25" hidden="1">#REF!</definedName>
    <definedName name="CDE" localSheetId="25" hidden="1">#REF!</definedName>
    <definedName name="DEX" localSheetId="25" hidden="1">#REF!</definedName>
    <definedName name="EDC" localSheetId="25" hidden="1">#REF!</definedName>
    <definedName name="FAD" localSheetId="25" hidden="1">[6]Breakdown!#REF!</definedName>
    <definedName name="FASD" localSheetId="25" hidden="1">#REF!</definedName>
    <definedName name="FEDC" localSheetId="25" hidden="1">'[7]2004'!#REF!</definedName>
    <definedName name="_xlnm.Print_Area" localSheetId="25">'销售退货检查表 D4-20'!$A$1:$O$54</definedName>
    <definedName name="_xlnm.Print_Titles" localSheetId="25">'销售退货检查表 D4-20'!$1:$4</definedName>
    <definedName name="RDES" localSheetId="25" hidden="1">#REF!</definedName>
    <definedName name="VFE" localSheetId="25" hidden="1">#REF!</definedName>
    <definedName name="XAP" localSheetId="25" hidden="1">#REF!</definedName>
    <definedName name="XAQ" localSheetId="25" hidden="1">#REF!</definedName>
    <definedName name="XCD" localSheetId="25" hidden="1">#REF!</definedName>
    <definedName name="XREF_COLUMN_1" localSheetId="25" hidden="1">#REF!</definedName>
    <definedName name="XREF_COLUMN_2" localSheetId="25" hidden="1">[6]Breakdown!#REF!</definedName>
    <definedName name="XREF_COLUMN_3" localSheetId="25" hidden="1">#REF!</definedName>
    <definedName name="XREF_COLUMN_5" localSheetId="25" hidden="1">'[7]2004'!#REF!</definedName>
    <definedName name="XRefActiveRow" localSheetId="25" hidden="1">#REF!</definedName>
    <definedName name="XRefCopy1" localSheetId="25" hidden="1">#REF!</definedName>
    <definedName name="XRefCopy1Row" localSheetId="25" hidden="1">#REF!</definedName>
    <definedName name="XRefCopy2Row" localSheetId="25" hidden="1">#REF!</definedName>
    <definedName name="XRefPaste1" localSheetId="25" hidden="1">#REF!</definedName>
    <definedName name="XRefPaste1Row" localSheetId="25" hidden="1">#REF!</definedName>
    <definedName name="XRefPaste2" localSheetId="25" hidden="1">#REF!</definedName>
    <definedName name="XRefPaste2Row" localSheetId="25" hidden="1">#REF!</definedName>
    <definedName name="XRefPaste3" localSheetId="25" hidden="1">#REF!</definedName>
    <definedName name="XRefPaste3Row" localSheetId="25" hidden="1">#REF!</definedName>
    <definedName name="本循环科目" localSheetId="25" hidden="1">[10]索引!$D$15:$D$76</definedName>
    <definedName name="底稿目录" localSheetId="25" hidden="1">#REF!</definedName>
    <definedName name="去" localSheetId="25" hidden="1">#REF!</definedName>
    <definedName name="新目录" localSheetId="25" hidden="1">#REF!</definedName>
    <definedName name="_xlnm._FilterDatabase" localSheetId="26" hidden="1">#REF!</definedName>
    <definedName name="AFV" localSheetId="26" hidden="1">#REF!</definedName>
    <definedName name="bs" localSheetId="26" hidden="1">{#N/A,#N/A,FALSE,"BBPREP"}</definedName>
    <definedName name="bs_1" localSheetId="26" hidden="1">{#N/A,#N/A,FALSE,"BBPREP"}</definedName>
    <definedName name="CCD" localSheetId="26" hidden="1">#REF!</definedName>
    <definedName name="CDE" localSheetId="26" hidden="1">#REF!</definedName>
    <definedName name="DEX" localSheetId="26" hidden="1">#REF!</definedName>
    <definedName name="EDC" localSheetId="26" hidden="1">#REF!</definedName>
    <definedName name="FAD" localSheetId="26" hidden="1">[6]Breakdown!#REF!</definedName>
    <definedName name="FASD" localSheetId="26" hidden="1">#REF!</definedName>
    <definedName name="FEDC" localSheetId="26" hidden="1">'[7]2004'!#REF!</definedName>
    <definedName name="gg" hidden="1">{#N/A,#N/A,FALSE,"BBPREP"}</definedName>
    <definedName name="L" localSheetId="26" hidden="1">{#N/A,#N/A,FALSE,"BBPREP"}</definedName>
    <definedName name="_xlnm.Print_Area" localSheetId="26">'关联方销售情况及价格分析D4-21'!$A$1:$N$35</definedName>
    <definedName name="RDES" localSheetId="26" hidden="1">#REF!</definedName>
    <definedName name="s" localSheetId="26" hidden="1">{#N/A,#N/A,FALSE,"BBPREP"}</definedName>
    <definedName name="t" localSheetId="26" hidden="1">{#N/A,#N/A,FALSE,"BBPREP"}</definedName>
    <definedName name="VFE" localSheetId="26" hidden="1">#REF!</definedName>
    <definedName name="XAP" localSheetId="26" hidden="1">#REF!</definedName>
    <definedName name="XAQ" localSheetId="26" hidden="1">#REF!</definedName>
    <definedName name="XCD" localSheetId="26" hidden="1">#REF!</definedName>
    <definedName name="XREF_COLUMN_1" localSheetId="26" hidden="1">#REF!</definedName>
    <definedName name="XREF_COLUMN_2" localSheetId="26" hidden="1">[6]Breakdown!#REF!</definedName>
    <definedName name="XREF_COLUMN_3" localSheetId="26" hidden="1">#REF!</definedName>
    <definedName name="XREF_COLUMN_5" localSheetId="26" hidden="1">'[7]2004'!#REF!</definedName>
    <definedName name="XRefActiveRow" localSheetId="26" hidden="1">#REF!</definedName>
    <definedName name="XRefCopy1" localSheetId="26" hidden="1">#REF!</definedName>
    <definedName name="XRefCopy1Row" localSheetId="26" hidden="1">#REF!</definedName>
    <definedName name="XRefCopy2Row" localSheetId="26" hidden="1">#REF!</definedName>
    <definedName name="XRefPaste1" localSheetId="26" hidden="1">#REF!</definedName>
    <definedName name="XRefPaste1Row" localSheetId="26" hidden="1">#REF!</definedName>
    <definedName name="XRefPaste2" localSheetId="26" hidden="1">#REF!</definedName>
    <definedName name="XRefPaste2Row" localSheetId="26" hidden="1">#REF!</definedName>
    <definedName name="XRefPaste3" localSheetId="26" hidden="1">#REF!</definedName>
    <definedName name="XRefPaste3Row" localSheetId="26" hidden="1">#REF!</definedName>
    <definedName name="本循环科目" localSheetId="26" hidden="1">[10]索引!$D$15:$D$76</definedName>
    <definedName name="底稿目录" localSheetId="26" hidden="1">#REF!</definedName>
    <definedName name="发的撒发" hidden="1">{#N/A,#N/A,FALSE,"BBPREP"}</definedName>
    <definedName name="去" localSheetId="26" hidden="1">#REF!</definedName>
    <definedName name="新目录" localSheetId="26" hidden="1">#REF!</definedName>
    <definedName name="_xlnm._FilterDatabase" localSheetId="27" hidden="1">#REF!</definedName>
    <definedName name="AFV" localSheetId="27" hidden="1">#REF!</definedName>
    <definedName name="CCD" localSheetId="27" hidden="1">#REF!</definedName>
    <definedName name="CDE" localSheetId="27" hidden="1">#REF!</definedName>
    <definedName name="DEX" localSheetId="27" hidden="1">#REF!</definedName>
    <definedName name="EDC" localSheetId="27" hidden="1">#REF!</definedName>
    <definedName name="FAD" localSheetId="27" hidden="1">[6]Breakdown!#REF!</definedName>
    <definedName name="FASD" localSheetId="27" hidden="1">#REF!</definedName>
    <definedName name="FEDC" localSheetId="27" hidden="1">'[7]2004'!#REF!</definedName>
    <definedName name="RDES" localSheetId="27" hidden="1">#REF!</definedName>
    <definedName name="VFE" localSheetId="27" hidden="1">#REF!</definedName>
    <definedName name="XAP" localSheetId="27" hidden="1">#REF!</definedName>
    <definedName name="XAQ" localSheetId="27" hidden="1">#REF!</definedName>
    <definedName name="XCD" localSheetId="27" hidden="1">#REF!</definedName>
    <definedName name="XREF_COLUMN_1" localSheetId="27" hidden="1">#REF!</definedName>
    <definedName name="XREF_COLUMN_2" localSheetId="27" hidden="1">[6]Breakdown!#REF!</definedName>
    <definedName name="XREF_COLUMN_3" localSheetId="27" hidden="1">#REF!</definedName>
    <definedName name="XREF_COLUMN_5" localSheetId="27" hidden="1">'[7]2004'!#REF!</definedName>
    <definedName name="XRefActiveRow" localSheetId="27" hidden="1">#REF!</definedName>
    <definedName name="XRefCopy1" localSheetId="27" hidden="1">#REF!</definedName>
    <definedName name="XRefCopy1Row" localSheetId="27" hidden="1">#REF!</definedName>
    <definedName name="XRefCopy2Row" localSheetId="27" hidden="1">#REF!</definedName>
    <definedName name="XRefPaste1" localSheetId="27" hidden="1">#REF!</definedName>
    <definedName name="XRefPaste1Row" localSheetId="27" hidden="1">#REF!</definedName>
    <definedName name="XRefPaste2" localSheetId="27" hidden="1">#REF!</definedName>
    <definedName name="XRefPaste2Row" localSheetId="27" hidden="1">#REF!</definedName>
    <definedName name="XRefPaste3" localSheetId="27" hidden="1">#REF!</definedName>
    <definedName name="XRefPaste3Row" localSheetId="27" hidden="1">#REF!</definedName>
    <definedName name="Z_47D4C474_81EA_4562_A03B_66488F80C527_.wvu.FilterData" hidden="1">#REF!</definedName>
    <definedName name="Z_85E7D15F_9559_4B54_A2EE_DCCECE011EC4_.wvu.Cols" hidden="1">#REF!</definedName>
    <definedName name="本循环科目" localSheetId="27" hidden="1">[10]索引!$D$15:$D$76</definedName>
    <definedName name="底稿目录" localSheetId="27" hidden="1">#REF!</definedName>
    <definedName name="去" localSheetId="27" hidden="1">#REF!</definedName>
    <definedName name="新目录" localSheetId="27" hidden="1">#REF!</definedName>
    <definedName name="_xlnm._FilterDatabase" localSheetId="28" hidden="1">#REF!</definedName>
    <definedName name="AFV" localSheetId="28" hidden="1">#REF!</definedName>
    <definedName name="CCD" localSheetId="28" hidden="1">#REF!</definedName>
    <definedName name="CDE" localSheetId="28" hidden="1">#REF!</definedName>
    <definedName name="DEX" localSheetId="28" hidden="1">#REF!</definedName>
    <definedName name="EDC" localSheetId="28" hidden="1">#REF!</definedName>
    <definedName name="FAD" localSheetId="28" hidden="1">[6]Breakdown!#REF!</definedName>
    <definedName name="FASD" localSheetId="28" hidden="1">#REF!</definedName>
    <definedName name="FEDC" localSheetId="28" hidden="1">'[7]2004'!#REF!</definedName>
    <definedName name="_xlnm.Print_Area" localSheetId="28">'程序表D4-22A'!$A$1:$J$34</definedName>
    <definedName name="_xlnm.Print_Titles" localSheetId="28">'程序表D4-22A'!$15:$16</definedName>
    <definedName name="RDES" localSheetId="28" hidden="1">#REF!</definedName>
    <definedName name="VFE" localSheetId="28" hidden="1">#REF!</definedName>
    <definedName name="XAP" localSheetId="28" hidden="1">#REF!</definedName>
    <definedName name="XAQ" localSheetId="28" hidden="1">#REF!</definedName>
    <definedName name="XCD" localSheetId="28" hidden="1">#REF!</definedName>
    <definedName name="XREF_COLUMN_1" localSheetId="28" hidden="1">#REF!</definedName>
    <definedName name="XREF_COLUMN_2" localSheetId="28" hidden="1">[6]Breakdown!#REF!</definedName>
    <definedName name="XREF_COLUMN_3" localSheetId="28" hidden="1">#REF!</definedName>
    <definedName name="XREF_COLUMN_5" localSheetId="28" hidden="1">'[7]2004'!#REF!</definedName>
    <definedName name="XRefActiveRow" localSheetId="28" hidden="1">#REF!</definedName>
    <definedName name="XRefCopy1" localSheetId="28" hidden="1">#REF!</definedName>
    <definedName name="XRefCopy1Row" localSheetId="28" hidden="1">#REF!</definedName>
    <definedName name="XRefCopy2Row" localSheetId="28" hidden="1">#REF!</definedName>
    <definedName name="XRefPaste1" localSheetId="28" hidden="1">#REF!</definedName>
    <definedName name="XRefPaste1Row" localSheetId="28" hidden="1">#REF!</definedName>
    <definedName name="XRefPaste2" localSheetId="28" hidden="1">#REF!</definedName>
    <definedName name="XRefPaste2Row" localSheetId="28" hidden="1">#REF!</definedName>
    <definedName name="XRefPaste3" localSheetId="28" hidden="1">#REF!</definedName>
    <definedName name="XRefPaste3Row" localSheetId="28" hidden="1">#REF!</definedName>
    <definedName name="本循环科目" localSheetId="28" hidden="1">[10]索引!$D$15:$D$76</definedName>
    <definedName name="底稿目录" localSheetId="28" hidden="1">#REF!</definedName>
    <definedName name="去" localSheetId="28" hidden="1">#REF!</definedName>
    <definedName name="新目录" localSheetId="28" hidden="1">#REF!</definedName>
    <definedName name="_xlnm._FilterDatabase" localSheetId="29" hidden="1">#REF!</definedName>
    <definedName name="AFV" localSheetId="29" hidden="1">#REF!</definedName>
    <definedName name="CCD" localSheetId="29" hidden="1">#REF!</definedName>
    <definedName name="CDE" localSheetId="29" hidden="1">#REF!</definedName>
    <definedName name="DEX" localSheetId="29" hidden="1">#REF!</definedName>
    <definedName name="EDC" localSheetId="29" hidden="1">#REF!</definedName>
    <definedName name="FAD" localSheetId="29" hidden="1">[6]Breakdown!#REF!</definedName>
    <definedName name="FASD" localSheetId="29" hidden="1">#REF!</definedName>
    <definedName name="FEDC" localSheetId="29" hidden="1">'[7]2004'!#REF!</definedName>
    <definedName name="_xlnm.Print_Area" localSheetId="29">'重要指标分析表D4-22'!$A$1:$H$29</definedName>
    <definedName name="RDES" localSheetId="29" hidden="1">#REF!</definedName>
    <definedName name="VFE" localSheetId="29" hidden="1">#REF!</definedName>
    <definedName name="XAP" localSheetId="29" hidden="1">#REF!</definedName>
    <definedName name="XAQ" localSheetId="29" hidden="1">#REF!</definedName>
    <definedName name="XCD" localSheetId="29" hidden="1">#REF!</definedName>
    <definedName name="XREF_COLUMN_1" localSheetId="29" hidden="1">#REF!</definedName>
    <definedName name="XREF_COLUMN_2" localSheetId="29" hidden="1">[6]Breakdown!#REF!</definedName>
    <definedName name="XREF_COLUMN_3" localSheetId="29" hidden="1">#REF!</definedName>
    <definedName name="XREF_COLUMN_5" localSheetId="29" hidden="1">'[7]2004'!#REF!</definedName>
    <definedName name="XRefActiveRow" localSheetId="29" hidden="1">#REF!</definedName>
    <definedName name="XRefCopy1" localSheetId="29" hidden="1">#REF!</definedName>
    <definedName name="XRefCopy1Row" localSheetId="29" hidden="1">#REF!</definedName>
    <definedName name="XRefCopy2Row" localSheetId="29" hidden="1">#REF!</definedName>
    <definedName name="XRefPaste1" localSheetId="29" hidden="1">#REF!</definedName>
    <definedName name="XRefPaste1Row" localSheetId="29" hidden="1">#REF!</definedName>
    <definedName name="XRefPaste2" localSheetId="29" hidden="1">#REF!</definedName>
    <definedName name="XRefPaste2Row" localSheetId="29" hidden="1">#REF!</definedName>
    <definedName name="XRefPaste3" localSheetId="29" hidden="1">#REF!</definedName>
    <definedName name="XRefPaste3Row" localSheetId="29" hidden="1">#REF!</definedName>
    <definedName name="本循环科目" localSheetId="29" hidden="1">[10]索引!$D$15:$D$76</definedName>
    <definedName name="底稿目录" localSheetId="29" hidden="1">#REF!</definedName>
    <definedName name="去" localSheetId="29" hidden="1">#REF!</definedName>
    <definedName name="新目录" localSheetId="29" hidden="1">#REF!</definedName>
    <definedName name="_xlnm._FilterDatabase" localSheetId="30" hidden="1">#REF!</definedName>
    <definedName name="AFV" localSheetId="30" hidden="1">#REF!</definedName>
    <definedName name="bs" localSheetId="30" hidden="1">{#N/A,#N/A,FALSE,"BBPREP"}</definedName>
    <definedName name="bs_1" localSheetId="30" hidden="1">{#N/A,#N/A,FALSE,"BBPREP"}</definedName>
    <definedName name="CCD" localSheetId="30" hidden="1">#REF!</definedName>
    <definedName name="CDE" localSheetId="30" hidden="1">#REF!</definedName>
    <definedName name="DEX" localSheetId="30" hidden="1">#REF!</definedName>
    <definedName name="EDC" localSheetId="30" hidden="1">#REF!</definedName>
    <definedName name="FAD" localSheetId="30" hidden="1">[6]Breakdown!#REF!</definedName>
    <definedName name="FASD" localSheetId="30" hidden="1">#REF!</definedName>
    <definedName name="FEDC" localSheetId="30" hidden="1">'[7]2004'!#REF!</definedName>
    <definedName name="_xlnm.Print_Area" localSheetId="30">'收入与开具发票金额比较分析D4-23'!$A$1:$K$30</definedName>
    <definedName name="RDES" localSheetId="30" hidden="1">#REF!</definedName>
    <definedName name="VFE" localSheetId="30" hidden="1">#REF!</definedName>
    <definedName name="XAP" localSheetId="30" hidden="1">#REF!</definedName>
    <definedName name="XAQ" localSheetId="30" hidden="1">#REF!</definedName>
    <definedName name="XCD" localSheetId="30" hidden="1">#REF!</definedName>
    <definedName name="XREF_COLUMN_1" localSheetId="30" hidden="1">#REF!</definedName>
    <definedName name="XREF_COLUMN_2" localSheetId="30" hidden="1">[6]Breakdown!#REF!</definedName>
    <definedName name="XREF_COLUMN_3" localSheetId="30" hidden="1">#REF!</definedName>
    <definedName name="XREF_COLUMN_5" localSheetId="30" hidden="1">'[7]2004'!#REF!</definedName>
    <definedName name="XRefActiveRow" localSheetId="30" hidden="1">#REF!</definedName>
    <definedName name="XRefCopy1" localSheetId="30" hidden="1">#REF!</definedName>
    <definedName name="XRefCopy1Row" localSheetId="30" hidden="1">#REF!</definedName>
    <definedName name="XRefCopy2Row" localSheetId="30" hidden="1">#REF!</definedName>
    <definedName name="XRefPaste1" localSheetId="30" hidden="1">#REF!</definedName>
    <definedName name="XRefPaste1Row" localSheetId="30" hidden="1">#REF!</definedName>
    <definedName name="XRefPaste2" localSheetId="30" hidden="1">#REF!</definedName>
    <definedName name="XRefPaste2Row" localSheetId="30" hidden="1">#REF!</definedName>
    <definedName name="XRefPaste3" localSheetId="30" hidden="1">#REF!</definedName>
    <definedName name="XRefPaste3Row" localSheetId="30" hidden="1">#REF!</definedName>
    <definedName name="本循环科目" localSheetId="30" hidden="1">[15]索引!$D$15:$D$76</definedName>
    <definedName name="底稿目录" localSheetId="30" hidden="1">#REF!</definedName>
    <definedName name="去" localSheetId="30" hidden="1">#REF!</definedName>
    <definedName name="新目录" localSheetId="30" hidden="1">#REF!</definedName>
    <definedName name="_xlnm._FilterDatabase" localSheetId="31" hidden="1">#REF!</definedName>
    <definedName name="AFV" localSheetId="31" hidden="1">#REF!</definedName>
    <definedName name="bs" localSheetId="31" hidden="1">{#N/A,#N/A,FALSE,"BBPREP"}</definedName>
    <definedName name="bs_1" localSheetId="31" hidden="1">{#N/A,#N/A,FALSE,"BBPREP"}</definedName>
    <definedName name="CCD" localSheetId="31" hidden="1">#REF!</definedName>
    <definedName name="CDE" localSheetId="31" hidden="1">#REF!</definedName>
    <definedName name="DEX" localSheetId="31" hidden="1">#REF!</definedName>
    <definedName name="EDC" localSheetId="31" hidden="1">#REF!</definedName>
    <definedName name="FAD" localSheetId="31" hidden="1">[6]Breakdown!#REF!</definedName>
    <definedName name="FASD" localSheetId="31" hidden="1">#REF!</definedName>
    <definedName name="FEDC" localSheetId="31" hidden="1">'[7]2004'!#REF!</definedName>
    <definedName name="L" localSheetId="31" hidden="1">{#N/A,#N/A,FALSE,"BBPREP"}</definedName>
    <definedName name="_xlnm.Print_Area" localSheetId="31">'第三方回款检查D4-24'!$A$1:$M$28</definedName>
    <definedName name="RDES" localSheetId="31" hidden="1">#REF!</definedName>
    <definedName name="s" localSheetId="31" hidden="1">{#N/A,#N/A,FALSE,"BBPREP"}</definedName>
    <definedName name="t" localSheetId="31" hidden="1">{#N/A,#N/A,FALSE,"BBPREP"}</definedName>
    <definedName name="VFE" localSheetId="31" hidden="1">#REF!</definedName>
    <definedName name="XAP" localSheetId="31" hidden="1">#REF!</definedName>
    <definedName name="XAQ" localSheetId="31" hidden="1">#REF!</definedName>
    <definedName name="XCD" localSheetId="31" hidden="1">#REF!</definedName>
    <definedName name="XREF_COLUMN_1" localSheetId="31" hidden="1">#REF!</definedName>
    <definedName name="XREF_COLUMN_2" localSheetId="31" hidden="1">[6]Breakdown!#REF!</definedName>
    <definedName name="XREF_COLUMN_3" localSheetId="31" hidden="1">#REF!</definedName>
    <definedName name="XREF_COLUMN_5" localSheetId="31" hidden="1">'[7]2004'!#REF!</definedName>
    <definedName name="XRefActiveRow" localSheetId="31" hidden="1">#REF!</definedName>
    <definedName name="XRefCopy1" localSheetId="31" hidden="1">#REF!</definedName>
    <definedName name="XRefCopy1Row" localSheetId="31" hidden="1">#REF!</definedName>
    <definedName name="XRefCopy2Row" localSheetId="31" hidden="1">#REF!</definedName>
    <definedName name="XRefPaste1" localSheetId="31" hidden="1">#REF!</definedName>
    <definedName name="XRefPaste1Row" localSheetId="31" hidden="1">#REF!</definedName>
    <definedName name="XRefPaste2" localSheetId="31" hidden="1">#REF!</definedName>
    <definedName name="XRefPaste2Row" localSheetId="31" hidden="1">#REF!</definedName>
    <definedName name="XRefPaste3" localSheetId="31" hidden="1">#REF!</definedName>
    <definedName name="XRefPaste3Row" localSheetId="31" hidden="1">#REF!</definedName>
    <definedName name="本循环科目" localSheetId="31" hidden="1">[10]索引!$D$15:$D$76</definedName>
    <definedName name="底稿目录" localSheetId="31" hidden="1">#REF!</definedName>
    <definedName name="去" localSheetId="31" hidden="1">#REF!</definedName>
    <definedName name="新目录" localSheetId="31" hidden="1">#REF!</definedName>
    <definedName name="_xlnm._FilterDatabase" localSheetId="32" hidden="1">#REF!</definedName>
    <definedName name="AFV" localSheetId="32" hidden="1">#REF!</definedName>
    <definedName name="bs" localSheetId="32" hidden="1">{#N/A,#N/A,FALSE,"BBPREP"}</definedName>
    <definedName name="bs_1" localSheetId="32" hidden="1">{#N/A,#N/A,FALSE,"BBPREP"}</definedName>
    <definedName name="CCD" localSheetId="32" hidden="1">#REF!</definedName>
    <definedName name="CDE" localSheetId="32" hidden="1">#REF!</definedName>
    <definedName name="DEX" localSheetId="32" hidden="1">#REF!</definedName>
    <definedName name="EDC" localSheetId="32" hidden="1">#REF!</definedName>
    <definedName name="FAD" localSheetId="32" hidden="1">[6]Breakdown!#REF!</definedName>
    <definedName name="FASD" localSheetId="32" hidden="1">#REF!</definedName>
    <definedName name="FEDC" localSheetId="32" hidden="1">'[7]2004'!#REF!</definedName>
    <definedName name="L" localSheetId="32" hidden="1">{#N/A,#N/A,FALSE,"BBPREP"}</definedName>
    <definedName name="_xlnm.Print_Area" localSheetId="32">'经销商检查D4-25'!$A$1:$M$28</definedName>
    <definedName name="RDES" localSheetId="32" hidden="1">#REF!</definedName>
    <definedName name="s" localSheetId="32" hidden="1">{#N/A,#N/A,FALSE,"BBPREP"}</definedName>
    <definedName name="t" localSheetId="32" hidden="1">{#N/A,#N/A,FALSE,"BBPREP"}</definedName>
    <definedName name="VFE" localSheetId="32" hidden="1">#REF!</definedName>
    <definedName name="XAP" localSheetId="32" hidden="1">#REF!</definedName>
    <definedName name="XAQ" localSheetId="32" hidden="1">#REF!</definedName>
    <definedName name="XCD" localSheetId="32" hidden="1">#REF!</definedName>
    <definedName name="XREF_COLUMN_1" localSheetId="32" hidden="1">#REF!</definedName>
    <definedName name="XREF_COLUMN_2" localSheetId="32" hidden="1">[6]Breakdown!#REF!</definedName>
    <definedName name="XREF_COLUMN_3" localSheetId="32" hidden="1">#REF!</definedName>
    <definedName name="XREF_COLUMN_5" localSheetId="32" hidden="1">'[7]2004'!#REF!</definedName>
    <definedName name="XRefActiveRow" localSheetId="32" hidden="1">#REF!</definedName>
    <definedName name="XRefCopy1" localSheetId="32" hidden="1">#REF!</definedName>
    <definedName name="XRefCopy1Row" localSheetId="32" hidden="1">#REF!</definedName>
    <definedName name="XRefCopy2Row" localSheetId="32" hidden="1">#REF!</definedName>
    <definedName name="XRefPaste1" localSheetId="32" hidden="1">#REF!</definedName>
    <definedName name="XRefPaste1Row" localSheetId="32" hidden="1">#REF!</definedName>
    <definedName name="XRefPaste2" localSheetId="32" hidden="1">#REF!</definedName>
    <definedName name="XRefPaste2Row" localSheetId="32" hidden="1">#REF!</definedName>
    <definedName name="XRefPaste3" localSheetId="32" hidden="1">#REF!</definedName>
    <definedName name="XRefPaste3Row" localSheetId="32" hidden="1">#REF!</definedName>
    <definedName name="本循环科目" localSheetId="32" hidden="1">[10]索引!$D$15:$D$76</definedName>
    <definedName name="底稿目录" localSheetId="32" hidden="1">#REF!</definedName>
    <definedName name="去" localSheetId="32" hidden="1">#REF!</definedName>
    <definedName name="新目录" localSheetId="32" hidden="1">#REF!</definedName>
    <definedName name="_xlnm._FilterDatabase" localSheetId="33" hidden="1">#REF!</definedName>
    <definedName name="AFV" localSheetId="33" hidden="1">#REF!</definedName>
    <definedName name="CCD" localSheetId="33" hidden="1">#REF!</definedName>
    <definedName name="CDE" localSheetId="33" hidden="1">#REF!</definedName>
    <definedName name="DEX" localSheetId="33" hidden="1">#REF!</definedName>
    <definedName name="EDC" localSheetId="33" hidden="1">#REF!</definedName>
    <definedName name="FAD" localSheetId="33" hidden="1">[6]Breakdown!#REF!</definedName>
    <definedName name="FASD" localSheetId="33" hidden="1">#REF!</definedName>
    <definedName name="FEDC" localSheetId="33" hidden="1">'[7]2004'!#REF!</definedName>
    <definedName name="_xlnm.Print_Area" localSheetId="33">'境外销售收入检查D4-26'!$A$1:$S$33</definedName>
    <definedName name="RDES" localSheetId="33" hidden="1">#REF!</definedName>
    <definedName name="VFE" localSheetId="33" hidden="1">#REF!</definedName>
    <definedName name="XAP" localSheetId="33" hidden="1">#REF!</definedName>
    <definedName name="XAQ" localSheetId="33" hidden="1">#REF!</definedName>
    <definedName name="XCD" localSheetId="33" hidden="1">#REF!</definedName>
    <definedName name="XREF_COLUMN_1" localSheetId="33" hidden="1">#REF!</definedName>
    <definedName name="XREF_COLUMN_2" localSheetId="33" hidden="1">[6]Breakdown!#REF!</definedName>
    <definedName name="XREF_COLUMN_3" localSheetId="33" hidden="1">#REF!</definedName>
    <definedName name="XREF_COLUMN_5" localSheetId="33" hidden="1">'[7]2004'!#REF!</definedName>
    <definedName name="XRefActiveRow" localSheetId="33" hidden="1">#REF!</definedName>
    <definedName name="XRefCopy1" localSheetId="33" hidden="1">#REF!</definedName>
    <definedName name="XRefCopy1Row" localSheetId="33" hidden="1">#REF!</definedName>
    <definedName name="XRefCopy2Row" localSheetId="33" hidden="1">#REF!</definedName>
    <definedName name="XRefPaste1" localSheetId="33" hidden="1">#REF!</definedName>
    <definedName name="XRefPaste1Row" localSheetId="33" hidden="1">#REF!</definedName>
    <definedName name="XRefPaste2" localSheetId="33" hidden="1">#REF!</definedName>
    <definedName name="XRefPaste2Row" localSheetId="33" hidden="1">#REF!</definedName>
    <definedName name="XRefPaste3" localSheetId="33" hidden="1">#REF!</definedName>
    <definedName name="XRefPaste3Row" localSheetId="33" hidden="1">#REF!</definedName>
    <definedName name="本循环科目" localSheetId="33" hidden="1">[10]索引!$D$15:$D$76</definedName>
    <definedName name="底稿目录" localSheetId="33" hidden="1">#REF!</definedName>
    <definedName name="去" localSheetId="33" hidden="1">#REF!</definedName>
    <definedName name="新目录" localSheetId="33" hidden="1">#REF!</definedName>
    <definedName name="_xlnm._FilterDatabase" localSheetId="34" hidden="1">#REF!</definedName>
    <definedName name="AFV" localSheetId="34" hidden="1">#REF!</definedName>
    <definedName name="CCD" localSheetId="34" hidden="1">#REF!</definedName>
    <definedName name="CDE" localSheetId="34" hidden="1">#REF!</definedName>
    <definedName name="DEX" localSheetId="34" hidden="1">#REF!</definedName>
    <definedName name="EDC" localSheetId="34" hidden="1">#REF!</definedName>
    <definedName name="FAD" localSheetId="34" hidden="1">[6]Breakdown!#REF!</definedName>
    <definedName name="FASD" localSheetId="34" hidden="1">#REF!</definedName>
    <definedName name="FEDC" localSheetId="34" hidden="1">'[7]2004'!#REF!</definedName>
    <definedName name="_xlnm.Print_Area" localSheetId="34">'识别未披露的关联方D4-27'!$A$1:$R$37</definedName>
    <definedName name="RDES" localSheetId="34" hidden="1">#REF!</definedName>
    <definedName name="VFE" localSheetId="34" hidden="1">#REF!</definedName>
    <definedName name="XAP" localSheetId="34" hidden="1">#REF!</definedName>
    <definedName name="XAQ" localSheetId="34" hidden="1">#REF!</definedName>
    <definedName name="XCD" localSheetId="34" hidden="1">#REF!</definedName>
    <definedName name="XREF_COLUMN_1" localSheetId="34" hidden="1">#REF!</definedName>
    <definedName name="XREF_COLUMN_2" localSheetId="34" hidden="1">[6]Breakdown!#REF!</definedName>
    <definedName name="XREF_COLUMN_3" localSheetId="34" hidden="1">#REF!</definedName>
    <definedName name="XREF_COLUMN_5" localSheetId="34" hidden="1">'[7]2004'!#REF!</definedName>
    <definedName name="XRefActiveRow" localSheetId="34" hidden="1">#REF!</definedName>
    <definedName name="XRefCopy1" localSheetId="34" hidden="1">#REF!</definedName>
    <definedName name="XRefCopy1Row" localSheetId="34" hidden="1">#REF!</definedName>
    <definedName name="XRefCopy2Row" localSheetId="34" hidden="1">#REF!</definedName>
    <definedName name="XRefPaste1" localSheetId="34" hidden="1">#REF!</definedName>
    <definedName name="XRefPaste1Row" localSheetId="34" hidden="1">#REF!</definedName>
    <definedName name="XRefPaste2" localSheetId="34" hidden="1">#REF!</definedName>
    <definedName name="XRefPaste2Row" localSheetId="34" hidden="1">#REF!</definedName>
    <definedName name="XRefPaste3" localSheetId="34" hidden="1">#REF!</definedName>
    <definedName name="XRefPaste3Row" localSheetId="34" hidden="1">#REF!</definedName>
    <definedName name="本循环科目" localSheetId="34" hidden="1">[10]索引!$D$15:$D$76</definedName>
    <definedName name="底稿目录" localSheetId="34" hidden="1">#REF!</definedName>
    <definedName name="去" localSheetId="34" hidden="1">#REF!</definedName>
    <definedName name="新目录" localSheetId="34" hidden="1">#REF!</definedName>
    <definedName name="_xlnm._FilterDatabase" localSheetId="35" hidden="1">#REF!</definedName>
    <definedName name="AFV" localSheetId="35" hidden="1">#REF!</definedName>
    <definedName name="bs" localSheetId="35" hidden="1">{#N/A,#N/A,FALSE,"BBPREP"}</definedName>
    <definedName name="bs_1" localSheetId="35" hidden="1">{#N/A,#N/A,FALSE,"BBPREP"}</definedName>
    <definedName name="CCD" localSheetId="35" hidden="1">#REF!</definedName>
    <definedName name="CDE" localSheetId="35" hidden="1">#REF!</definedName>
    <definedName name="DEX" localSheetId="35" hidden="1">#REF!</definedName>
    <definedName name="EDC" localSheetId="35" hidden="1">#REF!</definedName>
    <definedName name="FAD" localSheetId="35" hidden="1">[6]Breakdown!#REF!</definedName>
    <definedName name="FASD" localSheetId="35" hidden="1">#REF!</definedName>
    <definedName name="FEDC" localSheetId="35" hidden="1">'[7]2004'!#REF!</definedName>
    <definedName name="L" localSheetId="35" hidden="1">{#N/A,#N/A,FALSE,"BBPREP"}</definedName>
    <definedName name="_xlnm.Print_Area" localSheetId="35">'客户信息核查清单D4-28'!$A$1:$O$30</definedName>
    <definedName name="RDES" localSheetId="35" hidden="1">#REF!</definedName>
    <definedName name="s" localSheetId="35" hidden="1">{#N/A,#N/A,FALSE,"BBPREP"}</definedName>
    <definedName name="t" localSheetId="35" hidden="1">{#N/A,#N/A,FALSE,"BBPREP"}</definedName>
    <definedName name="VFE" localSheetId="35" hidden="1">#REF!</definedName>
    <definedName name="XAP" localSheetId="35" hidden="1">#REF!</definedName>
    <definedName name="XAQ" localSheetId="35" hidden="1">#REF!</definedName>
    <definedName name="XCD" localSheetId="35" hidden="1">#REF!</definedName>
    <definedName name="XREF_COLUMN_1" localSheetId="35" hidden="1">#REF!</definedName>
    <definedName name="XREF_COLUMN_2" localSheetId="35" hidden="1">[6]Breakdown!#REF!</definedName>
    <definedName name="XREF_COLUMN_3" localSheetId="35" hidden="1">#REF!</definedName>
    <definedName name="XREF_COLUMN_5" localSheetId="35" hidden="1">'[7]2004'!#REF!</definedName>
    <definedName name="XRefActiveRow" localSheetId="35" hidden="1">#REF!</definedName>
    <definedName name="XRefCopy1" localSheetId="35" hidden="1">#REF!</definedName>
    <definedName name="XRefCopy1Row" localSheetId="35" hidden="1">#REF!</definedName>
    <definedName name="XRefCopy2Row" localSheetId="35" hidden="1">#REF!</definedName>
    <definedName name="XRefPaste1" localSheetId="35" hidden="1">#REF!</definedName>
    <definedName name="XRefPaste1Row" localSheetId="35" hidden="1">#REF!</definedName>
    <definedName name="XRefPaste2" localSheetId="35" hidden="1">#REF!</definedName>
    <definedName name="XRefPaste2Row" localSheetId="35" hidden="1">#REF!</definedName>
    <definedName name="XRefPaste3" localSheetId="35" hidden="1">#REF!</definedName>
    <definedName name="XRefPaste3Row" localSheetId="35" hidden="1">#REF!</definedName>
    <definedName name="本循环科目" localSheetId="35" hidden="1">[10]索引!$D$15:$D$76</definedName>
    <definedName name="底稿目录" localSheetId="35" hidden="1">#REF!</definedName>
    <definedName name="去" localSheetId="35" hidden="1">#REF!</definedName>
    <definedName name="新目录" localSheetId="35" hidden="1">#REF!</definedName>
    <definedName name="_xlnm._FilterDatabase" localSheetId="36" hidden="1">'客户信息检查表D4-29'!$A$48:$A$68</definedName>
    <definedName name="AFV" localSheetId="36" hidden="1">#REF!</definedName>
    <definedName name="CCD" localSheetId="36" hidden="1">#REF!</definedName>
    <definedName name="CDE" localSheetId="36" hidden="1">#REF!</definedName>
    <definedName name="DEX" localSheetId="36" hidden="1">#REF!</definedName>
    <definedName name="EDC" localSheetId="36" hidden="1">#REF!</definedName>
    <definedName name="FAD" localSheetId="36" hidden="1">[6]Breakdown!#REF!</definedName>
    <definedName name="FASD" localSheetId="36" hidden="1">#REF!</definedName>
    <definedName name="FEDC" localSheetId="36" hidden="1">'[7]2004'!#REF!</definedName>
    <definedName name="_xlnm.Print_Area" localSheetId="36">'客户信息检查表D4-29'!$A$1:$M$47</definedName>
    <definedName name="RDES" localSheetId="36" hidden="1">#REF!</definedName>
    <definedName name="VFE" localSheetId="36" hidden="1">#REF!</definedName>
    <definedName name="XAP" localSheetId="36" hidden="1">#REF!</definedName>
    <definedName name="XAQ" localSheetId="36" hidden="1">#REF!</definedName>
    <definedName name="XCD" localSheetId="36" hidden="1">#REF!</definedName>
    <definedName name="XREF_COLUMN_1" localSheetId="36" hidden="1">#REF!</definedName>
    <definedName name="XREF_COLUMN_2" localSheetId="36" hidden="1">[6]Breakdown!#REF!</definedName>
    <definedName name="XREF_COLUMN_3" localSheetId="36" hidden="1">#REF!</definedName>
    <definedName name="XREF_COLUMN_5" localSheetId="36" hidden="1">'[7]2004'!#REF!</definedName>
    <definedName name="XRefActiveRow" localSheetId="36" hidden="1">#REF!</definedName>
    <definedName name="XRefCopy1" localSheetId="36" hidden="1">#REF!</definedName>
    <definedName name="XRefCopy1Row" localSheetId="36" hidden="1">#REF!</definedName>
    <definedName name="XRefCopy2Row" localSheetId="36" hidden="1">#REF!</definedName>
    <definedName name="XRefPaste1" localSheetId="36" hidden="1">#REF!</definedName>
    <definedName name="XRefPaste1Row" localSheetId="36" hidden="1">#REF!</definedName>
    <definedName name="XRefPaste2" localSheetId="36" hidden="1">#REF!</definedName>
    <definedName name="XRefPaste2Row" localSheetId="36" hidden="1">#REF!</definedName>
    <definedName name="XRefPaste3" localSheetId="36" hidden="1">#REF!</definedName>
    <definedName name="XRefPaste3Row" localSheetId="36" hidden="1">#REF!</definedName>
    <definedName name="本循环科目" localSheetId="36" hidden="1">[10]索引!$D$15:$D$76</definedName>
    <definedName name="底稿目录" localSheetId="36" hidden="1">#REF!</definedName>
    <definedName name="去" localSheetId="36" hidden="1">#REF!</definedName>
    <definedName name="新目录" localSheetId="36" hidden="1">#REF!</definedName>
    <definedName name="_xlnm._FilterDatabase" localSheetId="37" hidden="1">#REF!</definedName>
    <definedName name="AFV" localSheetId="37" hidden="1">#REF!</definedName>
    <definedName name="bs" localSheetId="37" hidden="1">{#N/A,#N/A,FALSE,"BBPREP"}</definedName>
    <definedName name="bs_1" localSheetId="37" hidden="1">{#N/A,#N/A,FALSE,"BBPREP"}</definedName>
    <definedName name="CCD" localSheetId="37" hidden="1">#REF!</definedName>
    <definedName name="CDE" localSheetId="37" hidden="1">#REF!</definedName>
    <definedName name="DEX" localSheetId="37" hidden="1">#REF!</definedName>
    <definedName name="EDC" localSheetId="37" hidden="1">#REF!</definedName>
    <definedName name="FAD" localSheetId="37" hidden="1">[6]Breakdown!#REF!</definedName>
    <definedName name="FASD" localSheetId="37" hidden="1">#REF!</definedName>
    <definedName name="FEDC" localSheetId="37" hidden="1">'[7]2004'!#REF!</definedName>
    <definedName name="L" localSheetId="37" hidden="1">{#N/A,#N/A,FALSE,"BBPREP"}</definedName>
    <definedName name="_xlnm.Print_Area" localSheetId="37">'客户访谈记录汇总表D4-30'!$A$1:$G$22</definedName>
    <definedName name="RDES" localSheetId="37" hidden="1">#REF!</definedName>
    <definedName name="s" localSheetId="37" hidden="1">{#N/A,#N/A,FALSE,"BBPREP"}</definedName>
    <definedName name="t" localSheetId="37" hidden="1">{#N/A,#N/A,FALSE,"BBPREP"}</definedName>
    <definedName name="VFE" localSheetId="37" hidden="1">#REF!</definedName>
    <definedName name="XAP" localSheetId="37" hidden="1">#REF!</definedName>
    <definedName name="XAQ" localSheetId="37" hidden="1">#REF!</definedName>
    <definedName name="XCD" localSheetId="37" hidden="1">#REF!</definedName>
    <definedName name="XREF_COLUMN_1" localSheetId="37" hidden="1">#REF!</definedName>
    <definedName name="XREF_COLUMN_2" localSheetId="37" hidden="1">[6]Breakdown!#REF!</definedName>
    <definedName name="XREF_COLUMN_3" localSheetId="37" hidden="1">#REF!</definedName>
    <definedName name="XREF_COLUMN_5" localSheetId="37" hidden="1">'[7]2004'!#REF!</definedName>
    <definedName name="XRefActiveRow" localSheetId="37" hidden="1">#REF!</definedName>
    <definedName name="XRefCopy1" localSheetId="37" hidden="1">#REF!</definedName>
    <definedName name="XRefCopy1Row" localSheetId="37" hidden="1">#REF!</definedName>
    <definedName name="XRefCopy2Row" localSheetId="37" hidden="1">#REF!</definedName>
    <definedName name="XRefPaste1" localSheetId="37" hidden="1">#REF!</definedName>
    <definedName name="XRefPaste1Row" localSheetId="37" hidden="1">#REF!</definedName>
    <definedName name="XRefPaste2" localSheetId="37" hidden="1">#REF!</definedName>
    <definedName name="XRefPaste2Row" localSheetId="37" hidden="1">#REF!</definedName>
    <definedName name="XRefPaste3" localSheetId="37" hidden="1">#REF!</definedName>
    <definedName name="XRefPaste3Row" localSheetId="37" hidden="1">#REF!</definedName>
    <definedName name="本循环科目" localSheetId="37" hidden="1">[10]索引!$D$15:$D$76</definedName>
    <definedName name="底稿目录" localSheetId="37" hidden="1">#REF!</definedName>
    <definedName name="去" localSheetId="37" hidden="1">#REF!</definedName>
    <definedName name="新目录" localSheetId="37" hidden="1">#REF!</definedName>
    <definedName name="_xlnm._FilterDatabase" localSheetId="38" hidden="1">#REF!</definedName>
    <definedName name="AFV" localSheetId="38" hidden="1">#REF!</definedName>
    <definedName name="CCD" localSheetId="38" hidden="1">#REF!</definedName>
    <definedName name="CDE" localSheetId="38" hidden="1">#REF!</definedName>
    <definedName name="DEX" localSheetId="38" hidden="1">#REF!</definedName>
    <definedName name="EDC" localSheetId="38" hidden="1">#REF!</definedName>
    <definedName name="FAD" localSheetId="38" hidden="1">[6]Breakdown!#REF!</definedName>
    <definedName name="FASD" localSheetId="38" hidden="1">#REF!</definedName>
    <definedName name="FEDC" localSheetId="38" hidden="1">'[7]2004'!#REF!</definedName>
    <definedName name="_xlnm.Print_Area" localSheetId="38">'客户访谈记录 D4-31'!$A$1:$G$54</definedName>
    <definedName name="RDES" localSheetId="38" hidden="1">#REF!</definedName>
    <definedName name="VFE" localSheetId="38" hidden="1">#REF!</definedName>
    <definedName name="XAP" localSheetId="38" hidden="1">#REF!</definedName>
    <definedName name="XAQ" localSheetId="38" hidden="1">#REF!</definedName>
    <definedName name="XCD" localSheetId="38" hidden="1">#REF!</definedName>
    <definedName name="XREF_COLUMN_1" localSheetId="38" hidden="1">#REF!</definedName>
    <definedName name="XREF_COLUMN_2" localSheetId="38" hidden="1">[6]Breakdown!#REF!</definedName>
    <definedName name="XREF_COLUMN_3" localSheetId="38" hidden="1">#REF!</definedName>
    <definedName name="XREF_COLUMN_5" localSheetId="38" hidden="1">'[7]2004'!#REF!</definedName>
    <definedName name="XRefActiveRow" localSheetId="38" hidden="1">#REF!</definedName>
    <definedName name="XRefCopy1" localSheetId="38" hidden="1">#REF!</definedName>
    <definedName name="XRefCopy1Row" localSheetId="38" hidden="1">#REF!</definedName>
    <definedName name="XRefCopy2Row" localSheetId="38" hidden="1">#REF!</definedName>
    <definedName name="XRefPaste1" localSheetId="38" hidden="1">#REF!</definedName>
    <definedName name="XRefPaste1Row" localSheetId="38" hidden="1">#REF!</definedName>
    <definedName name="XRefPaste2" localSheetId="38" hidden="1">#REF!</definedName>
    <definedName name="XRefPaste2Row" localSheetId="38" hidden="1">#REF!</definedName>
    <definedName name="XRefPaste3" localSheetId="38" hidden="1">#REF!</definedName>
    <definedName name="XRefPaste3Row" localSheetId="38" hidden="1">#REF!</definedName>
    <definedName name="本循环科目" localSheetId="38" hidden="1">[10]索引!$D$15:$D$76</definedName>
    <definedName name="底稿目录" localSheetId="38" hidden="1">#REF!</definedName>
    <definedName name="去" localSheetId="38" hidden="1">#REF!</definedName>
    <definedName name="新目录" localSheetId="38" hidden="1">#REF!</definedName>
    <definedName name="_xlnm._FilterDatabase" localSheetId="39" hidden="1">#REF!</definedName>
    <definedName name="AFV" localSheetId="39" hidden="1">#REF!</definedName>
    <definedName name="bs" localSheetId="39" hidden="1">{#N/A,#N/A,FALSE,"BBPREP"}</definedName>
    <definedName name="bs_1" localSheetId="39" hidden="1">{#N/A,#N/A,FALSE,"BBPREP"}</definedName>
    <definedName name="CCD" localSheetId="39" hidden="1">#REF!</definedName>
    <definedName name="CDE" localSheetId="39" hidden="1">#REF!</definedName>
    <definedName name="DEX" localSheetId="39" hidden="1">#REF!</definedName>
    <definedName name="EDC" localSheetId="39" hidden="1">#REF!</definedName>
    <definedName name="FAD" localSheetId="39" hidden="1">[6]Breakdown!#REF!</definedName>
    <definedName name="FASD" localSheetId="39" hidden="1">#REF!</definedName>
    <definedName name="FEDC" localSheetId="39" hidden="1">'[7]2004'!#REF!</definedName>
    <definedName name="L" localSheetId="39" hidden="1">{#N/A,#N/A,FALSE,"BBPREP"}</definedName>
    <definedName name="_xlnm.Print_Area" localSheetId="39">访谈记录与核对示例!$A$1:$I$67</definedName>
    <definedName name="RDES" localSheetId="39" hidden="1">#REF!</definedName>
    <definedName name="s" localSheetId="39" hidden="1">{#N/A,#N/A,FALSE,"BBPREP"}</definedName>
    <definedName name="t" localSheetId="39" hidden="1">{#N/A,#N/A,FALSE,"BBPREP"}</definedName>
    <definedName name="VFE" localSheetId="39" hidden="1">#REF!</definedName>
    <definedName name="XAP" localSheetId="39" hidden="1">#REF!</definedName>
    <definedName name="XAQ" localSheetId="39" hidden="1">#REF!</definedName>
    <definedName name="XCD" localSheetId="39" hidden="1">#REF!</definedName>
    <definedName name="XREF_COLUMN_1" localSheetId="39" hidden="1">#REF!</definedName>
    <definedName name="XREF_COLUMN_2" localSheetId="39" hidden="1">[6]Breakdown!#REF!</definedName>
    <definedName name="XREF_COLUMN_3" localSheetId="39" hidden="1">#REF!</definedName>
    <definedName name="XREF_COLUMN_5" localSheetId="39" hidden="1">'[7]2004'!#REF!</definedName>
    <definedName name="XRefActiveRow" localSheetId="39" hidden="1">#REF!</definedName>
    <definedName name="XRefCopy1" localSheetId="39" hidden="1">#REF!</definedName>
    <definedName name="XRefCopy1Row" localSheetId="39" hidden="1">#REF!</definedName>
    <definedName name="XRefCopy2Row" localSheetId="39" hidden="1">#REF!</definedName>
    <definedName name="XRefPaste1" localSheetId="39" hidden="1">#REF!</definedName>
    <definedName name="XRefPaste1Row" localSheetId="39" hidden="1">#REF!</definedName>
    <definedName name="XRefPaste2" localSheetId="39" hidden="1">#REF!</definedName>
    <definedName name="XRefPaste2Row" localSheetId="39" hidden="1">#REF!</definedName>
    <definedName name="XRefPaste3" localSheetId="39" hidden="1">#REF!</definedName>
    <definedName name="XRefPaste3Row" localSheetId="39" hidden="1">#REF!</definedName>
    <definedName name="Z_47D4C474_81EA_4562_A03B_66488F80C527_.wvu.FilterData" localSheetId="39" hidden="1">#REF!</definedName>
    <definedName name="Z_85E7D15F_9559_4B54_A2EE_DCCECE011EC4_.wvu.Cols" localSheetId="39" hidden="1">#REF!</definedName>
    <definedName name="本循环科目" localSheetId="39" hidden="1">[10]索引!$D$15:$D$76</definedName>
    <definedName name="底稿目录" localSheetId="39" hidden="1">#REF!</definedName>
    <definedName name="去" localSheetId="39" hidden="1">#REF!</definedName>
    <definedName name="新目录" localSheetId="39" hidden="1">#REF!</definedName>
    <definedName name="_xlnm._FilterDatabase" localSheetId="40" hidden="1">#REF!</definedName>
    <definedName name="AFV" localSheetId="40" hidden="1">#REF!</definedName>
    <definedName name="bs" localSheetId="40" hidden="1">{#N/A,#N/A,FALSE,"BBPREP"}</definedName>
    <definedName name="bs_1" localSheetId="40" hidden="1">{#N/A,#N/A,FALSE,"BBPREP"}</definedName>
    <definedName name="CCD" localSheetId="40" hidden="1">#REF!</definedName>
    <definedName name="CDE" localSheetId="40" hidden="1">#REF!</definedName>
    <definedName name="DEX" localSheetId="40" hidden="1">#REF!</definedName>
    <definedName name="EDC" localSheetId="40" hidden="1">#REF!</definedName>
    <definedName name="FAD" localSheetId="40" hidden="1">[6]Breakdown!#REF!</definedName>
    <definedName name="FASD" localSheetId="40" hidden="1">#REF!</definedName>
    <definedName name="FEDC" localSheetId="40" hidden="1">'[7]2004'!#REF!</definedName>
    <definedName name="L" localSheetId="40" hidden="1">{#N/A,#N/A,FALSE,"BBPREP"}</definedName>
    <definedName name="_xlnm.Print_Area" localSheetId="40">'客户、供应商等资金流水检查D4-32'!$A$1:$I$53</definedName>
    <definedName name="_xlnm.Print_Titles" localSheetId="40">'客户、供应商等资金流水检查D4-32'!$11:$11</definedName>
    <definedName name="RDES" localSheetId="40" hidden="1">#REF!</definedName>
    <definedName name="s" localSheetId="40" hidden="1">{#N/A,#N/A,FALSE,"BBPREP"}</definedName>
    <definedName name="t" localSheetId="40" hidden="1">{#N/A,#N/A,FALSE,"BBPREP"}</definedName>
    <definedName name="VFE" localSheetId="40" hidden="1">#REF!</definedName>
    <definedName name="XAP" localSheetId="40" hidden="1">#REF!</definedName>
    <definedName name="XAQ" localSheetId="40" hidden="1">#REF!</definedName>
    <definedName name="XCD" localSheetId="40" hidden="1">#REF!</definedName>
    <definedName name="XREF_COLUMN_1" localSheetId="40" hidden="1">#REF!</definedName>
    <definedName name="XREF_COLUMN_2" localSheetId="40" hidden="1">[6]Breakdown!#REF!</definedName>
    <definedName name="XREF_COLUMN_3" localSheetId="40" hidden="1">#REF!</definedName>
    <definedName name="XREF_COLUMN_5" localSheetId="40" hidden="1">'[7]2004'!#REF!</definedName>
    <definedName name="XRefActiveRow" localSheetId="40" hidden="1">#REF!</definedName>
    <definedName name="XRefCopy1" localSheetId="40" hidden="1">#REF!</definedName>
    <definedName name="XRefCopy1Row" localSheetId="40" hidden="1">#REF!</definedName>
    <definedName name="XRefCopy2Row" localSheetId="40" hidden="1">#REF!</definedName>
    <definedName name="XRefPaste1" localSheetId="40" hidden="1">#REF!</definedName>
    <definedName name="XRefPaste1Row" localSheetId="40" hidden="1">#REF!</definedName>
    <definedName name="XRefPaste2" localSheetId="40" hidden="1">#REF!</definedName>
    <definedName name="XRefPaste2Row" localSheetId="40" hidden="1">#REF!</definedName>
    <definedName name="XRefPaste3" localSheetId="40" hidden="1">#REF!</definedName>
    <definedName name="XRefPaste3Row" localSheetId="40" hidden="1">#REF!</definedName>
    <definedName name="本循环科目" localSheetId="40" hidden="1">[10]索引!$D$15:$D$76</definedName>
    <definedName name="底稿目录" localSheetId="40" hidden="1">#REF!</definedName>
    <definedName name="去" localSheetId="40" hidden="1">#REF!</definedName>
    <definedName name="新目录" localSheetId="40" hidden="1">#REF!</definedName>
    <definedName name="_xlnm._FilterDatabase" localSheetId="41" hidden="1">#REF!</definedName>
    <definedName name="AFV" localSheetId="41" hidden="1">#REF!</definedName>
    <definedName name="b" hidden="1">#REF!</definedName>
    <definedName name="CCD" localSheetId="41" hidden="1">#REF!</definedName>
    <definedName name="CDE" localSheetId="41" hidden="1">#REF!</definedName>
    <definedName name="DEX" localSheetId="41" hidden="1">#REF!</definedName>
    <definedName name="EDC" localSheetId="41" hidden="1">#REF!</definedName>
    <definedName name="FAD" localSheetId="41" hidden="1">[6]Breakdown!#REF!</definedName>
    <definedName name="FASD" localSheetId="41" hidden="1">#REF!</definedName>
    <definedName name="FEDC" localSheetId="41" hidden="1">'[7]2004'!#REF!</definedName>
    <definedName name="_xlnm.Print_Area">#N/A</definedName>
    <definedName name="_xlnm.Print_Titles">#REF!</definedName>
    <definedName name="RDES" localSheetId="41" hidden="1">#REF!</definedName>
    <definedName name="VFE" localSheetId="41" hidden="1">#REF!</definedName>
    <definedName name="XAP" localSheetId="41" hidden="1">#REF!</definedName>
    <definedName name="XAQ" localSheetId="41" hidden="1">#REF!</definedName>
    <definedName name="XCD" localSheetId="41" hidden="1">#REF!</definedName>
    <definedName name="XREF_COLUMN_1" localSheetId="41" hidden="1">#REF!</definedName>
    <definedName name="XREF_COLUMN_2" localSheetId="41" hidden="1">[6]Breakdown!#REF!</definedName>
    <definedName name="XREF_COLUMN_3" localSheetId="41" hidden="1">#REF!</definedName>
    <definedName name="XREF_COLUMN_5" localSheetId="41" hidden="1">'[7]2004'!#REF!</definedName>
    <definedName name="XRefActiveRow" localSheetId="41" hidden="1">#REF!</definedName>
    <definedName name="XRefCopy1" localSheetId="41" hidden="1">#REF!</definedName>
    <definedName name="XRefCopy1Row" localSheetId="41" hidden="1">#REF!</definedName>
    <definedName name="XRefCopy2Row" localSheetId="41" hidden="1">#REF!</definedName>
    <definedName name="XRefPaste1" localSheetId="41" hidden="1">#REF!</definedName>
    <definedName name="XRefPaste1Row" localSheetId="41" hidden="1">#REF!</definedName>
    <definedName name="XRefPaste2" localSheetId="41" hidden="1">#REF!</definedName>
    <definedName name="XRefPaste2Row" localSheetId="41" hidden="1">#REF!</definedName>
    <definedName name="XRefPaste3" localSheetId="41" hidden="1">#REF!</definedName>
    <definedName name="XRefPaste3Row" localSheetId="41" hidden="1">#REF!</definedName>
    <definedName name="本循环科目" localSheetId="41" hidden="1">[10]索引!$D$15:$D$76</definedName>
    <definedName name="底稿目录" localSheetId="41" hidden="1">#REF!</definedName>
    <definedName name="去" localSheetId="41" hidden="1">#REF!</definedName>
    <definedName name="新目录" localSheetId="41" hidden="1">#REF!</definedName>
    <definedName name="_xlnm._FilterDatabase" localSheetId="42" hidden="1">#REF!</definedName>
    <definedName name="AFV" localSheetId="42" hidden="1">#REF!</definedName>
    <definedName name="CCD" localSheetId="42" hidden="1">#REF!</definedName>
    <definedName name="CDE" localSheetId="42" hidden="1">#REF!</definedName>
    <definedName name="DEX" localSheetId="42" hidden="1">#REF!</definedName>
    <definedName name="EDC" localSheetId="42" hidden="1">#REF!</definedName>
    <definedName name="FAD" localSheetId="42" hidden="1">[6]Breakdown!#REF!</definedName>
    <definedName name="FASD" localSheetId="42" hidden="1">#REF!</definedName>
    <definedName name="FEDC" localSheetId="42" hidden="1">'[7]2004'!#REF!</definedName>
    <definedName name="_xlnm.Print_Area" localSheetId="42">'其他业务毛利率分析表D4-33'!$A$1:$M$31</definedName>
    <definedName name="RDES" localSheetId="42" hidden="1">#REF!</definedName>
    <definedName name="VFE" localSheetId="42" hidden="1">#REF!</definedName>
    <definedName name="XAP" localSheetId="42" hidden="1">#REF!</definedName>
    <definedName name="XAQ" localSheetId="42" hidden="1">#REF!</definedName>
    <definedName name="XCD" localSheetId="42" hidden="1">#REF!</definedName>
    <definedName name="XREF_COLUMN_1" localSheetId="42" hidden="1">#REF!</definedName>
    <definedName name="XREF_COLUMN_2" localSheetId="42" hidden="1">[6]Breakdown!#REF!</definedName>
    <definedName name="XREF_COLUMN_3" localSheetId="42" hidden="1">#REF!</definedName>
    <definedName name="XREF_COLUMN_5" localSheetId="42" hidden="1">'[7]2004'!#REF!</definedName>
    <definedName name="XRefActiveRow" localSheetId="42" hidden="1">#REF!</definedName>
    <definedName name="XRefCopy1" localSheetId="42" hidden="1">#REF!</definedName>
    <definedName name="XRefCopy1Row" localSheetId="42" hidden="1">#REF!</definedName>
    <definedName name="XRefCopy2Row" localSheetId="42" hidden="1">#REF!</definedName>
    <definedName name="XRefPaste1" localSheetId="42" hidden="1">#REF!</definedName>
    <definedName name="XRefPaste1Row" localSheetId="42" hidden="1">#REF!</definedName>
    <definedName name="XRefPaste2" localSheetId="42" hidden="1">#REF!</definedName>
    <definedName name="XRefPaste2Row" localSheetId="42" hidden="1">#REF!</definedName>
    <definedName name="XRefPaste3" localSheetId="42" hidden="1">#REF!</definedName>
    <definedName name="XRefPaste3Row" localSheetId="42" hidden="1">#REF!</definedName>
    <definedName name="本循环科目" localSheetId="42" hidden="1">[10]索引!$D$15:$D$76</definedName>
    <definedName name="底稿目录" localSheetId="42" hidden="1">#REF!</definedName>
    <definedName name="去" localSheetId="42" hidden="1">#REF!</definedName>
    <definedName name="新目录" localSheetId="42" hidden="1">#REF!</definedName>
    <definedName name="_xlnm._FilterDatabase" localSheetId="43" hidden="1">#REF!</definedName>
    <definedName name="AFV" localSheetId="43" hidden="1">#REF!</definedName>
    <definedName name="CCD" localSheetId="43" hidden="1">#REF!</definedName>
    <definedName name="CDE" localSheetId="43" hidden="1">#REF!</definedName>
    <definedName name="DEX" localSheetId="43" hidden="1">#REF!</definedName>
    <definedName name="EDC" localSheetId="43" hidden="1">#REF!</definedName>
    <definedName name="FAD" localSheetId="43" hidden="1">[6]Breakdown!#REF!</definedName>
    <definedName name="FASD" localSheetId="43" hidden="1">#REF!</definedName>
    <definedName name="FEDC" localSheetId="43" hidden="1">'[7]2004'!#REF!</definedName>
    <definedName name="_xlnm.Print_Area" localSheetId="43">'其他业务收入合同测算表D4-34'!$A$1:$K$29</definedName>
    <definedName name="RDES" localSheetId="43" hidden="1">#REF!</definedName>
    <definedName name="VFE" localSheetId="43" hidden="1">#REF!</definedName>
    <definedName name="XAP" localSheetId="43" hidden="1">#REF!</definedName>
    <definedName name="XAQ" localSheetId="43" hidden="1">#REF!</definedName>
    <definedName name="XCD" localSheetId="43" hidden="1">#REF!</definedName>
    <definedName name="XREF_COLUMN_1" localSheetId="43" hidden="1">#REF!</definedName>
    <definedName name="XREF_COLUMN_2" localSheetId="43" hidden="1">[6]Breakdown!#REF!</definedName>
    <definedName name="XREF_COLUMN_3" localSheetId="43" hidden="1">#REF!</definedName>
    <definedName name="XREF_COLUMN_5" localSheetId="43" hidden="1">'[7]2004'!#REF!</definedName>
    <definedName name="XRefActiveRow" localSheetId="43" hidden="1">#REF!</definedName>
    <definedName name="XRefCopy1" localSheetId="43" hidden="1">#REF!</definedName>
    <definedName name="XRefCopy1Row" localSheetId="43" hidden="1">#REF!</definedName>
    <definedName name="XRefCopy2Row" localSheetId="43" hidden="1">#REF!</definedName>
    <definedName name="XRefPaste1" localSheetId="43" hidden="1">#REF!</definedName>
    <definedName name="XRefPaste1Row" localSheetId="43" hidden="1">#REF!</definedName>
    <definedName name="XRefPaste2" localSheetId="43" hidden="1">#REF!</definedName>
    <definedName name="XRefPaste2Row" localSheetId="43" hidden="1">#REF!</definedName>
    <definedName name="XRefPaste3" localSheetId="43" hidden="1">#REF!</definedName>
    <definedName name="XRefPaste3Row" localSheetId="43" hidden="1">#REF!</definedName>
    <definedName name="本循环科目" localSheetId="43" hidden="1">[10]索引!$D$15:$D$76</definedName>
    <definedName name="底稿目录" localSheetId="43" hidden="1">#REF!</definedName>
    <definedName name="去" localSheetId="43" hidden="1">#REF!</definedName>
    <definedName name="新目录" localSheetId="43" hidden="1">#REF!</definedName>
    <definedName name="_xlnm._FilterDatabase" localSheetId="44" hidden="1">#REF!</definedName>
    <definedName name="AFV" localSheetId="44" hidden="1">#REF!</definedName>
    <definedName name="CCD" localSheetId="44" hidden="1">#REF!</definedName>
    <definedName name="CDE" localSheetId="44" hidden="1">#REF!</definedName>
    <definedName name="DEX" localSheetId="44" hidden="1">#REF!</definedName>
    <definedName name="EDC" localSheetId="44" hidden="1">#REF!</definedName>
    <definedName name="FAD" localSheetId="44" hidden="1">[6]Breakdown!#REF!</definedName>
    <definedName name="FASD" localSheetId="44" hidden="1">#REF!</definedName>
    <definedName name="FEDC" localSheetId="44" hidden="1">'[7]2004'!#REF!</definedName>
    <definedName name="_xlnm.Print_Area" localSheetId="44">'其他业务收入检查表D4-35'!$A$1:$Q$34</definedName>
    <definedName name="RDES" localSheetId="44" hidden="1">#REF!</definedName>
    <definedName name="VFE" localSheetId="44" hidden="1">#REF!</definedName>
    <definedName name="XAP" localSheetId="44" hidden="1">#REF!</definedName>
    <definedName name="XAQ" localSheetId="44" hidden="1">#REF!</definedName>
    <definedName name="XCD" localSheetId="44" hidden="1">#REF!</definedName>
    <definedName name="XREF_COLUMN_1" localSheetId="44" hidden="1">#REF!</definedName>
    <definedName name="XREF_COLUMN_2" localSheetId="44" hidden="1">[6]Breakdown!#REF!</definedName>
    <definedName name="XREF_COLUMN_3" localSheetId="44" hidden="1">#REF!</definedName>
    <definedName name="XREF_COLUMN_5" localSheetId="44" hidden="1">'[7]2004'!#REF!</definedName>
    <definedName name="XRefActiveRow" localSheetId="44" hidden="1">#REF!</definedName>
    <definedName name="XRefCopy1" localSheetId="44" hidden="1">#REF!</definedName>
    <definedName name="XRefCopy1Row" localSheetId="44" hidden="1">#REF!</definedName>
    <definedName name="XRefCopy2Row" localSheetId="44" hidden="1">#REF!</definedName>
    <definedName name="XRefPaste1" localSheetId="44" hidden="1">#REF!</definedName>
    <definedName name="XRefPaste1Row" localSheetId="44" hidden="1">#REF!</definedName>
    <definedName name="XRefPaste2" localSheetId="44" hidden="1">#REF!</definedName>
    <definedName name="XRefPaste2Row" localSheetId="44" hidden="1">#REF!</definedName>
    <definedName name="XRefPaste3" localSheetId="44" hidden="1">#REF!</definedName>
    <definedName name="XRefPaste3Row" localSheetId="44" hidden="1">#REF!</definedName>
    <definedName name="本循环科目" localSheetId="44" hidden="1">[10]索引!$D$15:$D$76</definedName>
    <definedName name="底稿目录" localSheetId="44" hidden="1">#REF!</definedName>
    <definedName name="去" localSheetId="44" hidden="1">#REF!</definedName>
    <definedName name="新目录" localSheetId="44" hidden="1">#REF!</definedName>
    <definedName name="_xlnm._FilterDatabase" localSheetId="45" hidden="1">#REF!</definedName>
    <definedName name="AFV" localSheetId="45" hidden="1">#REF!</definedName>
    <definedName name="CCD" localSheetId="45" hidden="1">#REF!</definedName>
    <definedName name="CDE" localSheetId="45" hidden="1">#REF!</definedName>
    <definedName name="DEX" localSheetId="45" hidden="1">#REF!</definedName>
    <definedName name="EDC" localSheetId="45" hidden="1">#REF!</definedName>
    <definedName name="FAD" localSheetId="45" hidden="1">[6]Breakdown!#REF!</definedName>
    <definedName name="FASD" localSheetId="45" hidden="1">#REF!</definedName>
    <definedName name="FEDC" localSheetId="45" hidden="1">'[7]2004'!#REF!</definedName>
    <definedName name="_xlnm.Print_Area" localSheetId="45">'其他业务收入截止性测试D4-36'!$A$1:$K$57</definedName>
    <definedName name="RDES" localSheetId="45" hidden="1">#REF!</definedName>
    <definedName name="VFE" localSheetId="45" hidden="1">#REF!</definedName>
    <definedName name="XAP" localSheetId="45" hidden="1">#REF!</definedName>
    <definedName name="XAQ" localSheetId="45" hidden="1">#REF!</definedName>
    <definedName name="XCD" localSheetId="45" hidden="1">#REF!</definedName>
    <definedName name="XREF_COLUMN_1" localSheetId="45" hidden="1">#REF!</definedName>
    <definedName name="XREF_COLUMN_2" localSheetId="45" hidden="1">[6]Breakdown!#REF!</definedName>
    <definedName name="XREF_COLUMN_3" localSheetId="45" hidden="1">#REF!</definedName>
    <definedName name="XREF_COLUMN_5" localSheetId="45" hidden="1">'[7]2004'!#REF!</definedName>
    <definedName name="XRefActiveRow" localSheetId="45" hidden="1">#REF!</definedName>
    <definedName name="XRefCopy1" localSheetId="45" hidden="1">#REF!</definedName>
    <definedName name="XRefCopy1Row" localSheetId="45" hidden="1">#REF!</definedName>
    <definedName name="XRefCopy2Row" localSheetId="45" hidden="1">#REF!</definedName>
    <definedName name="XRefPaste1" localSheetId="45" hidden="1">#REF!</definedName>
    <definedName name="XRefPaste1Row" localSheetId="45" hidden="1">#REF!</definedName>
    <definedName name="XRefPaste2" localSheetId="45" hidden="1">#REF!</definedName>
    <definedName name="XRefPaste2Row" localSheetId="45" hidden="1">#REF!</definedName>
    <definedName name="XRefPaste3" localSheetId="45" hidden="1">#REF!</definedName>
    <definedName name="XRefPaste3Row" localSheetId="45" hidden="1">#REF!</definedName>
    <definedName name="本循环科目" localSheetId="45" hidden="1">[10]索引!$D$15:$D$76</definedName>
    <definedName name="底稿目录" localSheetId="45" hidden="1">#REF!</definedName>
    <definedName name="去" localSheetId="45" hidden="1">#REF!</definedName>
    <definedName name="新目录" localSheetId="45"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何先琴</author>
  </authors>
  <commentList>
    <comment ref="C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C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comments3.xml><?xml version="1.0" encoding="utf-8"?>
<comments xmlns="http://schemas.openxmlformats.org/spreadsheetml/2006/main">
  <authors>
    <author>作者</author>
  </authors>
  <commentList>
    <comment ref="A36" authorId="0">
      <text>
        <r>
          <rPr>
            <b/>
            <sz val="9"/>
            <rFont val="宋体"/>
            <charset val="134"/>
          </rPr>
          <t>专业技术部:</t>
        </r>
        <r>
          <rPr>
            <sz val="9"/>
            <rFont val="宋体"/>
            <charset val="134"/>
          </rPr>
          <t xml:space="preserve">
含与供应商受同一实际控制人控制的情形</t>
        </r>
      </text>
    </comment>
  </commentList>
</comments>
</file>

<file path=xl/sharedStrings.xml><?xml version="1.0" encoding="utf-8"?>
<sst xmlns="http://schemas.openxmlformats.org/spreadsheetml/2006/main" count="2299" uniqueCount="1233">
  <si>
    <t>底稿开列时，可先在以下单元格填写有关内容，以便其他底稿引用有关数据：</t>
  </si>
  <si>
    <t>被审计单位：</t>
  </si>
  <si>
    <t>序号</t>
  </si>
  <si>
    <t>内容</t>
  </si>
  <si>
    <t>索引号</t>
  </si>
  <si>
    <r>
      <rPr>
        <sz val="10"/>
        <rFont val="宋体"/>
        <charset val="134"/>
      </rPr>
      <t>会计期间：</t>
    </r>
    <r>
      <rPr>
        <sz val="10"/>
        <rFont val="Arial Narrow"/>
        <charset val="134"/>
      </rPr>
      <t>202X</t>
    </r>
    <r>
      <rPr>
        <sz val="10"/>
        <rFont val="宋体"/>
        <charset val="134"/>
      </rPr>
      <t>年度</t>
    </r>
  </si>
  <si>
    <t>营业收入审计程序表</t>
  </si>
  <si>
    <t>D4A</t>
  </si>
  <si>
    <t>编制人：</t>
  </si>
  <si>
    <t>营业收入审定表</t>
  </si>
  <si>
    <t>D4-1</t>
  </si>
  <si>
    <t>编制日期：</t>
  </si>
  <si>
    <t>附注披露信息（上市公司）</t>
  </si>
  <si>
    <t>无需打印</t>
  </si>
  <si>
    <t>复核人：</t>
  </si>
  <si>
    <t>附注披露信息（国企）</t>
  </si>
  <si>
    <t>复核日期：</t>
  </si>
  <si>
    <t>主营业务收入月度明细表</t>
  </si>
  <si>
    <t>D4-2</t>
  </si>
  <si>
    <t>其他业务收入明细表</t>
  </si>
  <si>
    <t>D4-3</t>
  </si>
  <si>
    <t>关于工作底稿与审计程序索引号对应的说明</t>
  </si>
  <si>
    <t>调整分录汇总表</t>
  </si>
  <si>
    <t>D4-4</t>
  </si>
  <si>
    <r>
      <rPr>
        <b/>
        <sz val="12"/>
        <rFont val="Arial Narrow"/>
        <charset val="134"/>
      </rPr>
      <t>1.</t>
    </r>
    <r>
      <rPr>
        <b/>
        <sz val="12"/>
        <rFont val="宋体"/>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</si>
  <si>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r>
      <rPr>
        <b/>
        <sz val="12"/>
        <rFont val="Arial Narrow"/>
        <charset val="134"/>
      </rPr>
      <t>2.</t>
    </r>
    <r>
      <rPr>
        <b/>
        <sz val="12"/>
        <rFont val="宋体"/>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charset val="134"/>
      </rPr>
      <t>D1-2-1</t>
    </r>
    <r>
      <rPr>
        <sz val="12"/>
        <rFont val="宋体"/>
        <charset val="134"/>
      </rPr>
      <t>、</t>
    </r>
    <r>
      <rPr>
        <sz val="12"/>
        <rFont val="Arial Narrow"/>
        <charset val="134"/>
      </rPr>
      <t>D1-2-2</t>
    </r>
    <r>
      <rPr>
        <sz val="12"/>
        <rFont val="宋体"/>
        <charset val="134"/>
      </rPr>
      <t>、</t>
    </r>
    <r>
      <rPr>
        <sz val="12"/>
        <rFont val="Arial Narrow"/>
        <charset val="134"/>
      </rPr>
      <t>……</t>
    </r>
    <r>
      <rPr>
        <sz val="12"/>
        <rFont val="宋体"/>
        <charset val="134"/>
      </rPr>
      <t>），并在底稿中说明引用的支持性证据、关联索引号。</t>
    </r>
  </si>
  <si>
    <r>
      <rPr>
        <b/>
        <sz val="12"/>
        <rFont val="Arial Narrow"/>
        <charset val="134"/>
      </rPr>
      <t>3.</t>
    </r>
    <r>
      <rPr>
        <b/>
        <sz val="12"/>
        <rFont val="宋体"/>
        <charset val="134"/>
      </rPr>
      <t>工作底稿索引号的编码规则：</t>
    </r>
    <r>
      <rPr>
        <sz val="12"/>
        <rFont val="宋体"/>
        <charset val="134"/>
      </rPr>
      <t>实质性程序索引号按循环从</t>
    </r>
    <r>
      <rPr>
        <sz val="12"/>
        <rFont val="Arial Narrow"/>
        <charset val="134"/>
      </rPr>
      <t>“D”</t>
    </r>
    <r>
      <rPr>
        <sz val="12"/>
        <rFont val="宋体"/>
        <charset val="134"/>
      </rPr>
      <t>到</t>
    </r>
    <r>
      <rPr>
        <sz val="12"/>
        <rFont val="Arial Narrow"/>
        <charset val="134"/>
      </rPr>
      <t>“N”,</t>
    </r>
    <r>
      <rPr>
        <sz val="12"/>
        <rFont val="宋体"/>
        <charset val="134"/>
      </rPr>
      <t>循环内账户以顺序号排列，模板中底稿索引号按账户顺序</t>
    </r>
    <r>
      <rPr>
        <sz val="12"/>
        <rFont val="Arial Narrow"/>
        <charset val="134"/>
      </rPr>
      <t>+</t>
    </r>
    <r>
      <rPr>
        <sz val="12"/>
        <rFont val="宋体"/>
        <charset val="134"/>
      </rPr>
      <t>自然数顺序（即模板中索引号按二级自然顺序排列，如</t>
    </r>
    <r>
      <rPr>
        <sz val="12"/>
        <rFont val="Arial Narrow"/>
        <charset val="134"/>
      </rPr>
      <t>D1-1</t>
    </r>
    <r>
      <rPr>
        <sz val="12"/>
        <rFont val="宋体"/>
        <charset val="134"/>
      </rPr>
      <t>、</t>
    </r>
    <r>
      <rPr>
        <sz val="12"/>
        <rFont val="Arial Narrow"/>
        <charset val="134"/>
      </rPr>
      <t>D1-2</t>
    </r>
    <r>
      <rPr>
        <sz val="12"/>
        <rFont val="宋体"/>
        <charset val="134"/>
      </rPr>
      <t>、</t>
    </r>
    <r>
      <rPr>
        <sz val="12"/>
        <rFont val="Arial Narrow"/>
        <charset val="134"/>
      </rPr>
      <t>D1-3</t>
    </r>
    <r>
      <rPr>
        <sz val="12"/>
        <rFont val="宋体"/>
        <charset val="134"/>
      </rPr>
      <t>、</t>
    </r>
    <r>
      <rPr>
        <sz val="12"/>
        <rFont val="Arial Narrow"/>
        <charset val="134"/>
      </rPr>
      <t>……D1-N</t>
    </r>
    <r>
      <rPr>
        <sz val="12"/>
        <rFont val="宋体"/>
        <charset val="134"/>
      </rPr>
      <t>）。</t>
    </r>
  </si>
  <si>
    <t>致同会计师事务所</t>
  </si>
  <si>
    <t>营业收入实质性程序表</t>
  </si>
  <si>
    <t>索引号：</t>
  </si>
  <si>
    <t>页  次：</t>
  </si>
  <si>
    <t>一、本账户涉及的科目</t>
  </si>
  <si>
    <t>主营业务收入、其他业务收入</t>
  </si>
  <si>
    <t>二、审计目标与财务报表认定</t>
  </si>
  <si>
    <t>审计目标</t>
  </si>
  <si>
    <t>财务报表的认定</t>
  </si>
  <si>
    <t>A.利润表中记录的营业收入已发生，且与被审计单位有关，已记录于恰当的账户</t>
  </si>
  <si>
    <t>发生</t>
  </si>
  <si>
    <t>B.所有应当记录的营业收入均已记录，所有应当包括在财务报表中的相关披露均已包括</t>
  </si>
  <si>
    <t>完整性</t>
  </si>
  <si>
    <t>C.与营业收入有关的金额及其他数据已恰当记录，相关披露已得到恰当计量和描述</t>
  </si>
  <si>
    <t>准确性</t>
  </si>
  <si>
    <t>D.与营业收入有关的交易和事项已记录于正确的会计期间</t>
  </si>
  <si>
    <t>截止性</t>
  </si>
  <si>
    <t>E.营业收入已被恰当地汇总或分解且表述清楚，相关披露在按照企业会计准则的编制基础下是相关的、可理解的</t>
  </si>
  <si>
    <t>列报</t>
  </si>
  <si>
    <t>三、计划实施的实质性程序</t>
  </si>
  <si>
    <t>对应Leap程序</t>
  </si>
  <si>
    <t>审计程序</t>
  </si>
  <si>
    <t>程序分类</t>
  </si>
  <si>
    <t>财务报表认定</t>
  </si>
  <si>
    <t>底稿索引号</t>
  </si>
  <si>
    <t>根据被审计单位实际情况和风险评估情况裁剪、修改或增加审计程序</t>
  </si>
  <si>
    <t>1</t>
  </si>
  <si>
    <t xml:space="preserve">常规程序 </t>
  </si>
  <si>
    <t>获取或编制主营业务收入、其他业务收入明细表编制审定表，并完成以下工作：
（1）复核加计正确，将总金额与总账、明细账合计数核对相符；
（2）检查以非记账本位币结算的营业收入的折算汇率及折算是否正确。</t>
  </si>
  <si>
    <t>常规★</t>
  </si>
  <si>
    <t>√</t>
  </si>
  <si>
    <t>D4-1
/D4-2
/D4-3</t>
  </si>
  <si>
    <t>2</t>
  </si>
  <si>
    <t xml:space="preserve">如果被审计单位存在销售业务系统，核对财务账面记录的营业收入数据与销售系统（ERP业务数据）记录是否相符（双向核对）。 </t>
  </si>
  <si>
    <t>备选</t>
  </si>
  <si>
    <t>D4-13</t>
  </si>
  <si>
    <t>3</t>
  </si>
  <si>
    <t>IPE程序</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</si>
  <si>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</si>
  <si>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b/>
        <sz val="10"/>
        <rFont val="宋体"/>
        <charset val="134"/>
      </rPr>
      <t>√</t>
    </r>
  </si>
  <si>
    <r>
      <rPr>
        <sz val="10"/>
        <rFont val="宋体"/>
        <charset val="134"/>
      </rPr>
      <t>√</t>
    </r>
  </si>
  <si>
    <t>T1</t>
  </si>
  <si>
    <r>
      <rPr>
        <sz val="10"/>
        <color rgb="FF0000FF"/>
        <rFont val="宋体"/>
        <charset val="134"/>
      </rPr>
      <t>可参见《审计手册》</t>
    </r>
    <r>
      <rPr>
        <sz val="10"/>
        <color rgb="FF0000FF"/>
        <rFont val="Arial Narrow"/>
        <charset val="134"/>
      </rPr>
      <t>4.2.6</t>
    </r>
    <r>
      <rPr>
        <sz val="10"/>
        <color rgb="FF0000FF"/>
        <rFont val="宋体"/>
        <charset val="134"/>
      </rPr>
      <t xml:space="preserve">，由被审计单位生成的信息可能是由系统生成的、或手工编制的、或二者兼而有之的方式生成的。例如，由被审计单位生成的信息可能包括：
</t>
    </r>
    <r>
      <rPr>
        <sz val="10"/>
        <color rgb="FF0000FF"/>
        <rFont val="Arial Narrow"/>
        <charset val="134"/>
      </rPr>
      <t xml:space="preserve">• </t>
    </r>
    <r>
      <rPr>
        <sz val="10"/>
        <color rgb="FF0000FF"/>
        <rFont val="宋体"/>
        <charset val="134"/>
      </rPr>
      <t xml:space="preserve">不涉及自定义的、由系统生成的报告（如，固定格式报告）；
</t>
    </r>
    <r>
      <rPr>
        <sz val="10"/>
        <color rgb="FF0000FF"/>
        <rFont val="Arial Narrow"/>
        <charset val="134"/>
      </rPr>
      <t xml:space="preserve">• </t>
    </r>
    <r>
      <rPr>
        <sz val="10"/>
        <color rgb="FF0000FF"/>
        <rFont val="宋体"/>
        <charset val="134"/>
      </rPr>
      <t xml:space="preserve">可能通过人工自定义的、由系统生成的报告，例如，（计算机）查询信息或特别定制的报告；
</t>
    </r>
    <r>
      <rPr>
        <sz val="10"/>
        <color rgb="FF0000FF"/>
        <rFont val="Arial Narrow"/>
        <charset val="134"/>
      </rPr>
      <t xml:space="preserve">• </t>
    </r>
    <r>
      <rPr>
        <sz val="10"/>
        <color rgb="FF0000FF"/>
        <rFont val="宋体"/>
        <charset val="134"/>
      </rPr>
      <t xml:space="preserve">手工编制的信息，例如，汇总信息的电子表格或用以支持分配、计算以及调节的电子表格；
</t>
    </r>
    <r>
      <rPr>
        <sz val="10"/>
        <color rgb="FF0000FF"/>
        <rFont val="Arial Narrow"/>
        <charset val="134"/>
      </rPr>
      <t xml:space="preserve">• </t>
    </r>
    <r>
      <rPr>
        <sz val="10"/>
        <color rgb="FF0000FF"/>
        <rFont val="宋体"/>
        <charset val="134"/>
      </rPr>
      <t xml:space="preserve">其他系统生成或手工编制的信息，例如，由被审计单位编制的客户发票；
</t>
    </r>
    <r>
      <rPr>
        <sz val="10"/>
        <color rgb="FF0000FF"/>
        <rFont val="Arial Narrow"/>
        <charset val="134"/>
      </rPr>
      <t xml:space="preserve">• </t>
    </r>
    <r>
      <rPr>
        <sz val="10"/>
        <color rgb="FF0000FF"/>
        <rFont val="宋体"/>
        <charset val="134"/>
      </rPr>
      <t>通过影印、拍摄、扫描或其他方式转换成电子形式的文件记录。</t>
    </r>
  </si>
  <si>
    <t>4</t>
  </si>
  <si>
    <t>期初余额</t>
  </si>
  <si>
    <r>
      <rPr>
        <sz val="10"/>
        <rFont val="宋体"/>
        <charset val="134"/>
      </rPr>
      <t>对上期发生额的审计：</t>
    </r>
    <r>
      <rPr>
        <sz val="10"/>
        <color rgb="FFFF0000"/>
        <rFont val="宋体"/>
        <charset val="134"/>
      </rPr>
      <t>（适用于首次承接）</t>
    </r>
    <r>
      <rPr>
        <sz val="10"/>
        <rFont val="宋体"/>
        <charset val="134"/>
      </rPr>
      <t>：
（1）向被审计单位人员询问前期期末关于收入截止的相关处理；
（2）复核资产负债表日前后一段合理期间里的销售分录，调查任何异常分录。
（3）复核资产负债表日前后一段合理期间里销售退回或销售折扣的记录。
（4）调查接近前期期末发生的大额或异常的销售交易。  
（5）必要时执行函证程序。</t>
    </r>
  </si>
  <si>
    <r>
      <rPr>
        <sz val="10"/>
        <color rgb="FF0000FF"/>
        <rFont val="宋体"/>
        <charset val="134"/>
      </rPr>
      <t xml:space="preserve">由被审计单位生成的信息不包括：
</t>
    </r>
    <r>
      <rPr>
        <sz val="10"/>
        <color rgb="FF0000FF"/>
        <rFont val="Arial Narrow"/>
        <charset val="134"/>
      </rPr>
      <t xml:space="preserve">• </t>
    </r>
    <r>
      <rPr>
        <sz val="10"/>
        <color rgb="FF0000FF"/>
        <rFont val="宋体"/>
        <charset val="134"/>
      </rPr>
      <t xml:space="preserve">总分类账或明细分类账、试算平衡表、或经审计的财务报表；
</t>
    </r>
    <r>
      <rPr>
        <sz val="10"/>
        <color rgb="FF0000FF"/>
        <rFont val="Arial Narrow"/>
        <charset val="134"/>
      </rPr>
      <t xml:space="preserve">• </t>
    </r>
    <r>
      <rPr>
        <sz val="10"/>
        <color rgb="FF0000FF"/>
        <rFont val="宋体"/>
        <charset val="134"/>
      </rPr>
      <t xml:space="preserve">第三方（除了服务机构）的报表或报告，例如，原始银行对账单，或函证的回函；
</t>
    </r>
    <r>
      <rPr>
        <sz val="10"/>
        <color rgb="FF0000FF"/>
        <rFont val="Arial Narrow"/>
        <charset val="134"/>
      </rPr>
      <t xml:space="preserve">• </t>
    </r>
    <r>
      <rPr>
        <sz val="10"/>
        <color rgb="FF0000FF"/>
        <rFont val="宋体"/>
        <charset val="134"/>
      </rPr>
      <t>外部数据（例如，第三方发布的数据，如，定价来源）。</t>
    </r>
  </si>
  <si>
    <t>5</t>
  </si>
  <si>
    <t xml:space="preserve">常规程序/应对措施-会计估计 </t>
  </si>
  <si>
    <t>了解被审计单位收入类型，充分了解公司经销售模式，针对不同业务或模式，检查收入确认政策的合理性及与前期的一致性。关注周期性、偶然性的收入是否符合既定的收入确认原则、方法。必要时，与同行业其他公司的会计政策进行对比。</t>
  </si>
  <si>
    <t>D4-5</t>
  </si>
  <si>
    <t>营业收入中由被审计单位生成的信息例如：在使用被审计单位提供的发票清单、销售价格表、运输清单等被审计单位提供信息</t>
  </si>
  <si>
    <t>6</t>
  </si>
  <si>
    <t xml:space="preserve">应对措施-实质性/非实质性分析程序 </t>
  </si>
  <si>
    <t>实施分析程序：
（1）计算本期重要的比率指标：赊销率、应收账款周转率、末月销售情况/当期销售（金额或销量）、重要客户的销售额/销售额等，与可比期间数据、预算数或同行业其他企业数据进行比较；
（2）结合收入来源和销售模式，按照产品类别、业务模式、销售区域（如境内、海外）等将本期的主营业务收入与上期的主营业务收入进行比较，分析销售收入结构和价格变动是否异常，是否符合行业和市场同期的变化情况；
（3）分月或分季度比较本期主营业务收入波动情况，分析其变动趋势是否正常，是否符合被审计单位季节性、周期性的经营规律，查明异常现象和重大波动的原因；
(4）计算本期重要产品的各月毛利率，与上期毛利率进行比较，分析变动原因，关注是否存在显著异常，必要时应与同行业比较；
（5）就不同业务模式比较分析主要客户的销售数量、销售金额及占比的变动以及原因，关注是否存在异常。
（6）比较主要客户主要产品销售单价与销售平均价格（或指导价）、同类产品市场价格差异，分析价格合理性，判断有无以低价或高价结算的方法，相互之间有无转移利润的现象。
（7）比较关联方客户销售价格与非关联方销售价格的差异，分析关联方销售价格合理性，判断有无以低价或高价结算的方法，相互之间有无转移利润的现象。
(8)获取产品销售价格目录，与上期末相关文件进行对比分析，选取定价有较大或异常变化的产品进行测试，检查售价变动是否符合定价政策，价格变动是否合理。</t>
  </si>
  <si>
    <t>D4-6
/D4-7
/D4-8
/D4-9
/D4-10
/D4-11</t>
  </si>
  <si>
    <t>7</t>
  </si>
  <si>
    <t xml:space="preserve">常规程序(选择“存在重大合同”)  </t>
  </si>
  <si>
    <t>选取重要合同进行检查：
（1）了解与重要合同相关的交易，包括商业理由（或缺乏商业理由）和经济实质；
（2）检查重要合同并记录关键条款和条件，判断合同条款的合理性，考虑是否可能存在抽屉协议等；
（3）检查重要合同价格，确定是否符合销售及信用管理政策，并测试交易价格的确定是否正确。考虑代第三方收取的款项、预期将退还给客户的款项，以及可变对价（如现金折扣、数量折扣、价格折让等）、合同中存在的重大融资成分、非现金对价、应付客户对价等因素的影响。
（4）判断履约义务识别、交易价格的确定、交易价格分摊、收入控制权转移时点或期间等是否恰当。
（5）判断是否涉及特定交易，例如：附有质量保证条款的销售、附有销售退回条款的销售、主要责任人和代理人、售后回购交易、分期收款销售、寄售商品、以旧换新、授予知识产权，客户未行使的权利等；
（6）确定合同是否表明存在以前未识别或未披露的关联方或重大关联方交易、超过被审计单位正常经营过程的交易以及与审计有关的其他问题；
（7）确定交易是否按合同条款履行。</t>
  </si>
  <si>
    <t>D4-12</t>
  </si>
  <si>
    <t>8</t>
  </si>
  <si>
    <t xml:space="preserve">应对措施-检查  </t>
  </si>
  <si>
    <t>采用恰当的抽样方法，选择样本检查时点法收入确认依据（出库单、验收单、物流运输单、发票等）是否充分，记账是否正确；检查时段法的履约进度确认方法是否恰当，前后期是否一致，检查履约进度确认收入依据（监理报告、履约进度审核报告、竣工验收报告、结算资料等）是否充分，记账是否正确。</t>
  </si>
  <si>
    <t>D4-14</t>
  </si>
  <si>
    <t>9</t>
  </si>
  <si>
    <t>针对重要出口业务收入：
（1）将销售记录与合同、报关单、装箱单、提单、发票、结汇单、物流运输单等出口销售单据进行核对；
（2）使用电子口岸卡登陆电子口岸的信息系统，查询交易记录。
（3）必要时，向海关函证出口交易信息。</t>
  </si>
  <si>
    <t>D4-14
/D4-16</t>
  </si>
  <si>
    <t>10</t>
  </si>
  <si>
    <t>针对电商、游戏等互联网行业等，应充分了解其具体的运营模式、盈利模式、不同参与主体间的责任分担等情况，结合IT审计检查收入数据、结算数据的真实性、完整性、准确性。</t>
  </si>
  <si>
    <t>11</t>
  </si>
  <si>
    <t>针对大额现金交易：
（1）分析现金收付合理性，是否与行业特征和实际生产经营情况一致。
（2）获取公司报告期内存在现金销售的原因分析，分析被审计单位关于现金交易的相关说明是否合理。与对公司关键人员访谈、生产销售流程观察等程序获取的信息核对。
（3）逐月统计最近三年内现金销售收款金额，核查现金收款异常波动的原因，根据被审计单位情况分层统计分析，并对最近一年现金销售收入进行概要分析；
（4）选择大额或异常现金交易，进行测试，核对付款方和付款金额与合同、订单、出库单是否一致，款项是否确实由客户支付。记录主要信息，必要的留存复印件；未见异常的项目，按照随机抽样的原则抽取一定比例，进行测试。必要时，实施函证程序。</t>
  </si>
  <si>
    <t>12</t>
  </si>
  <si>
    <t>销售的截止测试：
（1）获取资产负债表日前后若干笔会计记录，与发货单证等信息核对，确定收入是否记入了恰当的期间。
（2）获取资产负债表日前后若干张发货单，与会计记录信息核对，确定是否存在收入跨期。 
（3）复核资产负债表日前后的销售和发货水平，与正常水平相比是否存在异常，并考虑是否追加截止性测试。
（4）浏览期后一定时间的总账和明细账，以发现是否存在销售收
入冲回或大额销售退回的情况，对期后的大宗或异常的销售退货、冲回进行检查，以确定是否提前确认收入。
（5）结合存货监盘，对于尚未发运的销售（如开出账单但保管商品），查核支持性文件，与客户适当人员讨论，检查是否满足收入确认条件及会计处理的正确性。</t>
  </si>
  <si>
    <t>D4-17
/D4-18</t>
  </si>
  <si>
    <t>13</t>
  </si>
  <si>
    <t>销售折扣与折让：
(1)获取或编制销售折扣与折让明细表，复核加计正确，并与明细账合计数核对相符；
(2)取得被审计单位有关折扣与折让的具体规定和其他文件资料，并抽查较大的折扣发生额的授权批准情况，与实际执行情况进行核对；
(3)检查折扣与折让是否及时足额提交对方，有无虚设中介、转移收入、私设账外“小金库”等情况；
(4)检查折扣与折让的会计处理是否正确。</t>
  </si>
  <si>
    <t>D4-19</t>
  </si>
  <si>
    <t>14</t>
  </si>
  <si>
    <t>存在销货退回的，分析被审计单位对于退货率的估计是否合理，应付退货款、应收退货成本的会计处理是否正确；检查手续是否符合规定，结合原始销售凭证检查其会计处理是否正确；结合存货项目审计关注其真实性。</t>
  </si>
  <si>
    <t>D4-20</t>
  </si>
  <si>
    <t>15</t>
  </si>
  <si>
    <t xml:space="preserve">常规程序(选择“存在关联交易”)    </t>
  </si>
  <si>
    <t>检查关联交易：
(1)了解交易的商业理由、交易事项的目的、价格和条件，考虑对关联方销售的合理性、合法性；
(2）检查证实交易的支持性文件（例如合同、发票、运输单据等），检查价格公允性，合同条款是否与非关联方一致；
（考虑向关联方或其他注册会计师函证重大的关联采购交易和余额（包括担保和其他重要信息）；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</si>
  <si>
    <t>D4-21</t>
  </si>
  <si>
    <t>16</t>
  </si>
  <si>
    <t>根据评估的舞弊风险等因素增加的审计程序。</t>
  </si>
  <si>
    <t>IPO/上市/新三板/重组/舞弊应对</t>
  </si>
  <si>
    <t>D4-22A</t>
  </si>
  <si>
    <t>17</t>
  </si>
  <si>
    <t>检查营业收入是否已按企业会计准则或其他适用的规定在财务报表中做出恰当列报和披露。</t>
  </si>
  <si>
    <r>
      <rPr>
        <sz val="10"/>
        <rFont val="Arial Narrow"/>
        <charset val="134"/>
      </rPr>
      <t>A 1-1</t>
    </r>
    <r>
      <rPr>
        <sz val="10"/>
        <color rgb="FFFF0000"/>
        <rFont val="Arial Narrow"/>
        <charset val="134"/>
      </rPr>
      <t>/A1-15 /A1-16</t>
    </r>
  </si>
  <si>
    <t>针对其他业务收入，考虑执行以下程序：</t>
  </si>
  <si>
    <t>了解其他业务收入的业务内容，判断其分类为其他业务收入是否恰当。获取并了解被审计单位其他业务收入确认相关的会计政策，并与上年相比较是否存在重大差异变化。</t>
  </si>
  <si>
    <t>D4-3
/D4-5</t>
  </si>
  <si>
    <t>计算本期其他业务收入与其他业务成本的比率和毛利率,并与上期该比率比较，检查是否有重大波动，如有，应查明原因。</t>
  </si>
  <si>
    <t>D4-33</t>
  </si>
  <si>
    <t>获取其他业务收入合同，检查合同主要条款，考虑商业实质和合理性；重新计算出租、咨询等服务合同收入金额是否正确。</t>
  </si>
  <si>
    <t>D4-34</t>
  </si>
  <si>
    <t>对于大额其他业务收入，检查支持性文件，分析交易实质，确定是否符合收入确认条件、会计处理是否正确。</t>
  </si>
  <si>
    <t>D4-35</t>
  </si>
  <si>
    <t>抽取资产负债表日前后若干天、一定金额以上的其他业务收入记账凭证与发货单等信息核对，确定其他业务收入是否记入了恰当的期间；抽取资产负债表日前后若干天、一定金额以上的发货单等与记账凭证核对，确定其他业务收入是否记入了恰当的期间；</t>
  </si>
  <si>
    <t>D4-36</t>
  </si>
  <si>
    <t>页次：</t>
  </si>
  <si>
    <t>项目</t>
  </si>
  <si>
    <t>本期数</t>
  </si>
  <si>
    <t>上期数</t>
  </si>
  <si>
    <t>未审数</t>
  </si>
  <si>
    <t>账项调整</t>
  </si>
  <si>
    <t>重分类调整</t>
  </si>
  <si>
    <t>审定数</t>
  </si>
  <si>
    <t>主营业务收入：</t>
  </si>
  <si>
    <t>小计</t>
  </si>
  <si>
    <t>其他业务收入：</t>
  </si>
  <si>
    <t>合计</t>
  </si>
  <si>
    <t>试算平衡表数</t>
  </si>
  <si>
    <t>差异数</t>
  </si>
  <si>
    <r>
      <rPr>
        <b/>
        <sz val="10"/>
        <rFont val="宋体"/>
        <charset val="134"/>
      </rPr>
      <t>1.审计说明</t>
    </r>
  </si>
  <si>
    <t>2.审计结论</t>
  </si>
  <si>
    <t>（1）营业收入本期较上期增加（负数为减少）：</t>
  </si>
  <si>
    <r>
      <rPr>
        <sz val="10"/>
        <rFont val="宋体"/>
        <charset val="134"/>
      </rPr>
      <t>主要原因</t>
    </r>
    <r>
      <rPr>
        <sz val="10"/>
        <color rgb="FFFF0000"/>
        <rFont val="宋体"/>
        <charset val="134"/>
      </rPr>
      <t>（比例超过30%的）</t>
    </r>
    <r>
      <rPr>
        <sz val="10"/>
        <rFont val="宋体"/>
        <charset val="134"/>
      </rPr>
      <t>：</t>
    </r>
  </si>
  <si>
    <t>（2）公司前五名客户营业收入总额为 元，占公司全部主营业务收入的比例为 %。</t>
  </si>
  <si>
    <t>（3）实际执行的审计程序和完成的底稿概述</t>
  </si>
  <si>
    <t>实施的实质性程序概述</t>
  </si>
  <si>
    <t>执行结果</t>
  </si>
  <si>
    <t>注：根据2024年沪深北交易所修订的《上市规则》：公司最近一个会计年度经审计的利润总额、净利润或者扣除非经常性损益后的净利润孰低者为负值的，公司应当在年度报告或者更正公告中披露</t>
  </si>
  <si>
    <t xml:space="preserve">营业收入扣除情况及扣除后的营业收入金额；负责审计的会计师事务所应当就公司营业收入扣除事项是否符合本条规定及扣除后的营业收入金额出具专项核查意见。项目需完成营业收入扣除情况核查底稿&lt;S20&gt;
</t>
  </si>
  <si>
    <t>提示1：根据2024年沪深北交易所修订的《上市规则》：公司最近一个会计年度经审计的利润总额、净利润或者扣除非经常性损益后的净利润孰低者为负值的，公司应当在年度报告或者更正公告中披露</t>
  </si>
  <si>
    <t>营业收入扣除情况及扣除后的营业收入金额；负责审计的会计师事务所应当就公司营业收入扣除事项是否符合本条规定及扣除后的营业收入金额出具专项核查意见。项目需完成营业收入扣除情况核查底稿&lt;S20&gt;</t>
  </si>
  <si>
    <t>提示2：针对最近一个会计年度经审计营业收入低于 3亿元（沪深主板）/1亿元（科创板、创业板）但利润总额、净利润及扣除非经常性损益后的净利润均为正值的公司，会计师事务所应当对其非经常</t>
  </si>
  <si>
    <t>性损益披露的真实性、准确性、完整性出具专项核查意见。</t>
  </si>
  <si>
    <t>出租固定资产</t>
  </si>
  <si>
    <t>出租无形资产</t>
  </si>
  <si>
    <t>出租包装物和商品</t>
  </si>
  <si>
    <t>销售材料</t>
  </si>
  <si>
    <t>用材料进行非货币性交换</t>
  </si>
  <si>
    <t>用材料进行债务重组</t>
  </si>
  <si>
    <t>投资性房地产租金收入</t>
  </si>
  <si>
    <r>
      <rPr>
        <b/>
        <sz val="10"/>
        <rFont val="宋体"/>
        <charset val="134"/>
      </rPr>
      <t>致同会计师事务所</t>
    </r>
  </si>
  <si>
    <t>客户名称：</t>
  </si>
  <si>
    <t>会计期间：201x年度</t>
  </si>
  <si>
    <r>
      <rPr>
        <sz val="10"/>
        <rFont val="宋体"/>
        <charset val="134"/>
      </rPr>
      <t>页</t>
    </r>
    <r>
      <rPr>
        <sz val="10"/>
        <rFont val="Arial Narrow"/>
        <charset val="134"/>
      </rPr>
      <t xml:space="preserve">  </t>
    </r>
    <r>
      <rPr>
        <sz val="10"/>
        <rFont val="宋体"/>
        <charset val="134"/>
      </rPr>
      <t>次：</t>
    </r>
    <r>
      <rPr>
        <sz val="10"/>
        <rFont val="Arial Narrow"/>
        <charset val="134"/>
      </rPr>
      <t>1</t>
    </r>
  </si>
  <si>
    <t>营业收入附注汇总</t>
  </si>
  <si>
    <t>（1）营业收入和营业成本</t>
  </si>
  <si>
    <t>项  目</t>
  </si>
  <si>
    <t>本期发生额</t>
  </si>
  <si>
    <t>上期发生额</t>
  </si>
  <si>
    <t>收入</t>
  </si>
  <si>
    <t>成本</t>
  </si>
  <si>
    <t>主营业务</t>
  </si>
  <si>
    <t>其他业务</t>
  </si>
  <si>
    <t>合  计</t>
  </si>
  <si>
    <t>说明：</t>
  </si>
  <si>
    <t xml:space="preserve">[披露本公司前期已经履行 (或部分履行) 的履约义务在本期调整的收入。例如： </t>
  </si>
  <si>
    <t xml:space="preserve">本公司在2023年确认的、源自前期已经履行 (或部分履行) 的履约义务的收入金额为人民币XX元，主要是由于与XX客户签订的XX合同的估计完工进度发生了变化。] </t>
  </si>
  <si>
    <t>【提示：</t>
  </si>
  <si>
    <t>1.处置投资性房地产（无论采用公允价值模式计量还是成本模式计量）的收入，在“其他业务收入”列示，相应结转成本至“其他业务成本”；</t>
  </si>
  <si>
    <r>
      <rPr>
        <sz val="12"/>
        <color rgb="FF0000FF"/>
        <rFont val="Arial Narrow"/>
        <charset val="134"/>
      </rPr>
      <t>2.</t>
    </r>
    <r>
      <rPr>
        <sz val="12"/>
        <color rgb="FF0000FF"/>
        <rFont val="微软雅黑"/>
        <charset val="134"/>
      </rPr>
      <t>单项的投资性房地产的处置，无论是直接出售还是先划分为持有待售资产再出售，处置损益均计入“其他业务收入</t>
    </r>
    <r>
      <rPr>
        <sz val="12"/>
        <color rgb="FF0000FF"/>
        <rFont val="Arial Narrow"/>
        <charset val="134"/>
      </rPr>
      <t>/</t>
    </r>
    <r>
      <rPr>
        <sz val="12"/>
        <color rgb="FF0000FF"/>
        <rFont val="微软雅黑"/>
        <charset val="134"/>
      </rPr>
      <t>成本”，不计入“资产处置损益”</t>
    </r>
  </si>
  <si>
    <r>
      <rPr>
        <sz val="12"/>
        <color rgb="FF0000FF"/>
        <rFont val="Arial Narrow"/>
        <charset val="134"/>
      </rPr>
      <t>3.</t>
    </r>
    <r>
      <rPr>
        <sz val="12"/>
        <color rgb="FF0000FF"/>
        <rFont val="微软雅黑"/>
        <charset val="134"/>
      </rPr>
      <t>在停工停产期间继续计提固定资产折旧和无形资产摊销，并根据用途计入相关资产的成本或当期损益。例如，企业因需求不足而停产或因事故而停工检修等，相关生产设备应当继续计提折旧，并计入营业成本。】</t>
    </r>
  </si>
  <si>
    <t>（2）营业收入、营业成本按行业（或产品类型）划分</t>
  </si>
  <si>
    <t>主要产品类型（或行业）</t>
  </si>
  <si>
    <t>主营业务：</t>
  </si>
  <si>
    <t>消费品</t>
  </si>
  <si>
    <t>汽车</t>
  </si>
  <si>
    <t>能源</t>
  </si>
  <si>
    <t>......</t>
  </si>
  <si>
    <t>小  计</t>
  </si>
  <si>
    <t>其他业务：</t>
  </si>
  <si>
    <t>租赁收入</t>
  </si>
  <si>
    <r>
      <rPr>
        <sz val="12"/>
        <rFont val="微软雅黑"/>
        <charset val="134"/>
      </rPr>
      <t>（</t>
    </r>
    <r>
      <rPr>
        <sz val="12"/>
        <rFont val="Arial Narrow"/>
        <charset val="134"/>
      </rPr>
      <t>3</t>
    </r>
    <r>
      <rPr>
        <sz val="12"/>
        <rFont val="微软雅黑"/>
        <charset val="134"/>
      </rPr>
      <t>）营业收入、营业成本按地区划分（不适用的，删除）</t>
    </r>
  </si>
  <si>
    <t>主要经营地区</t>
  </si>
  <si>
    <t>主营业务收入</t>
  </si>
  <si>
    <t>主营业务成本</t>
  </si>
  <si>
    <t>东北</t>
  </si>
  <si>
    <t>华北</t>
  </si>
  <si>
    <t>西北</t>
  </si>
  <si>
    <r>
      <rPr>
        <sz val="12"/>
        <rFont val="微软雅黑"/>
        <charset val="134"/>
      </rPr>
      <t>（</t>
    </r>
    <r>
      <rPr>
        <sz val="12"/>
        <rFont val="Arial Narrow"/>
        <charset val="134"/>
      </rPr>
      <t>4</t>
    </r>
    <r>
      <rPr>
        <sz val="12"/>
        <rFont val="微软雅黑"/>
        <charset val="134"/>
      </rPr>
      <t>）营业收入、</t>
    </r>
    <r>
      <rPr>
        <sz val="12"/>
        <rFont val="宋体"/>
        <charset val="134"/>
      </rPr>
      <t>营业成本按</t>
    </r>
    <r>
      <rPr>
        <sz val="12"/>
        <rFont val="微软雅黑"/>
        <charset val="134"/>
      </rPr>
      <t>分解信息</t>
    </r>
  </si>
  <si>
    <t>其他</t>
  </si>
  <si>
    <t>其中：在某一时点确认</t>
  </si>
  <si>
    <t xml:space="preserve">      在某一时段确认</t>
  </si>
  <si>
    <t xml:space="preserve">      租赁收入</t>
  </si>
  <si>
    <t>【提示：在确定对收入进行分解的类别时，企业应当考虑其在下列情况下是如何列报和披露与收入有关的信息：</t>
  </si>
  <si>
    <t>①在财务报表之外披露的信息，例如，在企业的业绩公告、年报或向投资者报送的相关资料中披露的收入信息；</t>
  </si>
  <si>
    <t>②管理层为评价经营分部的财务业绩所定期复核的信息；以及</t>
  </si>
  <si>
    <t>③企业或企业的财务报表使用者在评价企业的财务业绩或作出资源分配决策时，所使用的类似于上述①和②的信息类型的其他信息。</t>
  </si>
  <si>
    <t>企业在对收入信息进行分解时，可以采用的类别包括但不限于：商品类型、经营地区、市场或客户类型、合同类型（例如，固定造价合同、成本加成合同等）、商品转让的时间（例如，在某一时点转让或在某一时段内转让）、合同期限（例如，长期合同、短期合同等）、销售渠道（例如，直接销售或通过经销商销售等）等。</t>
  </si>
  <si>
    <t>④租赁收入需单独披露。】</t>
  </si>
  <si>
    <t>（5）履约义务的说明</t>
  </si>
  <si>
    <t>（披露与履约义务相关的信息，包括履约义务通常的履行时间、重要的支付条款、企业承诺转让的商品的性质（包括说明企业是否作为代理人）、企业承担的预期将退还给客户的款项等类似义务、质量保证的类型及相关义务等。）</t>
  </si>
  <si>
    <t>（6）与剩余履约义务有关的信息</t>
  </si>
  <si>
    <t>【披露与剩余履约义务有关的下列信息：①分摊至本期末尚未履行（或部分未履行）履约义务的交易价格总额；②上述金额确认为收入的预计时间，企业可以按照对于剩余履约义务的期间而言最恰当的时间段为基础提供有关预计时间的定量信息，或者使用定性信息进行说明。】</t>
  </si>
  <si>
    <t>分摊至尚未履行的履约义务的交易价格为xxx元，截止xx年xx月xx日，对于上述金额确认为收入的预计时间如下：</t>
  </si>
  <si>
    <t>年  度</t>
  </si>
  <si>
    <r>
      <rPr>
        <b/>
        <sz val="12"/>
        <color rgb="FF0000FF"/>
        <rFont val="Arial Narrow"/>
        <charset val="134"/>
      </rPr>
      <t>2024</t>
    </r>
    <r>
      <rPr>
        <b/>
        <sz val="12"/>
        <color rgb="FF0000FF"/>
        <rFont val="微软雅黑"/>
        <charset val="134"/>
      </rPr>
      <t>年</t>
    </r>
  </si>
  <si>
    <r>
      <rPr>
        <b/>
        <sz val="12"/>
        <color rgb="FF0000FF"/>
        <rFont val="Arial Narrow"/>
        <charset val="134"/>
      </rPr>
      <t>2025</t>
    </r>
    <r>
      <rPr>
        <b/>
        <sz val="12"/>
        <color rgb="FF0000FF"/>
        <rFont val="微软雅黑"/>
        <charset val="134"/>
      </rPr>
      <t>年</t>
    </r>
  </si>
  <si>
    <t>xx合同预计将确认的收入</t>
  </si>
  <si>
    <t>【说明：是否存在任何对价金额未纳入交易价格，从而未纳入对于分摊至剩余履约义务的交易价格所需披露的信息之中，例如，由于将可变对价计入交易价格的限制要求而未计入交易价格的可变对价。】</t>
  </si>
  <si>
    <t>【如果公司采用了简化操作方法，该方法满足下列条件之一可适用：</t>
  </si>
  <si>
    <t>一是该项履约义务是原预计合同期限不超过一年的合同中的一部分。</t>
  </si>
  <si>
    <t>二是企业有权对该履约义务下已转让的商品向客户发出账单，且账单金额能够代表企业累计至今已履约部分转移给客户的价值。</t>
  </si>
  <si>
    <t>企业应当提供定性信息以说明采用了上述简化操作方法。</t>
  </si>
  <si>
    <t>例如：</t>
  </si>
  <si>
    <t>本公司与客户签订合同，为客户建造一栋办公楼，合同对价为500万元。本公司在2023年对该合同确认的收入金额为240万元。2023年12月31日，分摊至剩余履约义务的交易价格为260万元，本公司预计该金额将随着工程的完工进度，在未来12-15个月内确认为收入。】</t>
  </si>
  <si>
    <t>（7）重大合同变更【或重大交易价格调整】</t>
  </si>
  <si>
    <t>（披露重大合同变更或重大交易价格调整相关的信息、会计处理方法及对收入的影响金额。）</t>
  </si>
  <si>
    <t>（8）试运行销售收入</t>
  </si>
  <si>
    <t>【提示：企业会计准则解释第15号规定，企业应当按照《企业会计准则第1号——存货》、《企业会计准则第14号——收入》、《企业会计准则第30号——财务报表列报》等规定，判断试运行销售是否属于企业的日常活动，并在财务报表中分别日常活动和非日常活动列示试运行销售的相关收入和成本，属于日常活动的，在“营业收入”和“营业成本”项目列示；属于非日常活动的，在“资产处置收益”等项目列示。同时企业应当在附注中单独披露试运行销售的相关收入和成本金额、具体列报项目以及确定试运行销售相关成本时采用的重要会计估计等相关信息。】</t>
  </si>
  <si>
    <t>固定资产试运行收入</t>
  </si>
  <si>
    <t>研发样品销售收入</t>
  </si>
  <si>
    <t>附注披露信息（国有企业）</t>
  </si>
  <si>
    <t>营业收入、营业成本附注</t>
  </si>
  <si>
    <t>（1）营业收入、营业成本</t>
  </si>
  <si>
    <t>2.单项的投资性房地产的处置，无论是直接出售还是先划分为持有待售资产再出售，处置损益均计入“其他业务收入/成本”，不计入“资产处置损益”</t>
  </si>
  <si>
    <t>3.在停工停产期间继续计提固定资产折旧和无形资产摊销，并根据用途计入相关资产的成本或当期损益。例如，企业因需求不足而停产或因事故而停工检修等，相关生产设备应当继续计提折旧，并计入营业成本。</t>
  </si>
  <si>
    <t>（2）按行业（或产品类型）划分</t>
  </si>
  <si>
    <t>（3）营业收入、营业成本按地区划分（不适用的，删除）</t>
  </si>
  <si>
    <t>（4）营业收入分解信息</t>
  </si>
  <si>
    <t>【提示：在确定对收入、成本进行分解的类别时，企业应当考虑其在下列情况下是如何列报和披露与收入有关的信息：</t>
  </si>
  <si>
    <t>（5）履约义务相关信息</t>
  </si>
  <si>
    <t>【履约义务相关的信息，包括但不限于：履行履约义务的时间、重要的支付条款、公司承诺转让商品的性质、是否为主要责任人、公司承担的预期将退还给客户的款项等类似义务、公司提供的质量保证类型及相关义务等。】</t>
  </si>
  <si>
    <t>【与分摊至剩余履约义务的交易价格相关的信息，包括分摊至本期末尚未履行履约义务的交易价格总额及其确认为收入的预计时间、可变对价等。】</t>
  </si>
  <si>
    <t>2024年</t>
  </si>
  <si>
    <t>2025年</t>
  </si>
  <si>
    <t>【说明是否存在任何对价金额未纳入交易价格，从而未纳入对于分摊至剩余履约义务的交易价格所需披露的信息之中，例如，由于将可变对价计入交易价格的限制要求而未计入交易价格的可变对价。】</t>
  </si>
  <si>
    <t>（重大合同变更或重大交易价格调整相关的信息、会计处理方法及对收入的影响金额。）</t>
  </si>
  <si>
    <r>
      <rPr>
        <b/>
        <sz val="14"/>
        <rFont val="宋体"/>
        <charset val="134"/>
      </rPr>
      <t>主营业务收入</t>
    </r>
    <r>
      <rPr>
        <b/>
        <sz val="14"/>
        <rFont val="宋体"/>
        <charset val="134"/>
      </rPr>
      <t>明细表</t>
    </r>
  </si>
  <si>
    <t>一、审计目标</t>
  </si>
  <si>
    <t>与主营业务收入有关的金额及其他数据已恰当记录，相关披露已得到恰当计量和描述。</t>
  </si>
  <si>
    <t>二、审计过程</t>
  </si>
  <si>
    <t>1.……</t>
  </si>
  <si>
    <r>
      <rPr>
        <b/>
        <sz val="10"/>
        <rFont val="Arial Narrow"/>
        <charset val="134"/>
      </rPr>
      <t>1</t>
    </r>
    <r>
      <rPr>
        <b/>
        <sz val="10"/>
        <rFont val="宋体"/>
        <charset val="134"/>
      </rPr>
      <t>月</t>
    </r>
  </si>
  <si>
    <r>
      <rPr>
        <b/>
        <sz val="10"/>
        <rFont val="Arial Narrow"/>
        <charset val="134"/>
      </rPr>
      <t>2月</t>
    </r>
  </si>
  <si>
    <r>
      <rPr>
        <b/>
        <sz val="10"/>
        <rFont val="Arial Narrow"/>
        <charset val="134"/>
      </rPr>
      <t>3月</t>
    </r>
  </si>
  <si>
    <r>
      <rPr>
        <b/>
        <sz val="10"/>
        <rFont val="Arial Narrow"/>
        <charset val="134"/>
      </rPr>
      <t>4月</t>
    </r>
  </si>
  <si>
    <r>
      <rPr>
        <b/>
        <sz val="10"/>
        <rFont val="Arial Narrow"/>
        <charset val="134"/>
      </rPr>
      <t>5月</t>
    </r>
  </si>
  <si>
    <r>
      <rPr>
        <b/>
        <sz val="10"/>
        <rFont val="Arial Narrow"/>
        <charset val="134"/>
      </rPr>
      <t>6月</t>
    </r>
  </si>
  <si>
    <r>
      <rPr>
        <b/>
        <sz val="10"/>
        <rFont val="Arial Narrow"/>
        <charset val="134"/>
      </rPr>
      <t>7月</t>
    </r>
  </si>
  <si>
    <r>
      <rPr>
        <b/>
        <sz val="10"/>
        <rFont val="Arial Narrow"/>
        <charset val="134"/>
      </rPr>
      <t>8月</t>
    </r>
  </si>
  <si>
    <r>
      <rPr>
        <b/>
        <sz val="10"/>
        <rFont val="Arial Narrow"/>
        <charset val="134"/>
      </rPr>
      <t>9月</t>
    </r>
  </si>
  <si>
    <r>
      <rPr>
        <b/>
        <sz val="10"/>
        <rFont val="Arial Narrow"/>
        <charset val="134"/>
      </rPr>
      <t>10月</t>
    </r>
  </si>
  <si>
    <r>
      <rPr>
        <b/>
        <sz val="10"/>
        <rFont val="Arial Narrow"/>
        <charset val="134"/>
      </rPr>
      <t>11月</t>
    </r>
  </si>
  <si>
    <r>
      <rPr>
        <b/>
        <sz val="10"/>
        <rFont val="Arial Narrow"/>
        <charset val="134"/>
      </rPr>
      <t>12月</t>
    </r>
  </si>
  <si>
    <t>本期未审数合计</t>
  </si>
  <si>
    <t>本期审计调整</t>
  </si>
  <si>
    <t>本期审定数</t>
  </si>
  <si>
    <t>上期未审数</t>
  </si>
  <si>
    <t>上期审计调整</t>
  </si>
  <si>
    <t>上期审定数</t>
  </si>
  <si>
    <t>未审变动比例</t>
  </si>
  <si>
    <t>审定变动比例</t>
  </si>
  <si>
    <t>备注</t>
  </si>
  <si>
    <t>各月比例</t>
  </si>
  <si>
    <t>三、审计说明</t>
  </si>
  <si>
    <t>1.XX公司收入主要集中在第二季度和第四季度，主要原因是……，经查询同行业数据&lt;  &gt;，收入季节变化符合行业周期季节变化，季节性因素对公司各季度收入的影响合理。</t>
  </si>
  <si>
    <t>四、审计结论</t>
  </si>
  <si>
    <t>提示1：根据项目需要，按照区域、品种等进行分类汇总。</t>
  </si>
  <si>
    <t>一、审计目标：</t>
  </si>
  <si>
    <t>与其他业务收入有关的金额及其他数据已恰当记录，相关披露已得到恰当计量和描述。</t>
  </si>
  <si>
    <t>二、审计过程:</t>
  </si>
  <si>
    <t>本期数比上期增加（减少）</t>
  </si>
  <si>
    <t>本期未审数</t>
  </si>
  <si>
    <t>结构比</t>
  </si>
  <si>
    <t>上期审定额</t>
  </si>
  <si>
    <t>变动额</t>
  </si>
  <si>
    <t>变动率</t>
  </si>
  <si>
    <t>……</t>
  </si>
  <si>
    <t>三、审计说明：</t>
  </si>
  <si>
    <t>四、审计结论：</t>
  </si>
  <si>
    <t>提示：</t>
  </si>
  <si>
    <t>本科目核算企业确认的除主营业务活动以外的其他经营活动实现的收入，包括出租固定资产、出租无形资产、出租包装物和商品、销售材料、用材料进行非货币性交换（非货币性资产交换具有商业实质且公允价值能够可靠计量）或债务重组等实现的收入。</t>
  </si>
  <si>
    <t>企业（保险）经营受托管理业务收取的管理费收入，也通过本科目核算。</t>
  </si>
  <si>
    <t>营业收入调整分录汇总表</t>
  </si>
  <si>
    <t>调整事项说明</t>
  </si>
  <si>
    <t>类别（报表调整/账项调整/其他）</t>
  </si>
  <si>
    <t>报表项目</t>
  </si>
  <si>
    <t>科目名称</t>
  </si>
  <si>
    <t>附注项目</t>
  </si>
  <si>
    <t>借方调整金额</t>
  </si>
  <si>
    <t>贷方调整金额</t>
  </si>
  <si>
    <t>索引</t>
  </si>
  <si>
    <t>提示：本底稿适用于调整分录较多、较复杂的项目，且仅列示与本报表项目相关的审计调整。项目组可根据项目实际情况选择是否使用该底稿。</t>
  </si>
  <si>
    <t>营业收入会计政策检查</t>
  </si>
  <si>
    <t>与营业收入有关的金额及其他数据已恰当记录，相关披露已得到恰当计量和描述</t>
  </si>
  <si>
    <t>1.访谈XX公司管理层XXX，了解XX公司业务类型、销售模式，针对不同业务或模式，检查收入确认政策的合理性及与前期的一致性</t>
  </si>
  <si>
    <t>2.……</t>
  </si>
  <si>
    <t>（一）经营模式</t>
  </si>
  <si>
    <t>1.产品应用场景</t>
  </si>
  <si>
    <t>2.订单获取方式/渠道，合同签订及履行方式</t>
  </si>
  <si>
    <t>3.产销模式</t>
  </si>
  <si>
    <t>4.销售模式</t>
  </si>
  <si>
    <t>5.定价方式</t>
  </si>
  <si>
    <t>6.交货方式</t>
  </si>
  <si>
    <t>（二）会计政策（包括销售退回、质量保证、售后回购、主要责任人和代理人、授予知识产权许可等特殊交易）</t>
  </si>
  <si>
    <t>1.销售商品收入</t>
  </si>
  <si>
    <t>（1）收入会计政策</t>
  </si>
  <si>
    <t>（2）同行业相关政策</t>
  </si>
  <si>
    <t>（3）合理性分析</t>
  </si>
  <si>
    <t xml:space="preserve">通过合同检查&lt;  &gt;、收入检查底稿&lt;&gt;,XX公司XX会计政策是合理的，理由如下： </t>
  </si>
  <si>
    <t>①……</t>
  </si>
  <si>
    <t>2.贸易业务</t>
  </si>
  <si>
    <t>（1）总额法和净额法确认原则和具体判断标准</t>
  </si>
  <si>
    <t xml:space="preserve">通过&lt;D4-11营业收入-合同检查&gt;底稿、贸易收入检查底稿&lt;&gt;,XX公司XX业务采用总额法核算是合理的，理由如下： </t>
  </si>
  <si>
    <t>3.……</t>
  </si>
  <si>
    <t>（三）信用政策</t>
  </si>
  <si>
    <t>被审计单位收入确认会计政策和会计估计与企业会计准则的规定一致，反映了被审计单位经济业务的实际情况，与同行业公司相比不存在显</t>
  </si>
  <si>
    <t>著差异，且得到一贯性地执行。</t>
  </si>
  <si>
    <t>提示1：会计政策应描述收入确认和计量所采用的会计政策、对于确定收入确认的时点和金额具有重大影响的判断以及这些判断的变更，包括确定履约进度的方法及采用该方法的原因、评估客户取得所转让商品控制权时点的相关判断，在确定交易价格、估计计入交易价格的可变对价、分摊交易价格以及计量预期将退还给客户的款项等类似义务时所采用的方法、输入值和假设等。</t>
  </si>
  <si>
    <t>提示2：了解和记录经营模式时注意以下方面:
(1)产品应用场景，包括产品种类、行业协会（如有）、监管部门网站（如有）、用途、市场空间、行业前景等;
(2)订单获取方式/渠道，合同签订及履行方式应来源于销售部门，若有多条业务线，应全面了解；了解该内容，可以整体评估收入的可持续性、销售费用的完整性，并与同行业对比。实质性核查程序，应考虑该因素，如招投标、关联关系等；
(3)以销定产（加合理库存）模式，①要分析合理库存的制定方法、合理性、一惯性，存货是否积压，是否有减值迹象；②剔除合理库存后，存货是否有在手订单覆盖，业务是否可持续，存货是否会积压？③是否与产能匹配？以产定销，是否与产品的竞争力匹配，是否与同行业一致？
(4)如果被审计单位采用代理模式、经销商模式，了解其原因及合理性，并通过访谈获取被审计单位选择经销商的原则。部分形式上的直接销售，可能包含转销，要结合产品与客户的业务类型、规模、合同条款，分析识别。若识别不准确，将影响实质性检查程序及风险识别；经销、代销、转销，模式是否符合行业惯例，应穿透至最终客户检查；经销、代销、转销如何规定控制权转移，可能影响收入政策。
(5)了解并记录被审计单位定价方式时应分析主动权，并结合其他描述、同行业分析合理性。是否存在可变对价，可能影响收入政策。
(6)解并记录被审计单位送货还是取货，运输工具，途中耗时等；交货周期（合同签订至交付日），分析大额订单存货、生产周期是否匹配；被审计单位在货物流转前是否取得控制权；验收方式；退换货政策，质保政策。</t>
  </si>
  <si>
    <t>1.底稿开列时，可先在以下单元格填写有关内容，以便其他底稿引用有关数据：</t>
  </si>
  <si>
    <t>被审计单位名称：</t>
  </si>
  <si>
    <t>重要指标分析</t>
  </si>
  <si>
    <t>D4-6</t>
  </si>
  <si>
    <t>毛利率分析表</t>
  </si>
  <si>
    <t>D4-7</t>
  </si>
  <si>
    <t>重要产品毛利分析</t>
  </si>
  <si>
    <t>D4-8</t>
  </si>
  <si>
    <t>重要客户结构分析</t>
  </si>
  <si>
    <t>D4-9</t>
  </si>
  <si>
    <t>重要客户销售价格分析</t>
  </si>
  <si>
    <t>D4-10</t>
  </si>
  <si>
    <t>产品销售价格分析</t>
  </si>
  <si>
    <t>D4-11</t>
  </si>
  <si>
    <r>
      <rPr>
        <b/>
        <sz val="12"/>
        <rFont val="Arial Narrow"/>
        <charset val="134"/>
      </rPr>
      <t>1.</t>
    </r>
    <r>
      <rPr>
        <b/>
        <sz val="12"/>
        <rFont val="宋体"/>
        <charset val="134"/>
      </rPr>
      <t>编制的审计工作底稿应与审计程序对应。</t>
    </r>
    <r>
      <rPr>
        <sz val="11"/>
        <color rgb="FF000000"/>
        <rFont val="等线"/>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</si>
  <si>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r>
      <rPr>
        <b/>
        <sz val="12"/>
        <rFont val="Arial Narrow"/>
        <charset val="134"/>
      </rPr>
      <t>2.</t>
    </r>
    <r>
      <rPr>
        <b/>
        <sz val="12"/>
        <rFont val="宋体"/>
        <charset val="134"/>
      </rPr>
      <t>获取的支持性证据应与审计底稿或程序对应。</t>
    </r>
    <r>
      <rPr>
        <sz val="11"/>
        <color rgb="FF000000"/>
        <rFont val="等线"/>
        <charset val="134"/>
      </rPr>
      <t>审计项目组在完成底稿时获取的支持性证据应根据底稿索引号编制下一级按自然顺序排序的索引号（如</t>
    </r>
    <r>
      <rPr>
        <sz val="12"/>
        <rFont val="Arial Narrow"/>
        <charset val="134"/>
      </rPr>
      <t>D1-2-1</t>
    </r>
    <r>
      <rPr>
        <sz val="11"/>
        <color rgb="FF000000"/>
        <rFont val="等线"/>
        <charset val="134"/>
      </rPr>
      <t>、</t>
    </r>
    <r>
      <rPr>
        <sz val="12"/>
        <rFont val="Arial Narrow"/>
        <charset val="134"/>
      </rPr>
      <t>D1-2-2</t>
    </r>
    <r>
      <rPr>
        <sz val="11"/>
        <color rgb="FF000000"/>
        <rFont val="等线"/>
        <charset val="134"/>
      </rPr>
      <t>、</t>
    </r>
    <r>
      <rPr>
        <sz val="12"/>
        <rFont val="Arial Narrow"/>
        <charset val="134"/>
      </rPr>
      <t>……</t>
    </r>
    <r>
      <rPr>
        <sz val="11"/>
        <color rgb="FF000000"/>
        <rFont val="等线"/>
        <charset val="134"/>
      </rPr>
      <t>），并在底稿中说明引用的支持性证据、关联索引号。</t>
    </r>
  </si>
  <si>
    <r>
      <rPr>
        <b/>
        <sz val="12"/>
        <rFont val="Arial Narrow"/>
        <charset val="134"/>
      </rPr>
      <t>3.</t>
    </r>
    <r>
      <rPr>
        <b/>
        <sz val="12"/>
        <rFont val="宋体"/>
        <charset val="134"/>
      </rPr>
      <t>工作底稿索引号的编码规则：</t>
    </r>
    <r>
      <rPr>
        <sz val="11"/>
        <color rgb="FF000000"/>
        <rFont val="等线"/>
        <charset val="134"/>
      </rPr>
      <t>实质性程序索引号按循环从</t>
    </r>
    <r>
      <rPr>
        <sz val="12"/>
        <rFont val="Arial Narrow"/>
        <charset val="134"/>
      </rPr>
      <t>“D”</t>
    </r>
    <r>
      <rPr>
        <sz val="11"/>
        <color rgb="FF000000"/>
        <rFont val="等线"/>
        <charset val="134"/>
      </rPr>
      <t>到</t>
    </r>
    <r>
      <rPr>
        <sz val="12"/>
        <rFont val="Arial Narrow"/>
        <charset val="134"/>
      </rPr>
      <t>“N”,</t>
    </r>
    <r>
      <rPr>
        <sz val="11"/>
        <color rgb="FF000000"/>
        <rFont val="等线"/>
        <charset val="134"/>
      </rPr>
      <t>循环内账户以顺序号排列，模板中底稿索引号按账户顺序</t>
    </r>
    <r>
      <rPr>
        <sz val="12"/>
        <rFont val="Arial Narrow"/>
        <charset val="134"/>
      </rPr>
      <t>+</t>
    </r>
    <r>
      <rPr>
        <sz val="11"/>
        <color rgb="FF000000"/>
        <rFont val="等线"/>
        <charset val="134"/>
      </rPr>
      <t>自然数顺序（即模板中索引号按二级自然顺序排列，如</t>
    </r>
    <r>
      <rPr>
        <sz val="12"/>
        <rFont val="Arial Narrow"/>
        <charset val="134"/>
      </rPr>
      <t>D1-1</t>
    </r>
    <r>
      <rPr>
        <sz val="11"/>
        <color rgb="FF000000"/>
        <rFont val="等线"/>
        <charset val="134"/>
      </rPr>
      <t>、</t>
    </r>
    <r>
      <rPr>
        <sz val="12"/>
        <rFont val="Arial Narrow"/>
        <charset val="134"/>
      </rPr>
      <t>D1-2</t>
    </r>
    <r>
      <rPr>
        <sz val="11"/>
        <color rgb="FF000000"/>
        <rFont val="等线"/>
        <charset val="134"/>
      </rPr>
      <t>、</t>
    </r>
    <r>
      <rPr>
        <sz val="12"/>
        <rFont val="Arial Narrow"/>
        <charset val="134"/>
      </rPr>
      <t>D1-3</t>
    </r>
    <r>
      <rPr>
        <sz val="11"/>
        <color rgb="FF000000"/>
        <rFont val="等线"/>
        <charset val="134"/>
      </rPr>
      <t>、</t>
    </r>
    <r>
      <rPr>
        <sz val="12"/>
        <rFont val="Arial Narrow"/>
        <charset val="134"/>
      </rPr>
      <t>……D1-N</t>
    </r>
    <r>
      <rPr>
        <sz val="11"/>
        <color rgb="FF000000"/>
        <rFont val="等线"/>
        <charset val="134"/>
      </rPr>
      <t>）。</t>
    </r>
  </si>
  <si>
    <t>重要指标分析表</t>
  </si>
  <si>
    <t>1.利润表中记录的营业收入已发生，且与被审计单位有关；2.所有应当记录的营业收入均已记录；</t>
  </si>
  <si>
    <t>3.与营业收入有关的金额及其他数据已恰当记录，相关披露已得到恰当计量和描述。</t>
  </si>
  <si>
    <t>指标名称</t>
  </si>
  <si>
    <t>本期</t>
  </si>
  <si>
    <t>上期</t>
  </si>
  <si>
    <t>差异1</t>
  </si>
  <si>
    <t>变化原因及合理性分析1</t>
  </si>
  <si>
    <t>同行业公司平均值</t>
  </si>
  <si>
    <t>差异2</t>
  </si>
  <si>
    <t>变化原因及合理性分析2</t>
  </si>
  <si>
    <t>①</t>
  </si>
  <si>
    <t>②</t>
  </si>
  <si>
    <t>③=(①-②)/②</t>
  </si>
  <si>
    <t>④</t>
  </si>
  <si>
    <t>⑤</t>
  </si>
  <si>
    <t>⑥=（①-⑤）/⑤</t>
  </si>
  <si>
    <t>⑦</t>
  </si>
  <si>
    <t>应收账款/总资产</t>
  </si>
  <si>
    <t>应收账款周转天数=应收账款平均余额/(销售收入/365)</t>
  </si>
  <si>
    <t>应收账款周转次数=销售收入/应收账款平均余额</t>
  </si>
  <si>
    <r>
      <rPr>
        <sz val="10"/>
        <color rgb="FFFF0000"/>
        <rFont val="宋体"/>
        <charset val="134"/>
      </rPr>
      <t>(末月/最后一个季度）</t>
    </r>
    <r>
      <rPr>
        <sz val="10"/>
        <rFont val="宋体"/>
        <charset val="134"/>
      </rPr>
      <t>销售情况/当期销售</t>
    </r>
    <r>
      <rPr>
        <sz val="10"/>
        <color rgb="FFFF0000"/>
        <rFont val="宋体"/>
        <charset val="134"/>
      </rPr>
      <t>（金额或销量）</t>
    </r>
  </si>
  <si>
    <t>销售折扣/销售额</t>
  </si>
  <si>
    <t>销售折让/销售额</t>
  </si>
  <si>
    <t>销货退回/销售额</t>
  </si>
  <si>
    <t>坏账准备余额/应收账款余额</t>
  </si>
  <si>
    <t>人均创收=销售收入/员工总数</t>
  </si>
  <si>
    <t>销售净利率=净利润/销售收入</t>
  </si>
  <si>
    <t>人均创利=净利润/员工总数</t>
  </si>
  <si>
    <t>当期销售金额/主要原材料采购金额</t>
  </si>
  <si>
    <t>主营业务收入毛利率分析表</t>
  </si>
  <si>
    <t>利润表中记录的营业收入已发生，且与被审计单位有关。</t>
  </si>
  <si>
    <t>1.了解公司各月毛利、收入的构成及变化情况是否符合行业和市场同期的变化情况。了解公司的产品或服务价格、销量及变动趋势，了解市场上具有代表性企业的价格信息和趋势、行业协会发布的统计数据，并进行比较，确定是否存在显著异常</t>
  </si>
  <si>
    <t>（一）月度毛利分析</t>
  </si>
  <si>
    <t>月份</t>
  </si>
  <si>
    <r>
      <rPr>
        <b/>
        <sz val="10"/>
        <rFont val="Arial Narrow"/>
        <charset val="134"/>
      </rPr>
      <t>2</t>
    </r>
    <r>
      <rPr>
        <b/>
        <sz val="10"/>
        <rFont val="宋体"/>
        <charset val="134"/>
      </rPr>
      <t>月</t>
    </r>
  </si>
  <si>
    <r>
      <rPr>
        <b/>
        <sz val="10"/>
        <rFont val="Arial Narrow"/>
        <charset val="134"/>
      </rPr>
      <t>3</t>
    </r>
    <r>
      <rPr>
        <b/>
        <sz val="10"/>
        <rFont val="宋体"/>
        <charset val="134"/>
      </rPr>
      <t>月</t>
    </r>
  </si>
  <si>
    <r>
      <rPr>
        <b/>
        <sz val="10"/>
        <rFont val="Arial Narrow"/>
        <charset val="134"/>
      </rPr>
      <t>4</t>
    </r>
    <r>
      <rPr>
        <b/>
        <sz val="10"/>
        <rFont val="宋体"/>
        <charset val="134"/>
      </rPr>
      <t>月</t>
    </r>
  </si>
  <si>
    <r>
      <rPr>
        <b/>
        <sz val="10"/>
        <rFont val="Arial Narrow"/>
        <charset val="134"/>
      </rPr>
      <t>5</t>
    </r>
    <r>
      <rPr>
        <b/>
        <sz val="10"/>
        <rFont val="宋体"/>
        <charset val="134"/>
      </rPr>
      <t>月</t>
    </r>
  </si>
  <si>
    <r>
      <rPr>
        <b/>
        <sz val="10"/>
        <rFont val="Arial Narrow"/>
        <charset val="134"/>
      </rPr>
      <t>6</t>
    </r>
    <r>
      <rPr>
        <b/>
        <sz val="10"/>
        <rFont val="宋体"/>
        <charset val="134"/>
      </rPr>
      <t>月</t>
    </r>
  </si>
  <si>
    <r>
      <rPr>
        <b/>
        <sz val="10"/>
        <rFont val="Arial Narrow"/>
        <charset val="134"/>
      </rPr>
      <t>7</t>
    </r>
    <r>
      <rPr>
        <b/>
        <sz val="10"/>
        <rFont val="宋体"/>
        <charset val="134"/>
      </rPr>
      <t>月</t>
    </r>
  </si>
  <si>
    <r>
      <rPr>
        <b/>
        <sz val="10"/>
        <rFont val="Arial Narrow"/>
        <charset val="134"/>
      </rPr>
      <t>8</t>
    </r>
    <r>
      <rPr>
        <b/>
        <sz val="10"/>
        <rFont val="宋体"/>
        <charset val="134"/>
      </rPr>
      <t>月</t>
    </r>
  </si>
  <si>
    <r>
      <rPr>
        <b/>
        <sz val="10"/>
        <rFont val="Arial Narrow"/>
        <charset val="134"/>
      </rPr>
      <t>9</t>
    </r>
    <r>
      <rPr>
        <b/>
        <sz val="10"/>
        <rFont val="宋体"/>
        <charset val="134"/>
      </rPr>
      <t>月</t>
    </r>
  </si>
  <si>
    <r>
      <rPr>
        <b/>
        <sz val="10"/>
        <rFont val="Arial Narrow"/>
        <charset val="134"/>
      </rPr>
      <t>10</t>
    </r>
    <r>
      <rPr>
        <b/>
        <sz val="10"/>
        <rFont val="宋体"/>
        <charset val="134"/>
      </rPr>
      <t>月</t>
    </r>
  </si>
  <si>
    <r>
      <rPr>
        <b/>
        <sz val="10"/>
        <rFont val="Arial Narrow"/>
        <charset val="134"/>
      </rPr>
      <t>11</t>
    </r>
    <r>
      <rPr>
        <b/>
        <sz val="10"/>
        <rFont val="宋体"/>
        <charset val="134"/>
      </rPr>
      <t>月</t>
    </r>
  </si>
  <si>
    <r>
      <rPr>
        <b/>
        <sz val="10"/>
        <rFont val="Arial Narrow"/>
        <charset val="134"/>
      </rPr>
      <t>12</t>
    </r>
    <r>
      <rPr>
        <b/>
        <sz val="10"/>
        <rFont val="宋体"/>
        <charset val="134"/>
      </rPr>
      <t>月</t>
    </r>
  </si>
  <si>
    <r>
      <rPr>
        <b/>
        <sz val="10"/>
        <rFont val="宋体"/>
        <charset val="134"/>
      </rPr>
      <t>合计</t>
    </r>
  </si>
  <si>
    <r>
      <rPr>
        <b/>
        <sz val="10"/>
        <rFont val="宋体"/>
        <charset val="134"/>
      </rPr>
      <t>上期</t>
    </r>
  </si>
  <si>
    <r>
      <rPr>
        <b/>
        <sz val="10"/>
        <rFont val="宋体"/>
        <charset val="134"/>
      </rPr>
      <t>变动比例</t>
    </r>
  </si>
  <si>
    <t>毛利</t>
  </si>
  <si>
    <t>毛利率</t>
  </si>
  <si>
    <t>（二）按产品毛利分析</t>
  </si>
  <si>
    <t>产品名称</t>
  </si>
  <si>
    <t>变动比例</t>
  </si>
  <si>
    <t>数量</t>
  </si>
  <si>
    <t>平均单价</t>
  </si>
  <si>
    <t>单位成本</t>
  </si>
  <si>
    <t>1.毛利率变动异常原因：</t>
  </si>
  <si>
    <t>2.XX产品单价变动异常，采用审计抽样方法检查该类型产品单价变动的合理性，判断销售给关联方或关系密切的重要客户的产品价格是否合理，有无以低价或高价结算的方法，相互之间有无转移利润的现象，见&lt;产品销售价格分析D4-1&gt;。</t>
  </si>
  <si>
    <t>提示：除分析主要产品和服务之外，还需要考虑被审计单位是否有联产品和副产品产出；如有，应同时分析联产品和副产品的毛利变化情况，并结合营业成本的审计，判断联产品和副产品的成本分摊是否正确。</t>
  </si>
  <si>
    <t>重要产品/服务毛利率分析表</t>
  </si>
  <si>
    <t xml:space="preserve">产品A： </t>
  </si>
  <si>
    <t>本期比上期增减变动分析</t>
  </si>
  <si>
    <t>营业收入</t>
  </si>
  <si>
    <t>营业成本</t>
  </si>
  <si>
    <t>销量</t>
  </si>
  <si>
    <t>金额</t>
  </si>
  <si>
    <t>平均单位成本</t>
  </si>
  <si>
    <t>同行业A企业</t>
  </si>
  <si>
    <t>同行业B企业</t>
  </si>
  <si>
    <t>行业平均水平</t>
  </si>
  <si>
    <t xml:space="preserve">产品B……（略）： </t>
  </si>
  <si>
    <t>重要客户结构分析表</t>
  </si>
  <si>
    <t>本期：</t>
  </si>
  <si>
    <t>客户名称</t>
  </si>
  <si>
    <t>销售金额</t>
  </si>
  <si>
    <t>销售金额占比</t>
  </si>
  <si>
    <t>销售数量</t>
  </si>
  <si>
    <t>销售数量占比</t>
  </si>
  <si>
    <t>上期排名</t>
  </si>
  <si>
    <t>本期销售总额</t>
  </si>
  <si>
    <t>上期：</t>
  </si>
  <si>
    <t>本年前十名客户的销售额较去年增加%，大于本年营业收入比去年营业收入增加的比率%</t>
  </si>
  <si>
    <t>主要是因为…………</t>
  </si>
  <si>
    <t>本年前十名客户的销售额较去年减少%，小于本年营业收入比去年营业收入减少的比率%</t>
  </si>
  <si>
    <r>
      <rPr>
        <sz val="10"/>
        <color rgb="FF0000FF"/>
        <rFont val="宋体"/>
        <charset val="134"/>
      </rPr>
      <t>提示：对于</t>
    </r>
    <r>
      <rPr>
        <sz val="10"/>
        <color rgb="FF0000FF"/>
        <rFont val="Arial Narrow"/>
        <charset val="134"/>
      </rPr>
      <t>IPO</t>
    </r>
    <r>
      <rPr>
        <sz val="10"/>
        <color rgb="FF0000FF"/>
        <rFont val="宋体"/>
        <charset val="134"/>
      </rPr>
      <t>、上市公司等审计业务，考虑：</t>
    </r>
  </si>
  <si>
    <r>
      <rPr>
        <sz val="10"/>
        <color rgb="FF0000FF"/>
        <rFont val="Arial Narrow"/>
        <charset val="134"/>
      </rPr>
      <t xml:space="preserve">1. </t>
    </r>
    <r>
      <rPr>
        <sz val="10"/>
        <color rgb="FF0000FF"/>
        <rFont val="宋体"/>
        <charset val="134"/>
      </rPr>
      <t>如果发行人的客户为公众公司，可获取客户的信息披露文件，与客户披露的采购金额核对，同时分析客户的偿债能力；</t>
    </r>
  </si>
  <si>
    <r>
      <rPr>
        <sz val="10"/>
        <color rgb="FF0000FF"/>
        <rFont val="Arial Narrow"/>
        <charset val="134"/>
      </rPr>
      <t>2.</t>
    </r>
    <r>
      <rPr>
        <sz val="10"/>
        <color rgb="FF0000FF"/>
        <rFont val="宋体"/>
        <charset val="134"/>
      </rPr>
      <t>结合发行人业务特点和主要客户基本经营信息，分析客户购买力、结算周期和销售波动情况，是否存在客户异常采购的情况；</t>
    </r>
  </si>
  <si>
    <r>
      <rPr>
        <sz val="10"/>
        <color rgb="FF0000FF"/>
        <rFont val="Arial Narrow"/>
        <charset val="134"/>
      </rPr>
      <t>3.</t>
    </r>
    <r>
      <rPr>
        <sz val="10"/>
        <color rgb="FF0000FF"/>
        <rFont val="宋体"/>
        <charset val="134"/>
      </rPr>
      <t>对当期销售占比较大的客户，了解大客户大量采购的原因，以及最终销售情况；对于重要客户为经销商的情况，关注终端客户同经销商地域的匹配性。</t>
    </r>
  </si>
  <si>
    <r>
      <rPr>
        <sz val="10"/>
        <color rgb="FF0000FF"/>
        <rFont val="Arial Narrow"/>
        <charset val="134"/>
      </rPr>
      <t>4.</t>
    </r>
    <r>
      <rPr>
        <sz val="10"/>
        <color rgb="FF0000FF"/>
        <rFont val="宋体"/>
        <charset val="134"/>
      </rPr>
      <t>关注公司及其实际控制人与大客户是否存在除购销关系外的其他关系。</t>
    </r>
  </si>
  <si>
    <t>会计期间：2024年度</t>
  </si>
  <si>
    <t>利润表中记录的营业收入已发生，且与被审计单位有关，已记录于恰当的账户。</t>
  </si>
  <si>
    <t>产品种类</t>
  </si>
  <si>
    <t>销售情况</t>
  </si>
  <si>
    <t>销售单价分析</t>
  </si>
  <si>
    <r>
      <rPr>
        <b/>
        <sz val="10"/>
        <color rgb="FF000000"/>
        <rFont val="宋体"/>
        <charset val="134"/>
      </rPr>
      <t>销售金额</t>
    </r>
  </si>
  <si>
    <r>
      <rPr>
        <b/>
        <sz val="10"/>
        <color rgb="FF000000"/>
        <rFont val="宋体"/>
        <charset val="134"/>
      </rPr>
      <t>占比</t>
    </r>
  </si>
  <si>
    <r>
      <rPr>
        <b/>
        <sz val="10"/>
        <color rgb="FF000000"/>
        <rFont val="宋体"/>
        <charset val="134"/>
      </rPr>
      <t>销售数量</t>
    </r>
  </si>
  <si>
    <r>
      <rPr>
        <b/>
        <sz val="10"/>
        <color rgb="FF000000"/>
        <rFont val="宋体"/>
        <charset val="134"/>
      </rPr>
      <t>销售单价</t>
    </r>
  </si>
  <si>
    <t>年度均价
（或销售指导价格）</t>
  </si>
  <si>
    <r>
      <rPr>
        <b/>
        <sz val="10"/>
        <color rgb="FF000000"/>
        <rFont val="宋体"/>
        <charset val="134"/>
      </rPr>
      <t>与均价差异</t>
    </r>
  </si>
  <si>
    <t>差异原因</t>
  </si>
  <si>
    <t>市场价格</t>
  </si>
  <si>
    <t>大额客户一</t>
  </si>
  <si>
    <t>产品1</t>
  </si>
  <si>
    <t>产品2</t>
  </si>
  <si>
    <t>产品3</t>
  </si>
  <si>
    <t>大额客户二</t>
  </si>
  <si>
    <t>大额客户三</t>
  </si>
  <si>
    <t>大额客户四</t>
  </si>
  <si>
    <t>大额客户五</t>
  </si>
  <si>
    <r>
      <rPr>
        <sz val="10"/>
        <color rgb="FFFF0000"/>
        <rFont val="宋体"/>
        <charset val="134"/>
      </rPr>
      <t>异常客户</t>
    </r>
    <r>
      <rPr>
        <sz val="10"/>
        <color rgb="FFFF0000"/>
        <rFont val="Arial Narrow"/>
        <charset val="134"/>
      </rPr>
      <t>X</t>
    </r>
  </si>
  <si>
    <r>
      <rPr>
        <sz val="10"/>
        <color rgb="FFFF0000"/>
        <rFont val="宋体"/>
        <charset val="134"/>
      </rPr>
      <t>异常客户</t>
    </r>
    <r>
      <rPr>
        <sz val="10"/>
        <color rgb="FFFF0000"/>
        <rFont val="Arial Narrow"/>
        <charset val="134"/>
      </rPr>
      <t>Y</t>
    </r>
  </si>
  <si>
    <r>
      <rPr>
        <b/>
        <sz val="10"/>
        <color rgb="FF000000"/>
        <rFont val="宋体"/>
        <charset val="134"/>
      </rPr>
      <t>本期销售总额</t>
    </r>
  </si>
  <si>
    <t>--</t>
  </si>
  <si>
    <t>提示：根据《中国注册会计师审计准则问题解答第18号——识别和应对第三方配合实施财务舞弊》，项目组在分析主要客户销售产品价格时关注：</t>
  </si>
  <si>
    <t>在第三方配合下，进行显失公允的交易。例如，以明显高于其他客户的价格向第三方销售商品。再如，与同一客户或同受一方控制的多个客户在各期发生多次交易，</t>
  </si>
  <si>
    <t>在客户配合下，通过调节各次交易的商品销售价格，调节各期销售收入金额。</t>
  </si>
  <si>
    <t>品种/规格</t>
  </si>
  <si>
    <t>销售单价</t>
  </si>
  <si>
    <t>开票日期</t>
  </si>
  <si>
    <t>销售订单
（销售凭证）</t>
  </si>
  <si>
    <t>订单日期</t>
  </si>
  <si>
    <t>商品销售价格表所列单价</t>
  </si>
  <si>
    <t>与定价政策差异</t>
  </si>
  <si>
    <t>同期市场价格</t>
  </si>
  <si>
    <t>与市价差异</t>
  </si>
  <si>
    <t>差异原因分析</t>
  </si>
  <si>
    <t>同期市场价格来源（索引号）</t>
  </si>
  <si>
    <t>合同检查表</t>
  </si>
  <si>
    <t>1.利润表中记录的营业收入已发生，且与被审计单位有关，已记录于恰当的账户；2.与营业收入有关的金额及其他数据已恰当记录，相关披露已得到恰当计量和描述</t>
  </si>
  <si>
    <t>D4-12-1</t>
  </si>
  <si>
    <t>D4-12-2</t>
  </si>
  <si>
    <t>D4-12-3</t>
  </si>
  <si>
    <t>D4-12-4</t>
  </si>
  <si>
    <t>D4-12-5</t>
  </si>
  <si>
    <t>D4-12-6</t>
  </si>
  <si>
    <t>D4-12-7</t>
  </si>
  <si>
    <t>D4-12-8</t>
  </si>
  <si>
    <t>D4-12-9</t>
  </si>
  <si>
    <t>D4-12-10</t>
  </si>
  <si>
    <t>合同编号</t>
  </si>
  <si>
    <t>交易对方名称</t>
  </si>
  <si>
    <t>合同签订日期</t>
  </si>
  <si>
    <t>服务内容/提供产品名称</t>
  </si>
  <si>
    <t>合同金额</t>
  </si>
  <si>
    <t>交货时间/服务期间</t>
  </si>
  <si>
    <t>交货方式/提供服务方式</t>
  </si>
  <si>
    <t>结算方式</t>
  </si>
  <si>
    <t>结算时间</t>
  </si>
  <si>
    <t>质量保证条款</t>
  </si>
  <si>
    <t>销售退回条款</t>
  </si>
  <si>
    <t>违约条款</t>
  </si>
  <si>
    <r>
      <rPr>
        <sz val="10"/>
        <rFont val="宋体"/>
        <charset val="134"/>
      </rPr>
      <t>特殊约定</t>
    </r>
    <r>
      <rPr>
        <sz val="10"/>
        <color rgb="FFFF0000"/>
        <rFont val="宋体"/>
        <charset val="134"/>
      </rPr>
      <t>（如信用期、运输方式、结算方式、合同模板不同于惯例，或质保、退换货条款等与同行业公司不同，等等）</t>
    </r>
  </si>
  <si>
    <t>订立双方是否签字</t>
  </si>
  <si>
    <t>订立双方是否盖章</t>
  </si>
  <si>
    <t>时段法/时点法</t>
  </si>
  <si>
    <t>验收条款</t>
  </si>
  <si>
    <t>收入确认时间</t>
  </si>
  <si>
    <t>表明控制权转移的单据名称</t>
  </si>
  <si>
    <r>
      <rPr>
        <sz val="10"/>
        <rFont val="宋体"/>
        <charset val="134"/>
      </rPr>
      <t>是否涉及特定交易（</t>
    </r>
    <r>
      <rPr>
        <sz val="10"/>
        <color rgb="FFFF0000"/>
        <rFont val="宋体"/>
        <charset val="134"/>
      </rPr>
      <t>附有质量保证条款的销售\附有销售退回条款的销售\主要责任人和代理人\售后回购交易\分期收款销售\寄售商品\以旧换新\授予知识产权，客户未行使的权利等</t>
    </r>
    <r>
      <rPr>
        <sz val="10"/>
        <rFont val="宋体"/>
        <charset val="134"/>
      </rPr>
      <t>）以及相关说明</t>
    </r>
  </si>
  <si>
    <r>
      <rPr>
        <sz val="10"/>
        <rFont val="宋体"/>
        <charset val="134"/>
      </rPr>
      <t>结论</t>
    </r>
    <r>
      <rPr>
        <sz val="10"/>
        <color rgb="FFFF0000"/>
        <rFont val="宋体"/>
        <charset val="134"/>
      </rPr>
      <t>（关注合同条款是否符合行业惯例、不同期间和不同客户是否保持一致）</t>
    </r>
  </si>
  <si>
    <t>提示1：表明销售合同异常举例如下：</t>
  </si>
  <si>
    <t>（1）销售合同未签字盖章，或者销售合同上加盖的公章并不属于合同所指定的客户。</t>
  </si>
  <si>
    <t>（2）销售合同中重要条款（例如，交货地点、付款条件）缺失或含糊。</t>
  </si>
  <si>
    <t>（3）销售合同中部分条款或条件不同于被审计单位的标准销售合同，或过于复杂。</t>
  </si>
  <si>
    <t>（4）销售合同或发运单上的日期被更改。</t>
  </si>
  <si>
    <t>提示2：根据《中国注册会计师审计准则问题解答第18号——识别和应对第三方配合实施财务舞弊》，项目组在合同检查时，除关注被审计单位舞弊还应关注是否存在第三方配合舞弊迹象，包括不限于：</t>
  </si>
  <si>
    <t>（1）第三方配合被审计单位签订购销合同。被审计单位通过“真”合同，假交易，虚构收入。</t>
  </si>
  <si>
    <t>（2）第三方配合被审计单位隐瞒相关合同条款或“抽屉”协议，如退货条款、价格保护机制、不满足收入确认条件的售后回购或售后回租条款等，被审计单位在不满足收入确认条件的情况下确认收入或多计收入。</t>
  </si>
  <si>
    <t>（3）在第三方配合下，进行显失公允的交易。例如，以明显高于其他客户的价格向第三方销售商品。再如，与同一客户或同受一方控制的多个客户在各期发生多次交易，在客户配合下，通过调节各次交易的商品销售价格，调节各期销售收入金额。</t>
  </si>
  <si>
    <t>（4）在第三方配合下，构建不具有商业实质的贸易业务，并确认收入。</t>
  </si>
  <si>
    <t>（5）对于属于在某一时段内履约并采用产出法确定履约进度的销售交易，第三方配合被审计单位高估履约进度实现当期多确认收入。</t>
  </si>
  <si>
    <t>（6）交易价格、交易方式或合同条款明显不同于被审计单位与其他方的交易。</t>
  </si>
  <si>
    <t>（7）第三方拒绝确认注册会计师要求其确认的某些事项。例如，注册会计师要求被审计单位客户确认不存在除销售合同之外的“抽屉协议”，该客户拒绝确认。</t>
  </si>
  <si>
    <t>提示3：项目组在检查合同时，应判断是否符合企业会计准则合同成立条件以及其他相关规定，包括不限于：</t>
  </si>
  <si>
    <t>（1）分业务类型选取重要合同样本，分析合同是否成立（同时满足合同成立的五项条件）。</t>
  </si>
  <si>
    <t>（2）判断被审计单位对合同所包含的各单项履约义务（客户能够从该商品本身或从该商品与其他易于获得资源一起使用中受益；企业向客户转让该商品的承诺与合同中其他承诺可单独区分）的评估是否恰当。</t>
  </si>
  <si>
    <t>（3）合同中包含两项或多项履约义务的，测试交易价格的分摊是否正确。考虑单独售价的估计方法、合同折扣的分摊、可变对价后续变动额的分摊是否合理。</t>
  </si>
  <si>
    <t>（4）对于被审计单位与同一客户（或该客户的关联方）同时订立或在相近时间内先后订立的两份或多份合同，分析会计处理是否正确。</t>
  </si>
  <si>
    <t>（5）确定对原始合同的修改以及增加均有签字确认，分析合同变更的会计处理是否正确。</t>
  </si>
  <si>
    <t>提示4：五步法分析、主要责任人和代理人、知识产权等可参考&lt;营业收入五步法、主要责任人代理人、知识产权分析参考示例&gt;。</t>
  </si>
  <si>
    <t>营业收入账面金额与ERP系统核对记录</t>
  </si>
  <si>
    <t>营业收入发生检查表</t>
  </si>
  <si>
    <t>营业收入完整性检查表</t>
  </si>
  <si>
    <t>D4-15</t>
  </si>
  <si>
    <t>出口收入电子口岸系统核对</t>
  </si>
  <si>
    <t>D4-16</t>
  </si>
  <si>
    <t>营业收入截止测试（账到单据）</t>
  </si>
  <si>
    <t>D4-17</t>
  </si>
  <si>
    <t>营业收入截止测试（单据到账）</t>
  </si>
  <si>
    <t>D4-18</t>
  </si>
  <si>
    <t>销售折扣与折让检查</t>
  </si>
  <si>
    <t>销售退货检查</t>
  </si>
  <si>
    <t>一、核对过程</t>
  </si>
  <si>
    <t>二、核对结论</t>
  </si>
  <si>
    <t>提示：对于互联网等业务数据量大的被审计单位，应结合IT审计完成核对。</t>
  </si>
  <si>
    <t>1.利润表中记录的营业收入已发生，且与被审计单位有关；2.与营业收入有关的金额及其他数据已恰当记录，相关披露已得到恰当计量和描述；3.与营业收入有关的交易和事项已记录于正确的会计期间。</t>
  </si>
  <si>
    <t>二、样本选取标准与规模：</t>
  </si>
  <si>
    <t>测试总体：</t>
  </si>
  <si>
    <t>如营业收入所有销售记账凭证共XX笔金额XX、贷方发生额所有凭证共XX笔金额XX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</si>
  <si>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</si>
  <si>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</si>
  <si>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</si>
  <si>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</si>
  <si>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</si>
  <si>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</si>
  <si>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</si>
  <si>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</si>
  <si>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随机选样/系统选样/货币单元抽样/随意选样（非统计抽样适用）</t>
  </si>
  <si>
    <t>抽样过程：</t>
  </si>
  <si>
    <t>使用IDEA（XX抽样工具）选择XX数量、金额XX的样本进行测试，抽样工具中的样本选择过程和结果见&lt;XX&gt;底稿</t>
  </si>
  <si>
    <t>三、测试：</t>
  </si>
  <si>
    <t>检查内容说明：1.核对合同、出库单、物流单、验收单等品名、规格一致、数量、单价、金额一致；2.核对验收单等控制权转移日期是否与记账相符，是否确认至恰当期间；</t>
  </si>
  <si>
    <t>3.核对签收单签收人或盖章信息是否存在异常；4.核对运输地址是否与客户合同记录发货地址一致，是否存在异常；5.……</t>
  </si>
  <si>
    <t>记账凭证</t>
  </si>
  <si>
    <t>销售合同/销售订单</t>
  </si>
  <si>
    <t>出库单</t>
  </si>
  <si>
    <t>仓库保管员</t>
  </si>
  <si>
    <t>发货审批人</t>
  </si>
  <si>
    <t>运输单</t>
  </si>
  <si>
    <t>签收单</t>
  </si>
  <si>
    <t>发票</t>
  </si>
  <si>
    <t>其他支持性文件或说明</t>
  </si>
  <si>
    <t>是否异常</t>
  </si>
  <si>
    <t>日期</t>
  </si>
  <si>
    <t>编号</t>
  </si>
  <si>
    <t>品名</t>
  </si>
  <si>
    <t>合同号/订单号</t>
  </si>
  <si>
    <t>运输数量</t>
  </si>
  <si>
    <t>运输公司</t>
  </si>
  <si>
    <t>运输地址</t>
  </si>
  <si>
    <t>签收人</t>
  </si>
  <si>
    <t>盖章类型</t>
  </si>
  <si>
    <t>盖章单位</t>
  </si>
  <si>
    <t>检查比例</t>
  </si>
  <si>
    <t>四、审计说明：</t>
  </si>
  <si>
    <t>1.如果检查比例较低应扩大检查样本量或说明原因</t>
  </si>
  <si>
    <t>五、审计结论：</t>
  </si>
  <si>
    <t>提示1：项目组应根据被审计单位业务特点确定应检查的收入确认依据以及检查要点，例如出口收入确认依据一般还包括报关单、提单等，工程施工收入确认依据一般包括进度审核单、竣工验收报告等。必要时，还应记录不同证据时间逻辑一致性检查。</t>
  </si>
  <si>
    <t>提示2：根据《中国注册会计师审计准则问题解答第18号——识别和应对第三方配合实施财务舞弊》，项目组在检查收入发生时关注第三方配合虚假销售交易涉及的存货实物、交易单证票据和资金流转；例如，在虚假收入交易中的资金流转过程可能如下：</t>
  </si>
  <si>
    <t>（1）被审计单位通过虚假交易或虚增交易金额套取自有资金，或者为关联方违规提供担保、由该关联方取得金融机构借款，或者由关联方提供资金（参见《中国注册会计师审计准则问题解答第4号——收入确认》）。</t>
  </si>
  <si>
    <t>（2）虚假交易对手或关联方将资金支付给被审计单位“客户”；为增加隐蔽性，也可能先将资金支付给“过桥”方，再由“过桥”方支付给“客户”。</t>
  </si>
  <si>
    <t>（3）“客户”向被审计单位支付货款，形成虚假销售交易的资金闭环。</t>
  </si>
  <si>
    <t>所有应当记录的营业收入均已记录，所有应当包括在财务报表中的相关披露均已包括。</t>
  </si>
  <si>
    <t>1.在报告期内选择一个重要时期，测试收入确认依据的资料文件（如发货单、验收单等）</t>
  </si>
  <si>
    <t>2.选择大的或者异常的项目进行测试（如果收入完整性评估为高风险，则应当采用抽样的方式）。</t>
  </si>
  <si>
    <t>3.检查每个所选项目的单证，并追查到交易记录（如，销售日记账）。</t>
  </si>
  <si>
    <t>发货单</t>
  </si>
  <si>
    <t>所载信息是否一致√(X)</t>
  </si>
  <si>
    <t>出口收入电子口岸系统检查</t>
  </si>
  <si>
    <t>1.利润表中记录的营业收入已发生，且与被审计单位有关；2.与营业收入有关的金额及其他数据已恰当记录，相关披露已得到恰当计量和描述；</t>
  </si>
  <si>
    <t>3.与营业收入有关的交易和事项已记录于正确的会计期间。</t>
  </si>
  <si>
    <t>二、审计过程：</t>
  </si>
  <si>
    <t>账面出口收入金额</t>
  </si>
  <si>
    <t>电子口岸系统</t>
  </si>
  <si>
    <t>免抵退税申报数据</t>
  </si>
  <si>
    <t>期间</t>
  </si>
  <si>
    <t>结关金额</t>
  </si>
  <si>
    <t>差异</t>
  </si>
  <si>
    <t>原因</t>
  </si>
  <si>
    <t>申报外销收入</t>
  </si>
  <si>
    <t>确认与营业收入有关事项已记录于正确的会计期间。</t>
  </si>
  <si>
    <t>1.获取报表日前（______）天、后（______）天，且金额大于______元收入记账凭证与发货单（或验收单、出库单等）核对确认收入是否记入了恰当的期间；</t>
  </si>
  <si>
    <t>提示：如果存在跨期舞弊风险或者所检查样本中发现有跨期的，应扩大测试期间和样本，甚至可以考虑将截止测试期间延长至审计报告日。同时考虑是否存在内控缺陷。</t>
  </si>
  <si>
    <t>是否跨期</t>
  </si>
  <si>
    <t>√（×）</t>
  </si>
  <si>
    <r>
      <rPr>
        <b/>
        <sz val="10"/>
        <rFont val="宋体"/>
        <charset val="134"/>
      </rPr>
      <t>截止日期：</t>
    </r>
    <r>
      <rPr>
        <b/>
        <sz val="10"/>
        <rFont val="Arial Narrow"/>
        <charset val="134"/>
      </rPr>
      <t>202X</t>
    </r>
    <r>
      <rPr>
        <b/>
        <sz val="10"/>
        <rFont val="宋体"/>
        <charset val="134"/>
      </rPr>
      <t>年</t>
    </r>
    <r>
      <rPr>
        <b/>
        <sz val="10"/>
        <rFont val="Arial Narrow"/>
        <charset val="134"/>
      </rPr>
      <t>12</t>
    </r>
    <r>
      <rPr>
        <b/>
        <sz val="10"/>
        <rFont val="宋体"/>
        <charset val="134"/>
      </rPr>
      <t>月</t>
    </r>
    <r>
      <rPr>
        <b/>
        <sz val="10"/>
        <rFont val="Arial Narrow"/>
        <charset val="134"/>
      </rPr>
      <t>31</t>
    </r>
    <r>
      <rPr>
        <b/>
        <sz val="10"/>
        <rFont val="宋体"/>
        <charset val="134"/>
      </rPr>
      <t>日</t>
    </r>
  </si>
  <si>
    <t>提示1：本表适用于对“以发货单为确认收入时点”的被审计单位的截止测试，项目组在使用模板时，请根据企业的收入确认政策修改或调整。</t>
  </si>
  <si>
    <t>提示2：如果存在跨期舞弊风险或者所检查样本中发现有跨期的，应扩大测试期间和样本，考虑将截止测试期间延长至审计报告日。同时考虑是否存在内控缺陷。</t>
  </si>
  <si>
    <t>1.获取报表日前（______）天、后（______）天，且金额大于______元发货单（或验收单、出库单等）与收入记账凭证核对确认收入是否记入了恰当的期间；</t>
  </si>
  <si>
    <t>页 次：</t>
  </si>
  <si>
    <t>与营业收入有关的金额及其他数据已恰当记录，相关披露已得到恰当计量和描述。</t>
  </si>
  <si>
    <t>1.取得被审计单位经授权批准的有关折扣与折让的规定和文件资料，检查发生的折扣或折让是否符合相关规定并经授权批准。</t>
  </si>
  <si>
    <t>折扣或折让类型</t>
  </si>
  <si>
    <t>收入金额</t>
  </si>
  <si>
    <t>折扣或折让金额</t>
  </si>
  <si>
    <t>折扣或折让比例</t>
  </si>
  <si>
    <t>折扣或折让
原因</t>
  </si>
  <si>
    <t>审批单</t>
  </si>
  <si>
    <t>会计科目</t>
  </si>
  <si>
    <t>明细科目</t>
  </si>
  <si>
    <t>借方金额</t>
  </si>
  <si>
    <t>贷方金额</t>
  </si>
  <si>
    <t>审批人</t>
  </si>
  <si>
    <t>价格折扣</t>
  </si>
  <si>
    <t>现金折扣</t>
  </si>
  <si>
    <t>实物返利</t>
  </si>
  <si>
    <t>销售折让</t>
  </si>
  <si>
    <t>提示：企业应当基于返利的形式和合同条款的约定，考虑相关条款安排是否会导致企业未来需要向客户提供可明确区分的商品或服务，在此基础上判断相关返利属于可变对价还是提供给客户的重大权利。一般而言，对基于客户采购情况等给予的现金返利，企业应当按照可变对价原则进行会计处理；对基于客户一定采购数量的实物返利或仅适用于未来采购的价格折扣，企业应当按照附有额外购买选择权的销售进行会计处理，评估该返利是否构成一项重大权利，以确定是否将其作为单项履约义务并分摊交易对价。《监管规则适用指引—会计类第2号》</t>
  </si>
  <si>
    <t>销售退货检查表</t>
  </si>
  <si>
    <t>一、审计目标:</t>
  </si>
  <si>
    <t>1.产品退货政策</t>
  </si>
  <si>
    <t>2.退货总体情况</t>
  </si>
  <si>
    <t>本期退货金额   元，占本期销售收入的  %。按照客户类别/客户性质/产品类别分类统计如下：</t>
  </si>
  <si>
    <t>分类</t>
  </si>
  <si>
    <t>本年度</t>
  </si>
  <si>
    <t>上年度</t>
  </si>
  <si>
    <t>退货金额</t>
  </si>
  <si>
    <t>比例</t>
  </si>
  <si>
    <t>贸易商</t>
  </si>
  <si>
    <t>终端用户</t>
  </si>
  <si>
    <t>3.评估产品退货计提比例是否合理</t>
  </si>
  <si>
    <t>（1)历史退货情况</t>
  </si>
  <si>
    <t>（2）……</t>
  </si>
  <si>
    <t>4.重新测算产品退货金额</t>
  </si>
  <si>
    <t>计提基数</t>
  </si>
  <si>
    <t>计提比例</t>
  </si>
  <si>
    <t>应计提金额</t>
  </si>
  <si>
    <t>账面已计提金额</t>
  </si>
  <si>
    <t>差异金额</t>
  </si>
  <si>
    <t>5.检查本期产品退货情况</t>
  </si>
  <si>
    <t>退货单</t>
  </si>
  <si>
    <t>是否涉及诉讼</t>
  </si>
  <si>
    <t>业务内容</t>
  </si>
  <si>
    <t>二级明细</t>
  </si>
  <si>
    <t>退货数量</t>
  </si>
  <si>
    <t>退货原因</t>
  </si>
  <si>
    <t>6.检查期后产品退货情况</t>
  </si>
  <si>
    <t>检查内容说明：</t>
  </si>
  <si>
    <t>（1）销售退回的原因及合理性判断：</t>
  </si>
  <si>
    <t>（2）销售退回审批手续是否完备；</t>
  </si>
  <si>
    <t>（3）相应的主营业务成本是否结转；</t>
  </si>
  <si>
    <t>（4）退货会计处理是否正确；</t>
  </si>
  <si>
    <t>（5）是否涉及跨期；</t>
  </si>
  <si>
    <t>关联方销售收入情况及价格公允性分析</t>
  </si>
  <si>
    <t>1.利润表中记录的营业收入已发生，且与被审计单位有关，已记录于恰当的账户。2.所有应当记录的营业收入均已记录，所有应当包括在财务报表中的相关披露均已包括。</t>
  </si>
  <si>
    <t>1.调查及标明向关联方销售的情况及，记录其交易品种、价格、数量、金额和比例，并记录占总销售收入的比例。</t>
  </si>
  <si>
    <t>2.确定已取得关联方交易披露数据及确定跟关联交易工作底稿相符。</t>
  </si>
  <si>
    <t>3.获取关联方交易定价政策，检查定价公允性。</t>
  </si>
  <si>
    <t>4.比较关联方交易主要产品价格与同类产品非关联方销售平均单价、可比公允价值的差异，分析合理性。</t>
  </si>
  <si>
    <t>5.……</t>
  </si>
  <si>
    <t>202X年：</t>
  </si>
  <si>
    <t>关联方客户名称</t>
  </si>
  <si>
    <t>关联关系</t>
  </si>
  <si>
    <t>销售额</t>
  </si>
  <si>
    <t>销售额占同类产品销售额比例</t>
  </si>
  <si>
    <t>非关联方销售平均单价</t>
  </si>
  <si>
    <t>差异率</t>
  </si>
  <si>
    <t>可比公允价格</t>
  </si>
  <si>
    <t>上年度销售额占同类产品销售额比例</t>
  </si>
  <si>
    <t>上年度销售平均单价</t>
  </si>
  <si>
    <t>勿删、勿改</t>
  </si>
  <si>
    <t>实际控制人</t>
  </si>
  <si>
    <t>控股股东</t>
  </si>
  <si>
    <t>控股股东、实际控制人的附属企业</t>
  </si>
  <si>
    <t>持有5%以上股份的法人或其他组织</t>
  </si>
  <si>
    <t>联营企业</t>
  </si>
  <si>
    <t>合营企业</t>
  </si>
  <si>
    <t>董高监等关键管理人员</t>
  </si>
  <si>
    <t>其他关联方</t>
  </si>
  <si>
    <t>D4-22</t>
  </si>
  <si>
    <t>收入与开具发票金额比较分析</t>
  </si>
  <si>
    <t>D4-23</t>
  </si>
  <si>
    <t>第三方回款检查</t>
  </si>
  <si>
    <t>D4-24</t>
  </si>
  <si>
    <t>经销商检查</t>
  </si>
  <si>
    <t>D4-25</t>
  </si>
  <si>
    <t>境外销售收入检查</t>
  </si>
  <si>
    <t>D4-26</t>
  </si>
  <si>
    <t>函证结果汇总表</t>
  </si>
  <si>
    <t>D0-1</t>
  </si>
  <si>
    <t>核实被函证单位信息</t>
  </si>
  <si>
    <t>D0-2</t>
  </si>
  <si>
    <t>跟函函证过程控制</t>
  </si>
  <si>
    <t>D0-3</t>
  </si>
  <si>
    <t>函证差异调节表</t>
  </si>
  <si>
    <t>D0-4</t>
  </si>
  <si>
    <t>合同负债及销售替代程序检查表</t>
  </si>
  <si>
    <t>D0-5</t>
  </si>
  <si>
    <t>应收及销售替代程序检查表</t>
  </si>
  <si>
    <t>D0-6</t>
  </si>
  <si>
    <t>邮件传真回函可靠性验证</t>
  </si>
  <si>
    <t>D0-7</t>
  </si>
  <si>
    <t>函证程序舞弊风险评价表</t>
  </si>
  <si>
    <t>D0-8</t>
  </si>
  <si>
    <t>识别未披露关联方</t>
  </si>
  <si>
    <t>D4-27</t>
  </si>
  <si>
    <t>客户信息核查清单</t>
  </si>
  <si>
    <t>D4-28</t>
  </si>
  <si>
    <t>客户信息检查表</t>
  </si>
  <si>
    <t>D4-29</t>
  </si>
  <si>
    <t>客户访谈记录汇总表</t>
  </si>
  <si>
    <t>D4-30</t>
  </si>
  <si>
    <t>客户访谈记录</t>
  </si>
  <si>
    <t>D4-31</t>
  </si>
  <si>
    <t>客户、供应商等资金流水检查</t>
  </si>
  <si>
    <t>D4-32</t>
  </si>
  <si>
    <t>二、审计目标和财务报表的认定</t>
  </si>
  <si>
    <t>财务报表的认定　</t>
  </si>
  <si>
    <t>对于通过电子方式自动生成、处理、记录的销售交易,必要时，考虑利用信息系统审计专家的工作。</t>
  </si>
  <si>
    <t>应对措施-实质性分析</t>
  </si>
  <si>
    <t>分析性程序：
（1）结合被审计单位业务特点和其主要客户基本经营信息，分析其客户购买力、结构变化和销售波动情况，是否存在客户异常采购的情况；与其客户信息披露核对（如适用）。
（2）结合存货底稿分析销售收入等财务信息与投入产出率、劳动生产率、产能、水电能耗、运输数量等非财务信息之间的关系。
（3）获取年度预算资料，比较收入金额与年度预算是否存在重大差异，如果发现被审计单位的收入增长幅度明显高于管理层的预期，可以询问管理层的适当人员，并考虑管理层的答复是否与其他审计证据一致。例如，如果管理层表示收入增长是由于销售量增加所致，可以调查与市场需求相关的情况。
（4）将销售收入变动幅度与销售商品及提供劳务收到的现金、应收账款/合同资产、存货、税金等项目的变动幅度进行比较，分析具体原因。
（5）将人均创收金额等指标与同行业及行业领军企业比较是否存在异常，如果被审计单位人均创收超过行业领军企业，应保持警觉，考虑获取的审计证据是否能够支持。
（6）了解期末在手订单情况，分析销售与采购是否配比，以及重要客户大量采购的原因、最终销售情况、终端客户同经销商地域的匹配性。
（7）分析销售收入与销售费用之间的关系，包括销售人员的人均业绩指标、销售人员薪酬、广告费、差旅费，以及销售机构的设置、规模、数量、分布等。
（8）根据增值税发票申报表或普通发票，估算全年收入，与实际收入金额比较。</t>
  </si>
  <si>
    <t>F2-63
/D4-22
/D4-23</t>
  </si>
  <si>
    <t>应对措施-检查</t>
  </si>
  <si>
    <t>对重要客户的货款回收进行检查,关注是否存在第三方回款情况,例如通过第三方账户，包括员工账户和其他个人账户回款，通过保理公司回款的情况。如果存在第三方回款，应获取并检查第三方代付协议，分析第三方回款的必要性和合理性。检查第三方与被审计单位及客户之间是否存在关联关系。必要时，向第三方函证。</t>
  </si>
  <si>
    <t>如果被审计单位采用经销商的销售模式，需要关注：
（1）检查被审计单位与经销商之间的协议或合同以及实际执行情况，确定与经销商是否为委托代理的关系，对经销商销售收入确认时点是否符合企业会计准则的规定；
（2）关注主要的经销商与被审计单位之间是否存在关联方关系，检查出库单、货运单、商品验收单等相关支持性凭证，以确定是否满足收入确认的条件；
（3）关注经销商布局的合理性、被审计单位频繁发生经销商加入和退出的情况，以及被审计单位对不稳定经销商的收入确认是否适当、退换货损失的处理是否适当、经销商最终销售情况等；
（4）对经销商为委托代理销售的模式，检查被审计单位收入确认是否有代理商的销售清单、货物最终销售证明等支持性凭据。</t>
  </si>
  <si>
    <r>
      <rPr>
        <sz val="10"/>
        <rFont val="Arial Narrow"/>
        <charset val="134"/>
      </rPr>
      <t xml:space="preserve">D4-14
/D4-25
</t>
    </r>
    <r>
      <rPr>
        <sz val="10"/>
        <color rgb="FFFF0000"/>
        <rFont val="Arial Narrow"/>
        <charset val="134"/>
      </rPr>
      <t>/D4-</t>
    </r>
  </si>
  <si>
    <t>对境外销售收入，检查向主要国家和地区销售的金额、境外收入占比、结算模式等，不同贸易模式下的收入确认是否符合企业会计准则的规定，关注是否存在第三方回款、是否执行了核查、函证、现场走访等程序。</t>
  </si>
  <si>
    <t>如果应收账款、合同资产增长比例高于销售收入的增长比例，考虑扩大函证比例、增加截止测试和期后收款测试的比例、使用与前期不同的抽样方法、实地走访客户等。</t>
  </si>
  <si>
    <t xml:space="preserve">
对比历年主要客户清单，找出报告期新增的主要客户、原有主要客户交易额大幅减少或合作关系取消的情况，重点关注变化原因。关注会计期末是否存在突击确认销售以及期后是否存在大量销售退回的情况
</t>
  </si>
  <si>
    <t xml:space="preserve">应对措施-函证 </t>
  </si>
  <si>
    <t>结合应收账款审计，选择主要客户、异常客户收入等执行函证程序。</t>
  </si>
  <si>
    <t>D4-0</t>
  </si>
  <si>
    <t>向被审计单位的客户函证相关的特定合同条款以及是否存在背后协议。相关的会计处理是否适当，往往会受到这些合同条款或协议的影响。例如，商品接受标准、交货与付款条件、不承担期后或持续性的卖方义务、退货权、保证转售金额以及撤销或退款等条款在此种情形下通常是相关的。</t>
  </si>
  <si>
    <t>如果被审计单位存在特殊交易模式或创新交易模式，分析其对交易经济实质和收入确认的影响。</t>
  </si>
  <si>
    <r>
      <rPr>
        <sz val="10"/>
        <rFont val="宋体"/>
        <charset val="134"/>
      </rPr>
      <t>常规程序（选择“存在超过被审计单位正常经营范围的交易”）</t>
    </r>
    <r>
      <rPr>
        <sz val="10"/>
        <rFont val="Arial Narrow"/>
        <charset val="134"/>
      </rPr>
      <t xml:space="preserve">  </t>
    </r>
  </si>
  <si>
    <t>考虑大额或异常的交易是否表明存在一个先前没有披露的关联方：
（1）查询客户工商、银行、税务信息资料，关注其地址、董事/监事/关键管理人员、联系方式等信息，并与其相关发票信息、网站信息进行核对，识别客户是否存在与被审计单位存在疑似关联关系的信息；
（2）选取重要客户，获取关联方关系确认函；
（3）取得实际控制人、董高监及其密切家庭人员的对外投资清单，与重要客户的股东和关键经办人员进行比对，关注与发行人实际控制人、董事、监事、高级管理人员关系密切的家庭成员与发行人的客户是否存在关联方关系；
（4）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
（5）获取发行人主要股东、董事、监事、关键管理人员及上述利益相关方的确认函，确认除其本人在被审计单位领取薪酬或分得股利外，其本人及其关系密切的家庭成员未与被审计单位有任何形式的交易。</t>
  </si>
  <si>
    <r>
      <rPr>
        <sz val="10"/>
        <rFont val="Arial Narrow"/>
        <charset val="134"/>
      </rPr>
      <t>D4-27
/D4-29</t>
    </r>
    <r>
      <rPr>
        <sz val="10"/>
        <color rgb="FFFF0000"/>
        <rFont val="Arial Narrow"/>
        <charset val="134"/>
      </rPr>
      <t xml:space="preserve">
/D4-</t>
    </r>
  </si>
  <si>
    <t>如果存在被审计单位关联方注销及非关联化的情况，需要关注被审计单位将原关联方非关联化行为的动机及后续交易的真实性、公允性。</t>
  </si>
  <si>
    <t>结合出库单及销售费用中的运输费等明细，检查货物运输单和提单，必要时向运输单位进行函证或走访，关注货物的流动是否真实发生，从而确定交易的真实性。</t>
  </si>
  <si>
    <t>期末在被审计单位的一处或多处发货现场实地观察发货情况或准备发出的商品情况（或待处理的退货），并结合所了解的情况实施适当的销售及存货截止测试。</t>
  </si>
  <si>
    <t>关注临近期末的大额销售、退货、调整等情况：
（1）向被审计单位负责销售和市场开发的人员询问临近期末的销售或发货情况，向被审计单位内部法律顾问询问临近期末签订的销售合同是否存在异常的合同条款或条件；
（2）检查临近期末执行的重要销售合同，以发现是否存在异常的定价、结算、发货、退货、换货或验收条款。对期后实施特定的检查，以发现是否存在改变或撤销合同条款的情况，以及是否存在退款的情况；
（3）详细复核被审计单位在临近期末以及期后编制的调整分录，调查性质或金额异常的项目。</t>
  </si>
  <si>
    <t>结合存货、固定资产、无形资产循环审计，分析客户、供应商名单以及应收、应付等往来明细，检查是否针对同一对方单位或存在关联关系的对方单位同时存在销售、采购的情况，是否有合理的商业理由，关注是否存在第三方配合舞弊的情形。</t>
  </si>
  <si>
    <t xml:space="preserve">应对措施-检查（检查程序中选择是否执行延伸检查）  </t>
  </si>
  <si>
    <t>如果识别出被审计单位收入真实性存在重大异常情况，且通过常规审计程序无法获取充分、适当的审计证据时，考虑实施“延伸检查”程序，可以实施的“延伸检查”程序包括不限于：
（1）利用企业信息查询工具查询公司注册资本、地址、成立时间、经营范围、法定代表人、股东、最终控制人等，了解公司经营范围，判断客户所购产品是否具有合理用途、是否存在关联关系、向客户销售金额是否与客户规模匹配等。
（2）现场走访客户的办公场所、经营场所，访谈客户关键经办人员，或电话访谈关键经办人员。核实被访谈对象对象身份的真实性和适当性，根据实际情况设计访谈计划和访谈提纲，观察对方生产经营情况，判断其与被审计单位之间的交易规模是否和其生产经营规模匹配；
（3）了解相关客户向被审计单位进行采购的商业理由、采购被审计单位商品的用途和去向、是否存在销售给被审计单位指定单位的情况、客户与被审计单位是否存在除购销交易以外的资金往来、了解客户从被审计单位采购的商品的生产、库存情况等，必要时进行实地察看。
（4）在采用经销模式的情况下，关注经销商库存量是否存在明显不合理，检查经销商进销存记录、经销商的最终销售实现情况。
（5）当注意到可能存在关联方（例如被审计单位控股股东、实际控制人、关键管理人员）或者第三方客户配合被审计单位虚构收入的迹象时，考虑获取并检查相关关联方或者客户的银行账户资金流水，关注是否存在与被审计单位相关供应商、客户或关联方的异常资金往来；考虑获取其下游客户的订单、对其下游客户进行实地走访等。</t>
  </si>
  <si>
    <r>
      <rPr>
        <b/>
        <sz val="10"/>
        <color rgb="FF000000"/>
        <rFont val="宋体"/>
        <charset val="134"/>
      </rPr>
      <t>√</t>
    </r>
  </si>
  <si>
    <r>
      <rPr>
        <sz val="10"/>
        <color rgb="FF000000"/>
        <rFont val="宋体"/>
        <charset val="134"/>
      </rPr>
      <t>√</t>
    </r>
  </si>
  <si>
    <t>D4-28
/D4-29
/D4-30
/D4-31
/D4-32</t>
  </si>
  <si>
    <r>
      <rPr>
        <sz val="10"/>
        <color rgb="FF000000"/>
        <rFont val="宋体"/>
        <charset val="134"/>
      </rPr>
      <t>根据评估的舞弊风险等因素增加的审计程序。</t>
    </r>
  </si>
  <si>
    <t>提示：注册会计师在判断是否需要实施“延伸检查”程序及如何实施时，应当根据审计准则的规定，并考虑有经验的专业人士在该场景下通常会作出的合理职业判断。《中国注册会计师审计准则第 1131 号——审计工作底稿》对“有经验的专业人士”进行了定义。此外，实施“延伸检查”程序的可行性和效果受诸多因素影响，注册会计师设计的具体“延伸检查”程序的性质、时间安排和范围，应当针对被审计单位的具体况，与评估的舞弊风险相称，并体现重要性原则。例如，被审计单位所处行业的下游产业链较长，如果对下游产业链的某个或某几个环节实施“延伸检查”程序获取的审计证据，可以应对与收入确认相关的舞弊风险，则“延伸检查”程序无需覆盖所有环节。再者，相对于常规年度财务报表审计而言，在首次公开发行股票并上市审计（IPO 审计）中，由于存在监管要求和相关方的配合，注册会计师实施“延伸检查”程序通常相对可行。</t>
  </si>
  <si>
    <t>主营业务收入重要指标分析表</t>
  </si>
  <si>
    <t>1.利润表中记录的主营业务收入已发生，且与被审计单位有关；2.所有应当记录的营业收入均已记录；</t>
  </si>
  <si>
    <t>3.与主营业务收入有关的金额及其他数据已恰当记录，相关披露已得到恰当计量和描述。</t>
  </si>
  <si>
    <t>1.向被审计单位询问，并获取年度预算、业绩考核指标等资料。</t>
  </si>
  <si>
    <t>同行业公司1</t>
  </si>
  <si>
    <t>同行业公司2</t>
  </si>
  <si>
    <t>同行业公司3</t>
  </si>
  <si>
    <t>合理性分析</t>
  </si>
  <si>
    <t>年度预算</t>
  </si>
  <si>
    <t>销售人员数量</t>
  </si>
  <si>
    <t>销售人员人均创收</t>
  </si>
  <si>
    <t>销售区域分布是否变化（占比和区域数量等）</t>
  </si>
  <si>
    <t>销售人员业绩指标</t>
  </si>
  <si>
    <t>销售人员薪酬</t>
  </si>
  <si>
    <t>期末在手订单</t>
  </si>
  <si>
    <t>息税前利润（利润总额＋财务费用）</t>
  </si>
  <si>
    <t>薪酬总额（支付给职工以及为职工支付的现金+期末应付职工薪酬-期初应付职工薪酬）</t>
  </si>
  <si>
    <t>人力投入回报率(ROP)</t>
  </si>
  <si>
    <t>运输费用/营业收入</t>
  </si>
  <si>
    <t>本期账面确认收入</t>
  </si>
  <si>
    <t>本期开具发票的金额</t>
  </si>
  <si>
    <t>其他业务收入</t>
  </si>
  <si>
    <t>营业收入合计</t>
  </si>
  <si>
    <t>增值税发票金额</t>
  </si>
  <si>
    <t>防伪税控开具的增值税发票份数</t>
  </si>
  <si>
    <t>普通发票金额</t>
  </si>
  <si>
    <t>开具的普通发票份数</t>
  </si>
  <si>
    <t>申报的开票金额合计</t>
  </si>
  <si>
    <t>1月</t>
  </si>
  <si>
    <t>2月</t>
  </si>
  <si>
    <t>3月</t>
  </si>
  <si>
    <t>4月</t>
  </si>
  <si>
    <t>5月</t>
  </si>
  <si>
    <t>6月</t>
  </si>
  <si>
    <t>7月</t>
  </si>
  <si>
    <t>8月</t>
  </si>
  <si>
    <t>9月</t>
  </si>
  <si>
    <t>10月</t>
  </si>
  <si>
    <t>11月</t>
  </si>
  <si>
    <t>12月</t>
  </si>
  <si>
    <t>1.利润表中记录的营业收入已发生，且与被审计单位有关，已记录于恰当的账户。2.与营业收入有关的金额及其他数据已恰当记录，相关披露已得到恰当计量和描述。</t>
  </si>
  <si>
    <t>1.向被审计单位管理层了解第三方回款原因，获取代付协议，检查第三方回款合理性；</t>
  </si>
  <si>
    <t>2.向第三方回款单位函证；</t>
  </si>
  <si>
    <t>3.关注被审计单位涉及第三方回款的销售的资金流、实物流与合同约定及商业实质是否一致</t>
  </si>
  <si>
    <t>4.核查被审计单位及其实际控制人、董监高或其他关联方与第三方回款的支付方是否存在关联关系或其他利益安排</t>
  </si>
  <si>
    <t>5.对于异常的第三方回款，追查期后资金流向；</t>
  </si>
  <si>
    <t>6.……</t>
  </si>
  <si>
    <t>本年度销售金额</t>
  </si>
  <si>
    <t>期末应收账款余额</t>
  </si>
  <si>
    <t>本年度第三方回款金额</t>
  </si>
  <si>
    <t>第三方回款方名称</t>
  </si>
  <si>
    <t>第三方回款原因</t>
  </si>
  <si>
    <t>第三方回款方与客户关系</t>
  </si>
  <si>
    <t>第三方回款方与被审计单位关系</t>
  </si>
  <si>
    <t>是否有代付协议</t>
  </si>
  <si>
    <t>是否函证</t>
  </si>
  <si>
    <t>1.第三方回函检查明细详见银行流水双向核对表&lt;E1-31&gt;、应收账款检查表&lt;D2-7&gt;</t>
  </si>
  <si>
    <t>1.关注客户基本情况是否同销售规模相匹配；</t>
  </si>
  <si>
    <t>2.记录经销商情况（是否关联方、是否非法人、销售费用承担方式、补贴或返利情况）；</t>
  </si>
  <si>
    <t>经销商</t>
  </si>
  <si>
    <t>本期销售数量</t>
  </si>
  <si>
    <t>本期销售金额</t>
  </si>
  <si>
    <t>占同类交易比例</t>
  </si>
  <si>
    <t>是否关联方</t>
  </si>
  <si>
    <t>个人/企业</t>
  </si>
  <si>
    <t>销售费用承担方式</t>
  </si>
  <si>
    <t>补贴或返利</t>
  </si>
  <si>
    <t>终端销售金额</t>
  </si>
  <si>
    <r>
      <rPr>
        <b/>
        <sz val="10"/>
        <rFont val="宋体"/>
        <charset val="134"/>
      </rPr>
      <t>一、审计目标：</t>
    </r>
  </si>
  <si>
    <t>确定对境外销售业务的真实性和交易实质</t>
  </si>
  <si>
    <r>
      <rPr>
        <b/>
        <sz val="10"/>
        <rFont val="宋体"/>
        <charset val="134"/>
      </rPr>
      <t>二、审计过程：</t>
    </r>
  </si>
  <si>
    <t>1.对主要目的国、主要海外客户以及对应的主要贸易条款、付款方式等进行分析和记录；</t>
  </si>
  <si>
    <t>2.记录已执行的海关查询、函证等程序。</t>
  </si>
  <si>
    <t>所在国家/地区</t>
  </si>
  <si>
    <t>业务模式
（直销客户/经销商）</t>
  </si>
  <si>
    <t>贸易模式
（填EXW/FOB/CIF等）</t>
  </si>
  <si>
    <t>主要贸易条款
（与商品控制权转移时点相关的约定）</t>
  </si>
  <si>
    <t>出口结算模式
（填汇款/托收/信用证/银行保函等）</t>
  </si>
  <si>
    <t>是否存在第三方回款</t>
  </si>
  <si>
    <t>核查程序确认的销售金额</t>
  </si>
  <si>
    <r>
      <rPr>
        <b/>
        <sz val="10"/>
        <color rgb="FF000000"/>
        <rFont val="宋体"/>
        <charset val="134"/>
      </rPr>
      <t>差异</t>
    </r>
  </si>
  <si>
    <t>相关程序索引
（对已执行的程序表中索引号）</t>
  </si>
  <si>
    <t>实地走访</t>
  </si>
  <si>
    <t>交易函证</t>
  </si>
  <si>
    <t>海关函证</t>
  </si>
  <si>
    <t>核对报关单</t>
  </si>
  <si>
    <t>电子口岸数据查询</t>
  </si>
  <si>
    <r>
      <rPr>
        <b/>
        <sz val="10"/>
        <rFont val="宋体"/>
        <charset val="134"/>
      </rPr>
      <t>三、审计说明：</t>
    </r>
  </si>
  <si>
    <t>【记录发现的差异或者其他异常交易安排的迹象，以及所执行的应对措施。】</t>
  </si>
  <si>
    <r>
      <rPr>
        <b/>
        <sz val="10"/>
        <rFont val="宋体"/>
        <charset val="134"/>
      </rPr>
      <t>四、审计结论：</t>
    </r>
  </si>
  <si>
    <t>识别未披露的关联方</t>
  </si>
  <si>
    <t>主要或异常客户是否与被审计单位存在关联方关系。</t>
  </si>
  <si>
    <t>1.选择大额、异常的客户或交易。</t>
  </si>
  <si>
    <t>2.查询客户工商、银行、税务信息资料，关注其地址、董事/监事/关键管理人员、联系方式等信息，并与其相关发票信息、网站信息进行核对，识别客户是否存在与被审计单位存在疑似关联关系的信息。</t>
  </si>
  <si>
    <t>3.选取重要客户，获取关联方关系确认函。</t>
  </si>
  <si>
    <t>4.取得发行人实际控制人、董高监及其密切家庭人员的对外投资清单，与重要客户的股东和关键经办人员进行比对，关注与发行人实际控制人、董事、监事、高级管理人员关系密切的家庭成员与发行人的客户是否存在关联方关系。</t>
  </si>
  <si>
    <t>5.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t>
  </si>
  <si>
    <t>6.获取发行人主要股东、董事、监事、关键管理人员及上述利益相关方的确认函，确认除其本人在被审计单位领取薪酬或分得股利外，其本人及其关系密切的家庭成员未与被审计单位有任何形式的交易。</t>
  </si>
  <si>
    <t>姓名</t>
  </si>
  <si>
    <t>个人客户</t>
  </si>
  <si>
    <t>客户法人</t>
  </si>
  <si>
    <t>合同签订人</t>
  </si>
  <si>
    <t>高管亲属</t>
  </si>
  <si>
    <t>财务部门</t>
  </si>
  <si>
    <t>管理部门</t>
  </si>
  <si>
    <t>技术部门</t>
  </si>
  <si>
    <t>生产部门</t>
  </si>
  <si>
    <t>营销部门</t>
  </si>
  <si>
    <t>…</t>
  </si>
  <si>
    <t>总计</t>
  </si>
  <si>
    <t>客户与公司员工或高管或/和亲属重名（Y/N）</t>
  </si>
  <si>
    <t>公司股东/高管/亲属/员工</t>
  </si>
  <si>
    <t>20XX年度销售额</t>
  </si>
  <si>
    <t>说明</t>
  </si>
  <si>
    <r>
      <rPr>
        <sz val="10"/>
        <color rgb="FFFF0000"/>
        <rFont val="宋体"/>
        <charset val="134"/>
      </rPr>
      <t>陈XX</t>
    </r>
  </si>
  <si>
    <t>Y</t>
  </si>
  <si>
    <r>
      <rPr>
        <sz val="10"/>
        <color rgb="FFFF0000"/>
        <rFont val="宋体"/>
        <charset val="134"/>
      </rPr>
      <t>公司员工</t>
    </r>
  </si>
  <si>
    <r>
      <rPr>
        <sz val="10"/>
        <color rgb="FFFF0000"/>
        <rFont val="宋体"/>
        <charset val="134"/>
      </rPr>
      <t>经销商：AAA公司之法人</t>
    </r>
  </si>
  <si>
    <r>
      <rPr>
        <sz val="10"/>
        <color rgb="FFFF0000"/>
        <rFont val="宋体"/>
        <charset val="134"/>
      </rPr>
      <t>李YY</t>
    </r>
  </si>
  <si>
    <r>
      <rPr>
        <sz val="10"/>
        <color rgb="FFFF0000"/>
        <rFont val="宋体"/>
        <charset val="134"/>
      </rPr>
      <t>公司股东</t>
    </r>
  </si>
  <si>
    <r>
      <rPr>
        <sz val="10"/>
        <color rgb="FFFF0000"/>
        <rFont val="Arial Narrow"/>
        <charset val="134"/>
      </rPr>
      <t>1.</t>
    </r>
    <r>
      <rPr>
        <sz val="10"/>
        <color rgb="FFFF0000"/>
        <rFont val="宋体"/>
        <charset val="134"/>
      </rPr>
      <t>公司的主要股东、高管、股东及高管的家属、公司员工名单见</t>
    </r>
    <r>
      <rPr>
        <sz val="10"/>
        <color rgb="FFFF0000"/>
        <rFont val="Arial Narrow"/>
        <charset val="134"/>
      </rPr>
      <t>&lt;   &gt;</t>
    </r>
    <r>
      <rPr>
        <sz val="10"/>
        <color rgb="FFFF0000"/>
        <rFont val="宋体"/>
        <charset val="134"/>
      </rPr>
      <t>，主要概况：</t>
    </r>
  </si>
  <si>
    <t>XX公司：高管亲属338；之财务部门65；之管理部门323；之技术部门686；之生产部门1344；之营销部门1165；</t>
  </si>
  <si>
    <t>2.客户的法人及关键管理人员概况：</t>
  </si>
  <si>
    <t>个人经销商70；副经销商1874；客户法人1697；客户合同签订人39。</t>
  </si>
  <si>
    <t>3.对比后，有54个姓名存在重复，涉及127人，其中客户60个；涉及2013年销售额约2.1亿元；</t>
  </si>
  <si>
    <t>抽取销售额大于500万的个人客户约11个，涉及27人；涉及2013年销售额约为1.43亿，占2013年总销售额的比例约为67.58%。</t>
  </si>
  <si>
    <t>4.获取27人的身份证复印件；对身份证信息的身份证号码、家庭地址，做交叉对比。</t>
  </si>
  <si>
    <t>核对未发现身份证号码、登记地址有和公司员工重复的现象。</t>
  </si>
  <si>
    <t>未识别出重要客户与公司存在关联方关系。</t>
  </si>
  <si>
    <t>润表中记录的营业收入已发生，且与被审计单位有关，已记录于恰当的账户。</t>
  </si>
  <si>
    <t>1.核查主要客户及交易真实性，包括调查交易对手背景和商业目的等。</t>
  </si>
  <si>
    <t>2.对比历年主要客户清单，找出报告期新增的主要客户、原有主要客户交易额大幅减少或合作关系取消的情况，重点关注变化原因。项目组根据客户集中度和风险情况，抽取报告期各期（___）个客户/项目</t>
  </si>
  <si>
    <t>考虑实施包括查询工商资料、互联网查询、电话访谈关键经办人员、实地走访客户等程序，并编制执行结果汇总表。</t>
  </si>
  <si>
    <t>选取原因</t>
  </si>
  <si>
    <t>占总交易
比重</t>
  </si>
  <si>
    <t>应收账款
期末余额</t>
  </si>
  <si>
    <t>占期末余额比重</t>
  </si>
  <si>
    <t>合同负债
期末余额</t>
  </si>
  <si>
    <t>核查方式（√）</t>
  </si>
  <si>
    <t>工商资料查询</t>
  </si>
  <si>
    <t>互联网信息查询</t>
  </si>
  <si>
    <t>函证</t>
  </si>
  <si>
    <t>视频、电话访谈</t>
  </si>
  <si>
    <t>客户1</t>
  </si>
  <si>
    <t>新增主要客户</t>
  </si>
  <si>
    <t>客户2</t>
  </si>
  <si>
    <t>第一大客户</t>
  </si>
  <si>
    <t>客户1XXX</t>
  </si>
  <si>
    <t>客户2XXX</t>
  </si>
  <si>
    <t>客户3XXX</t>
  </si>
  <si>
    <t>客户4XXX</t>
  </si>
  <si>
    <t>客户5XXX</t>
  </si>
  <si>
    <t>客户6XXX</t>
  </si>
  <si>
    <t>客户7XXX</t>
  </si>
  <si>
    <t>客户8XXX</t>
  </si>
  <si>
    <t>客户9XXX</t>
  </si>
  <si>
    <t>客户10XXX</t>
  </si>
  <si>
    <t>统一社会信用代码</t>
  </si>
  <si>
    <t>注册地址</t>
  </si>
  <si>
    <t>办公地址</t>
  </si>
  <si>
    <t>网站地址</t>
  </si>
  <si>
    <t>网站IP地址</t>
  </si>
  <si>
    <t>企业邮箱</t>
  </si>
  <si>
    <t>成立时间</t>
  </si>
  <si>
    <t>注册资本/实缴资本</t>
  </si>
  <si>
    <t>经营范围</t>
  </si>
  <si>
    <t>人员规模/社保缴纳人数</t>
  </si>
  <si>
    <t>法定代表人</t>
  </si>
  <si>
    <t>股东名称及
持股比例</t>
  </si>
  <si>
    <t>股东1及持股比例</t>
  </si>
  <si>
    <t>股东2及持股比例</t>
  </si>
  <si>
    <t>股东3及持股比例</t>
  </si>
  <si>
    <t>股东4及持股比例</t>
  </si>
  <si>
    <t>股东5及持股比例</t>
  </si>
  <si>
    <t>关键管理人员</t>
  </si>
  <si>
    <t>董事长</t>
  </si>
  <si>
    <t>总经理</t>
  </si>
  <si>
    <t>关键经办人员</t>
  </si>
  <si>
    <t>是否为关联方</t>
  </si>
  <si>
    <t>是否同时为供应商（含同一实际控制人）</t>
  </si>
  <si>
    <t>开始合作时间</t>
  </si>
  <si>
    <t>是否长期拖欠款项</t>
  </si>
  <si>
    <t>经营状态</t>
  </si>
  <si>
    <t>是否列入失信人</t>
  </si>
  <si>
    <t>信息来源</t>
  </si>
  <si>
    <r>
      <rPr>
        <sz val="10"/>
        <color rgb="FF0000FF"/>
        <rFont val="Arial Narrow"/>
        <charset val="134"/>
      </rPr>
      <t>1</t>
    </r>
    <r>
      <rPr>
        <sz val="10"/>
        <color rgb="FF0000FF"/>
        <rFont val="宋体"/>
        <charset val="134"/>
      </rPr>
      <t>、关注是否存在第三方供应商配合舞弊，根据《中国注册会计师审计准则问题解答第</t>
    </r>
    <r>
      <rPr>
        <sz val="10"/>
        <color rgb="FF0000FF"/>
        <rFont val="Arial Narrow"/>
        <charset val="134"/>
      </rPr>
      <t>18</t>
    </r>
    <r>
      <rPr>
        <sz val="10"/>
        <color rgb="FF0000FF"/>
        <rFont val="宋体"/>
        <charset val="134"/>
      </rPr>
      <t>号</t>
    </r>
    <r>
      <rPr>
        <sz val="10"/>
        <color rgb="FF0000FF"/>
        <rFont val="Arial Narrow"/>
        <charset val="134"/>
      </rPr>
      <t>——</t>
    </r>
    <r>
      <rPr>
        <sz val="10"/>
        <color rgb="FF0000FF"/>
        <rFont val="宋体"/>
        <charset val="134"/>
      </rPr>
      <t>识别和应对第三方配合实施财务舞弊》，配合实施财务舞弊的第三方可能具有的特征举例如下：</t>
    </r>
  </si>
  <si>
    <r>
      <rPr>
        <sz val="10"/>
        <color rgb="FF0000FF"/>
        <rFont val="宋体"/>
        <charset val="134"/>
      </rPr>
      <t>（</t>
    </r>
    <r>
      <rPr>
        <sz val="10"/>
        <color rgb="FF0000FF"/>
        <rFont val="Arial Narrow"/>
        <charset val="134"/>
      </rPr>
      <t>1</t>
    </r>
    <r>
      <rPr>
        <sz val="10"/>
        <color rgb="FF0000FF"/>
        <rFont val="宋体"/>
        <charset val="134"/>
      </rPr>
      <t>）经营时间较短。</t>
    </r>
  </si>
  <si>
    <r>
      <rPr>
        <sz val="10"/>
        <color rgb="FF0000FF"/>
        <rFont val="宋体"/>
        <charset val="134"/>
      </rPr>
      <t>（</t>
    </r>
    <r>
      <rPr>
        <sz val="10"/>
        <color rgb="FF0000FF"/>
        <rFont val="Arial Narrow"/>
        <charset val="134"/>
      </rPr>
      <t>2</t>
    </r>
    <r>
      <rPr>
        <sz val="10"/>
        <color rgb="FF0000FF"/>
        <rFont val="宋体"/>
        <charset val="134"/>
      </rPr>
      <t>）缴纳社保人数较少。</t>
    </r>
  </si>
  <si>
    <r>
      <rPr>
        <sz val="10"/>
        <color rgb="FF0000FF"/>
        <rFont val="宋体"/>
        <charset val="134"/>
      </rPr>
      <t>（</t>
    </r>
    <r>
      <rPr>
        <sz val="10"/>
        <color rgb="FF0000FF"/>
        <rFont val="Arial Narrow"/>
        <charset val="134"/>
      </rPr>
      <t>3</t>
    </r>
    <r>
      <rPr>
        <sz val="10"/>
        <color rgb="FF0000FF"/>
        <rFont val="宋体"/>
        <charset val="134"/>
      </rPr>
      <t>）为个人或个体工商户。</t>
    </r>
  </si>
  <si>
    <r>
      <rPr>
        <sz val="10"/>
        <color rgb="FF0000FF"/>
        <rFont val="宋体"/>
        <charset val="134"/>
      </rPr>
      <t>（</t>
    </r>
    <r>
      <rPr>
        <sz val="10"/>
        <color rgb="FF0000FF"/>
        <rFont val="Arial Narrow"/>
        <charset val="134"/>
      </rPr>
      <t>4</t>
    </r>
    <r>
      <rPr>
        <sz val="10"/>
        <color rgb="FF0000FF"/>
        <rFont val="宋体"/>
        <charset val="134"/>
      </rPr>
      <t>）注册资本与交易规模不匹配。</t>
    </r>
  </si>
  <si>
    <r>
      <rPr>
        <sz val="10"/>
        <color rgb="FF0000FF"/>
        <rFont val="宋体"/>
        <charset val="134"/>
      </rPr>
      <t>（</t>
    </r>
    <r>
      <rPr>
        <sz val="10"/>
        <color rgb="FF0000FF"/>
        <rFont val="Arial Narrow"/>
        <charset val="134"/>
      </rPr>
      <t>5</t>
    </r>
    <r>
      <rPr>
        <sz val="10"/>
        <color rgb="FF0000FF"/>
        <rFont val="宋体"/>
        <charset val="134"/>
      </rPr>
      <t>）交易规模与第三方所处行业状况不匹配。</t>
    </r>
  </si>
  <si>
    <r>
      <rPr>
        <sz val="10"/>
        <color rgb="FF0000FF"/>
        <rFont val="宋体"/>
        <charset val="134"/>
      </rPr>
      <t>（</t>
    </r>
    <r>
      <rPr>
        <sz val="10"/>
        <color rgb="FF0000FF"/>
        <rFont val="Arial Narrow"/>
        <charset val="134"/>
      </rPr>
      <t>6</t>
    </r>
    <r>
      <rPr>
        <sz val="10"/>
        <color rgb="FF0000FF"/>
        <rFont val="宋体"/>
        <charset val="134"/>
      </rPr>
      <t>）经营范围与交易性质不匹配。</t>
    </r>
  </si>
  <si>
    <r>
      <rPr>
        <sz val="10"/>
        <color rgb="FF0000FF"/>
        <rFont val="宋体"/>
        <charset val="134"/>
      </rPr>
      <t>（</t>
    </r>
    <r>
      <rPr>
        <sz val="10"/>
        <color rgb="FF0000FF"/>
        <rFont val="Arial Narrow"/>
        <charset val="134"/>
      </rPr>
      <t>7</t>
    </r>
    <r>
      <rPr>
        <sz val="10"/>
        <color rgb="FF0000FF"/>
        <rFont val="宋体"/>
        <charset val="134"/>
      </rPr>
      <t>）注册地址与被审计单位地址较为接近。</t>
    </r>
  </si>
  <si>
    <r>
      <rPr>
        <sz val="10"/>
        <color rgb="FF0000FF"/>
        <rFont val="宋体"/>
        <charset val="134"/>
      </rPr>
      <t>（</t>
    </r>
    <r>
      <rPr>
        <sz val="10"/>
        <color rgb="FF0000FF"/>
        <rFont val="Arial Narrow"/>
        <charset val="134"/>
      </rPr>
      <t>8</t>
    </r>
    <r>
      <rPr>
        <sz val="10"/>
        <color rgb="FF0000FF"/>
        <rFont val="宋体"/>
        <charset val="134"/>
      </rPr>
      <t>）不同第三方（如客户和供应商）的工商登记信息相同或相近，如股东名称、董监高人员、注册地址、联系人和联系方式等。</t>
    </r>
  </si>
  <si>
    <r>
      <rPr>
        <sz val="10"/>
        <color rgb="FF0000FF"/>
        <rFont val="宋体"/>
        <charset val="134"/>
      </rPr>
      <t>（</t>
    </r>
    <r>
      <rPr>
        <sz val="10"/>
        <color rgb="FF0000FF"/>
        <rFont val="Arial Narrow"/>
        <charset val="134"/>
      </rPr>
      <t>9</t>
    </r>
    <r>
      <rPr>
        <sz val="10"/>
        <color rgb="FF0000FF"/>
        <rFont val="宋体"/>
        <charset val="134"/>
      </rPr>
      <t>）既是客户又是供应商，或者虽然并非同一客户和供应商，但受同一实际控制人控制。</t>
    </r>
  </si>
  <si>
    <r>
      <rPr>
        <sz val="10"/>
        <color rgb="FF0000FF"/>
        <rFont val="宋体"/>
        <charset val="134"/>
      </rPr>
      <t>（</t>
    </r>
    <r>
      <rPr>
        <sz val="10"/>
        <color rgb="FF0000FF"/>
        <rFont val="Arial Narrow"/>
        <charset val="134"/>
      </rPr>
      <t>10</t>
    </r>
    <r>
      <rPr>
        <sz val="10"/>
        <color rgb="FF0000FF"/>
        <rFont val="宋体"/>
        <charset val="134"/>
      </rPr>
      <t>）对被审计单位存在重大依赖，如被审计单位是其主要客户。</t>
    </r>
  </si>
  <si>
    <r>
      <rPr>
        <sz val="10"/>
        <color rgb="FF0000FF"/>
        <rFont val="宋体"/>
        <charset val="134"/>
      </rPr>
      <t>（</t>
    </r>
    <r>
      <rPr>
        <sz val="10"/>
        <color rgb="FF0000FF"/>
        <rFont val="Arial Narrow"/>
        <charset val="134"/>
      </rPr>
      <t>11</t>
    </r>
    <r>
      <rPr>
        <sz val="10"/>
        <color rgb="FF0000FF"/>
        <rFont val="宋体"/>
        <charset val="134"/>
      </rPr>
      <t>）被审计单位向其销售的规模与其需求不匹配。</t>
    </r>
  </si>
  <si>
    <r>
      <rPr>
        <sz val="10"/>
        <color rgb="FF0000FF"/>
        <rFont val="宋体"/>
        <charset val="134"/>
      </rPr>
      <t>（</t>
    </r>
    <r>
      <rPr>
        <sz val="10"/>
        <color rgb="FF0000FF"/>
        <rFont val="Arial Narrow"/>
        <charset val="134"/>
      </rPr>
      <t>12</t>
    </r>
    <r>
      <rPr>
        <sz val="10"/>
        <color rgb="FF0000FF"/>
        <rFont val="宋体"/>
        <charset val="134"/>
      </rPr>
      <t>）在连续审计期间，对注册会计师实施的常规审计程序配合度持续较高，并都能提供正面的审计证据，如在连续三年审计期间第三方均能提供与函证信息相符的询证函回函。</t>
    </r>
  </si>
  <si>
    <r>
      <rPr>
        <sz val="10"/>
        <color rgb="FF0000FF"/>
        <rFont val="宋体"/>
        <charset val="134"/>
      </rPr>
      <t>（</t>
    </r>
    <r>
      <rPr>
        <sz val="10"/>
        <color rgb="FF0000FF"/>
        <rFont val="Arial Narrow"/>
        <charset val="134"/>
      </rPr>
      <t>13</t>
    </r>
    <r>
      <rPr>
        <sz val="10"/>
        <color rgb="FF0000FF"/>
        <rFont val="宋体"/>
        <charset val="134"/>
      </rPr>
      <t>）曾经配合其他方实施财务舞弊。</t>
    </r>
  </si>
  <si>
    <r>
      <rPr>
        <sz val="10"/>
        <color rgb="FF0000FF"/>
        <rFont val="宋体"/>
        <charset val="134"/>
      </rPr>
      <t>（</t>
    </r>
    <r>
      <rPr>
        <sz val="10"/>
        <color rgb="FF0000FF"/>
        <rFont val="Arial Narrow"/>
        <charset val="134"/>
      </rPr>
      <t>14</t>
    </r>
    <r>
      <rPr>
        <sz val="10"/>
        <color rgb="FF0000FF"/>
        <rFont val="宋体"/>
        <charset val="134"/>
      </rPr>
      <t>）法律意识淡薄，合规性较差，如近三年因违法违规经营受过行政处罚。</t>
    </r>
  </si>
  <si>
    <r>
      <rPr>
        <sz val="10"/>
        <color rgb="FF0000FF"/>
        <rFont val="宋体"/>
        <charset val="134"/>
      </rPr>
      <t>（</t>
    </r>
    <r>
      <rPr>
        <sz val="10"/>
        <color rgb="FF0000FF"/>
        <rFont val="Arial Narrow"/>
        <charset val="134"/>
      </rPr>
      <t>15</t>
    </r>
    <r>
      <rPr>
        <sz val="10"/>
        <color rgb="FF0000FF"/>
        <rFont val="宋体"/>
        <charset val="134"/>
      </rPr>
      <t>）股东或关键管理人员与被审计单位或其相关人员存在特殊关系，例如，为被审计单位员工（或前员工）、被审计单位实际控制人或关键管理人员的亲属。</t>
    </r>
  </si>
  <si>
    <r>
      <rPr>
        <sz val="10"/>
        <color rgb="FF0000FF"/>
        <rFont val="宋体"/>
        <charset val="134"/>
      </rPr>
      <t>（</t>
    </r>
    <r>
      <rPr>
        <sz val="10"/>
        <color rgb="FF0000FF"/>
        <rFont val="Arial Narrow"/>
        <charset val="134"/>
      </rPr>
      <t>16</t>
    </r>
    <r>
      <rPr>
        <sz val="10"/>
        <color rgb="FF0000FF"/>
        <rFont val="宋体"/>
        <charset val="134"/>
      </rPr>
      <t>）存在实现特定目的的需求，如第三方因考核、行业排名等原因有做大收入的需求。</t>
    </r>
  </si>
  <si>
    <t>注册会计师在识别第三方配合实施财务舞弊的风险时，需要考虑第三方的性质，例如，相比企业而言，个人或个体工商户更可能配合被审计单位实施财务舞弊。但不能因为第三方属于特定群体（如国企），就认为不会配合被审计单位实施财务舞弊。</t>
  </si>
  <si>
    <t>需要注意的是，第三方具有列举的某项特征，并不表明其配合被审计单位实施了财务舞弊；第三方不具有列举的特征，也并不表明其不存在配合实施财务舞弊的可能。注册会计师应当结合对被审计单位及其环境的了解，在审计过程中对异常情况保持警觉和职业怀疑，在此基础上运用职业判断确定是否存在第三方配合实施财务舞弊的风险。</t>
  </si>
  <si>
    <r>
      <rPr>
        <sz val="10"/>
        <color rgb="FF0000FF"/>
        <rFont val="Arial Narrow"/>
        <charset val="134"/>
      </rPr>
      <t>2</t>
    </r>
    <r>
      <rPr>
        <sz val="10"/>
        <color rgb="FF0000FF"/>
        <rFont val="宋体"/>
        <charset val="134"/>
      </rPr>
      <t>、根据《中国注册会计师审计准则问题解答第</t>
    </r>
    <r>
      <rPr>
        <sz val="10"/>
        <color rgb="FF0000FF"/>
        <rFont val="Arial Narrow"/>
        <charset val="134"/>
      </rPr>
      <t>18</t>
    </r>
    <r>
      <rPr>
        <sz val="10"/>
        <color rgb="FF0000FF"/>
        <rFont val="宋体"/>
        <charset val="134"/>
      </rPr>
      <t>号——识别和应对第三方配合实施财务舞弊》，可能存在第三方配合实施财务舞</t>
    </r>
    <r>
      <rPr>
        <sz val="10"/>
        <color rgb="FF0000FF"/>
        <rFont val="Arial Narrow"/>
        <charset val="134"/>
      </rPr>
      <t xml:space="preserve"> </t>
    </r>
    <r>
      <rPr>
        <sz val="10"/>
        <color rgb="FF0000FF"/>
        <rFont val="宋体"/>
        <charset val="134"/>
      </rPr>
      <t>弊的迹象还包括：</t>
    </r>
  </si>
  <si>
    <r>
      <rPr>
        <sz val="10"/>
        <color rgb="FF0000FF"/>
        <rFont val="宋体"/>
        <charset val="134"/>
      </rPr>
      <t>（</t>
    </r>
    <r>
      <rPr>
        <sz val="10"/>
        <color rgb="FF0000FF"/>
        <rFont val="Arial Narrow"/>
        <charset val="134"/>
      </rPr>
      <t>1</t>
    </r>
    <r>
      <rPr>
        <sz val="10"/>
        <color rgb="FF0000FF"/>
        <rFont val="宋体"/>
        <charset val="134"/>
      </rPr>
      <t>）被审计单位与不符合其规定条件的第三方发生交易，且无合理理由。例如，被审计单位针对进入供应商名录的企业设定了注册资本下限，但仍与低于注册资本下限的第三方发生了交易。</t>
    </r>
  </si>
  <si>
    <r>
      <rPr>
        <sz val="10"/>
        <color rgb="FF0000FF"/>
        <rFont val="宋体"/>
        <charset val="134"/>
      </rPr>
      <t>（</t>
    </r>
    <r>
      <rPr>
        <sz val="10"/>
        <color rgb="FF0000FF"/>
        <rFont val="Arial Narrow"/>
        <charset val="134"/>
      </rPr>
      <t>2</t>
    </r>
    <r>
      <rPr>
        <sz val="10"/>
        <color rgb="FF0000FF"/>
        <rFont val="宋体"/>
        <charset val="134"/>
      </rPr>
      <t>）交易价格、交易方式或合同条款明显不同于被审计单位与其他方的交易。</t>
    </r>
  </si>
  <si>
    <r>
      <rPr>
        <sz val="10"/>
        <color rgb="FF0000FF"/>
        <rFont val="宋体"/>
        <charset val="134"/>
      </rPr>
      <t>（</t>
    </r>
    <r>
      <rPr>
        <sz val="10"/>
        <color rgb="FF0000FF"/>
        <rFont val="Arial Narrow"/>
        <charset val="134"/>
      </rPr>
      <t>3</t>
    </r>
    <r>
      <rPr>
        <sz val="10"/>
        <color rgb="FF0000FF"/>
        <rFont val="宋体"/>
        <charset val="134"/>
      </rPr>
      <t>）交易的商业逻辑不合理，或不存在商业实质。</t>
    </r>
  </si>
  <si>
    <r>
      <rPr>
        <sz val="10"/>
        <color rgb="FF0000FF"/>
        <rFont val="宋体"/>
        <charset val="134"/>
      </rPr>
      <t>（</t>
    </r>
    <r>
      <rPr>
        <sz val="10"/>
        <color rgb="FF0000FF"/>
        <rFont val="Arial Narrow"/>
        <charset val="134"/>
      </rPr>
      <t>4</t>
    </r>
    <r>
      <rPr>
        <sz val="10"/>
        <color rgb="FF0000FF"/>
        <rFont val="宋体"/>
        <charset val="134"/>
      </rPr>
      <t>）交易发生时间较为敏感。例如临近期末、业绩承诺期。</t>
    </r>
  </si>
  <si>
    <r>
      <rPr>
        <sz val="10"/>
        <color rgb="FF0000FF"/>
        <rFont val="宋体"/>
        <charset val="134"/>
      </rPr>
      <t>（</t>
    </r>
    <r>
      <rPr>
        <sz val="10"/>
        <color rgb="FF0000FF"/>
        <rFont val="Arial Narrow"/>
        <charset val="134"/>
      </rPr>
      <t>5</t>
    </r>
    <r>
      <rPr>
        <sz val="10"/>
        <color rgb="FF0000FF"/>
        <rFont val="宋体"/>
        <charset val="134"/>
      </rPr>
      <t>）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r>
  </si>
  <si>
    <r>
      <rPr>
        <sz val="10"/>
        <color rgb="FF0000FF"/>
        <rFont val="宋体"/>
        <charset val="134"/>
      </rPr>
      <t>（</t>
    </r>
    <r>
      <rPr>
        <sz val="10"/>
        <color rgb="FF0000FF"/>
        <rFont val="Arial Narrow"/>
        <charset val="134"/>
      </rPr>
      <t>6</t>
    </r>
    <r>
      <rPr>
        <sz val="10"/>
        <color rgb="FF0000FF"/>
        <rFont val="宋体"/>
        <charset val="134"/>
      </rPr>
      <t>）在确定实地走访对象时，被审计单位刻意引导注册会计师将某客户或供应商排除或纳入走访范围。</t>
    </r>
  </si>
  <si>
    <r>
      <rPr>
        <sz val="10"/>
        <color rgb="FF0000FF"/>
        <rFont val="宋体"/>
        <charset val="134"/>
      </rPr>
      <t>（</t>
    </r>
    <r>
      <rPr>
        <sz val="10"/>
        <color rgb="FF0000FF"/>
        <rFont val="Arial Narrow"/>
        <charset val="134"/>
      </rPr>
      <t>7</t>
    </r>
    <r>
      <rPr>
        <sz val="10"/>
        <color rgb="FF0000FF"/>
        <rFont val="宋体"/>
        <charset val="134"/>
      </rPr>
      <t>）在询问第三方人员时，存在以下情况：①被审计单位坚持派员陪同参与；②多名或不同层级的被询问人员对相同或类似问题，作出不一致或相矛盾的回答；③被询问人员存在异常情况，例如，神情紧张，回复含糊不清、前后矛盾、与注册会计师了解到的情况不一致，身体语言表现出较大精神压力等。</t>
    </r>
  </si>
  <si>
    <r>
      <rPr>
        <sz val="10"/>
        <color rgb="FF0000FF"/>
        <rFont val="宋体"/>
        <charset val="134"/>
      </rPr>
      <t>（</t>
    </r>
    <r>
      <rPr>
        <sz val="10"/>
        <color rgb="FF0000FF"/>
        <rFont val="Arial Narrow"/>
        <charset val="134"/>
      </rPr>
      <t>8</t>
    </r>
    <r>
      <rPr>
        <sz val="10"/>
        <color rgb="FF0000FF"/>
        <rFont val="宋体"/>
        <charset val="134"/>
      </rPr>
      <t>）第三方拒绝确认注册会计师要求其确认的某些事项。例如，注册会计师要求被审计单位客户确认不存在除销售合同之外的</t>
    </r>
    <r>
      <rPr>
        <sz val="10"/>
        <color rgb="FF0000FF"/>
        <rFont val="Arial Narrow"/>
        <charset val="134"/>
      </rPr>
      <t>“</t>
    </r>
    <r>
      <rPr>
        <sz val="10"/>
        <color rgb="FF0000FF"/>
        <rFont val="宋体"/>
        <charset val="134"/>
      </rPr>
      <t>抽屉协议</t>
    </r>
    <r>
      <rPr>
        <sz val="10"/>
        <color rgb="FF0000FF"/>
        <rFont val="Arial Narrow"/>
        <charset val="134"/>
      </rPr>
      <t>”</t>
    </r>
    <r>
      <rPr>
        <sz val="10"/>
        <color rgb="FF0000FF"/>
        <rFont val="宋体"/>
        <charset val="134"/>
      </rPr>
      <t>，该客户拒绝确认。</t>
    </r>
  </si>
  <si>
    <t>致同会计师事务所（特殊普通合伙）</t>
  </si>
  <si>
    <r>
      <rPr>
        <b/>
        <sz val="10"/>
        <rFont val="宋体"/>
        <charset val="134"/>
      </rPr>
      <t>客户2</t>
    </r>
  </si>
  <si>
    <r>
      <rPr>
        <b/>
        <sz val="10"/>
        <rFont val="宋体"/>
        <charset val="134"/>
      </rPr>
      <t>客户3</t>
    </r>
  </si>
  <si>
    <r>
      <rPr>
        <b/>
        <sz val="10"/>
        <rFont val="宋体"/>
        <charset val="134"/>
      </rPr>
      <t>客户4</t>
    </r>
  </si>
  <si>
    <r>
      <rPr>
        <b/>
        <sz val="10"/>
        <rFont val="宋体"/>
        <charset val="134"/>
      </rPr>
      <t>客户5</t>
    </r>
  </si>
  <si>
    <r>
      <rPr>
        <b/>
        <sz val="10"/>
        <rFont val="宋体"/>
        <charset val="134"/>
      </rPr>
      <t>客户6</t>
    </r>
  </si>
  <si>
    <t>访谈时间</t>
  </si>
  <si>
    <t>访谈原因</t>
  </si>
  <si>
    <t>发行人第X大客户/本期新增客户/采购价格异常客户/……</t>
  </si>
  <si>
    <t>访谈方式</t>
  </si>
  <si>
    <t>实地走访/视频访谈/电话访谈/……</t>
  </si>
  <si>
    <t>被访谈公司注册地址</t>
  </si>
  <si>
    <t>实地走访公司地址</t>
  </si>
  <si>
    <t>接受访谈人员及身份</t>
  </si>
  <si>
    <t>身份信息、职务信息、具体负责的工作等</t>
  </si>
  <si>
    <t>参与访谈的审计人员</t>
  </si>
  <si>
    <t>参与访谈的其他人员</t>
  </si>
  <si>
    <t>访谈人员行程信息</t>
  </si>
  <si>
    <t>车票、机票、住宿发票复印件或照片，住宿酒店照片</t>
  </si>
  <si>
    <t>是否现场函证</t>
  </si>
  <si>
    <t>访谈关注要点</t>
  </si>
  <si>
    <t>合同执行核对情况</t>
  </si>
  <si>
    <t>交易金额核对是否一致</t>
  </si>
  <si>
    <t>往来余额核对是否一致</t>
  </si>
  <si>
    <t>访谈结论</t>
  </si>
  <si>
    <t>访谈表索引</t>
  </si>
  <si>
    <r>
      <rPr>
        <sz val="10"/>
        <color rgb="FF0000FF"/>
        <rFont val="宋体"/>
        <charset val="134"/>
      </rPr>
      <t>提示</t>
    </r>
    <r>
      <rPr>
        <sz val="10"/>
        <color rgb="FF0000FF"/>
        <rFont val="Arial Narrow"/>
        <charset val="134"/>
      </rPr>
      <t>1</t>
    </r>
    <r>
      <rPr>
        <sz val="10"/>
        <color rgb="FF0000FF"/>
        <rFont val="宋体"/>
        <charset val="134"/>
      </rPr>
      <t>：走访的范围：主要客户（如前十名客户）；新增的主要客户；存在疑虑的重要客户</t>
    </r>
  </si>
  <si>
    <r>
      <rPr>
        <sz val="10"/>
        <color rgb="FF0000FF"/>
        <rFont val="宋体"/>
        <charset val="134"/>
      </rPr>
      <t>提示</t>
    </r>
    <r>
      <rPr>
        <sz val="10"/>
        <color rgb="FF0000FF"/>
        <rFont val="Arial Narrow"/>
        <charset val="134"/>
      </rPr>
      <t>2</t>
    </r>
    <r>
      <rPr>
        <sz val="10"/>
        <color rgb="FF0000FF"/>
        <rFont val="宋体"/>
        <charset val="134"/>
      </rPr>
      <t>：访谈需核对和注意事项</t>
    </r>
  </si>
  <si>
    <r>
      <rPr>
        <sz val="10"/>
        <color rgb="FF0000FF"/>
        <rFont val="Arial Narrow"/>
        <charset val="134"/>
      </rPr>
      <t>1.</t>
    </r>
    <r>
      <rPr>
        <sz val="10"/>
        <color rgb="FF0000FF"/>
        <rFont val="宋体"/>
        <charset val="134"/>
      </rPr>
      <t>走访地址与注册地址是否一致？不一致的原因是否合理？公司基本情况是否与工商信息查询信息一致？走访的公司地址是否与百度地图等查询走访地址一致？</t>
    </r>
  </si>
  <si>
    <r>
      <rPr>
        <sz val="10"/>
        <color rgb="FF0000FF"/>
        <rFont val="Arial Narrow"/>
        <charset val="134"/>
      </rPr>
      <t>2.</t>
    </r>
    <r>
      <rPr>
        <sz val="10"/>
        <color rgb="FF0000FF"/>
        <rFont val="宋体"/>
        <charset val="134"/>
      </rPr>
      <t>交易内容是否与走访公司实际业务范围一致？</t>
    </r>
  </si>
  <si>
    <r>
      <rPr>
        <sz val="10"/>
        <color rgb="FF0000FF"/>
        <rFont val="Arial Narrow"/>
        <charset val="134"/>
      </rPr>
      <t>3.</t>
    </r>
    <r>
      <rPr>
        <sz val="10"/>
        <color rgb="FF0000FF"/>
        <rFont val="宋体"/>
        <charset val="134"/>
      </rPr>
      <t>交易金额是否与走访公司规模（注册资本、人数、设备数量等）匹配？</t>
    </r>
  </si>
  <si>
    <r>
      <rPr>
        <sz val="10"/>
        <color rgb="FF0000FF"/>
        <rFont val="Arial Narrow"/>
        <charset val="134"/>
      </rPr>
      <t>4.</t>
    </r>
    <r>
      <rPr>
        <sz val="10"/>
        <color rgb="FF0000FF"/>
        <rFont val="宋体"/>
        <charset val="134"/>
      </rPr>
      <t>交易价格是否与同行业类似交易一致？</t>
    </r>
  </si>
  <si>
    <r>
      <rPr>
        <sz val="10"/>
        <color rgb="FF0000FF"/>
        <rFont val="Arial Narrow"/>
        <charset val="134"/>
      </rPr>
      <t>5.</t>
    </r>
    <r>
      <rPr>
        <sz val="10"/>
        <color rgb="FF0000FF"/>
        <rFont val="宋体"/>
        <charset val="134"/>
      </rPr>
      <t>是否核实走访对象身份？</t>
    </r>
  </si>
  <si>
    <r>
      <rPr>
        <sz val="10"/>
        <color rgb="FF0000FF"/>
        <rFont val="Arial Narrow"/>
        <charset val="134"/>
      </rPr>
      <t>6.</t>
    </r>
    <r>
      <rPr>
        <sz val="10"/>
        <color rgb="FF0000FF"/>
        <rFont val="宋体"/>
        <charset val="134"/>
      </rPr>
      <t>是否根据走访公司及访谈对象具体情况修改访谈问卷？</t>
    </r>
  </si>
  <si>
    <r>
      <rPr>
        <sz val="10"/>
        <color rgb="FF0000FF"/>
        <rFont val="Arial Narrow"/>
        <charset val="134"/>
      </rPr>
      <t>7.</t>
    </r>
    <r>
      <rPr>
        <sz val="10"/>
        <color rgb="FF0000FF"/>
        <rFont val="宋体"/>
        <charset val="134"/>
      </rPr>
      <t>是否现场取得盖公章的函证回函（交易、往来，关联方关系确认）？</t>
    </r>
  </si>
  <si>
    <r>
      <rPr>
        <sz val="10"/>
        <color rgb="FF0000FF"/>
        <rFont val="Arial Narrow"/>
        <charset val="134"/>
      </rPr>
      <t>8.</t>
    </r>
    <r>
      <rPr>
        <sz val="10"/>
        <color rgb="FF0000FF"/>
        <rFont val="宋体"/>
        <charset val="134"/>
      </rPr>
      <t>是否同为客户和供应商？理由是否合理？</t>
    </r>
  </si>
  <si>
    <r>
      <rPr>
        <sz val="10"/>
        <color rgb="FF0000FF"/>
        <rFont val="Arial Narrow"/>
        <charset val="134"/>
      </rPr>
      <t>9.</t>
    </r>
    <r>
      <rPr>
        <sz val="10"/>
        <color rgb="FF0000FF"/>
        <rFont val="宋体"/>
        <charset val="134"/>
      </rPr>
      <t>是否存在异常情况（如地址与被审计单位关联方相同或相近、已处于停产状态、产能利用率异常、无法证明相关产品来自被审计单位）？</t>
    </r>
  </si>
  <si>
    <r>
      <rPr>
        <sz val="10"/>
        <color rgb="FF0000FF"/>
        <rFont val="Arial Narrow"/>
        <charset val="134"/>
      </rPr>
      <t>10.</t>
    </r>
    <r>
      <rPr>
        <sz val="10"/>
        <color rgb="FF0000FF"/>
        <rFont val="宋体"/>
        <charset val="134"/>
      </rPr>
      <t>保留访谈对象身份证复印件、名片</t>
    </r>
    <r>
      <rPr>
        <sz val="10"/>
        <color rgb="FF0000FF"/>
        <rFont val="Arial Narrow"/>
        <charset val="134"/>
      </rPr>
      <t>/</t>
    </r>
    <r>
      <rPr>
        <sz val="10"/>
        <color rgb="FF0000FF"/>
        <rFont val="宋体"/>
        <charset val="134"/>
      </rPr>
      <t>工牌复印件、与访谈对象合影（厂区门口、仓库、车间等地）、走访公司工作现场照片</t>
    </r>
  </si>
  <si>
    <t>访谈对象：</t>
  </si>
  <si>
    <t>访谈时间及地点：</t>
  </si>
  <si>
    <t>接受访谈人员及职务：</t>
  </si>
  <si>
    <t>访谈人：</t>
  </si>
  <si>
    <r>
      <rPr>
        <b/>
        <sz val="10"/>
        <color rgb="FF000000"/>
        <rFont val="宋体"/>
        <charset val="134"/>
      </rPr>
      <t>访谈内容：</t>
    </r>
    <r>
      <rPr>
        <b/>
        <sz val="10"/>
        <color rgb="FF0000FF"/>
        <rFont val="宋体"/>
        <charset val="134"/>
      </rPr>
      <t>【根据被审计单位实际情况、关注的客户主要风险情况修改访谈内容】</t>
    </r>
  </si>
  <si>
    <t>一、接受访谈人介绍，包括姓名、任职的公司、职务、具体负责的工作等</t>
  </si>
  <si>
    <t>二、客户的基本情况（附有关部门盖章确认的工商登记证明文件、主体纳税证明等）</t>
  </si>
  <si>
    <t>公司名称：</t>
  </si>
  <si>
    <t>注册资本：</t>
  </si>
  <si>
    <t>成立日期：</t>
  </si>
  <si>
    <t>经济性质：</t>
  </si>
  <si>
    <t>法定代表人：</t>
  </si>
  <si>
    <t>股权结构：</t>
  </si>
  <si>
    <t>三、与客户业务情况</t>
  </si>
  <si>
    <t xml:space="preserve">1.客户与发行人的业务关系为
</t>
  </si>
  <si>
    <t>[   ]客户是终端客户
[   ]客户是经销商(客户)
[   ]客户是供应商     
[   ]客户既是客户又是供应商
[   ]客户是ABC的关联方</t>
  </si>
  <si>
    <t>2.客户与发行人的结算方式</t>
  </si>
  <si>
    <t xml:space="preserve">     （1）客户向发行人的采购
</t>
  </si>
  <si>
    <t>[   ] 预付款方式
[   ] 货到付款方式
[   ] 赊销方式
[   ] 预付款方式和赊销方式兼有</t>
  </si>
  <si>
    <t xml:space="preserve">      （2）客户向发行人的销售
</t>
  </si>
  <si>
    <t>[   ] 预收款方式         
[   ] 货到收款方式
[   ] 赊销方式           
[   ] 预收款方式和赊销方式兼有</t>
  </si>
  <si>
    <t>3.20XX年度至今客户与发行人交易情况</t>
  </si>
  <si>
    <t xml:space="preserve">      （1）所有的交易行为是否签订合同
</t>
  </si>
  <si>
    <t>[   ] 是                
[   ] 否</t>
  </si>
  <si>
    <t xml:space="preserve">（2）客户向发行人采购产品质量情况（适用客户）
</t>
  </si>
  <si>
    <t>[   ] 良好              
[   ]一般
[   ] 产品质量不稳定     
[   ] 产品质量差</t>
  </si>
  <si>
    <t xml:space="preserve">       （3）客户与发行人是否定了约定除质量问题以外的退、换货条款</t>
  </si>
  <si>
    <t>[   ]是                 
[   ]否</t>
  </si>
  <si>
    <t xml:space="preserve">      （4）20XX年度至今客户与发行人约定了除质量问题以外的退、换货条款，而发生的退换货金额</t>
  </si>
  <si>
    <t>[   ] 无  
[   ]20万元以下  
[   ]20-50万元  
[   ]50-100万元   
[   ] 100万元以上</t>
  </si>
  <si>
    <t xml:space="preserve">      （5）客户向发行人采购的产品验收入库情况
</t>
  </si>
  <si>
    <t>[   ]检验合格后计量入库签收确认收到货物 
[   ]直接计量入库签收确认收到货物 
[   ]其他方式请描述</t>
  </si>
  <si>
    <t xml:space="preserve">      （6）客户与发行人的交易是否存在返利的约定</t>
  </si>
  <si>
    <t>[   ]是   
[   ]否</t>
  </si>
  <si>
    <t xml:space="preserve">       如存在返利请说明以下情况：</t>
  </si>
  <si>
    <t xml:space="preserve">          A.通过何种方式支付返利
</t>
  </si>
  <si>
    <t>[   ]现金   
[   ]其他方式</t>
  </si>
  <si>
    <t xml:space="preserve">          B.20XX年度至今返利金额
</t>
  </si>
  <si>
    <t>[   ]10万元以下   
[   ]10-50万元    
[   ]50-100万元     
[   ]100万元以上</t>
  </si>
  <si>
    <t xml:space="preserve">         （7）客户作为发行人的经销商购买的货物是否已经最终销售(适用经销商)</t>
  </si>
  <si>
    <t>[   ]是     
[   ]否</t>
  </si>
  <si>
    <t>4.客户除了上述与被审计单位采购以外，是否还存在其他的资金往来？</t>
  </si>
  <si>
    <t>5.其他重要事项</t>
  </si>
  <si>
    <t>四、关联关系情况</t>
  </si>
  <si>
    <t>发行人的实际控制人、自然人股东、董事、监事或高管人员及主要关联方是否在客户持有股份（关联方情况详见附表)</t>
  </si>
  <si>
    <t>[   ]是       
[   ]否</t>
  </si>
  <si>
    <t xml:space="preserve">    是否担任职务</t>
  </si>
  <si>
    <t xml:space="preserve">    是否和客户有交易</t>
  </si>
  <si>
    <t>附：1.供应商盖章确认的工商登记证明文件、……</t>
  </si>
  <si>
    <t>2.跟函回函</t>
  </si>
  <si>
    <t>3.XX产品销售明细账、XX产品库存商品明细账</t>
  </si>
  <si>
    <t>4.XXX账户资金流水</t>
  </si>
  <si>
    <t>参与访谈的各方人员签字：</t>
  </si>
  <si>
    <t>接受访谈人员：</t>
  </si>
  <si>
    <t>审计人员：</t>
  </si>
  <si>
    <t>其他人员：</t>
  </si>
  <si>
    <t xml:space="preserve">日期： </t>
  </si>
  <si>
    <t>如果识别出客户存在第三方配合实施财务舞弊的风险，则应要求客户就其向注册会计师提供的资料</t>
  </si>
  <si>
    <t>、信息以及作出的陈述的真实性和完整性进行承诺，并加盖供应商公章。（所有被访谈的客户</t>
  </si>
  <si>
    <t>可参照执行要求提供承诺并在访谈记录加盖公章）</t>
  </si>
  <si>
    <t>“本公司向XX会计师事务所提供的信息和资料真实、完整，如存在虚假信息 或重大遗漏，</t>
  </si>
  <si>
    <t>本公司愿意承担一切法律责任”。</t>
  </si>
  <si>
    <t>XXX公司（盖章）</t>
  </si>
  <si>
    <t>根据《中国注册会计师审计准则问题解答第18号——识别和应对第三方配合实施财务舞弊》，如果已经识别出走访对象存在可能配合被审计单位实施财务舞弊的迹象，</t>
  </si>
  <si>
    <t xml:space="preserve">1.注册会计师需要更有针对性地计划实地走访工作以及设计访谈提纲，安排职业敏感性更强的项目组成员实施实地走访，在访谈前需要注意对访谈信息保密，并考虑在进行实地走访时实施以下程序： </t>
  </si>
  <si>
    <t>（1）选择多名或不同层级的人员访谈相同或类似问题，进行相互印证。</t>
  </si>
  <si>
    <t>（2）核实被询问人员是否与被审计单位存在特殊关系，如是否为被审计单位的前员工，或被审计单位的关联方。</t>
  </si>
  <si>
    <t>（3）对于被审计单位的客户，要求对被审计单位生产的产品实施观察、检查等程序。如相关产品为走访对象的存货，观察其生产经营过程中是否使用该存货，关注相关存货的存放、领用是否为走访对象的真实需要；如相关产品为走访对象的设备，观察设备是否正常使用。</t>
  </si>
  <si>
    <t>（4）对于被审计单位的经销商客户，关注走访对象的库存量是否存在明显不合理，考虑检查经销商进销存记录。</t>
  </si>
  <si>
    <t>2.针对识别出的第三方配合实施财务舞弊的风险，可以考虑采用跟函方式进行函证，观察函证处理过程，评估回函可靠性。</t>
  </si>
  <si>
    <t>访谈记录与核对</t>
  </si>
  <si>
    <t>索引：</t>
  </si>
  <si>
    <r>
      <rPr>
        <sz val="10"/>
        <color rgb="FF000000"/>
        <rFont val="宋体"/>
        <charset val="134"/>
      </rPr>
      <t>页次：</t>
    </r>
  </si>
  <si>
    <r>
      <rPr>
        <b/>
        <sz val="10"/>
        <color rgb="FF000000"/>
        <rFont val="宋体"/>
        <charset val="134"/>
      </rPr>
      <t>走访公司名称：</t>
    </r>
  </si>
  <si>
    <r>
      <rPr>
        <b/>
        <sz val="10"/>
        <color rgb="FFFF0000"/>
        <rFont val="宋体"/>
        <charset val="134"/>
      </rPr>
      <t>一、走访的公司基本信息</t>
    </r>
  </si>
  <si>
    <r>
      <rPr>
        <sz val="10"/>
        <rFont val="宋体"/>
        <charset val="134"/>
      </rPr>
      <t>〔随需填写〕</t>
    </r>
  </si>
  <si>
    <r>
      <rPr>
        <sz val="10"/>
        <color rgb="FFFF0000"/>
        <rFont val="宋体"/>
        <charset val="134"/>
      </rPr>
      <t>【</t>
    </r>
    <r>
      <rPr>
        <sz val="10"/>
        <color rgb="FFFF0000"/>
        <rFont val="Arial Narrow"/>
        <charset val="134"/>
      </rPr>
      <t>XYZ</t>
    </r>
    <r>
      <rPr>
        <sz val="10"/>
        <color rgb="FFFF0000"/>
        <rFont val="宋体"/>
        <charset val="134"/>
      </rPr>
      <t>公司的基本情况，包括：</t>
    </r>
    <r>
      <rPr>
        <sz val="10"/>
        <color rgb="FFFF0000"/>
        <rFont val="Arial Narrow"/>
        <charset val="134"/>
      </rPr>
      <t>XYZ</t>
    </r>
    <r>
      <rPr>
        <sz val="10"/>
        <color rgb="FFFF0000"/>
        <rFont val="宋体"/>
        <charset val="134"/>
      </rPr>
      <t>公司法定代表人、注册地、注册资本、成立时间，股权关系等；公司营业执照复印件或照片、公司章程等】</t>
    </r>
  </si>
  <si>
    <r>
      <rPr>
        <sz val="10"/>
        <color rgb="FFFF0000"/>
        <rFont val="宋体"/>
        <charset val="134"/>
      </rPr>
      <t>工商信息查询结果、天眼查等查询结果：</t>
    </r>
  </si>
  <si>
    <r>
      <rPr>
        <sz val="10"/>
        <color rgb="FFFF0000"/>
        <rFont val="宋体"/>
        <charset val="134"/>
      </rPr>
      <t>百度地图等查询走访地址的结果：</t>
    </r>
  </si>
  <si>
    <r>
      <rPr>
        <b/>
        <sz val="10"/>
        <color rgb="FFFF0000"/>
        <rFont val="宋体"/>
        <charset val="134"/>
      </rPr>
      <t>二、交易基本信息</t>
    </r>
  </si>
  <si>
    <r>
      <rPr>
        <sz val="10"/>
        <color rgb="FFFF0000"/>
        <rFont val="宋体"/>
        <charset val="134"/>
      </rPr>
      <t>【</t>
    </r>
    <r>
      <rPr>
        <sz val="10"/>
        <color rgb="FFFF0000"/>
        <rFont val="Arial Narrow"/>
        <charset val="134"/>
      </rPr>
      <t>XYZ</t>
    </r>
    <r>
      <rPr>
        <sz val="10"/>
        <color rgb="FFFF0000"/>
        <rFont val="宋体"/>
        <charset val="134"/>
      </rPr>
      <t>公司与发行人的业务关系，发生业务的起始时间、交易金额、交易量、交易量是否异常，若异常应在访谈结论中明确交易量异常变动的原因，</t>
    </r>
    <r>
      <rPr>
        <sz val="10"/>
        <color rgb="FFFF0000"/>
        <rFont val="Arial Narrow"/>
        <charset val="134"/>
      </rPr>
      <t>XYZ</t>
    </r>
    <r>
      <rPr>
        <sz val="10"/>
        <color rgb="FFFF0000"/>
        <rFont val="宋体"/>
        <charset val="134"/>
      </rPr>
      <t>公司原行业状况、与发行人的交易占</t>
    </r>
    <r>
      <rPr>
        <sz val="10"/>
        <color rgb="FFFF0000"/>
        <rFont val="Arial Narrow"/>
        <charset val="134"/>
      </rPr>
      <t>XYZ</t>
    </r>
    <r>
      <rPr>
        <sz val="10"/>
        <color rgb="FFFF0000"/>
        <rFont val="宋体"/>
        <charset val="134"/>
      </rPr>
      <t>公司的总交易比重（公司基本情况需通过获取</t>
    </r>
    <r>
      <rPr>
        <sz val="10"/>
        <color rgb="FFFF0000"/>
        <rFont val="Arial Narrow"/>
        <charset val="134"/>
      </rPr>
      <t>XYZ</t>
    </r>
    <r>
      <rPr>
        <sz val="10"/>
        <color rgb="FFFF0000"/>
        <rFont val="宋体"/>
        <charset val="134"/>
      </rPr>
      <t>公司工商资料，并与发行人记录情况、增值税发票、</t>
    </r>
    <r>
      <rPr>
        <sz val="10"/>
        <color rgb="FFFF0000"/>
        <rFont val="Arial Narrow"/>
        <charset val="134"/>
      </rPr>
      <t>XYZ</t>
    </r>
    <r>
      <rPr>
        <sz val="10"/>
        <color rgb="FFFF0000"/>
        <rFont val="宋体"/>
        <charset val="134"/>
      </rPr>
      <t>公司网站信息等核对】</t>
    </r>
  </si>
  <si>
    <r>
      <rPr>
        <sz val="10"/>
        <color rgb="FFFF0000"/>
        <rFont val="宋体"/>
        <charset val="134"/>
      </rPr>
      <t>如：</t>
    </r>
  </si>
  <si>
    <r>
      <rPr>
        <sz val="10"/>
        <color rgb="FFFF0000"/>
        <rFont val="宋体"/>
        <charset val="134"/>
      </rPr>
      <t>与发行人合作从</t>
    </r>
    <r>
      <rPr>
        <sz val="10"/>
        <color rgb="FFFF0000"/>
        <rFont val="Arial Narrow"/>
        <charset val="134"/>
      </rPr>
      <t>2006</t>
    </r>
    <r>
      <rPr>
        <sz val="10"/>
        <color rgb="FFFF0000"/>
        <rFont val="宋体"/>
        <charset val="134"/>
      </rPr>
      <t>年至今已超过了</t>
    </r>
    <r>
      <rPr>
        <sz val="10"/>
        <color rgb="FFFF0000"/>
        <rFont val="Arial Narrow"/>
        <charset val="134"/>
      </rPr>
      <t>5</t>
    </r>
    <r>
      <rPr>
        <sz val="10"/>
        <color rgb="FFFF0000"/>
        <rFont val="宋体"/>
        <charset val="134"/>
      </rPr>
      <t>年，</t>
    </r>
    <r>
      <rPr>
        <sz val="10"/>
        <color rgb="FFFF0000"/>
        <rFont val="Arial Narrow"/>
        <charset val="134"/>
      </rPr>
      <t>XYZ</t>
    </r>
    <r>
      <rPr>
        <sz val="10"/>
        <color rgb="FFFF0000"/>
        <rFont val="宋体"/>
        <charset val="134"/>
      </rPr>
      <t>公司主要从发行人采购</t>
    </r>
    <r>
      <rPr>
        <sz val="10"/>
        <color rgb="FFFF0000"/>
        <rFont val="Arial Narrow"/>
        <charset val="134"/>
      </rPr>
      <t>AAA</t>
    </r>
    <r>
      <rPr>
        <sz val="10"/>
        <color rgb="FFFF0000"/>
        <rFont val="宋体"/>
        <charset val="134"/>
      </rPr>
      <t>材料，最近三年一期（</t>
    </r>
    <r>
      <rPr>
        <sz val="10"/>
        <color rgb="FFFF0000"/>
        <rFont val="Arial Narrow"/>
        <charset val="134"/>
      </rPr>
      <t>2010</t>
    </r>
    <r>
      <rPr>
        <sz val="10"/>
        <color rgb="FFFF0000"/>
        <rFont val="宋体"/>
        <charset val="134"/>
      </rPr>
      <t>年、</t>
    </r>
    <r>
      <rPr>
        <sz val="10"/>
        <color rgb="FFFF0000"/>
        <rFont val="Arial Narrow"/>
        <charset val="134"/>
      </rPr>
      <t>2011</t>
    </r>
    <r>
      <rPr>
        <sz val="10"/>
        <color rgb="FFFF0000"/>
        <rFont val="宋体"/>
        <charset val="134"/>
      </rPr>
      <t>年、</t>
    </r>
    <r>
      <rPr>
        <sz val="10"/>
        <color rgb="FFFF0000"/>
        <rFont val="Arial Narrow"/>
        <charset val="134"/>
      </rPr>
      <t>2012</t>
    </r>
    <r>
      <rPr>
        <sz val="10"/>
        <color rgb="FFFF0000"/>
        <rFont val="宋体"/>
        <charset val="134"/>
      </rPr>
      <t>年）的交易量和交易金额，占总交易额比重分别为</t>
    </r>
    <r>
      <rPr>
        <sz val="10"/>
        <color rgb="FFFF0000"/>
        <rFont val="Arial Narrow"/>
        <charset val="134"/>
      </rPr>
      <t xml:space="preserve">                                                 </t>
    </r>
    <r>
      <rPr>
        <sz val="10"/>
        <color rgb="FFFF0000"/>
        <rFont val="宋体"/>
        <charset val="134"/>
      </rPr>
      <t>；三年的交易量、交易金额稳步上升，交易比重保持平稳，未见异常变动。发行人的销售员经常到访</t>
    </r>
    <r>
      <rPr>
        <sz val="10"/>
        <color rgb="FFFF0000"/>
        <rFont val="Arial Narrow"/>
        <charset val="134"/>
      </rPr>
      <t>XYZ</t>
    </r>
    <r>
      <rPr>
        <sz val="10"/>
        <color rgb="FFFF0000"/>
        <rFont val="宋体"/>
        <charset val="134"/>
      </rPr>
      <t>公司维护客户关系，两家公司的合作关系良好，均有继续合作发展的意愿。</t>
    </r>
  </si>
  <si>
    <r>
      <rPr>
        <sz val="10"/>
        <color rgb="FFFF0000"/>
        <rFont val="宋体"/>
        <charset val="134"/>
      </rPr>
      <t>检查了</t>
    </r>
    <r>
      <rPr>
        <sz val="10"/>
        <color rgb="FFFF0000"/>
        <rFont val="Arial Narrow"/>
        <charset val="134"/>
      </rPr>
      <t>XYZ</t>
    </r>
    <r>
      <rPr>
        <sz val="10"/>
        <color rgb="FFFF0000"/>
        <rFont val="宋体"/>
        <charset val="134"/>
      </rPr>
      <t>公司的营业执照、组织机构代码证、税务登记证、章程等工商资料（若为特许经营行业，应检查相应证照）并取得复印件，与发行人记录情况、增值税发票、</t>
    </r>
    <r>
      <rPr>
        <sz val="10"/>
        <color rgb="FFFF0000"/>
        <rFont val="Arial Narrow"/>
        <charset val="134"/>
      </rPr>
      <t>XYZ</t>
    </r>
    <r>
      <rPr>
        <sz val="10"/>
        <color rgb="FFFF0000"/>
        <rFont val="宋体"/>
        <charset val="134"/>
      </rPr>
      <t>公司网站的相关信息等核对一致。</t>
    </r>
    <r>
      <rPr>
        <sz val="10"/>
        <color rgb="FF0000FF"/>
        <rFont val="宋体"/>
        <charset val="134"/>
      </rPr>
      <t>【若为新增、异常客户</t>
    </r>
    <r>
      <rPr>
        <sz val="10"/>
        <color rgb="FF0000FF"/>
        <rFont val="Arial Narrow"/>
        <charset val="134"/>
      </rPr>
      <t>/</t>
    </r>
    <r>
      <rPr>
        <sz val="10"/>
        <color rgb="FF0000FF"/>
        <rFont val="宋体"/>
        <charset val="134"/>
      </rPr>
      <t>供应商或关联方客户</t>
    </r>
    <r>
      <rPr>
        <sz val="10"/>
        <color rgb="FF0000FF"/>
        <rFont val="Arial Narrow"/>
        <charset val="134"/>
      </rPr>
      <t>/</t>
    </r>
    <r>
      <rPr>
        <sz val="10"/>
        <color rgb="FF0000FF"/>
        <rFont val="宋体"/>
        <charset val="134"/>
      </rPr>
      <t>供应商，考虑获取</t>
    </r>
    <r>
      <rPr>
        <sz val="10"/>
        <color rgb="FF0000FF"/>
        <rFont val="Arial Narrow"/>
        <charset val="134"/>
      </rPr>
      <t>XYZ</t>
    </r>
    <r>
      <rPr>
        <sz val="10"/>
        <color rgb="FF0000FF"/>
        <rFont val="宋体"/>
        <charset val="134"/>
      </rPr>
      <t>公司的工商登记资料、纳税资料、银行账户流水等资料，并了解公司的实际控制人、关键经办人员等相关情况进行核对分析，包括核对</t>
    </r>
    <r>
      <rPr>
        <sz val="10"/>
        <color rgb="FF0000FF"/>
        <rFont val="Arial Narrow"/>
        <charset val="134"/>
      </rPr>
      <t>XYZ</t>
    </r>
    <r>
      <rPr>
        <sz val="10"/>
        <color rgb="FF0000FF"/>
        <rFont val="宋体"/>
        <charset val="134"/>
      </rPr>
      <t>公司的经营业绩、银行账户往来是否与其声称的经营状况和营运能力、现金流量相关等】</t>
    </r>
  </si>
  <si>
    <r>
      <rPr>
        <sz val="10"/>
        <color rgb="FFFF0000"/>
        <rFont val="Arial Narrow"/>
        <charset val="134"/>
      </rPr>
      <t>XYZ</t>
    </r>
    <r>
      <rPr>
        <sz val="10"/>
        <color rgb="FFFF0000"/>
        <rFont val="宋体"/>
        <charset val="134"/>
      </rPr>
      <t>公司不是</t>
    </r>
    <r>
      <rPr>
        <sz val="10"/>
        <color rgb="FFFF0000"/>
        <rFont val="Arial Narrow"/>
        <charset val="134"/>
      </rPr>
      <t>ABC</t>
    </r>
    <r>
      <rPr>
        <sz val="10"/>
        <color rgb="FFFF0000"/>
        <rFont val="宋体"/>
        <charset val="134"/>
      </rPr>
      <t>的关联方</t>
    </r>
  </si>
  <si>
    <r>
      <rPr>
        <sz val="10"/>
        <color rgb="FFFF0000"/>
        <rFont val="Arial Narrow"/>
        <charset val="134"/>
      </rPr>
      <t>XYZ</t>
    </r>
    <r>
      <rPr>
        <sz val="10"/>
        <color rgb="FFFF0000"/>
        <rFont val="宋体"/>
        <charset val="134"/>
      </rPr>
      <t>公司今年对</t>
    </r>
    <r>
      <rPr>
        <sz val="10"/>
        <color rgb="FFFF0000"/>
        <rFont val="Arial Narrow"/>
        <charset val="134"/>
      </rPr>
      <t>AAA</t>
    </r>
    <r>
      <rPr>
        <sz val="10"/>
        <color rgb="FFFF0000"/>
        <rFont val="宋体"/>
        <charset val="134"/>
      </rPr>
      <t>材料的采购目标为</t>
    </r>
    <r>
      <rPr>
        <sz val="10"/>
        <color rgb="FFFF0000"/>
        <rFont val="Arial Narrow"/>
        <charset val="134"/>
      </rPr>
      <t>3</t>
    </r>
    <r>
      <rPr>
        <sz val="10"/>
        <color rgb="FFFF0000"/>
        <rFont val="宋体"/>
        <charset val="134"/>
      </rPr>
      <t>亿（含税），其中约有</t>
    </r>
    <r>
      <rPr>
        <sz val="10"/>
        <color rgb="FFFF0000"/>
        <rFont val="Arial Narrow"/>
        <charset val="134"/>
      </rPr>
      <t>20%</t>
    </r>
    <r>
      <rPr>
        <sz val="10"/>
        <color rgb="FFFF0000"/>
        <rFont val="宋体"/>
        <charset val="134"/>
      </rPr>
      <t>采购自发行人</t>
    </r>
  </si>
  <si>
    <r>
      <rPr>
        <sz val="10"/>
        <color rgb="FFFF0000"/>
        <rFont val="Arial Narrow"/>
        <charset val="134"/>
      </rPr>
      <t>XYZ</t>
    </r>
    <r>
      <rPr>
        <sz val="10"/>
        <color rgb="FFFF0000"/>
        <rFont val="宋体"/>
        <charset val="134"/>
      </rPr>
      <t>公司的业务区域主要集中在山西陕西地区</t>
    </r>
  </si>
  <si>
    <r>
      <rPr>
        <sz val="10"/>
        <color rgb="FFFF0000"/>
        <rFont val="Arial Narrow"/>
        <charset val="134"/>
      </rPr>
      <t>XYZ</t>
    </r>
    <r>
      <rPr>
        <sz val="10"/>
        <color rgb="FFFF0000"/>
        <rFont val="宋体"/>
        <charset val="134"/>
      </rPr>
      <t>公司所在行业具有季节性，春、夏、秋为旺季，冬为淡季；因此原材料采购呈现类似特征。</t>
    </r>
  </si>
  <si>
    <r>
      <rPr>
        <b/>
        <sz val="10"/>
        <color rgb="FFFF0000"/>
        <rFont val="宋体"/>
        <charset val="134"/>
      </rPr>
      <t>三、与发行人的主要合同条款核对</t>
    </r>
  </si>
  <si>
    <r>
      <rPr>
        <sz val="10"/>
        <color rgb="FFFF0000"/>
        <rFont val="宋体"/>
        <charset val="134"/>
      </rPr>
      <t>【询问及取得合同样本：核对</t>
    </r>
    <r>
      <rPr>
        <sz val="10"/>
        <color rgb="FFFF0000"/>
        <rFont val="Arial Narrow"/>
        <charset val="134"/>
      </rPr>
      <t>XYZ</t>
    </r>
    <r>
      <rPr>
        <sz val="10"/>
        <color rgb="FFFF0000"/>
        <rFont val="宋体"/>
        <charset val="134"/>
      </rPr>
      <t>公司与发行人的合同条款（交易模式、交易规模、付款方式、付款期限、运输条款、运输保险受益人、销售佣金比例、质保金比例、信用期等）】</t>
    </r>
  </si>
  <si>
    <r>
      <rPr>
        <b/>
        <sz val="10"/>
        <color rgb="FFFF0000"/>
        <rFont val="宋体"/>
        <charset val="134"/>
      </rPr>
      <t>项目</t>
    </r>
  </si>
  <si>
    <r>
      <rPr>
        <b/>
        <sz val="10"/>
        <color rgb="FFFF0000"/>
        <rFont val="宋体"/>
        <charset val="134"/>
      </rPr>
      <t>询问所得信息</t>
    </r>
  </si>
  <si>
    <r>
      <rPr>
        <b/>
        <sz val="10"/>
        <color rgb="FFFF0000"/>
        <rFont val="宋体"/>
        <charset val="134"/>
      </rPr>
      <t>来自发行人合同条款</t>
    </r>
  </si>
  <si>
    <r>
      <rPr>
        <sz val="10"/>
        <color rgb="FFFF0000"/>
        <rFont val="宋体"/>
        <charset val="134"/>
      </rPr>
      <t>交易模式</t>
    </r>
  </si>
  <si>
    <r>
      <rPr>
        <sz val="10"/>
        <color rgb="FFFF0000"/>
        <rFont val="宋体"/>
        <charset val="134"/>
      </rPr>
      <t>包销</t>
    </r>
  </si>
  <si>
    <r>
      <rPr>
        <sz val="10"/>
        <color rgb="FFFF0000"/>
        <rFont val="宋体"/>
        <charset val="134"/>
      </rPr>
      <t>与合同条款一致</t>
    </r>
  </si>
  <si>
    <r>
      <rPr>
        <sz val="10"/>
        <color rgb="FFFF0000"/>
        <rFont val="宋体"/>
        <charset val="134"/>
      </rPr>
      <t>交易标的</t>
    </r>
  </si>
  <si>
    <r>
      <rPr>
        <sz val="10"/>
        <color rgb="FFFF0000"/>
        <rFont val="Arial Narrow"/>
        <charset val="134"/>
      </rPr>
      <t>AAA</t>
    </r>
    <r>
      <rPr>
        <sz val="10"/>
        <color rgb="FFFF0000"/>
        <rFont val="宋体"/>
        <charset val="134"/>
      </rPr>
      <t>材料</t>
    </r>
  </si>
  <si>
    <r>
      <rPr>
        <sz val="10"/>
        <color rgb="FFFF0000"/>
        <rFont val="宋体"/>
        <charset val="134"/>
      </rPr>
      <t>交易规模</t>
    </r>
  </si>
  <si>
    <r>
      <rPr>
        <sz val="10"/>
        <color rgb="FFFF0000"/>
        <rFont val="Arial Narrow"/>
        <charset val="134"/>
      </rPr>
      <t>500-600</t>
    </r>
    <r>
      <rPr>
        <sz val="10"/>
        <color rgb="FFFF0000"/>
        <rFont val="宋体"/>
        <charset val="134"/>
      </rPr>
      <t>吨（含税金额约</t>
    </r>
    <r>
      <rPr>
        <sz val="10"/>
        <color rgb="FFFF0000"/>
        <rFont val="Arial Narrow"/>
        <charset val="134"/>
      </rPr>
      <t>5000-6000</t>
    </r>
    <r>
      <rPr>
        <sz val="10"/>
        <color rgb="FFFF0000"/>
        <rFont val="宋体"/>
        <charset val="134"/>
      </rPr>
      <t>万）</t>
    </r>
  </si>
  <si>
    <r>
      <rPr>
        <sz val="10"/>
        <color rgb="FFFF0000"/>
        <rFont val="宋体"/>
        <charset val="134"/>
      </rPr>
      <t>付款方式</t>
    </r>
  </si>
  <si>
    <r>
      <rPr>
        <sz val="10"/>
        <color rgb="FFFF0000"/>
        <rFont val="宋体"/>
        <charset val="134"/>
      </rPr>
      <t>银行承兑汇票或银行转账</t>
    </r>
  </si>
  <si>
    <r>
      <rPr>
        <sz val="10"/>
        <color rgb="FFFF0000"/>
        <rFont val="宋体"/>
        <charset val="134"/>
      </rPr>
      <t>预付款项及质保金</t>
    </r>
  </si>
  <si>
    <r>
      <rPr>
        <sz val="10"/>
        <color rgb="FFFF0000"/>
        <rFont val="宋体"/>
        <charset val="134"/>
      </rPr>
      <t>付款期限</t>
    </r>
  </si>
  <si>
    <r>
      <rPr>
        <sz val="10"/>
        <color rgb="FFFF0000"/>
        <rFont val="宋体"/>
        <charset val="134"/>
      </rPr>
      <t>收货验收后，</t>
    </r>
    <r>
      <rPr>
        <sz val="10"/>
        <color rgb="FFFF0000"/>
        <rFont val="Arial Narrow"/>
        <charset val="134"/>
      </rPr>
      <t>3</t>
    </r>
    <r>
      <rPr>
        <sz val="10"/>
        <color rgb="FFFF0000"/>
        <rFont val="宋体"/>
        <charset val="134"/>
      </rPr>
      <t>个月内（较同行业稍优惠，行业平均约为</t>
    </r>
    <r>
      <rPr>
        <sz val="10"/>
        <color rgb="FFFF0000"/>
        <rFont val="Arial Narrow"/>
        <charset val="134"/>
      </rPr>
      <t>2.5</t>
    </r>
    <r>
      <rPr>
        <sz val="10"/>
        <color rgb="FFFF0000"/>
        <rFont val="宋体"/>
        <charset val="134"/>
      </rPr>
      <t>月，</t>
    </r>
    <r>
      <rPr>
        <sz val="10"/>
        <color rgb="FFFF0000"/>
        <rFont val="Arial Narrow"/>
        <charset val="134"/>
      </rPr>
      <t>75</t>
    </r>
    <r>
      <rPr>
        <sz val="10"/>
        <color rgb="FFFF0000"/>
        <rFont val="宋体"/>
        <charset val="134"/>
      </rPr>
      <t>天）</t>
    </r>
  </si>
  <si>
    <r>
      <rPr>
        <sz val="10"/>
        <color rgb="FFFF0000"/>
        <rFont val="宋体"/>
        <charset val="134"/>
      </rPr>
      <t>订货到发货时间</t>
    </r>
  </si>
  <si>
    <r>
      <rPr>
        <sz val="10"/>
        <color rgb="FFFF0000"/>
        <rFont val="Arial Narrow"/>
        <charset val="134"/>
      </rPr>
      <t>1</t>
    </r>
    <r>
      <rPr>
        <sz val="10"/>
        <color rgb="FFFF0000"/>
        <rFont val="宋体"/>
        <charset val="134"/>
      </rPr>
      <t>个月以内，基本在</t>
    </r>
    <r>
      <rPr>
        <sz val="10"/>
        <color rgb="FFFF0000"/>
        <rFont val="Arial Narrow"/>
        <charset val="134"/>
      </rPr>
      <t>1</t>
    </r>
    <r>
      <rPr>
        <sz val="10"/>
        <color rgb="FFFF0000"/>
        <rFont val="宋体"/>
        <charset val="134"/>
      </rPr>
      <t>周之内发货（一般每月发一次订单）</t>
    </r>
  </si>
  <si>
    <r>
      <rPr>
        <sz val="10"/>
        <color rgb="FFFF0000"/>
        <rFont val="宋体"/>
        <charset val="134"/>
      </rPr>
      <t>合同条款为</t>
    </r>
    <r>
      <rPr>
        <sz val="10"/>
        <color rgb="FFFF0000"/>
        <rFont val="Arial Narrow"/>
        <charset val="134"/>
      </rPr>
      <t>1</t>
    </r>
    <r>
      <rPr>
        <sz val="10"/>
        <color rgb="FFFF0000"/>
        <rFont val="宋体"/>
        <charset val="134"/>
      </rPr>
      <t>个月之内</t>
    </r>
  </si>
  <si>
    <r>
      <rPr>
        <sz val="10"/>
        <color rgb="FFFF0000"/>
        <rFont val="宋体"/>
        <charset val="134"/>
      </rPr>
      <t>佣金返利</t>
    </r>
  </si>
  <si>
    <r>
      <rPr>
        <sz val="10"/>
        <color rgb="FFFF0000"/>
        <rFont val="Arial Narrow"/>
        <charset val="134"/>
      </rPr>
      <t>5-6%</t>
    </r>
    <r>
      <rPr>
        <sz val="10"/>
        <color rgb="FFFF0000"/>
        <rFont val="宋体"/>
        <charset val="134"/>
      </rPr>
      <t>，每季度按</t>
    </r>
    <r>
      <rPr>
        <sz val="10"/>
        <color rgb="FFFF0000"/>
        <rFont val="Arial Narrow"/>
        <charset val="134"/>
      </rPr>
      <t>5%</t>
    </r>
    <r>
      <rPr>
        <sz val="10"/>
        <color rgb="FFFF0000"/>
        <rFont val="宋体"/>
        <charset val="134"/>
      </rPr>
      <t>结算一次，全年若超过</t>
    </r>
    <r>
      <rPr>
        <sz val="10"/>
        <color rgb="FFFF0000"/>
        <rFont val="Arial Narrow"/>
        <charset val="134"/>
      </rPr>
      <t>6000</t>
    </r>
    <r>
      <rPr>
        <sz val="10"/>
        <color rgb="FFFF0000"/>
        <rFont val="宋体"/>
        <charset val="134"/>
      </rPr>
      <t>万采购量，按全年</t>
    </r>
    <r>
      <rPr>
        <sz val="10"/>
        <color rgb="FFFF0000"/>
        <rFont val="Arial Narrow"/>
        <charset val="134"/>
      </rPr>
      <t>5.5%</t>
    </r>
    <r>
      <rPr>
        <sz val="10"/>
        <color rgb="FFFF0000"/>
        <rFont val="宋体"/>
        <charset val="134"/>
      </rPr>
      <t>结算差额部分，若超过</t>
    </r>
    <r>
      <rPr>
        <sz val="10"/>
        <color rgb="FFFF0000"/>
        <rFont val="Arial Narrow"/>
        <charset val="134"/>
      </rPr>
      <t>7000</t>
    </r>
    <r>
      <rPr>
        <sz val="10"/>
        <color rgb="FFFF0000"/>
        <rFont val="宋体"/>
        <charset val="134"/>
      </rPr>
      <t>万，按全年</t>
    </r>
    <r>
      <rPr>
        <sz val="10"/>
        <color rgb="FFFF0000"/>
        <rFont val="Arial Narrow"/>
        <charset val="134"/>
      </rPr>
      <t>6%</t>
    </r>
    <r>
      <rPr>
        <sz val="10"/>
        <color rgb="FFFF0000"/>
        <rFont val="宋体"/>
        <charset val="134"/>
      </rPr>
      <t>结算差额部分；每年</t>
    </r>
    <r>
      <rPr>
        <sz val="10"/>
        <color rgb="FFFF0000"/>
        <rFont val="Arial Narrow"/>
        <charset val="134"/>
      </rPr>
      <t>4</t>
    </r>
    <r>
      <rPr>
        <sz val="10"/>
        <color rgb="FFFF0000"/>
        <rFont val="宋体"/>
        <charset val="134"/>
      </rPr>
      <t>月份进行全年佣金返利。</t>
    </r>
  </si>
  <si>
    <r>
      <rPr>
        <sz val="10"/>
        <color rgb="FFFF0000"/>
        <rFont val="宋体"/>
        <charset val="134"/>
      </rPr>
      <t>佣金水平</t>
    </r>
  </si>
  <si>
    <r>
      <rPr>
        <sz val="10"/>
        <color rgb="FFFF0000"/>
        <rFont val="宋体"/>
        <charset val="134"/>
      </rPr>
      <t>略高于同行业的返利水平，行业平均为</t>
    </r>
    <r>
      <rPr>
        <sz val="10"/>
        <color rgb="FFFF0000"/>
        <rFont val="Arial Narrow"/>
        <charset val="134"/>
      </rPr>
      <t>4.8-5.5%</t>
    </r>
  </si>
  <si>
    <r>
      <rPr>
        <sz val="10"/>
        <color rgb="FFFF0000"/>
        <rFont val="宋体"/>
        <charset val="134"/>
      </rPr>
      <t>运输方式及费用承担</t>
    </r>
  </si>
  <si>
    <r>
      <rPr>
        <sz val="10"/>
        <color rgb="FFFF0000"/>
        <rFont val="宋体"/>
        <charset val="134"/>
      </rPr>
      <t>实际承运单位：。物流公司汽运运输，运输时间</t>
    </r>
    <r>
      <rPr>
        <sz val="10"/>
        <color rgb="FFFF0000"/>
        <rFont val="Arial Narrow"/>
        <charset val="134"/>
      </rPr>
      <t>3-5</t>
    </r>
    <r>
      <rPr>
        <sz val="10"/>
        <color rgb="FFFF0000"/>
        <rFont val="宋体"/>
        <charset val="134"/>
      </rPr>
      <t>天，运费由发行人负责；运费中含保险费，保险受益人为发行人</t>
    </r>
  </si>
  <si>
    <r>
      <rPr>
        <sz val="10"/>
        <color rgb="FFFF0000"/>
        <rFont val="宋体"/>
        <charset val="134"/>
      </rPr>
      <t>交付方式</t>
    </r>
  </si>
  <si>
    <r>
      <rPr>
        <sz val="10"/>
        <color rgb="FFFF0000"/>
        <rFont val="Arial Narrow"/>
        <charset val="134"/>
      </rPr>
      <t>XYZ</t>
    </r>
    <r>
      <rPr>
        <sz val="10"/>
        <color rgb="FFFF0000"/>
        <rFont val="宋体"/>
        <charset val="134"/>
      </rPr>
      <t>收到材料，验收合格后，在发行人的验收单和物流公司的运单上签字确认后，交付完毕</t>
    </r>
  </si>
  <si>
    <r>
      <rPr>
        <sz val="10"/>
        <color rgb="FFFF0000"/>
        <rFont val="宋体"/>
        <charset val="134"/>
      </rPr>
      <t>质量保证</t>
    </r>
  </si>
  <si>
    <r>
      <rPr>
        <sz val="10"/>
        <color rgb="FFFF0000"/>
        <rFont val="宋体"/>
        <charset val="134"/>
      </rPr>
      <t>收货验收后质保</t>
    </r>
    <r>
      <rPr>
        <sz val="10"/>
        <color rgb="FFFF0000"/>
        <rFont val="Arial Narrow"/>
        <charset val="134"/>
      </rPr>
      <t>1</t>
    </r>
    <r>
      <rPr>
        <sz val="10"/>
        <color rgb="FFFF0000"/>
        <rFont val="宋体"/>
        <charset val="134"/>
      </rPr>
      <t>个月</t>
    </r>
  </si>
  <si>
    <r>
      <rPr>
        <sz val="10"/>
        <color rgb="FFFF0000"/>
        <rFont val="宋体"/>
        <charset val="134"/>
      </rPr>
      <t>验收或检验</t>
    </r>
  </si>
  <si>
    <r>
      <rPr>
        <sz val="10"/>
        <color rgb="FFFF0000"/>
        <rFont val="宋体"/>
        <charset val="134"/>
      </rPr>
      <t>出具验收报告</t>
    </r>
    <r>
      <rPr>
        <sz val="10"/>
        <color rgb="FFFF0000"/>
        <rFont val="Arial Narrow"/>
        <charset val="134"/>
      </rPr>
      <t>/</t>
    </r>
    <r>
      <rPr>
        <sz val="10"/>
        <color rgb="FFFF0000"/>
        <rFont val="宋体"/>
        <charset val="134"/>
      </rPr>
      <t>验收单</t>
    </r>
  </si>
  <si>
    <r>
      <rPr>
        <sz val="10"/>
        <color rgb="FFFF0000"/>
        <rFont val="宋体"/>
        <charset val="134"/>
      </rPr>
      <t>与凭证检查情况一致</t>
    </r>
  </si>
  <si>
    <r>
      <rPr>
        <sz val="10"/>
        <color rgb="FFFF0000"/>
        <rFont val="宋体"/>
        <charset val="134"/>
      </rPr>
      <t>退货、换货情况</t>
    </r>
  </si>
  <si>
    <r>
      <rPr>
        <sz val="10"/>
        <color rgb="FFFF0000"/>
        <rFont val="宋体"/>
        <charset val="134"/>
      </rPr>
      <t>合作</t>
    </r>
    <r>
      <rPr>
        <sz val="10"/>
        <color rgb="FFFF0000"/>
        <rFont val="Arial Narrow"/>
        <charset val="134"/>
      </rPr>
      <t>5</t>
    </r>
    <r>
      <rPr>
        <sz val="10"/>
        <color rgb="FFFF0000"/>
        <rFont val="宋体"/>
        <charset val="134"/>
      </rPr>
      <t>年来，仅在</t>
    </r>
    <r>
      <rPr>
        <sz val="10"/>
        <color rgb="FFFF0000"/>
        <rFont val="Arial Narrow"/>
        <charset val="134"/>
      </rPr>
      <t>3</t>
    </r>
    <r>
      <rPr>
        <sz val="10"/>
        <color rgb="FFFF0000"/>
        <rFont val="宋体"/>
        <charset val="134"/>
      </rPr>
      <t>年前发生过一次质保期内的质量问题，换货解决，价值约为</t>
    </r>
    <r>
      <rPr>
        <sz val="10"/>
        <color rgb="FFFF0000"/>
        <rFont val="Arial Narrow"/>
        <charset val="134"/>
      </rPr>
      <t>20</t>
    </r>
    <r>
      <rPr>
        <sz val="10"/>
        <color rgb="FFFF0000"/>
        <rFont val="宋体"/>
        <charset val="134"/>
      </rPr>
      <t>万</t>
    </r>
  </si>
  <si>
    <r>
      <rPr>
        <sz val="10"/>
        <color rgb="FFFF0000"/>
        <rFont val="宋体"/>
        <charset val="134"/>
      </rPr>
      <t>与从发行人处获取的信息一致</t>
    </r>
  </si>
  <si>
    <r>
      <rPr>
        <sz val="10"/>
        <color rgb="FFFF0000"/>
        <rFont val="宋体"/>
        <charset val="134"/>
      </rPr>
      <t>是否涉及委托加工</t>
    </r>
  </si>
  <si>
    <r>
      <rPr>
        <sz val="10"/>
        <color rgb="FFFF0000"/>
        <rFont val="宋体"/>
        <charset val="134"/>
      </rPr>
      <t>是否存在实物返利</t>
    </r>
  </si>
  <si>
    <r>
      <rPr>
        <sz val="10"/>
        <color rgb="FFFF0000"/>
        <rFont val="宋体"/>
        <charset val="134"/>
      </rPr>
      <t>现金交易情况</t>
    </r>
  </si>
  <si>
    <r>
      <rPr>
        <sz val="10"/>
        <color rgb="FFFF0000"/>
        <rFont val="宋体"/>
        <charset val="134"/>
      </rPr>
      <t>第三方收款</t>
    </r>
    <r>
      <rPr>
        <sz val="10"/>
        <color rgb="FFFF0000"/>
        <rFont val="Arial Narrow"/>
        <charset val="134"/>
      </rPr>
      <t>/</t>
    </r>
    <r>
      <rPr>
        <sz val="10"/>
        <color rgb="FFFF0000"/>
        <rFont val="宋体"/>
        <charset val="134"/>
      </rPr>
      <t>付款</t>
    </r>
  </si>
  <si>
    <r>
      <rPr>
        <sz val="10"/>
        <color rgb="FFFF0000"/>
        <rFont val="宋体"/>
        <charset val="134"/>
      </rPr>
      <t>代收款、代付款情况</t>
    </r>
  </si>
  <si>
    <r>
      <rPr>
        <sz val="10"/>
        <color rgb="FFFF0000"/>
        <rFont val="宋体"/>
        <charset val="134"/>
      </rPr>
      <t>其他资金往来</t>
    </r>
  </si>
  <si>
    <r>
      <rPr>
        <sz val="10"/>
        <color rgb="FFFF0000"/>
        <rFont val="宋体"/>
        <charset val="134"/>
      </rPr>
      <t>是否涉诉</t>
    </r>
  </si>
  <si>
    <r>
      <rPr>
        <b/>
        <sz val="10"/>
        <color rgb="FFFF0000"/>
        <rFont val="宋体"/>
        <charset val="134"/>
      </rPr>
      <t>四、走访经营场所</t>
    </r>
  </si>
  <si>
    <r>
      <rPr>
        <sz val="10"/>
        <color rgb="FFFF0000"/>
        <rFont val="宋体"/>
        <charset val="134"/>
      </rPr>
      <t>【走访</t>
    </r>
    <r>
      <rPr>
        <sz val="10"/>
        <color rgb="FFFF0000"/>
        <rFont val="Arial Narrow"/>
        <charset val="134"/>
      </rPr>
      <t>XYZ</t>
    </r>
    <r>
      <rPr>
        <sz val="10"/>
        <color rgb="FFFF0000"/>
        <rFont val="宋体"/>
        <charset val="134"/>
      </rPr>
      <t>的生产经营场所等（若适用），关注其生产经营现状与访谈内容相互印证】</t>
    </r>
  </si>
  <si>
    <r>
      <rPr>
        <sz val="10"/>
        <color rgb="FFFF0000"/>
        <rFont val="Arial Narrow"/>
        <charset val="134"/>
      </rPr>
      <t>XYZ</t>
    </r>
    <r>
      <rPr>
        <sz val="10"/>
        <color rgb="FFFF0000"/>
        <rFont val="宋体"/>
        <charset val="134"/>
      </rPr>
      <t>公司位于</t>
    </r>
    <r>
      <rPr>
        <sz val="10"/>
        <color rgb="FFFF0000"/>
        <rFont val="Arial Narrow"/>
        <charset val="134"/>
      </rPr>
      <t>XXX</t>
    </r>
    <r>
      <rPr>
        <sz val="10"/>
        <color rgb="FFFF0000"/>
        <rFont val="宋体"/>
        <charset val="134"/>
      </rPr>
      <t>工业园区，园区面积</t>
    </r>
    <r>
      <rPr>
        <sz val="10"/>
        <color rgb="FFFF0000"/>
        <rFont val="Arial Narrow"/>
        <charset val="134"/>
      </rPr>
      <t>300</t>
    </r>
    <r>
      <rPr>
        <sz val="10"/>
        <color rgb="FFFF0000"/>
        <rFont val="宋体"/>
        <charset val="134"/>
      </rPr>
      <t>亩，主要生产</t>
    </r>
    <r>
      <rPr>
        <sz val="10"/>
        <color rgb="FFFF0000"/>
        <rFont val="Arial Narrow"/>
        <charset val="134"/>
      </rPr>
      <t>XXXX</t>
    </r>
    <r>
      <rPr>
        <sz val="10"/>
        <color rgb="FFFF0000"/>
        <rFont val="宋体"/>
        <charset val="134"/>
      </rPr>
      <t>，主要原材料</t>
    </r>
    <r>
      <rPr>
        <sz val="10"/>
        <color rgb="FFFF0000"/>
        <rFont val="Arial Narrow"/>
        <charset val="134"/>
      </rPr>
      <t>AAA</t>
    </r>
    <r>
      <rPr>
        <sz val="10"/>
        <color rgb="FFFF0000"/>
        <rFont val="宋体"/>
        <charset val="134"/>
      </rPr>
      <t>，年产能</t>
    </r>
    <r>
      <rPr>
        <sz val="10"/>
        <color rgb="FFFF0000"/>
        <rFont val="Arial Narrow"/>
        <charset val="134"/>
      </rPr>
      <t>XXXX</t>
    </r>
    <r>
      <rPr>
        <sz val="10"/>
        <color rgb="FFFF0000"/>
        <rFont val="宋体"/>
        <charset val="134"/>
      </rPr>
      <t>吨。</t>
    </r>
  </si>
  <si>
    <r>
      <rPr>
        <sz val="10"/>
        <color rgb="FFFF0000"/>
        <rFont val="Arial Narrow"/>
        <charset val="134"/>
      </rPr>
      <t>XYZ</t>
    </r>
    <r>
      <rPr>
        <sz val="10"/>
        <color rgb="FFFF0000"/>
        <rFont val="宋体"/>
        <charset val="134"/>
      </rPr>
      <t>公司目前处于生产旺季，现场观察厂房生产正常，开工率约为</t>
    </r>
    <r>
      <rPr>
        <sz val="10"/>
        <color rgb="FFFF0000"/>
        <rFont val="Arial Narrow"/>
        <charset val="134"/>
      </rPr>
      <t>90%</t>
    </r>
    <r>
      <rPr>
        <sz val="10"/>
        <color rgb="FFFF0000"/>
        <rFont val="宋体"/>
        <charset val="134"/>
      </rPr>
      <t>；</t>
    </r>
  </si>
  <si>
    <r>
      <rPr>
        <sz val="10"/>
        <color rgb="FFFF0000"/>
        <rFont val="宋体"/>
        <charset val="134"/>
      </rPr>
      <t>走访</t>
    </r>
    <r>
      <rPr>
        <sz val="10"/>
        <color rgb="FFFF0000"/>
        <rFont val="Arial Narrow"/>
        <charset val="134"/>
      </rPr>
      <t>XYZ</t>
    </r>
    <r>
      <rPr>
        <sz val="10"/>
        <color rgb="FFFF0000"/>
        <rFont val="宋体"/>
        <charset val="134"/>
      </rPr>
      <t>公司的原料库，见到约</t>
    </r>
    <r>
      <rPr>
        <sz val="10"/>
        <color rgb="FFFF0000"/>
        <rFont val="Arial Narrow"/>
        <charset val="134"/>
      </rPr>
      <t>20</t>
    </r>
    <r>
      <rPr>
        <sz val="10"/>
        <color rgb="FFFF0000"/>
        <rFont val="宋体"/>
        <charset val="134"/>
      </rPr>
      <t>吨发行人生产的</t>
    </r>
    <r>
      <rPr>
        <sz val="10"/>
        <color rgb="FFFF0000"/>
        <rFont val="Arial Narrow"/>
        <charset val="134"/>
      </rPr>
      <t>AAA</t>
    </r>
    <r>
      <rPr>
        <sz val="10"/>
        <color rgb="FFFF0000"/>
        <rFont val="宋体"/>
        <charset val="134"/>
      </rPr>
      <t>材料（与年消耗</t>
    </r>
    <r>
      <rPr>
        <sz val="10"/>
        <color rgb="FFFF0000"/>
        <rFont val="Arial Narrow"/>
        <charset val="134"/>
      </rPr>
      <t>500-600</t>
    </r>
    <r>
      <rPr>
        <sz val="10"/>
        <color rgb="FFFF0000"/>
        <rFont val="宋体"/>
        <charset val="134"/>
      </rPr>
      <t>吨，每月订货的应用库存量相符），走访产成品库，见到</t>
    </r>
    <r>
      <rPr>
        <sz val="10"/>
        <color rgb="FFFF0000"/>
        <rFont val="Arial Narrow"/>
        <charset val="134"/>
      </rPr>
      <t>XXXX</t>
    </r>
    <r>
      <rPr>
        <sz val="10"/>
        <color rgb="FFFF0000"/>
        <rFont val="宋体"/>
        <charset val="134"/>
      </rPr>
      <t>产品约</t>
    </r>
    <r>
      <rPr>
        <sz val="10"/>
        <color rgb="FFFF0000"/>
        <rFont val="Arial Narrow"/>
        <charset val="134"/>
      </rPr>
      <t>30</t>
    </r>
    <r>
      <rPr>
        <sz val="10"/>
        <color rgb="FFFF0000"/>
        <rFont val="宋体"/>
        <charset val="134"/>
      </rPr>
      <t>吨，见到</t>
    </r>
    <r>
      <rPr>
        <sz val="10"/>
        <color rgb="FFFF0000"/>
        <rFont val="Arial Narrow"/>
        <charset val="134"/>
      </rPr>
      <t>XYZ</t>
    </r>
    <r>
      <rPr>
        <sz val="10"/>
        <color rgb="FFFF0000"/>
        <rFont val="宋体"/>
        <charset val="134"/>
      </rPr>
      <t>公司向其客户发运</t>
    </r>
    <r>
      <rPr>
        <sz val="10"/>
        <color rgb="FFFF0000"/>
        <rFont val="Arial Narrow"/>
        <charset val="134"/>
      </rPr>
      <t>XXXX</t>
    </r>
    <r>
      <rPr>
        <sz val="10"/>
        <color rgb="FFFF0000"/>
        <rFont val="宋体"/>
        <charset val="134"/>
      </rPr>
      <t>产品。</t>
    </r>
  </si>
  <si>
    <r>
      <rPr>
        <sz val="10"/>
        <color rgb="FFFF0000"/>
        <rFont val="Arial Narrow"/>
        <charset val="134"/>
      </rPr>
      <t>XYZ</t>
    </r>
    <r>
      <rPr>
        <sz val="10"/>
        <color rgb="FFFF0000"/>
        <rFont val="宋体"/>
        <charset val="134"/>
      </rPr>
      <t>公司</t>
    </r>
    <r>
      <rPr>
        <sz val="10"/>
        <color rgb="FFFF0000"/>
        <rFont val="Arial Narrow"/>
        <charset val="134"/>
      </rPr>
      <t>XXXX</t>
    </r>
    <r>
      <rPr>
        <sz val="10"/>
        <color rgb="FFFF0000"/>
        <rFont val="宋体"/>
        <charset val="134"/>
      </rPr>
      <t>产品的销售良好，采用赊销方式，直接销售给最终用户，平均收款周期为</t>
    </r>
    <r>
      <rPr>
        <sz val="10"/>
        <color rgb="FFFF0000"/>
        <rFont val="Arial Narrow"/>
        <charset val="134"/>
      </rPr>
      <t>2</t>
    </r>
    <r>
      <rPr>
        <sz val="10"/>
        <color rgb="FFFF0000"/>
        <rFont val="宋体"/>
        <charset val="134"/>
      </rPr>
      <t>个月；与行业状况基本相符。</t>
    </r>
  </si>
  <si>
    <r>
      <rPr>
        <sz val="10"/>
        <color rgb="FFFF0000"/>
        <rFont val="宋体"/>
        <charset val="134"/>
      </rPr>
      <t>产品使用场景的照片（显示客户公司名称的铭牌，注明日期）：</t>
    </r>
  </si>
  <si>
    <r>
      <rPr>
        <b/>
        <sz val="10"/>
        <color rgb="FFFF0000"/>
        <rFont val="宋体"/>
        <charset val="134"/>
      </rPr>
      <t>五、现场函证</t>
    </r>
  </si>
  <si>
    <r>
      <rPr>
        <sz val="10"/>
        <color rgb="FFFF0000"/>
        <rFont val="宋体"/>
        <charset val="134"/>
      </rPr>
      <t>【对</t>
    </r>
    <r>
      <rPr>
        <sz val="10"/>
        <color rgb="FFFF0000"/>
        <rFont val="Arial Narrow"/>
        <charset val="134"/>
      </rPr>
      <t>XYZ</t>
    </r>
    <r>
      <rPr>
        <sz val="10"/>
        <color rgb="FFFF0000"/>
        <rFont val="宋体"/>
        <charset val="134"/>
      </rPr>
      <t>公司进行现场函证（函证内容包括但不限于与发行人的：采购量、采购总额、截止日的债权</t>
    </r>
    <r>
      <rPr>
        <sz val="10"/>
        <color rgb="FFFF0000"/>
        <rFont val="Arial Narrow"/>
        <charset val="134"/>
      </rPr>
      <t>/</t>
    </r>
    <r>
      <rPr>
        <sz val="10"/>
        <color rgb="FFFF0000"/>
        <rFont val="宋体"/>
        <charset val="134"/>
      </rPr>
      <t>债务余额、重要合同条款及其他项目组认为必要的信息；关联方关系确认函）】</t>
    </r>
  </si>
  <si>
    <r>
      <rPr>
        <sz val="10"/>
        <color rgb="FFFF0000"/>
        <rFont val="宋体"/>
        <charset val="134"/>
      </rPr>
      <t>现场获取经</t>
    </r>
    <r>
      <rPr>
        <sz val="10"/>
        <color rgb="FFFF0000"/>
        <rFont val="Arial Narrow"/>
        <charset val="134"/>
      </rPr>
      <t>XYZ</t>
    </r>
    <r>
      <rPr>
        <sz val="10"/>
        <color rgb="FFFF0000"/>
        <rFont val="宋体"/>
        <charset val="134"/>
      </rPr>
      <t>公司盖章确认的函证，</t>
    </r>
    <r>
      <rPr>
        <sz val="10"/>
        <color rgb="FFFF0000"/>
        <rFont val="Arial Narrow"/>
        <charset val="134"/>
      </rPr>
      <t>XYZ</t>
    </r>
    <r>
      <rPr>
        <sz val="10"/>
        <color rgb="FFFF0000"/>
        <rFont val="宋体"/>
        <charset val="134"/>
      </rPr>
      <t>公司对函证信息确认一致（差异为</t>
    </r>
    <r>
      <rPr>
        <sz val="10"/>
        <color rgb="FFFF0000"/>
        <rFont val="Arial Narrow"/>
        <charset val="134"/>
      </rPr>
      <t>20</t>
    </r>
    <r>
      <rPr>
        <sz val="10"/>
        <color rgb="FFFF0000"/>
        <rFont val="宋体"/>
        <charset val="134"/>
      </rPr>
      <t>吨、</t>
    </r>
    <r>
      <rPr>
        <sz val="10"/>
        <color rgb="FFFF0000"/>
        <rFont val="Arial Narrow"/>
        <charset val="134"/>
      </rPr>
      <t>200</t>
    </r>
    <r>
      <rPr>
        <sz val="10"/>
        <color rgb="FFFF0000"/>
        <rFont val="宋体"/>
        <charset val="134"/>
      </rPr>
      <t>万，系</t>
    </r>
    <r>
      <rPr>
        <sz val="10"/>
        <color rgb="FFFF0000"/>
        <rFont val="Arial Narrow"/>
        <charset val="134"/>
      </rPr>
      <t>XYZ</t>
    </r>
    <r>
      <rPr>
        <sz val="10"/>
        <color rgb="FFFF0000"/>
        <rFont val="宋体"/>
        <charset val="134"/>
      </rPr>
      <t>公司尚未对</t>
    </r>
    <r>
      <rPr>
        <sz val="10"/>
        <color rgb="FFFF0000"/>
        <rFont val="Arial Narrow"/>
        <charset val="134"/>
      </rPr>
      <t>12</t>
    </r>
    <r>
      <rPr>
        <sz val="10"/>
        <color rgb="FFFF0000"/>
        <rFont val="宋体"/>
        <charset val="134"/>
      </rPr>
      <t>月份采购的原材料入账所致，经查</t>
    </r>
    <r>
      <rPr>
        <sz val="10"/>
        <color rgb="FFFF0000"/>
        <rFont val="Arial Narrow"/>
        <charset val="134"/>
      </rPr>
      <t>12</t>
    </r>
    <r>
      <rPr>
        <sz val="10"/>
        <color rgb="FFFF0000"/>
        <rFont val="宋体"/>
        <charset val="134"/>
      </rPr>
      <t>月份发票、出库单、运单核对一致），详见索引号</t>
    </r>
    <r>
      <rPr>
        <sz val="10"/>
        <color rgb="FFFF0000"/>
        <rFont val="Arial Narrow"/>
        <charset val="134"/>
      </rPr>
      <t xml:space="preserve">       </t>
    </r>
    <r>
      <rPr>
        <sz val="10"/>
        <color rgb="FFFF0000"/>
        <rFont val="宋体"/>
        <charset val="134"/>
      </rPr>
      <t>。</t>
    </r>
  </si>
  <si>
    <r>
      <rPr>
        <b/>
        <sz val="10"/>
        <color rgb="FFFF0000"/>
        <rFont val="宋体"/>
        <charset val="134"/>
      </rPr>
      <t>六、关联方关系</t>
    </r>
  </si>
  <si>
    <r>
      <rPr>
        <sz val="10"/>
        <color rgb="FFFF0000"/>
        <rFont val="宋体"/>
        <charset val="134"/>
      </rPr>
      <t>走访公司的控股股东、实际控制人：</t>
    </r>
  </si>
  <si>
    <r>
      <rPr>
        <sz val="10"/>
        <color rgb="FFFF0000"/>
        <rFont val="宋体"/>
        <charset val="134"/>
      </rPr>
      <t>走访公司的董监高、关键经办人员（如采购、销售部门负责人、出纳等）：</t>
    </r>
  </si>
  <si>
    <r>
      <rPr>
        <b/>
        <sz val="10"/>
        <color rgb="FFFF0000"/>
        <rFont val="宋体"/>
        <charset val="134"/>
      </rPr>
      <t>七、其他</t>
    </r>
  </si>
  <si>
    <r>
      <rPr>
        <b/>
        <sz val="10"/>
        <color rgb="FF000000"/>
        <rFont val="宋体"/>
        <charset val="134"/>
      </rPr>
      <t>走访结论：</t>
    </r>
  </si>
  <si>
    <t>1.获取被审计单位主要供应商、客户资金流水，检查是否与被审计单位控股股东、实际控制人以及其他关联方存在大额资金往来，如有，应确定该等资金往来是否与被审计单位收入舞弊有关。</t>
  </si>
  <si>
    <t>2.获取被审计单位控股股东、实际控制人、关键管理人员以及其他关联方银行账户资金流水，检查是否存在前述各方提供资金配合被审计单位虚构收入的情况。</t>
  </si>
  <si>
    <t>单位名称/姓名</t>
  </si>
  <si>
    <t>本期交易金额</t>
  </si>
  <si>
    <t>开户银行</t>
  </si>
  <si>
    <t>账号</t>
  </si>
  <si>
    <t>资金流水获取途径</t>
  </si>
  <si>
    <t>是否发现异常交易</t>
  </si>
  <si>
    <t>主要供应商</t>
  </si>
  <si>
    <t>主要客户</t>
  </si>
  <si>
    <t>其他业务毛利率分析表</t>
  </si>
  <si>
    <t>其他业务收入合同测算表</t>
  </si>
  <si>
    <t>其他业务收入检查表</t>
  </si>
  <si>
    <t>其他业务收入截止性测试</t>
  </si>
  <si>
    <r>
      <rPr>
        <b/>
        <sz val="12"/>
        <rFont val="Arial Narrow"/>
        <charset val="134"/>
      </rPr>
      <t>1.</t>
    </r>
    <r>
      <rPr>
        <b/>
        <sz val="12"/>
        <rFont val="宋体"/>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</si>
  <si>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r>
      <rPr>
        <b/>
        <sz val="12"/>
        <rFont val="Arial Narrow"/>
        <charset val="134"/>
      </rPr>
      <t>2.</t>
    </r>
    <r>
      <rPr>
        <b/>
        <sz val="12"/>
        <rFont val="宋体"/>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charset val="134"/>
      </rPr>
      <t>D1-2-1</t>
    </r>
    <r>
      <rPr>
        <sz val="12"/>
        <rFont val="宋体"/>
        <charset val="134"/>
      </rPr>
      <t>、</t>
    </r>
    <r>
      <rPr>
        <sz val="12"/>
        <rFont val="Arial Narrow"/>
        <charset val="134"/>
      </rPr>
      <t>D1-2-2</t>
    </r>
    <r>
      <rPr>
        <sz val="12"/>
        <rFont val="宋体"/>
        <charset val="134"/>
      </rPr>
      <t>、</t>
    </r>
    <r>
      <rPr>
        <sz val="12"/>
        <rFont val="Arial Narrow"/>
        <charset val="134"/>
      </rPr>
      <t>……</t>
    </r>
    <r>
      <rPr>
        <sz val="12"/>
        <rFont val="宋体"/>
        <charset val="134"/>
      </rPr>
      <t>），并在底稿中说明引用的支持性证据、关联索引号。</t>
    </r>
  </si>
  <si>
    <r>
      <rPr>
        <b/>
        <sz val="12"/>
        <rFont val="Arial Narrow"/>
        <charset val="134"/>
      </rPr>
      <t>3.</t>
    </r>
    <r>
      <rPr>
        <b/>
        <sz val="12"/>
        <rFont val="宋体"/>
        <charset val="134"/>
      </rPr>
      <t>工作底稿索引号的编码规则：</t>
    </r>
    <r>
      <rPr>
        <sz val="12"/>
        <rFont val="宋体"/>
        <charset val="134"/>
      </rPr>
      <t>实质性程序索引号按循环从</t>
    </r>
    <r>
      <rPr>
        <sz val="12"/>
        <rFont val="Arial Narrow"/>
        <charset val="134"/>
      </rPr>
      <t>“D”</t>
    </r>
    <r>
      <rPr>
        <sz val="12"/>
        <rFont val="宋体"/>
        <charset val="134"/>
      </rPr>
      <t>到</t>
    </r>
    <r>
      <rPr>
        <sz val="12"/>
        <rFont val="Arial Narrow"/>
        <charset val="134"/>
      </rPr>
      <t>“N”,</t>
    </r>
    <r>
      <rPr>
        <sz val="12"/>
        <rFont val="宋体"/>
        <charset val="134"/>
      </rPr>
      <t>循环内账户以顺序号排列，模板中底稿索引号按账户顺序</t>
    </r>
    <r>
      <rPr>
        <sz val="12"/>
        <rFont val="Arial Narrow"/>
        <charset val="134"/>
      </rPr>
      <t>+</t>
    </r>
    <r>
      <rPr>
        <sz val="12"/>
        <rFont val="宋体"/>
        <charset val="134"/>
      </rPr>
      <t>自然数顺序（即模板中索引号按二级自然顺序排列，如</t>
    </r>
    <r>
      <rPr>
        <sz val="12"/>
        <rFont val="Arial Narrow"/>
        <charset val="134"/>
      </rPr>
      <t>D1-1</t>
    </r>
    <r>
      <rPr>
        <sz val="12"/>
        <rFont val="宋体"/>
        <charset val="134"/>
      </rPr>
      <t>、</t>
    </r>
    <r>
      <rPr>
        <sz val="12"/>
        <rFont val="Arial Narrow"/>
        <charset val="134"/>
      </rPr>
      <t>D1-2</t>
    </r>
    <r>
      <rPr>
        <sz val="12"/>
        <rFont val="宋体"/>
        <charset val="134"/>
      </rPr>
      <t>、</t>
    </r>
    <r>
      <rPr>
        <sz val="12"/>
        <rFont val="Arial Narrow"/>
        <charset val="134"/>
      </rPr>
      <t>D1-3</t>
    </r>
    <r>
      <rPr>
        <sz val="12"/>
        <rFont val="宋体"/>
        <charset val="134"/>
      </rPr>
      <t>、</t>
    </r>
    <r>
      <rPr>
        <sz val="12"/>
        <rFont val="Arial Narrow"/>
        <charset val="134"/>
      </rPr>
      <t>……D1-N</t>
    </r>
    <r>
      <rPr>
        <sz val="12"/>
        <rFont val="宋体"/>
        <charset val="134"/>
      </rPr>
      <t>）。</t>
    </r>
  </si>
  <si>
    <t xml:space="preserve">索引号： </t>
  </si>
  <si>
    <t>1.利润表中记录的其他业务收入已发生，且与被审计单位有关，已记录于恰当的账户。</t>
  </si>
  <si>
    <t>2.所有应当记录的其他业务收入均已记录，所有应当包括在财务报表中的相关披露均已包括。</t>
  </si>
  <si>
    <t>3.与其他业务收入有关的金额及其他数据已恰当记录，相关披露已得到恰当计量和描述。</t>
  </si>
  <si>
    <r>
      <rPr>
        <b/>
        <sz val="10"/>
        <rFont val="宋体"/>
        <charset val="134"/>
      </rPr>
      <t>毛利率</t>
    </r>
  </si>
  <si>
    <t>合 计</t>
  </si>
  <si>
    <t>上年数</t>
  </si>
  <si>
    <r>
      <rPr>
        <sz val="10"/>
        <rFont val="Arial Narrow"/>
        <charset val="134"/>
      </rPr>
      <t>1.</t>
    </r>
    <r>
      <rPr>
        <sz val="10"/>
        <rFont val="宋体"/>
        <charset val="134"/>
      </rPr>
      <t>利润表中记录的其他业务收入已发生，且与被审计单位有关，已记录于恰当的账户。</t>
    </r>
  </si>
  <si>
    <r>
      <rPr>
        <sz val="10"/>
        <rFont val="Arial Narrow"/>
        <charset val="134"/>
      </rPr>
      <t>2.</t>
    </r>
    <r>
      <rPr>
        <sz val="10"/>
        <rFont val="宋体"/>
        <charset val="134"/>
      </rPr>
      <t>所有应当记录的其他业务收入均已记录，所有应当包括在财务报表中的相关披露均已包括</t>
    </r>
  </si>
  <si>
    <r>
      <rPr>
        <sz val="10"/>
        <rFont val="Arial Narrow"/>
        <charset val="134"/>
      </rPr>
      <t>3.</t>
    </r>
    <r>
      <rPr>
        <sz val="10"/>
        <rFont val="宋体"/>
        <charset val="134"/>
      </rPr>
      <t>与其他业务收入有关的金额及其他数据已恰当记录，相关披露已得到恰当计量和描述</t>
    </r>
  </si>
  <si>
    <r>
      <rPr>
        <sz val="10"/>
        <rFont val="Arial Narrow"/>
        <charset val="134"/>
      </rPr>
      <t>4.</t>
    </r>
    <r>
      <rPr>
        <sz val="10"/>
        <rFont val="宋体"/>
        <charset val="134"/>
      </rPr>
      <t>与其他业务收入有关的交易和事项已记录于正确的会计期间。</t>
    </r>
  </si>
  <si>
    <t>1.房屋租赁业务（其他租赁可参照）</t>
  </si>
  <si>
    <t>承租方</t>
  </si>
  <si>
    <t>租赁期间</t>
  </si>
  <si>
    <t>租赁面积</t>
  </si>
  <si>
    <t>合同单价</t>
  </si>
  <si>
    <t>合同索引</t>
  </si>
  <si>
    <t>本期实际
租赁月数</t>
  </si>
  <si>
    <t>本期应计收入</t>
  </si>
  <si>
    <t>本期实计收入</t>
  </si>
  <si>
    <t>2.咨询业务</t>
  </si>
  <si>
    <t>委托方</t>
  </si>
  <si>
    <t>咨询项目</t>
  </si>
  <si>
    <t>委托期限</t>
  </si>
  <si>
    <t>其他业务收入的检查表</t>
  </si>
  <si>
    <t>1.利润表中记录的其他业务收入已发生，且与被审计单位有关，已记录于恰当的账户。2.与其他业务收入有关的金额及其他数据已恰当记录，相关披露已得到恰当计量和描述。</t>
  </si>
  <si>
    <t>如借方发生额所有凭证共XX笔金额XX、贷方发生额所有凭证共XX笔金额XX</t>
  </si>
  <si>
    <t>抽取XX笔（如果使用了样本计算器计算样本量，样本量计算过程见&lt;XX&gt;底稿）</t>
  </si>
  <si>
    <r>
      <rPr>
        <b/>
        <sz val="10"/>
        <color rgb="FFFF0000"/>
        <rFont val="宋体"/>
        <charset val="134"/>
      </rPr>
      <t>测试内容说明：</t>
    </r>
    <r>
      <rPr>
        <sz val="10"/>
        <color rgb="FFFF0000"/>
        <rFont val="宋体"/>
        <charset val="134"/>
      </rPr>
      <t>1.原始凭证是否齐全；2.记账凭证与原始凭证是否相符；3.账务处理是否正确；4.是否记录于恰当的会计期间；5.……</t>
    </r>
  </si>
  <si>
    <t>凭证编号</t>
  </si>
  <si>
    <t>对方科目</t>
  </si>
  <si>
    <t>支持性文件</t>
  </si>
  <si>
    <t>核对内容</t>
  </si>
  <si>
    <t>备注说明</t>
  </si>
  <si>
    <t xml:space="preserve"> </t>
  </si>
  <si>
    <t xml:space="preserve">   索引号： </t>
  </si>
  <si>
    <t>确认与其他业务收入有关事项已记录于正确的会计期间。</t>
  </si>
  <si>
    <t>1.获取报表日前（______）天、后（______）天，且金额大于______元收入记账凭证与发货单（或验收单、出库单等）核对确认</t>
  </si>
  <si>
    <t>收入是否记入了恰当的期间；</t>
  </si>
  <si>
    <t>2.获取报表日前（______）天、后（______）天，且金额大于______元发货单（或验收单、出库单等）与收入记账凭证核对确认</t>
  </si>
  <si>
    <t>如果存在跨期舞弊风险或者所检查样本中发现有跨期的，应扩大测试期间和样本，甚至可以考虑将截止测试期间延长至审计报告日。同时考虑是否存在内控缺陷。</t>
  </si>
  <si>
    <t>（一）账到单据</t>
  </si>
  <si>
    <t>发货单（或验收单、出库单等）</t>
  </si>
  <si>
    <t>是否跨期√(×)</t>
  </si>
  <si>
    <t>截止日期：202X年12月31日</t>
  </si>
  <si>
    <t>（二）单据到账</t>
  </si>
  <si>
    <t>提示2：如果存在跨期舞弊风险或者所检查样本中发现有跨期的，应扩大测试期间和样本，甚至可以考虑将截止测试期间延长至审计报告日。同时考虑是否存在内控缺陷。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</si>
</sst>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 #,##0.00_);_(* \(#,##0.00\);_(* &quot;-&quot;??_);_(@_)"/>
    <numFmt numFmtId="178" formatCode="#,##0.00_ "/>
    <numFmt numFmtId="179" formatCode="#,##0_ "/>
    <numFmt numFmtId="180" formatCode="#,##0.00_);[Red]\(#,##0.00\)"/>
    <numFmt numFmtId="181" formatCode="0_);[Red]\(0\)"/>
    <numFmt numFmtId="182" formatCode="#,##0.000_ "/>
    <numFmt numFmtId="183" formatCode="0.00_);[Red]\(0.00\)"/>
  </numFmts>
  <fonts count="104">
    <font>
      <sz val="11"/>
      <color theme="1"/>
      <name val="宋体"/>
      <charset val="134"/>
      <scheme val="minor"/>
    </font>
    <font>
      <sz val="10"/>
      <name val="宋体"/>
      <charset val="134"/>
    </font>
    <font>
      <b/>
      <sz val="12"/>
      <name val="宋体"/>
      <charset val="134"/>
    </font>
    <font>
      <b/>
      <sz val="10"/>
      <name val="宋体"/>
      <charset val="134"/>
    </font>
    <font>
      <b/>
      <sz val="14"/>
      <name val="宋体"/>
      <charset val="134"/>
    </font>
    <font>
      <sz val="10"/>
      <color rgb="FF0000FF"/>
      <name val="Arial Narrow"/>
      <charset val="134"/>
    </font>
    <font>
      <sz val="10"/>
      <color rgb="FFFF0000"/>
      <name val="宋体"/>
      <charset val="134"/>
    </font>
    <font>
      <sz val="10"/>
      <color rgb="FF000000"/>
      <name val="宋体"/>
      <charset val="134"/>
    </font>
    <font>
      <sz val="10"/>
      <color rgb="FF0000FF"/>
      <name val="宋体"/>
      <charset val="134"/>
    </font>
    <font>
      <b/>
      <sz val="10"/>
      <color rgb="FFFF0000"/>
      <name val="宋体"/>
      <charset val="134"/>
    </font>
    <font>
      <b/>
      <sz val="10"/>
      <name val="Arial Narrow"/>
      <charset val="134"/>
    </font>
    <font>
      <sz val="10"/>
      <name val="Arial Narrow"/>
      <charset val="134"/>
    </font>
    <font>
      <sz val="10"/>
      <color rgb="FF0000CC"/>
      <name val="宋体"/>
      <charset val="134"/>
    </font>
    <font>
      <b/>
      <sz val="10"/>
      <color rgb="FF000000"/>
      <name val="宋体"/>
      <charset val="134"/>
    </font>
    <font>
      <b/>
      <sz val="10"/>
      <color rgb="FF0000FF"/>
      <name val="宋体"/>
      <charset val="134"/>
    </font>
    <font>
      <sz val="12"/>
      <name val="宋体"/>
      <charset val="134"/>
    </font>
    <font>
      <sz val="12"/>
      <name val="宋体"/>
      <charset val="134"/>
    </font>
    <font>
      <sz val="9"/>
      <name val="宋体"/>
      <charset val="134"/>
    </font>
    <font>
      <b/>
      <sz val="9"/>
      <name val="宋体"/>
      <charset val="134"/>
    </font>
    <font>
      <sz val="9"/>
      <name val="Arial"/>
      <charset val="134"/>
    </font>
    <font>
      <sz val="9"/>
      <color rgb="FFFF0000"/>
      <name val="宋体"/>
      <charset val="134"/>
    </font>
    <font>
      <sz val="10"/>
      <color rgb="FF333399"/>
      <name val="Arial Narrow"/>
      <charset val="134"/>
    </font>
    <font>
      <u/>
      <sz val="10"/>
      <color rgb="FF0000FF"/>
      <name val="宋体"/>
      <charset val="134"/>
    </font>
    <font>
      <b/>
      <sz val="12"/>
      <name val="Arial Narrow"/>
      <charset val="134"/>
    </font>
    <font>
      <sz val="12"/>
      <name val="Arial Narrow"/>
      <charset val="134"/>
    </font>
    <font>
      <b/>
      <u/>
      <sz val="10"/>
      <color rgb="FFFF0000"/>
      <name val="宋体"/>
      <charset val="134"/>
    </font>
    <font>
      <sz val="10"/>
      <color rgb="FF000000"/>
      <name val="Arial Narrow"/>
      <charset val="134"/>
    </font>
    <font>
      <b/>
      <sz val="12"/>
      <color rgb="FF000000"/>
      <name val="宋体"/>
      <charset val="134"/>
    </font>
    <font>
      <b/>
      <sz val="14"/>
      <color rgb="FF000000"/>
      <name val="宋体"/>
      <charset val="134"/>
    </font>
    <font>
      <b/>
      <sz val="10"/>
      <color rgb="FF000000"/>
      <name val="Arial Narrow"/>
      <charset val="134"/>
    </font>
    <font>
      <sz val="10"/>
      <color rgb="FFFF0000"/>
      <name val="Arial Narrow"/>
      <charset val="134"/>
    </font>
    <font>
      <b/>
      <sz val="10"/>
      <color rgb="FFFF0000"/>
      <name val="Arial Narrow"/>
      <charset val="134"/>
    </font>
    <font>
      <sz val="10"/>
      <color rgb="FF0000CC"/>
      <name val="Arial Narrow"/>
      <charset val="134"/>
    </font>
    <font>
      <sz val="11"/>
      <color rgb="FF0000FF"/>
      <name val="等线"/>
      <charset val="134"/>
    </font>
    <font>
      <sz val="11"/>
      <color rgb="FF0000FF"/>
      <name val="宋体"/>
      <charset val="134"/>
    </font>
    <font>
      <b/>
      <sz val="18"/>
      <color rgb="FF000000"/>
      <name val="宋体"/>
      <charset val="134"/>
    </font>
    <font>
      <sz val="11"/>
      <color theme="1"/>
      <name val="等线"/>
      <charset val="134"/>
    </font>
    <font>
      <sz val="11"/>
      <color rgb="FF000000"/>
      <name val="宋体"/>
      <charset val="134"/>
    </font>
    <font>
      <sz val="14"/>
      <name val="宋体"/>
      <charset val="134"/>
    </font>
    <font>
      <sz val="12"/>
      <color rgb="FFFF0000"/>
      <name val="宋体"/>
      <charset val="134"/>
    </font>
    <font>
      <sz val="10"/>
      <name val="等线"/>
      <charset val="134"/>
    </font>
    <font>
      <u/>
      <sz val="11"/>
      <color rgb="FF0000FF"/>
      <name val="宋体"/>
      <charset val="134"/>
    </font>
    <font>
      <sz val="11"/>
      <name val="宋体"/>
      <charset val="134"/>
    </font>
    <font>
      <u/>
      <sz val="11"/>
      <color rgb="FF0000FF"/>
      <name val="等线"/>
      <charset val="134"/>
    </font>
    <font>
      <i/>
      <sz val="10"/>
      <color rgb="FF0000FF"/>
      <name val="宋体"/>
      <charset val="134"/>
    </font>
    <font>
      <sz val="10"/>
      <color rgb="FF3333FF"/>
      <name val="宋体"/>
      <charset val="134"/>
    </font>
    <font>
      <u/>
      <sz val="11"/>
      <color rgb="FF0563C1"/>
      <name val="等线"/>
      <charset val="134"/>
    </font>
    <font>
      <sz val="11"/>
      <color rgb="FF000000"/>
      <name val="等线"/>
      <charset val="134"/>
    </font>
    <font>
      <u/>
      <sz val="10"/>
      <color rgb="FF0000FF"/>
      <name val="Arial Narrow"/>
      <charset val="134"/>
    </font>
    <font>
      <sz val="10"/>
      <color rgb="FF333399"/>
      <name val="宋体"/>
      <charset val="134"/>
    </font>
    <font>
      <u/>
      <sz val="10"/>
      <color rgb="FF0563C1"/>
      <name val="宋体"/>
      <charset val="134"/>
    </font>
    <font>
      <b/>
      <sz val="10"/>
      <color rgb="FFE92841"/>
      <name val="宋体"/>
      <charset val="134"/>
    </font>
    <font>
      <sz val="10"/>
      <color rgb="FF0070C0"/>
      <name val="宋体"/>
      <charset val="134"/>
    </font>
    <font>
      <sz val="10"/>
      <name val="仿宋_GB2312"/>
      <charset val="134"/>
    </font>
    <font>
      <b/>
      <u/>
      <sz val="10"/>
      <color rgb="FF0000FF"/>
      <name val="宋体"/>
      <charset val="134"/>
    </font>
    <font>
      <sz val="12"/>
      <name val="仿宋_GB2312"/>
      <charset val="134"/>
    </font>
    <font>
      <b/>
      <sz val="10.5"/>
      <name val="仿宋_GB2312"/>
      <charset val="134"/>
    </font>
    <font>
      <sz val="10.5"/>
      <name val="仿宋_GB2312"/>
      <charset val="134"/>
    </font>
    <font>
      <sz val="12"/>
      <color rgb="FF0000FF"/>
      <name val="仿宋_GB2312"/>
      <charset val="134"/>
    </font>
    <font>
      <b/>
      <sz val="10.5"/>
      <color rgb="FF000000"/>
      <name val="仿宋_GB2312"/>
      <charset val="134"/>
    </font>
    <font>
      <sz val="10.5"/>
      <color rgb="FFFF0000"/>
      <name val="仿宋_GB2312"/>
      <charset val="134"/>
    </font>
    <font>
      <b/>
      <sz val="12"/>
      <color rgb="FF000000"/>
      <name val="仿宋_GB2312"/>
      <charset val="134"/>
    </font>
    <font>
      <b/>
      <sz val="12"/>
      <color rgb="FFFF0000"/>
      <name val="仿宋_GB2312"/>
      <charset val="134"/>
    </font>
    <font>
      <b/>
      <sz val="11"/>
      <color rgb="FFFF0000"/>
      <name val="宋体"/>
      <charset val="134"/>
    </font>
    <font>
      <b/>
      <sz val="12"/>
      <name val="仿宋_GB2312"/>
      <charset val="134"/>
    </font>
    <font>
      <b/>
      <sz val="12"/>
      <color rgb="FF0000FF"/>
      <name val="仿宋_GB2312"/>
      <charset val="134"/>
    </font>
    <font>
      <b/>
      <sz val="10.5"/>
      <color rgb="FF0000FF"/>
      <name val="仿宋_GB2312"/>
      <charset val="134"/>
    </font>
    <font>
      <sz val="12"/>
      <name val="Times New Roman"/>
      <charset val="134"/>
    </font>
    <font>
      <u/>
      <sz val="12"/>
      <color rgb="FF0000FF"/>
      <name val="Arial Narrow"/>
      <charset val="134"/>
    </font>
    <font>
      <sz val="12"/>
      <color rgb="FF0000FF"/>
      <name val="Arial Narrow"/>
      <charset val="134"/>
    </font>
    <font>
      <sz val="12"/>
      <color rgb="FFFF0000"/>
      <name val="仿宋_GB2312"/>
      <charset val="134"/>
    </font>
    <font>
      <sz val="12"/>
      <color rgb="FFFF0000"/>
      <name val="Arial Narrow"/>
      <charset val="134"/>
    </font>
    <font>
      <sz val="12"/>
      <color rgb="FF0000FF"/>
      <name val="微软雅黑"/>
      <charset val="134"/>
    </font>
    <font>
      <b/>
      <sz val="12"/>
      <color rgb="FF0000FF"/>
      <name val="微软雅黑"/>
      <charset val="134"/>
    </font>
    <font>
      <b/>
      <sz val="12"/>
      <color rgb="FF0000FF"/>
      <name val="Arial Narrow"/>
      <charset val="134"/>
    </font>
    <font>
      <sz val="12"/>
      <name val="微软雅黑"/>
      <charset val="134"/>
    </font>
    <font>
      <i/>
      <u/>
      <sz val="10"/>
      <color rgb="FF0000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楷体"/>
      <charset val="134"/>
    </font>
    <font>
      <sz val="10"/>
      <color rgb="FF000000"/>
      <name val="等线"/>
      <charset val="134"/>
    </font>
    <font>
      <sz val="12"/>
      <color rgb="FF000000"/>
      <name val="宋体"/>
      <charset val="134"/>
    </font>
    <font>
      <sz val="10"/>
      <color rgb="FF000000"/>
      <name val="Arial"/>
      <charset val="134"/>
    </font>
    <font>
      <sz val="10"/>
      <color rgb="FF000000"/>
      <name val="Times New Roman"/>
      <charset val="134"/>
    </font>
    <font>
      <b/>
      <sz val="9"/>
      <name val="宋体"/>
      <charset val="134"/>
    </font>
    <font>
      <sz val="9"/>
      <name val="宋体"/>
      <charset val="134"/>
    </font>
  </fonts>
  <fills count="42">
    <fill>
      <patternFill patternType="none"/>
    </fill>
    <fill>
      <patternFill patternType="gray125"/>
    </fill>
    <fill>
      <patternFill patternType="solid">
        <fgColor rgb="FFE4DFEC"/>
        <bgColor indexed="64"/>
      </patternFill>
    </fill>
    <fill>
      <patternFill patternType="solid">
        <fgColor rgb="FFE4DFEC"/>
        <bgColor rgb="FFB7DEE8"/>
      </patternFill>
    </fill>
    <fill>
      <patternFill patternType="solid">
        <fgColor rgb="FFFF00FF"/>
        <bgColor indexed="64"/>
      </patternFill>
    </fill>
    <fill>
      <patternFill patternType="solid">
        <fgColor rgb="FFFFFFFF"/>
        <bgColor indexed="64"/>
      </patternFill>
    </fill>
    <fill>
      <patternFill patternType="solid">
        <fgColor rgb="FFBFBFBF"/>
        <bgColor indexed="64"/>
      </patternFill>
    </fill>
    <fill>
      <patternFill patternType="solid">
        <fgColor rgb="FFFFFF00"/>
        <bgColor indexed="64"/>
      </patternFill>
    </fill>
    <fill>
      <patternFill patternType="solid">
        <fgColor rgb="FFD9D9D9"/>
        <bgColor indexed="64"/>
      </patternFill>
    </fill>
    <fill>
      <patternFill patternType="solid">
        <fgColor rgb="FFDCD5E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style="hair">
        <color auto="1"/>
      </top>
      <bottom/>
      <diagonal/>
    </border>
    <border>
      <left style="thin">
        <color auto="1"/>
      </left>
      <right style="thin">
        <color auto="1"/>
      </right>
      <top style="thin">
        <color auto="1"/>
      </top>
      <bottom style="thin">
        <color auto="1"/>
      </bottom>
      <diagonal/>
    </border>
    <border>
      <left style="hair">
        <color auto="1"/>
      </left>
      <right/>
      <top/>
      <bottom/>
      <diagonal/>
    </border>
    <border>
      <left style="hair">
        <color auto="1"/>
      </left>
      <right style="hair">
        <color auto="1"/>
      </right>
      <top/>
      <bottom/>
      <diagonal/>
    </border>
    <border>
      <left/>
      <right/>
      <top style="thin">
        <color auto="1"/>
      </top>
      <bottom/>
      <diagonal/>
    </border>
    <border>
      <left style="hair">
        <color auto="1"/>
      </left>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medium">
        <color rgb="FF000000"/>
      </top>
      <bottom style="medium">
        <color rgb="FF000000"/>
      </bottom>
      <diagonal/>
    </border>
    <border>
      <left/>
      <right/>
      <top style="medium">
        <color auto="1"/>
      </top>
      <bottom style="medium">
        <color rgb="FF000000"/>
      </bottom>
      <diagonal/>
    </border>
    <border>
      <left/>
      <right/>
      <top/>
      <bottom style="medium">
        <color rgb="FF000000"/>
      </bottom>
      <diagonal/>
    </border>
    <border>
      <left style="hair">
        <color rgb="FF000000"/>
      </left>
      <right style="hair">
        <color rgb="FF000000"/>
      </right>
      <top style="hair">
        <color rgb="FF000000"/>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0" fillId="11" borderId="23"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24" applyNumberFormat="0" applyFill="0" applyAlignment="0" applyProtection="0">
      <alignment vertical="center"/>
    </xf>
    <xf numFmtId="0" fontId="83" fillId="0" borderId="24" applyNumberFormat="0" applyFill="0" applyAlignment="0" applyProtection="0">
      <alignment vertical="center"/>
    </xf>
    <xf numFmtId="0" fontId="84" fillId="0" borderId="25" applyNumberFormat="0" applyFill="0" applyAlignment="0" applyProtection="0">
      <alignment vertical="center"/>
    </xf>
    <xf numFmtId="0" fontId="84" fillId="0" borderId="0" applyNumberFormat="0" applyFill="0" applyBorder="0" applyAlignment="0" applyProtection="0">
      <alignment vertical="center"/>
    </xf>
    <xf numFmtId="0" fontId="85" fillId="12" borderId="26" applyNumberFormat="0" applyAlignment="0" applyProtection="0">
      <alignment vertical="center"/>
    </xf>
    <xf numFmtId="0" fontId="86" fillId="13" borderId="27" applyNumberFormat="0" applyAlignment="0" applyProtection="0">
      <alignment vertical="center"/>
    </xf>
    <xf numFmtId="0" fontId="87" fillId="13" borderId="26" applyNumberFormat="0" applyAlignment="0" applyProtection="0">
      <alignment vertical="center"/>
    </xf>
    <xf numFmtId="0" fontId="88" fillId="14" borderId="28" applyNumberFormat="0" applyAlignment="0" applyProtection="0">
      <alignment vertical="center"/>
    </xf>
    <xf numFmtId="0" fontId="89" fillId="0" borderId="29" applyNumberFormat="0" applyFill="0" applyAlignment="0" applyProtection="0">
      <alignment vertical="center"/>
    </xf>
    <xf numFmtId="0" fontId="90" fillId="0" borderId="30" applyNumberFormat="0" applyFill="0" applyAlignment="0" applyProtection="0">
      <alignment vertical="center"/>
    </xf>
    <xf numFmtId="0" fontId="91" fillId="15" borderId="0" applyNumberFormat="0" applyBorder="0" applyAlignment="0" applyProtection="0">
      <alignment vertical="center"/>
    </xf>
    <xf numFmtId="0" fontId="92" fillId="16" borderId="0" applyNumberFormat="0" applyBorder="0" applyAlignment="0" applyProtection="0">
      <alignment vertical="center"/>
    </xf>
    <xf numFmtId="0" fontId="93" fillId="17" borderId="0" applyNumberFormat="0" applyBorder="0" applyAlignment="0" applyProtection="0">
      <alignment vertical="center"/>
    </xf>
    <xf numFmtId="0" fontId="94" fillId="18"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4" fillId="21" borderId="0" applyNumberFormat="0" applyBorder="0" applyAlignment="0" applyProtection="0">
      <alignment vertical="center"/>
    </xf>
    <xf numFmtId="0" fontId="94" fillId="22"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4" fillId="25" borderId="0" applyNumberFormat="0" applyBorder="0" applyAlignment="0" applyProtection="0">
      <alignment vertical="center"/>
    </xf>
    <xf numFmtId="0" fontId="94" fillId="26"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5" fillId="35" borderId="0" applyNumberFormat="0" applyBorder="0" applyAlignment="0" applyProtection="0">
      <alignment vertical="center"/>
    </xf>
    <xf numFmtId="0" fontId="95"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5" fillId="39" borderId="0" applyNumberFormat="0" applyBorder="0" applyAlignment="0" applyProtection="0">
      <alignment vertical="center"/>
    </xf>
    <xf numFmtId="0" fontId="95" fillId="40" borderId="0" applyNumberFormat="0" applyBorder="0" applyAlignment="0" applyProtection="0">
      <alignment vertical="center"/>
    </xf>
    <xf numFmtId="0" fontId="94" fillId="41" borderId="0" applyNumberFormat="0" applyBorder="0" applyAlignment="0" applyProtection="0">
      <alignment vertical="center"/>
    </xf>
    <xf numFmtId="176" fontId="15" fillId="0" borderId="0">
      <protection locked="0"/>
    </xf>
    <xf numFmtId="176" fontId="15" fillId="0" borderId="0">
      <alignment vertical="center"/>
    </xf>
    <xf numFmtId="176" fontId="15" fillId="0" borderId="0">
      <alignment vertical="center"/>
      <protection locked="0"/>
    </xf>
    <xf numFmtId="176" fontId="15" fillId="0" borderId="0">
      <alignment vertical="center"/>
    </xf>
    <xf numFmtId="176" fontId="15" fillId="0" borderId="0">
      <alignment vertical="center"/>
    </xf>
    <xf numFmtId="176" fontId="37" fillId="0" borderId="0">
      <alignment vertical="center"/>
    </xf>
    <xf numFmtId="176" fontId="37" fillId="0" borderId="0">
      <alignment vertical="center"/>
    </xf>
    <xf numFmtId="176" fontId="1" fillId="0" borderId="0">
      <alignment vertical="center"/>
    </xf>
    <xf numFmtId="176" fontId="15" fillId="0" borderId="0">
      <protection locked="0"/>
    </xf>
    <xf numFmtId="176" fontId="15" fillId="0" borderId="0" applyFill="0" applyBorder="0"/>
    <xf numFmtId="43" fontId="15" fillId="0" borderId="0" applyFont="0" applyFill="0" applyBorder="0" applyAlignment="0" applyProtection="0"/>
    <xf numFmtId="43" fontId="15" fillId="0" borderId="0" applyFont="0" applyFill="0" applyBorder="0" applyAlignment="0" applyProtection="0"/>
    <xf numFmtId="176" fontId="67" fillId="0" borderId="0"/>
    <xf numFmtId="176" fontId="15" fillId="0" borderId="0">
      <alignment vertical="center"/>
    </xf>
    <xf numFmtId="0" fontId="15" fillId="0" borderId="0" applyFill="0" applyBorder="0"/>
    <xf numFmtId="176" fontId="15" fillId="0" borderId="0">
      <protection locked="0"/>
    </xf>
    <xf numFmtId="177" fontId="1" fillId="0" borderId="0">
      <alignment vertical="center"/>
    </xf>
    <xf numFmtId="176" fontId="22" fillId="0" borderId="0">
      <alignment vertical="top"/>
      <protection locked="0"/>
    </xf>
    <xf numFmtId="176" fontId="15" fillId="0" borderId="0">
      <alignment vertical="center"/>
    </xf>
    <xf numFmtId="9" fontId="15" fillId="0" borderId="0" applyFont="0" applyFill="0" applyBorder="0" applyAlignment="0" applyProtection="0"/>
    <xf numFmtId="176" fontId="96" fillId="0" borderId="0"/>
    <xf numFmtId="176" fontId="15" fillId="0" borderId="0"/>
    <xf numFmtId="176" fontId="15" fillId="0" borderId="0">
      <alignment vertical="center"/>
    </xf>
    <xf numFmtId="176" fontId="15" fillId="0" borderId="0">
      <protection locked="0"/>
    </xf>
    <xf numFmtId="176" fontId="15" fillId="0" borderId="0">
      <alignment vertical="center"/>
    </xf>
    <xf numFmtId="9" fontId="15" fillId="0" borderId="0" applyFont="0" applyFill="0" applyBorder="0" applyAlignment="0" applyProtection="0"/>
    <xf numFmtId="176" fontId="15" fillId="0" borderId="0"/>
    <xf numFmtId="176" fontId="37" fillId="0" borderId="0"/>
    <xf numFmtId="176" fontId="15" fillId="0" borderId="0"/>
    <xf numFmtId="0" fontId="15" fillId="0" borderId="0">
      <protection locked="0"/>
    </xf>
    <xf numFmtId="176" fontId="15" fillId="0" borderId="0"/>
    <xf numFmtId="176" fontId="15" fillId="0" borderId="0">
      <protection locked="0"/>
    </xf>
    <xf numFmtId="176" fontId="15" fillId="0" borderId="0">
      <protection locked="0"/>
    </xf>
    <xf numFmtId="176" fontId="15" fillId="0" borderId="0"/>
    <xf numFmtId="0" fontId="15" fillId="0" borderId="0">
      <protection locked="0"/>
    </xf>
    <xf numFmtId="0" fontId="97" fillId="0" borderId="0">
      <alignment horizontal="centerContinuous"/>
    </xf>
    <xf numFmtId="0" fontId="97" fillId="0" borderId="0"/>
    <xf numFmtId="0" fontId="15" fillId="0" borderId="0"/>
    <xf numFmtId="9" fontId="15" fillId="0" borderId="0" applyFont="0" applyFill="0" applyBorder="0" applyAlignment="0" applyProtection="0"/>
    <xf numFmtId="176" fontId="97" fillId="0" borderId="0"/>
    <xf numFmtId="0" fontId="15" fillId="0" borderId="0">
      <alignment vertical="center"/>
    </xf>
    <xf numFmtId="0" fontId="15" fillId="0" borderId="0">
      <protection locked="0"/>
    </xf>
    <xf numFmtId="176" fontId="47" fillId="0" borderId="0"/>
    <xf numFmtId="43" fontId="15" fillId="0" borderId="0" applyFont="0" applyFill="0" applyBorder="0" applyAlignment="0" applyProtection="0"/>
    <xf numFmtId="176" fontId="46" fillId="0" borderId="0" applyNumberFormat="0" applyFill="0" applyBorder="0" applyAlignment="0" applyProtection="0"/>
    <xf numFmtId="176" fontId="15" fillId="0" borderId="0"/>
    <xf numFmtId="176" fontId="15" fillId="0" borderId="0">
      <protection locked="0"/>
    </xf>
    <xf numFmtId="176" fontId="15" fillId="0" borderId="0">
      <protection locked="0"/>
    </xf>
    <xf numFmtId="176" fontId="15" fillId="0" borderId="0"/>
    <xf numFmtId="176" fontId="47" fillId="0" borderId="0">
      <alignment vertical="center"/>
    </xf>
    <xf numFmtId="176" fontId="15" fillId="0" borderId="0">
      <protection locked="0"/>
    </xf>
    <xf numFmtId="176" fontId="67" fillId="0" borderId="0"/>
    <xf numFmtId="176" fontId="15" fillId="0" borderId="0">
      <alignment vertical="center"/>
    </xf>
    <xf numFmtId="176" fontId="98" fillId="0" borderId="0">
      <alignment vertical="center"/>
    </xf>
    <xf numFmtId="9" fontId="15" fillId="0" borderId="0" applyFont="0" applyFill="0" applyBorder="0" applyAlignment="0" applyProtection="0">
      <alignment vertical="center"/>
    </xf>
    <xf numFmtId="0" fontId="15" fillId="0" borderId="0"/>
    <xf numFmtId="176" fontId="47" fillId="0" borderId="0"/>
    <xf numFmtId="43" fontId="15" fillId="0" borderId="0" applyFont="0" applyFill="0" applyBorder="0" applyAlignment="0" applyProtection="0"/>
    <xf numFmtId="176" fontId="47" fillId="0" borderId="0">
      <alignment vertical="center"/>
    </xf>
    <xf numFmtId="176" fontId="99" fillId="0" borderId="0" applyNumberFormat="0" applyBorder="0" applyAlignment="0" applyProtection="0">
      <alignment vertical="center"/>
    </xf>
    <xf numFmtId="176" fontId="15" fillId="0" borderId="0">
      <alignment vertical="center"/>
    </xf>
    <xf numFmtId="176" fontId="15" fillId="0" borderId="0">
      <protection locked="0"/>
    </xf>
    <xf numFmtId="176" fontId="100" fillId="0" borderId="0" applyNumberFormat="0" applyBorder="0">
      <alignment vertical="top"/>
      <protection locked="0"/>
    </xf>
    <xf numFmtId="176" fontId="37" fillId="0" borderId="0" applyNumberFormat="0" applyBorder="0" applyProtection="0">
      <alignment vertical="center"/>
    </xf>
    <xf numFmtId="176" fontId="101" fillId="0" borderId="0" applyNumberFormat="0" applyBorder="0" applyAlignment="0">
      <alignment vertical="center"/>
      <protection locked="0"/>
    </xf>
    <xf numFmtId="0" fontId="15" fillId="0" borderId="0"/>
    <xf numFmtId="0" fontId="15" fillId="0" borderId="0"/>
    <xf numFmtId="0" fontId="15" fillId="0" borderId="0">
      <protection locked="0"/>
    </xf>
    <xf numFmtId="0" fontId="96" fillId="0" borderId="0"/>
    <xf numFmtId="176" fontId="15" fillId="0" borderId="0">
      <protection locked="0"/>
    </xf>
  </cellStyleXfs>
  <cellXfs count="1291">
    <xf numFmtId="0" fontId="0" fillId="0" borderId="0" xfId="0">
      <alignment vertical="center"/>
    </xf>
    <xf numFmtId="0" fontId="1" fillId="0" borderId="0" xfId="0" applyNumberFormat="1" applyFont="1" applyFill="1" applyAlignment="1" applyProtection="1">
      <alignment vertical="center"/>
      <protection locked="0"/>
    </xf>
    <xf numFmtId="0" fontId="1" fillId="0" borderId="0" xfId="0" applyFont="1" applyFill="1" applyAlignment="1" applyProtection="1">
      <alignment vertical="center"/>
      <protection locked="0"/>
    </xf>
    <xf numFmtId="0" fontId="2" fillId="0" borderId="0" xfId="67" applyNumberFormat="1" applyFont="1" applyFill="1" applyBorder="1" applyAlignment="1">
      <alignment horizontal="center" vertical="center"/>
    </xf>
    <xf numFmtId="0" fontId="3" fillId="0" borderId="0" xfId="67" applyNumberFormat="1" applyFont="1" applyFill="1" applyAlignment="1">
      <alignment horizontal="center" vertical="center"/>
    </xf>
    <xf numFmtId="0" fontId="4" fillId="0" borderId="0" xfId="67" applyNumberFormat="1" applyFont="1" applyFill="1" applyBorder="1" applyAlignment="1">
      <alignment horizontal="center" vertical="center"/>
    </xf>
    <xf numFmtId="0" fontId="1" fillId="0" borderId="0" xfId="114" applyFont="1" applyBorder="1" applyAlignment="1">
      <alignment vertical="center"/>
    </xf>
    <xf numFmtId="0" fontId="1" fillId="0" borderId="0" xfId="114" applyFont="1" applyBorder="1" applyAlignment="1">
      <alignment horizontal="right" vertical="center"/>
    </xf>
    <xf numFmtId="0" fontId="1" fillId="0" borderId="0" xfId="0" applyFont="1" applyFill="1" applyBorder="1" applyAlignment="1" applyProtection="1">
      <alignment vertical="center"/>
      <protection locked="0"/>
    </xf>
    <xf numFmtId="0" fontId="5" fillId="0" borderId="0" xfId="6" applyNumberFormat="1" applyFont="1" applyBorder="1" applyAlignment="1" applyProtection="1">
      <alignment horizontal="left" vertical="center"/>
    </xf>
    <xf numFmtId="0" fontId="1" fillId="0" borderId="0" xfId="114" applyFont="1" applyBorder="1" applyAlignment="1">
      <alignment horizontal="center" vertical="center"/>
    </xf>
    <xf numFmtId="0" fontId="3" fillId="0" borderId="0" xfId="79" applyNumberFormat="1" applyFont="1" applyBorder="1" applyAlignment="1">
      <alignment horizontal="left" vertical="center"/>
    </xf>
    <xf numFmtId="0" fontId="3" fillId="0" borderId="0" xfId="79" applyNumberFormat="1" applyFont="1" applyBorder="1" applyAlignment="1">
      <alignment vertical="center"/>
    </xf>
    <xf numFmtId="0" fontId="1" fillId="0" borderId="0" xfId="0" applyNumberFormat="1" applyFont="1" applyFill="1" applyBorder="1" applyAlignment="1" applyProtection="1">
      <alignment vertical="center"/>
      <protection locked="0"/>
    </xf>
    <xf numFmtId="0" fontId="1" fillId="0" borderId="0" xfId="79" applyNumberFormat="1" applyFont="1" applyBorder="1" applyAlignment="1">
      <alignment vertical="center"/>
    </xf>
    <xf numFmtId="0" fontId="1" fillId="0" borderId="0" xfId="79" applyNumberFormat="1" applyFont="1" applyBorder="1" applyAlignment="1" applyProtection="1">
      <alignment vertical="center"/>
      <protection locked="0"/>
    </xf>
    <xf numFmtId="0" fontId="6" fillId="0" borderId="0" xfId="79" applyNumberFormat="1" applyFont="1" applyBorder="1" applyAlignment="1">
      <alignment horizontal="left" vertical="center"/>
    </xf>
    <xf numFmtId="0" fontId="1" fillId="0" borderId="0" xfId="79" applyNumberFormat="1" applyFont="1" applyBorder="1" applyAlignment="1">
      <alignment vertical="center" wrapText="1"/>
    </xf>
    <xf numFmtId="0" fontId="7" fillId="0" borderId="0" xfId="0" applyNumberFormat="1" applyFont="1" applyFill="1" applyBorder="1" applyAlignment="1" applyProtection="1">
      <alignment vertical="center"/>
    </xf>
    <xf numFmtId="0" fontId="8" fillId="0" borderId="0" xfId="79" applyNumberFormat="1" applyFont="1" applyBorder="1" applyAlignment="1">
      <alignment horizontal="left" vertical="center" wrapText="1"/>
    </xf>
    <xf numFmtId="0" fontId="3" fillId="0" borderId="0" xfId="79" applyNumberFormat="1" applyFont="1" applyAlignment="1">
      <alignment horizontal="left" vertical="center"/>
    </xf>
    <xf numFmtId="0" fontId="1" fillId="0" borderId="0" xfId="79" applyNumberFormat="1" applyFont="1" applyAlignment="1">
      <alignment vertical="center"/>
    </xf>
    <xf numFmtId="0" fontId="3" fillId="0" borderId="0" xfId="79" applyNumberFormat="1" applyFont="1" applyAlignment="1">
      <alignment vertical="center"/>
    </xf>
    <xf numFmtId="0" fontId="3" fillId="2" borderId="1" xfId="0"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9" fillId="2" borderId="4" xfId="0" applyFont="1" applyFill="1" applyBorder="1" applyAlignment="1" applyProtection="1">
      <alignment horizontal="center" vertical="center"/>
      <protection locked="0"/>
    </xf>
    <xf numFmtId="0" fontId="9" fillId="2" borderId="5" xfId="0"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wrapText="1"/>
      <protection locked="0"/>
    </xf>
    <xf numFmtId="176" fontId="3" fillId="2" borderId="8" xfId="85" applyNumberFormat="1" applyFont="1" applyFill="1" applyBorder="1" applyAlignment="1">
      <alignment horizontal="center" vertical="center"/>
    </xf>
    <xf numFmtId="0" fontId="3" fillId="2" borderId="8" xfId="85" applyNumberFormat="1" applyFont="1" applyFill="1" applyBorder="1" applyAlignment="1">
      <alignment horizontal="center" vertical="center"/>
    </xf>
    <xf numFmtId="0" fontId="3" fillId="2" borderId="9" xfId="0" applyFont="1" applyFill="1" applyBorder="1" applyAlignment="1" applyProtection="1">
      <alignment horizontal="center" vertical="center" wrapText="1"/>
      <protection locked="0"/>
    </xf>
    <xf numFmtId="0" fontId="1" fillId="0" borderId="8" xfId="0" applyFont="1" applyFill="1" applyBorder="1" applyAlignment="1" applyProtection="1">
      <alignment vertical="center"/>
    </xf>
    <xf numFmtId="0" fontId="1" fillId="0" borderId="8" xfId="0" applyFont="1" applyFill="1" applyBorder="1" applyAlignment="1" applyProtection="1">
      <alignment horizontal="center" vertical="center" wrapText="1"/>
    </xf>
    <xf numFmtId="43" fontId="1" fillId="0" borderId="8" xfId="1" applyFont="1" applyBorder="1" applyAlignment="1">
      <alignment horizontal="center" vertical="center" wrapText="1"/>
    </xf>
    <xf numFmtId="0" fontId="1" fillId="0" borderId="8" xfId="1" applyNumberFormat="1" applyFont="1" applyBorder="1" applyAlignment="1">
      <alignment vertical="center"/>
    </xf>
    <xf numFmtId="43" fontId="1" fillId="0" borderId="8" xfId="1" applyFont="1" applyBorder="1" applyAlignment="1">
      <alignment vertical="center"/>
    </xf>
    <xf numFmtId="14" fontId="10" fillId="0" borderId="1" xfId="90" applyNumberFormat="1" applyFont="1" applyFill="1" applyBorder="1" applyAlignment="1">
      <alignment horizontal="centerContinuous" vertical="center"/>
      <protection locked="0"/>
    </xf>
    <xf numFmtId="176" fontId="3" fillId="0" borderId="0" xfId="79" applyFont="1" applyBorder="1" applyAlignment="1">
      <alignment horizontal="left" vertical="center"/>
    </xf>
    <xf numFmtId="0" fontId="1" fillId="0" borderId="0" xfId="0" applyFont="1" applyFill="1" applyBorder="1" applyAlignment="1" applyProtection="1">
      <alignment horizontal="center" vertical="center" wrapText="1"/>
    </xf>
    <xf numFmtId="43" fontId="1" fillId="0" borderId="0" xfId="1" applyFont="1" applyBorder="1" applyAlignment="1">
      <alignment horizontal="center" vertical="center" wrapText="1"/>
    </xf>
    <xf numFmtId="43" fontId="1" fillId="0" borderId="0" xfId="1" applyFont="1" applyBorder="1" applyAlignment="1">
      <alignment vertical="center"/>
    </xf>
    <xf numFmtId="0" fontId="9" fillId="2" borderId="8" xfId="0" applyFont="1" applyFill="1" applyBorder="1" applyAlignment="1" applyProtection="1">
      <alignment horizontal="center" vertical="center"/>
      <protection locked="0"/>
    </xf>
    <xf numFmtId="0" fontId="3" fillId="2" borderId="8" xfId="85" applyNumberFormat="1" applyFont="1" applyFill="1" applyBorder="1" applyAlignment="1">
      <alignment horizontal="center" vertical="center" wrapText="1"/>
    </xf>
    <xf numFmtId="0" fontId="3" fillId="2" borderId="8" xfId="90" applyNumberFormat="1" applyFont="1" applyFill="1" applyBorder="1" applyAlignment="1">
      <alignment horizontal="center" vertical="center" wrapText="1"/>
      <protection locked="0"/>
    </xf>
    <xf numFmtId="14" fontId="11" fillId="0" borderId="8" xfId="85" applyNumberFormat="1" applyFont="1" applyFill="1" applyBorder="1" applyAlignment="1">
      <alignment horizontal="center" vertical="center" wrapText="1"/>
    </xf>
    <xf numFmtId="0" fontId="11" fillId="0" borderId="8" xfId="85" applyNumberFormat="1" applyFont="1" applyFill="1" applyBorder="1" applyAlignment="1">
      <alignment horizontal="center" vertical="center" wrapText="1"/>
    </xf>
    <xf numFmtId="0" fontId="1" fillId="0" borderId="8" xfId="85" applyNumberFormat="1" applyFont="1" applyFill="1" applyBorder="1" applyAlignment="1">
      <alignment horizontal="center" vertical="center" wrapText="1"/>
    </xf>
    <xf numFmtId="43" fontId="11" fillId="0" borderId="8" xfId="59" applyFont="1" applyBorder="1" applyAlignment="1">
      <alignment horizontal="center" vertical="center" wrapText="1"/>
    </xf>
    <xf numFmtId="0" fontId="11" fillId="0" borderId="8" xfId="85" applyNumberFormat="1" applyFont="1" applyFill="1" applyBorder="1" applyAlignment="1">
      <alignment vertical="center" wrapText="1"/>
    </xf>
    <xf numFmtId="14" fontId="10" fillId="0" borderId="8" xfId="90" applyNumberFormat="1" applyFont="1" applyFill="1" applyBorder="1" applyAlignment="1">
      <alignment horizontal="centerContinuous" vertical="center"/>
      <protection locked="0"/>
    </xf>
    <xf numFmtId="0" fontId="10" fillId="0" borderId="8" xfId="90" applyNumberFormat="1" applyFont="1" applyFill="1" applyBorder="1" applyAlignment="1">
      <alignment horizontal="centerContinuous" vertical="center"/>
      <protection locked="0"/>
    </xf>
    <xf numFmtId="0" fontId="3" fillId="0" borderId="8" xfId="90" applyNumberFormat="1" applyFont="1" applyFill="1" applyBorder="1" applyAlignment="1">
      <alignment horizontal="centerContinuous" vertical="center"/>
      <protection locked="0"/>
    </xf>
    <xf numFmtId="0" fontId="11" fillId="0" borderId="8" xfId="85" applyNumberFormat="1" applyFont="1" applyFill="1" applyBorder="1" applyAlignment="1">
      <alignment horizontal="centerContinuous" vertical="center"/>
    </xf>
    <xf numFmtId="0" fontId="3" fillId="0" borderId="10" xfId="0" applyNumberFormat="1" applyFont="1" applyFill="1" applyBorder="1" applyAlignment="1" applyProtection="1">
      <alignment vertical="center"/>
      <protection locked="0"/>
    </xf>
    <xf numFmtId="0" fontId="1" fillId="0" borderId="10" xfId="0" applyNumberFormat="1" applyFont="1" applyFill="1" applyBorder="1" applyAlignment="1" applyProtection="1">
      <alignment vertical="center"/>
    </xf>
    <xf numFmtId="0" fontId="3" fillId="0" borderId="0" xfId="1" applyNumberFormat="1" applyFont="1" applyFill="1" applyBorder="1" applyAlignment="1">
      <alignment vertical="center"/>
    </xf>
    <xf numFmtId="0" fontId="1" fillId="0" borderId="0" xfId="0" applyNumberFormat="1" applyFont="1" applyFill="1" applyBorder="1" applyAlignment="1" applyProtection="1">
      <alignment vertical="center"/>
    </xf>
    <xf numFmtId="0" fontId="3" fillId="0" borderId="0" xfId="0" applyNumberFormat="1" applyFont="1" applyFill="1" applyBorder="1" applyAlignment="1" applyProtection="1">
      <alignment vertical="center"/>
      <protection locked="0"/>
    </xf>
    <xf numFmtId="0" fontId="12" fillId="0" borderId="0" xfId="85" applyNumberFormat="1" applyFont="1" applyFill="1" applyAlignment="1">
      <alignment vertical="center"/>
    </xf>
    <xf numFmtId="0" fontId="3" fillId="0" borderId="0" xfId="0" applyFont="1" applyFill="1" applyAlignment="1" applyProtection="1">
      <alignment vertical="center"/>
      <protection locked="0"/>
    </xf>
    <xf numFmtId="0" fontId="1" fillId="0" borderId="0" xfId="97" applyNumberFormat="1" applyFont="1" applyFill="1" applyAlignment="1" applyProtection="1">
      <alignment vertical="center"/>
      <protection locked="0"/>
    </xf>
    <xf numFmtId="0" fontId="3" fillId="2" borderId="0" xfId="0" applyFont="1" applyFill="1" applyAlignment="1" applyProtection="1">
      <alignment vertical="center"/>
      <protection locked="0"/>
    </xf>
    <xf numFmtId="0" fontId="2" fillId="0" borderId="0" xfId="0" applyFont="1" applyFill="1" applyAlignment="1" applyProtection="1">
      <alignment horizontal="center" vertical="center"/>
      <protection locked="0"/>
    </xf>
    <xf numFmtId="0" fontId="4"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1" fillId="0" borderId="0" xfId="0" applyFont="1" applyFill="1" applyAlignment="1" applyProtection="1">
      <alignment horizontal="right" vertical="center"/>
      <protection locked="0"/>
    </xf>
    <xf numFmtId="0" fontId="5" fillId="0" borderId="0" xfId="6" applyNumberFormat="1" applyFont="1" applyAlignment="1">
      <alignment horizontal="left" vertical="center"/>
      <protection locked="0"/>
    </xf>
    <xf numFmtId="0" fontId="13" fillId="0" borderId="0" xfId="0" applyFont="1" applyFill="1" applyAlignment="1" applyProtection="1">
      <alignment vertical="center"/>
    </xf>
    <xf numFmtId="0" fontId="3" fillId="0" borderId="0" xfId="97" applyNumberFormat="1" applyFont="1" applyFill="1" applyAlignment="1">
      <alignment horizontal="left" vertical="center"/>
    </xf>
    <xf numFmtId="0" fontId="1" fillId="0" borderId="0" xfId="97" applyNumberFormat="1" applyFont="1" applyFill="1" applyAlignment="1">
      <alignment vertical="center"/>
    </xf>
    <xf numFmtId="176" fontId="1" fillId="0" borderId="0" xfId="79" applyFont="1" applyAlignment="1">
      <alignment horizontal="left" vertical="center"/>
    </xf>
    <xf numFmtId="176" fontId="8" fillId="0" borderId="0" xfId="79" applyFont="1" applyAlignment="1">
      <alignment horizontal="left" vertical="center"/>
    </xf>
    <xf numFmtId="0" fontId="1" fillId="0" borderId="0" xfId="0" applyFont="1" applyFill="1" applyAlignment="1" applyProtection="1">
      <alignment vertical="center"/>
      <protection locked="0"/>
    </xf>
    <xf numFmtId="0" fontId="3" fillId="0" borderId="0" xfId="97" applyNumberFormat="1" applyFont="1" applyFill="1" applyAlignment="1">
      <alignment vertical="center"/>
    </xf>
    <xf numFmtId="0" fontId="6" fillId="0" borderId="0" xfId="0" applyFont="1" applyFill="1" applyBorder="1" applyAlignment="1" applyProtection="1">
      <alignment horizontal="left" vertical="center"/>
      <protection locked="0"/>
    </xf>
    <xf numFmtId="0" fontId="8" fillId="0" borderId="0" xfId="97" applyNumberFormat="1" applyFont="1" applyFill="1" applyAlignment="1" applyProtection="1">
      <alignment horizontal="center" vertical="center"/>
      <protection hidden="1"/>
    </xf>
    <xf numFmtId="0" fontId="1" fillId="0" borderId="0" xfId="97" applyNumberFormat="1" applyFont="1" applyFill="1" applyAlignment="1" applyProtection="1">
      <alignment horizontal="left" vertical="center"/>
      <protection hidden="1"/>
    </xf>
    <xf numFmtId="0" fontId="8" fillId="0" borderId="0" xfId="97" applyNumberFormat="1" applyFont="1" applyFill="1" applyAlignment="1" applyProtection="1">
      <alignment horizontal="left" vertical="center"/>
      <protection locked="0"/>
    </xf>
    <xf numFmtId="0" fontId="3" fillId="2" borderId="8" xfId="0" applyFont="1" applyFill="1" applyBorder="1" applyAlignment="1" applyProtection="1">
      <alignment horizontal="center" vertical="center"/>
      <protection locked="0"/>
    </xf>
    <xf numFmtId="0" fontId="3" fillId="2" borderId="8" xfId="0" applyFont="1" applyFill="1" applyBorder="1" applyAlignment="1" applyProtection="1">
      <alignment horizontal="center" vertical="center" wrapText="1"/>
      <protection locked="0"/>
    </xf>
    <xf numFmtId="0" fontId="3" fillId="2" borderId="8" xfId="81" applyNumberFormat="1" applyFont="1" applyFill="1" applyBorder="1" applyAlignment="1">
      <alignment horizontal="center" vertical="center" wrapText="1"/>
      <protection locked="0"/>
    </xf>
    <xf numFmtId="0" fontId="3" fillId="3" borderId="8" xfId="81" applyNumberFormat="1" applyFont="1" applyFill="1" applyBorder="1" applyAlignment="1" applyProtection="1">
      <alignment horizontal="center" vertical="center" wrapText="1"/>
    </xf>
    <xf numFmtId="0" fontId="3" fillId="2" borderId="8" xfId="81" applyNumberFormat="1" applyFont="1" applyFill="1" applyBorder="1" applyAlignment="1">
      <alignment horizontal="center" vertical="center"/>
      <protection locked="0"/>
    </xf>
    <xf numFmtId="14" fontId="1" fillId="0" borderId="8" xfId="0" applyNumberFormat="1" applyFont="1" applyFill="1" applyBorder="1" applyAlignment="1" applyProtection="1">
      <alignment horizontal="left" vertical="center"/>
      <protection locked="0"/>
    </xf>
    <xf numFmtId="0" fontId="1" fillId="0" borderId="8" xfId="0" applyFont="1" applyFill="1" applyBorder="1" applyAlignment="1" applyProtection="1">
      <alignment horizontal="left" vertical="center"/>
      <protection locked="0"/>
    </xf>
    <xf numFmtId="0" fontId="1" fillId="0" borderId="8" xfId="0" applyFont="1" applyFill="1" applyBorder="1" applyAlignment="1" applyProtection="1">
      <alignment vertical="center" wrapText="1"/>
      <protection locked="0"/>
    </xf>
    <xf numFmtId="43" fontId="11" fillId="0" borderId="8" xfId="1" applyFont="1" applyBorder="1" applyAlignment="1" applyProtection="1">
      <alignment horizontal="left" vertical="center"/>
      <protection locked="0"/>
    </xf>
    <xf numFmtId="43" fontId="1" fillId="0" borderId="8" xfId="0" applyNumberFormat="1" applyFont="1" applyFill="1" applyBorder="1" applyAlignment="1" applyProtection="1">
      <alignment horizontal="left" vertical="center"/>
      <protection locked="0"/>
    </xf>
    <xf numFmtId="43" fontId="1" fillId="0" borderId="8" xfId="1" applyFont="1" applyBorder="1" applyAlignment="1">
      <alignment vertical="center" wrapText="1"/>
    </xf>
    <xf numFmtId="0" fontId="1" fillId="0" borderId="8" xfId="0" applyFont="1" applyFill="1" applyBorder="1" applyAlignment="1" applyProtection="1">
      <alignment horizontal="center" vertical="center"/>
      <protection locked="0"/>
    </xf>
    <xf numFmtId="176" fontId="1" fillId="0" borderId="0" xfId="118" applyFont="1" applyAlignment="1">
      <alignment vertical="center"/>
      <protection locked="0"/>
    </xf>
    <xf numFmtId="14" fontId="3" fillId="2" borderId="8" xfId="76" applyNumberFormat="1" applyFont="1" applyFill="1" applyBorder="1" applyAlignment="1" applyProtection="1">
      <alignment horizontal="center" vertical="center"/>
      <protection locked="0"/>
    </xf>
    <xf numFmtId="0" fontId="3" fillId="2" borderId="8" xfId="0" applyFont="1" applyFill="1" applyBorder="1" applyAlignment="1" applyProtection="1">
      <alignment horizontal="left" vertical="center"/>
      <protection locked="0"/>
    </xf>
    <xf numFmtId="43" fontId="10" fillId="2" borderId="8" xfId="1" applyFont="1" applyFill="1" applyBorder="1" applyAlignment="1" applyProtection="1">
      <alignment horizontal="left" vertical="center"/>
      <protection locked="0"/>
    </xf>
    <xf numFmtId="43" fontId="3" fillId="2" borderId="8" xfId="0" applyNumberFormat="1" applyFont="1" applyFill="1" applyBorder="1" applyAlignment="1" applyProtection="1">
      <alignment horizontal="left" vertical="center"/>
      <protection locked="0"/>
    </xf>
    <xf numFmtId="43" fontId="3" fillId="2" borderId="8" xfId="1" applyFont="1" applyFill="1" applyBorder="1" applyAlignment="1">
      <alignment vertical="center" wrapText="1"/>
    </xf>
    <xf numFmtId="0" fontId="3" fillId="2" borderId="8" xfId="0" applyFont="1" applyFill="1" applyBorder="1" applyAlignment="1" applyProtection="1">
      <alignment vertical="center" wrapText="1"/>
      <protection locked="0"/>
    </xf>
    <xf numFmtId="0" fontId="14" fillId="2" borderId="0" xfId="97" applyNumberFormat="1" applyFont="1" applyFill="1" applyAlignment="1" applyProtection="1">
      <alignment horizontal="center" vertical="center"/>
      <protection hidden="1"/>
    </xf>
    <xf numFmtId="0" fontId="3" fillId="2" borderId="0" xfId="97" applyNumberFormat="1" applyFont="1" applyFill="1" applyAlignment="1" applyProtection="1">
      <alignment horizontal="left" vertical="center"/>
      <protection hidden="1"/>
    </xf>
    <xf numFmtId="0" fontId="14" fillId="2" borderId="0" xfId="97" applyNumberFormat="1" applyFont="1" applyFill="1" applyAlignment="1" applyProtection="1">
      <alignment horizontal="left" vertical="center"/>
      <protection locked="0"/>
    </xf>
    <xf numFmtId="0" fontId="13" fillId="2" borderId="0" xfId="0" applyFont="1" applyFill="1" applyAlignment="1" applyProtection="1">
      <alignment vertical="center"/>
    </xf>
    <xf numFmtId="0" fontId="3" fillId="2" borderId="0" xfId="97" applyNumberFormat="1" applyFont="1" applyFill="1" applyAlignment="1" applyProtection="1">
      <alignment vertical="center"/>
      <protection locked="0"/>
    </xf>
    <xf numFmtId="10" fontId="10" fillId="2" borderId="8" xfId="3" applyNumberFormat="1" applyFont="1" applyFill="1" applyBorder="1" applyAlignment="1" applyProtection="1">
      <alignment horizontal="right" vertical="center"/>
      <protection locked="0"/>
    </xf>
    <xf numFmtId="0" fontId="1" fillId="0" borderId="0" xfId="0" applyFont="1" applyFill="1" applyAlignment="1" applyProtection="1">
      <alignment horizontal="center" vertical="center"/>
      <protection locked="0"/>
    </xf>
    <xf numFmtId="0" fontId="1" fillId="0" borderId="0" xfId="0" applyNumberFormat="1" applyFont="1" applyFill="1" applyAlignment="1" applyProtection="1">
      <protection locked="0"/>
    </xf>
    <xf numFmtId="0" fontId="15" fillId="0" borderId="0" xfId="0" applyFont="1" applyFill="1" applyAlignment="1" applyProtection="1">
      <alignment vertical="center"/>
      <protection locked="0"/>
    </xf>
    <xf numFmtId="0" fontId="16" fillId="0" borderId="0" xfId="0" applyFont="1" applyFill="1" applyAlignment="1" applyProtection="1">
      <protection locked="0"/>
    </xf>
    <xf numFmtId="0" fontId="1" fillId="0" borderId="0" xfId="114" applyNumberFormat="1" applyFont="1" applyBorder="1" applyAlignment="1">
      <alignment vertical="center"/>
    </xf>
    <xf numFmtId="0" fontId="1" fillId="0" borderId="0" xfId="114" applyNumberFormat="1" applyFont="1" applyBorder="1" applyAlignment="1">
      <alignment horizontal="center" vertical="center"/>
    </xf>
    <xf numFmtId="0" fontId="1" fillId="0" borderId="0" xfId="0" applyNumberFormat="1" applyFont="1" applyFill="1" applyBorder="1" applyAlignment="1" applyProtection="1">
      <protection locked="0"/>
    </xf>
    <xf numFmtId="0" fontId="1" fillId="0" borderId="0" xfId="114" applyNumberFormat="1" applyFont="1" applyBorder="1" applyAlignment="1">
      <alignment horizontal="right" vertical="center"/>
    </xf>
    <xf numFmtId="0" fontId="13" fillId="0" borderId="0" xfId="0" applyNumberFormat="1" applyFont="1" applyFill="1" applyBorder="1" applyAlignment="1" applyProtection="1">
      <alignment vertical="center"/>
    </xf>
    <xf numFmtId="0" fontId="3" fillId="0" borderId="0" xfId="97" applyNumberFormat="1" applyFont="1" applyFill="1" applyBorder="1" applyAlignment="1">
      <alignment horizontal="left" vertical="center"/>
    </xf>
    <xf numFmtId="0" fontId="11" fillId="0" borderId="0" xfId="97" applyNumberFormat="1" applyFont="1" applyFill="1" applyBorder="1" applyAlignment="1">
      <alignment vertical="center"/>
    </xf>
    <xf numFmtId="0" fontId="1" fillId="0" borderId="0" xfId="97" applyNumberFormat="1" applyFont="1" applyFill="1" applyBorder="1" applyAlignment="1">
      <alignment vertical="center"/>
    </xf>
    <xf numFmtId="0" fontId="11" fillId="0" borderId="0" xfId="97" applyNumberFormat="1" applyFont="1" applyFill="1" applyAlignment="1">
      <alignment vertical="center"/>
    </xf>
    <xf numFmtId="0" fontId="13" fillId="0" borderId="0" xfId="0" applyNumberFormat="1" applyFont="1" applyFill="1" applyAlignment="1" applyProtection="1">
      <alignment vertical="center"/>
    </xf>
    <xf numFmtId="0" fontId="17" fillId="0" borderId="0" xfId="0" applyFont="1" applyFill="1" applyAlignment="1" applyProtection="1">
      <alignment vertical="center"/>
    </xf>
    <xf numFmtId="0" fontId="18" fillId="2" borderId="8" xfId="0" applyFont="1" applyFill="1" applyBorder="1" applyAlignment="1" applyProtection="1">
      <alignment horizontal="center" vertical="center"/>
    </xf>
    <xf numFmtId="0" fontId="18" fillId="2"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xf>
    <xf numFmtId="0" fontId="17" fillId="0" borderId="8" xfId="0" applyFont="1" applyFill="1" applyBorder="1" applyAlignment="1" applyProtection="1">
      <alignment vertical="center"/>
    </xf>
    <xf numFmtId="0" fontId="19" fillId="0" borderId="8" xfId="0" applyFont="1" applyFill="1" applyBorder="1" applyAlignment="1" applyProtection="1">
      <alignment horizontal="center" vertical="center"/>
    </xf>
    <xf numFmtId="178" fontId="19" fillId="0" borderId="8" xfId="0" applyNumberFormat="1" applyFont="1" applyFill="1" applyBorder="1" applyAlignment="1" applyProtection="1">
      <alignment horizontal="right" vertical="center"/>
    </xf>
    <xf numFmtId="43" fontId="19" fillId="0" borderId="8" xfId="117" applyNumberFormat="1" applyFont="1" applyFill="1" applyBorder="1" applyAlignment="1">
      <alignment horizontal="right" vertical="center" shrinkToFit="1"/>
    </xf>
    <xf numFmtId="0" fontId="20" fillId="0" borderId="0" xfId="0" applyFont="1" applyFill="1" applyAlignment="1" applyProtection="1">
      <alignment vertical="center"/>
    </xf>
    <xf numFmtId="0" fontId="17" fillId="0" borderId="8" xfId="0" applyFont="1" applyFill="1" applyBorder="1" applyAlignment="1" applyProtection="1">
      <alignment horizontal="left" vertical="center"/>
    </xf>
    <xf numFmtId="178" fontId="19" fillId="0" borderId="8" xfId="0" applyNumberFormat="1" applyFont="1" applyFill="1" applyBorder="1" applyAlignment="1" applyProtection="1">
      <alignment horizontal="center" vertical="center"/>
    </xf>
    <xf numFmtId="0" fontId="3" fillId="0" borderId="10" xfId="115" applyNumberFormat="1" applyFont="1" applyBorder="1" applyAlignment="1">
      <alignment horizontal="left" vertical="center"/>
    </xf>
    <xf numFmtId="0" fontId="15" fillId="0" borderId="10" xfId="0" applyFont="1" applyFill="1" applyBorder="1" applyAlignment="1" applyProtection="1">
      <alignment vertical="center"/>
      <protection locked="0"/>
    </xf>
    <xf numFmtId="0" fontId="1" fillId="0" borderId="0" xfId="115" applyNumberFormat="1" applyFont="1" applyBorder="1" applyAlignment="1">
      <alignment horizontal="left" vertical="center"/>
    </xf>
    <xf numFmtId="0" fontId="3" fillId="0" borderId="0" xfId="115" applyNumberFormat="1" applyFont="1" applyBorder="1" applyAlignment="1">
      <alignment horizontal="left" vertical="center"/>
    </xf>
    <xf numFmtId="0" fontId="2" fillId="0" borderId="0" xfId="67" applyNumberFormat="1" applyFont="1" applyFill="1" applyAlignment="1">
      <alignment horizontal="center" vertical="center"/>
    </xf>
    <xf numFmtId="0" fontId="4" fillId="0" borderId="0" xfId="67" applyNumberFormat="1" applyFont="1" applyFill="1" applyAlignment="1">
      <alignment horizontal="center" vertical="center"/>
    </xf>
    <xf numFmtId="0" fontId="1" fillId="0" borderId="0" xfId="115" applyNumberFormat="1" applyFont="1" applyBorder="1" applyAlignment="1">
      <alignment horizontal="center" vertical="center"/>
    </xf>
    <xf numFmtId="0" fontId="1" fillId="0" borderId="0" xfId="115" applyNumberFormat="1" applyFont="1" applyBorder="1" applyAlignment="1">
      <alignment vertical="center"/>
    </xf>
    <xf numFmtId="0" fontId="1" fillId="0" borderId="0" xfId="114" applyNumberFormat="1" applyFont="1" applyBorder="1" applyAlignment="1">
      <alignment horizontal="left" vertical="center"/>
    </xf>
    <xf numFmtId="0" fontId="1" fillId="0" borderId="0" xfId="97" applyNumberFormat="1" applyFont="1" applyFill="1" applyBorder="1" applyAlignment="1" applyProtection="1">
      <alignment vertical="center"/>
      <protection locked="0"/>
    </xf>
    <xf numFmtId="0" fontId="3" fillId="2" borderId="8" xfId="116" applyNumberFormat="1" applyFont="1" applyFill="1" applyBorder="1" applyAlignment="1">
      <alignment horizontal="center" vertical="center"/>
      <protection locked="0"/>
    </xf>
    <xf numFmtId="0" fontId="9" fillId="2" borderId="8" xfId="116" applyNumberFormat="1" applyFont="1" applyFill="1" applyBorder="1" applyAlignment="1">
      <alignment horizontal="center" vertical="center"/>
      <protection locked="0"/>
    </xf>
    <xf numFmtId="0" fontId="1" fillId="2" borderId="8" xfId="1" applyNumberFormat="1" applyFont="1" applyFill="1" applyBorder="1" applyAlignment="1">
      <alignment horizontal="center" vertical="center"/>
    </xf>
    <xf numFmtId="0" fontId="11" fillId="2" borderId="8" xfId="1" applyNumberFormat="1" applyFont="1" applyFill="1" applyBorder="1" applyAlignment="1">
      <alignment horizontal="center" vertical="center" wrapText="1"/>
    </xf>
    <xf numFmtId="43" fontId="11" fillId="2" borderId="8" xfId="1" applyNumberFormat="1" applyFont="1" applyFill="1" applyBorder="1" applyAlignment="1">
      <alignment vertical="center"/>
    </xf>
    <xf numFmtId="10" fontId="11" fillId="2" borderId="8" xfId="1" applyNumberFormat="1" applyFont="1" applyFill="1" applyBorder="1" applyAlignment="1">
      <alignment vertical="center"/>
    </xf>
    <xf numFmtId="43" fontId="11" fillId="0" borderId="8" xfId="1" applyNumberFormat="1" applyFont="1" applyBorder="1" applyAlignment="1">
      <alignment horizontal="justify" vertical="top" wrapText="1"/>
    </xf>
    <xf numFmtId="43" fontId="11" fillId="0" borderId="8" xfId="0" applyNumberFormat="1" applyFont="1" applyFill="1" applyBorder="1" applyAlignment="1" applyProtection="1">
      <alignment vertical="center"/>
    </xf>
    <xf numFmtId="0" fontId="1" fillId="2" borderId="8" xfId="1" applyNumberFormat="1" applyFont="1" applyFill="1" applyBorder="1" applyAlignment="1">
      <alignment horizontal="center" vertical="center" wrapText="1"/>
    </xf>
    <xf numFmtId="0" fontId="1" fillId="2" borderId="8" xfId="1" applyNumberFormat="1" applyFont="1" applyFill="1" applyBorder="1" applyAlignment="1">
      <alignment horizontal="left" vertical="center"/>
    </xf>
    <xf numFmtId="43" fontId="11" fillId="0" borderId="8" xfId="1" applyNumberFormat="1" applyFont="1" applyFill="1" applyBorder="1" applyAlignment="1">
      <alignment horizontal="left" vertical="center"/>
    </xf>
    <xf numFmtId="0" fontId="1" fillId="2" borderId="8" xfId="1" applyNumberFormat="1" applyFont="1" applyFill="1" applyBorder="1" applyAlignment="1">
      <alignment vertical="center"/>
    </xf>
    <xf numFmtId="176" fontId="3" fillId="0" borderId="0" xfId="49" applyFont="1" applyAlignment="1">
      <alignment vertical="center"/>
      <protection locked="0"/>
    </xf>
    <xf numFmtId="176" fontId="1" fillId="0" borderId="0" xfId="49" applyFont="1" applyAlignment="1">
      <alignment vertical="center"/>
      <protection locked="0"/>
    </xf>
    <xf numFmtId="176" fontId="1" fillId="4" borderId="0" xfId="49" applyFont="1" applyFill="1" applyAlignment="1">
      <alignment horizontal="justify" vertical="center" wrapText="1"/>
      <protection locked="0"/>
    </xf>
    <xf numFmtId="176" fontId="1" fillId="0" borderId="0" xfId="49" applyFont="1" applyAlignment="1">
      <alignment horizontal="justify" wrapText="1"/>
      <protection locked="0"/>
    </xf>
    <xf numFmtId="176" fontId="3" fillId="0" borderId="0" xfId="49" applyFont="1" applyAlignment="1">
      <alignment horizontal="center" vertical="center"/>
      <protection locked="0"/>
    </xf>
    <xf numFmtId="0" fontId="11" fillId="4" borderId="0" xfId="0" applyFont="1" applyFill="1" applyAlignment="1" applyProtection="1">
      <alignment horizontal="justify" vertical="center" wrapText="1"/>
      <protection locked="0"/>
    </xf>
    <xf numFmtId="179" fontId="21" fillId="0" borderId="11" xfId="49" applyNumberFormat="1" applyFont="1" applyBorder="1" applyAlignment="1">
      <alignment horizontal="center" vertical="center" wrapText="1"/>
      <protection locked="0"/>
    </xf>
    <xf numFmtId="176" fontId="22" fillId="0" borderId="11" xfId="6" applyFont="1" applyBorder="1" applyAlignment="1">
      <alignment vertical="center"/>
      <protection locked="0"/>
    </xf>
    <xf numFmtId="176" fontId="11" fillId="0" borderId="11" xfId="6" applyFont="1" applyBorder="1" applyAlignment="1">
      <alignment horizontal="center" vertical="center"/>
      <protection locked="0"/>
    </xf>
    <xf numFmtId="176" fontId="1" fillId="0" borderId="0" xfId="49" applyFont="1">
      <protection locked="0"/>
    </xf>
    <xf numFmtId="0" fontId="1" fillId="4" borderId="0" xfId="0" applyFont="1" applyFill="1" applyAlignment="1" applyProtection="1">
      <alignment horizontal="justify" vertical="center" wrapText="1"/>
      <protection locked="0"/>
    </xf>
    <xf numFmtId="0" fontId="3" fillId="0" borderId="0" xfId="0" applyFont="1" applyFill="1" applyAlignment="1" applyProtection="1">
      <alignment horizontal="justify" vertical="center"/>
      <protection locked="0"/>
    </xf>
    <xf numFmtId="0" fontId="23" fillId="0" borderId="0" xfId="0" applyFont="1" applyFill="1" applyAlignment="1" applyProtection="1">
      <alignment horizontal="left" vertical="center" wrapText="1"/>
      <protection locked="0"/>
    </xf>
    <xf numFmtId="0" fontId="24" fillId="0" borderId="0" xfId="0" applyFont="1" applyFill="1" applyAlignment="1" applyProtection="1">
      <alignment horizontal="left" vertical="center" wrapText="1"/>
      <protection locked="0"/>
    </xf>
    <xf numFmtId="0" fontId="1" fillId="0" borderId="0" xfId="89" applyNumberFormat="1" applyFont="1" applyFill="1" applyAlignment="1">
      <alignment vertical="center"/>
    </xf>
    <xf numFmtId="0" fontId="1" fillId="0" borderId="0" xfId="90" applyNumberFormat="1" applyFont="1" applyFill="1" applyAlignment="1">
      <alignment horizontal="center" vertical="center"/>
      <protection locked="0"/>
    </xf>
    <xf numFmtId="0" fontId="1" fillId="0" borderId="0" xfId="90" applyNumberFormat="1" applyFont="1" applyFill="1" applyAlignment="1">
      <alignment vertical="center"/>
      <protection locked="0"/>
    </xf>
    <xf numFmtId="0" fontId="2" fillId="0" borderId="0" xfId="89" applyNumberFormat="1" applyFont="1" applyFill="1" applyAlignment="1">
      <alignment horizontal="center" vertical="center"/>
    </xf>
    <xf numFmtId="0" fontId="4" fillId="0" borderId="0" xfId="89" applyNumberFormat="1" applyFont="1" applyFill="1" applyAlignment="1">
      <alignment horizontal="center" vertical="center"/>
    </xf>
    <xf numFmtId="0" fontId="1" fillId="0" borderId="0" xfId="58" applyNumberFormat="1" applyFont="1" applyBorder="1" applyAlignment="1">
      <alignment vertical="center"/>
    </xf>
    <xf numFmtId="0" fontId="1" fillId="0" borderId="0" xfId="58" applyNumberFormat="1" applyFont="1" applyBorder="1" applyAlignment="1">
      <alignment horizontal="left" vertical="center"/>
    </xf>
    <xf numFmtId="0" fontId="1" fillId="0" borderId="0" xfId="90" applyNumberFormat="1" applyFont="1" applyFill="1" applyAlignment="1">
      <alignment horizontal="right" vertical="center"/>
      <protection locked="0"/>
    </xf>
    <xf numFmtId="0" fontId="5" fillId="0" borderId="0" xfId="6" applyNumberFormat="1" applyFont="1" applyAlignment="1" applyProtection="1">
      <alignment vertical="center"/>
      <protection locked="0"/>
    </xf>
    <xf numFmtId="0" fontId="7" fillId="0" borderId="0" xfId="59" applyNumberFormat="1" applyFont="1" applyBorder="1" applyAlignment="1">
      <alignment vertical="center"/>
    </xf>
    <xf numFmtId="0" fontId="1" fillId="0" borderId="0" xfId="90" applyNumberFormat="1" applyFont="1" applyFill="1" applyAlignment="1" applyProtection="1">
      <alignment vertical="center"/>
    </xf>
    <xf numFmtId="0" fontId="1" fillId="0" borderId="0" xfId="90" applyNumberFormat="1" applyFont="1" applyFill="1" applyAlignment="1">
      <alignment horizontal="left" vertical="center"/>
      <protection locked="0"/>
    </xf>
    <xf numFmtId="0" fontId="25" fillId="0" borderId="0" xfId="90" applyNumberFormat="1" applyFont="1" applyFill="1" applyAlignment="1" applyProtection="1">
      <alignment horizontal="center" vertical="center"/>
    </xf>
    <xf numFmtId="0" fontId="6" fillId="0" borderId="0" xfId="90" applyNumberFormat="1" applyFont="1" applyFill="1" applyAlignment="1">
      <alignment horizontal="left" vertical="center" wrapText="1"/>
      <protection locked="0"/>
    </xf>
    <xf numFmtId="0" fontId="6" fillId="0" borderId="0" xfId="90" applyNumberFormat="1" applyFont="1" applyFill="1" applyAlignment="1">
      <alignment horizontal="left" vertical="center"/>
      <protection locked="0"/>
    </xf>
    <xf numFmtId="0" fontId="1" fillId="0" borderId="0" xfId="79" applyNumberFormat="1" applyFont="1" applyAlignment="1">
      <alignment horizontal="center" vertical="center"/>
    </xf>
    <xf numFmtId="0" fontId="3" fillId="2" borderId="7" xfId="90" applyNumberFormat="1" applyFont="1" applyFill="1" applyBorder="1" applyAlignment="1">
      <alignment horizontal="center" vertical="center"/>
      <protection locked="0"/>
    </xf>
    <xf numFmtId="0" fontId="13" fillId="2" borderId="7" xfId="90" applyNumberFormat="1" applyFont="1" applyFill="1" applyBorder="1" applyAlignment="1" applyProtection="1">
      <alignment horizontal="center" vertical="center" wrapText="1"/>
    </xf>
    <xf numFmtId="0" fontId="13" fillId="2" borderId="7" xfId="90" applyNumberFormat="1" applyFont="1" applyFill="1" applyBorder="1" applyAlignment="1" applyProtection="1">
      <alignment horizontal="center" vertical="center"/>
    </xf>
    <xf numFmtId="0" fontId="1" fillId="0" borderId="8" xfId="90" applyNumberFormat="1" applyFont="1" applyFill="1" applyBorder="1" applyAlignment="1">
      <alignment vertical="center"/>
      <protection locked="0"/>
    </xf>
    <xf numFmtId="43" fontId="13" fillId="0" borderId="7" xfId="90" applyNumberFormat="1" applyFont="1" applyFill="1" applyBorder="1" applyAlignment="1" applyProtection="1">
      <alignment horizontal="center" vertical="center" wrapText="1"/>
    </xf>
    <xf numFmtId="0" fontId="13" fillId="0" borderId="7" xfId="90" applyNumberFormat="1" applyFont="1" applyFill="1" applyBorder="1" applyAlignment="1" applyProtection="1">
      <alignment horizontal="center" vertical="center" wrapText="1"/>
    </xf>
    <xf numFmtId="0" fontId="13" fillId="0" borderId="7" xfId="90" applyNumberFormat="1" applyFont="1" applyFill="1" applyBorder="1" applyAlignment="1" applyProtection="1">
      <alignment vertical="center"/>
    </xf>
    <xf numFmtId="0" fontId="11" fillId="0" borderId="8" xfId="90" applyNumberFormat="1" applyFont="1" applyFill="1" applyBorder="1" applyAlignment="1">
      <alignment horizontal="center" vertical="center"/>
      <protection locked="0"/>
    </xf>
    <xf numFmtId="43" fontId="1" fillId="0" borderId="8" xfId="59" applyNumberFormat="1" applyFont="1" applyBorder="1" applyAlignment="1" applyProtection="1">
      <alignment vertical="center"/>
      <protection locked="0"/>
    </xf>
    <xf numFmtId="0" fontId="9" fillId="0" borderId="0" xfId="85" applyNumberFormat="1" applyFont="1" applyFill="1" applyAlignment="1">
      <alignment horizontal="center" vertical="center" wrapText="1"/>
    </xf>
    <xf numFmtId="0" fontId="1" fillId="0" borderId="0" xfId="59" applyNumberFormat="1" applyFont="1" applyBorder="1" applyAlignment="1" applyProtection="1">
      <alignment vertical="center"/>
      <protection locked="0"/>
    </xf>
    <xf numFmtId="0" fontId="3" fillId="0" borderId="0" xfId="90" applyNumberFormat="1" applyFont="1" applyFill="1" applyAlignment="1">
      <alignment vertical="center"/>
      <protection locked="0"/>
    </xf>
    <xf numFmtId="0" fontId="8" fillId="0" borderId="0" xfId="90" applyNumberFormat="1" applyFont="1" applyFill="1" applyAlignment="1">
      <alignment vertical="center"/>
      <protection locked="0"/>
    </xf>
    <xf numFmtId="176" fontId="26" fillId="5" borderId="0" xfId="111" applyFont="1" applyFill="1" applyAlignment="1" applyProtection="1">
      <alignment vertical="top"/>
      <protection locked="0"/>
    </xf>
    <xf numFmtId="176" fontId="26" fillId="5" borderId="0" xfId="111" applyFont="1" applyFill="1" applyAlignment="1" applyProtection="1">
      <alignment vertical="center"/>
      <protection locked="0"/>
    </xf>
    <xf numFmtId="176" fontId="15" fillId="0" borderId="0" xfId="109">
      <alignment vertical="center"/>
    </xf>
    <xf numFmtId="176" fontId="27" fillId="5" borderId="0" xfId="111" applyFont="1" applyFill="1" applyAlignment="1" applyProtection="1">
      <alignment horizontal="center" vertical="center"/>
      <protection locked="0"/>
    </xf>
    <xf numFmtId="176" fontId="28" fillId="5" borderId="0" xfId="111" applyFont="1" applyFill="1" applyBorder="1" applyAlignment="1" applyProtection="1">
      <alignment horizontal="center" vertical="center"/>
      <protection locked="0"/>
    </xf>
    <xf numFmtId="176" fontId="9" fillId="5" borderId="0" xfId="111" applyFont="1" applyFill="1" applyAlignment="1" applyProtection="1">
      <alignment vertical="top"/>
      <protection locked="0"/>
    </xf>
    <xf numFmtId="176" fontId="26" fillId="5" borderId="0" xfId="111" applyFont="1" applyFill="1" applyBorder="1" applyAlignment="1" applyProtection="1">
      <alignment vertical="center"/>
      <protection locked="0"/>
    </xf>
    <xf numFmtId="176" fontId="7" fillId="5" borderId="0" xfId="111" applyFont="1" applyFill="1" applyBorder="1" applyAlignment="1" applyProtection="1">
      <alignment vertical="center"/>
      <protection locked="0"/>
    </xf>
    <xf numFmtId="176" fontId="29" fillId="0" borderId="0" xfId="111" applyFont="1" applyFill="1" applyBorder="1" applyAlignment="1" applyProtection="1">
      <alignment vertical="center"/>
      <protection locked="0"/>
    </xf>
    <xf numFmtId="176" fontId="26" fillId="0" borderId="0" xfId="111" applyFont="1" applyFill="1" applyBorder="1" applyAlignment="1" applyProtection="1">
      <alignment vertical="center"/>
      <protection locked="0"/>
    </xf>
    <xf numFmtId="176" fontId="30" fillId="5" borderId="0" xfId="111" applyFont="1" applyFill="1" applyBorder="1" applyAlignment="1" applyProtection="1">
      <alignment horizontal="left" vertical="center"/>
      <protection locked="0"/>
    </xf>
    <xf numFmtId="176" fontId="31" fillId="5" borderId="0" xfId="111" applyFont="1" applyFill="1" applyBorder="1" applyAlignment="1" applyProtection="1">
      <alignment horizontal="center" vertical="center"/>
      <protection locked="0"/>
    </xf>
    <xf numFmtId="176" fontId="11" fillId="5" borderId="0" xfId="111" applyFont="1" applyFill="1" applyBorder="1" applyAlignment="1" applyProtection="1">
      <alignment horizontal="center" vertical="center"/>
      <protection locked="0"/>
    </xf>
    <xf numFmtId="176" fontId="26" fillId="5" borderId="0" xfId="111" applyFont="1" applyFill="1" applyBorder="1" applyAlignment="1" applyProtection="1">
      <alignment horizontal="center" vertical="center"/>
      <protection locked="0"/>
    </xf>
    <xf numFmtId="176" fontId="7" fillId="5" borderId="0" xfId="111" applyFont="1" applyFill="1" applyAlignment="1" applyProtection="1">
      <alignment vertical="center"/>
      <protection locked="0"/>
    </xf>
    <xf numFmtId="176" fontId="30" fillId="5" borderId="0" xfId="113" applyFont="1" applyFill="1" applyBorder="1" applyAlignment="1" applyProtection="1">
      <alignment horizontal="left" vertical="center" wrapText="1"/>
      <protection locked="0"/>
    </xf>
    <xf numFmtId="176" fontId="30" fillId="5" borderId="0" xfId="111" applyFont="1" applyFill="1" applyBorder="1" applyAlignment="1" applyProtection="1">
      <alignment vertical="center"/>
      <protection locked="0"/>
    </xf>
    <xf numFmtId="176" fontId="30" fillId="5" borderId="0" xfId="111" applyFont="1" applyFill="1" applyBorder="1" applyAlignment="1" applyProtection="1">
      <alignment horizontal="left" vertical="center" wrapText="1"/>
      <protection locked="0"/>
    </xf>
    <xf numFmtId="0" fontId="30" fillId="5" borderId="0" xfId="78" applyFont="1" applyFill="1" applyBorder="1" applyAlignment="1" applyProtection="1">
      <alignment horizontal="left" vertical="center" wrapText="1"/>
      <protection locked="0"/>
    </xf>
    <xf numFmtId="176" fontId="31" fillId="5" borderId="0" xfId="113" applyFont="1" applyFill="1" applyBorder="1" applyAlignment="1" applyProtection="1">
      <alignment horizontal="center" vertical="center" wrapText="1"/>
      <protection locked="0"/>
    </xf>
    <xf numFmtId="176" fontId="30" fillId="5" borderId="0" xfId="111" applyFont="1" applyFill="1" applyBorder="1" applyAlignment="1" applyProtection="1">
      <alignment vertical="center" wrapText="1"/>
      <protection locked="0"/>
    </xf>
    <xf numFmtId="176" fontId="29" fillId="5" borderId="0" xfId="111" applyFont="1" applyFill="1" applyBorder="1" applyAlignment="1" applyProtection="1">
      <alignment vertical="center"/>
      <protection locked="0"/>
    </xf>
    <xf numFmtId="43" fontId="1" fillId="5" borderId="0" xfId="58" applyNumberFormat="1" applyFont="1" applyFill="1" applyBorder="1" applyAlignment="1">
      <alignment vertical="center"/>
    </xf>
    <xf numFmtId="176" fontId="7" fillId="5" borderId="0" xfId="112" applyFont="1" applyFill="1">
      <alignment vertical="center"/>
    </xf>
    <xf numFmtId="176" fontId="1" fillId="5" borderId="0" xfId="109" applyFont="1" applyFill="1">
      <alignment vertical="center"/>
    </xf>
    <xf numFmtId="176" fontId="27" fillId="5" borderId="0" xfId="112" applyFont="1" applyFill="1" applyBorder="1" applyAlignment="1">
      <alignment horizontal="center" vertical="center"/>
    </xf>
    <xf numFmtId="176" fontId="28" fillId="5" borderId="0" xfId="112" applyFont="1" applyFill="1" applyBorder="1" applyAlignment="1">
      <alignment horizontal="center" vertical="center"/>
    </xf>
    <xf numFmtId="176" fontId="7" fillId="5" borderId="0" xfId="112" applyFont="1" applyFill="1" applyBorder="1">
      <alignment vertical="center"/>
    </xf>
    <xf numFmtId="176" fontId="7" fillId="5" borderId="0" xfId="112" applyFont="1" applyFill="1" applyBorder="1" applyAlignment="1">
      <alignment horizontal="right" vertical="center"/>
    </xf>
    <xf numFmtId="43" fontId="32" fillId="5" borderId="0" xfId="6" applyNumberFormat="1" applyFont="1" applyFill="1" applyBorder="1" applyAlignment="1">
      <alignment vertical="center"/>
    </xf>
    <xf numFmtId="176" fontId="13" fillId="5" borderId="0" xfId="112" applyFont="1" applyFill="1" applyBorder="1">
      <alignment vertical="center"/>
    </xf>
    <xf numFmtId="176" fontId="13" fillId="5" borderId="0" xfId="0" applyNumberFormat="1" applyFont="1" applyFill="1" applyAlignment="1">
      <alignment vertical="center"/>
    </xf>
    <xf numFmtId="176" fontId="8" fillId="5" borderId="0" xfId="0" applyNumberFormat="1" applyFont="1" applyFill="1" applyAlignment="1">
      <alignment vertical="center"/>
    </xf>
    <xf numFmtId="176" fontId="7" fillId="5" borderId="0" xfId="112" applyFont="1" applyFill="1" applyBorder="1" applyAlignment="1">
      <alignment horizontal="left" vertical="center" wrapText="1"/>
    </xf>
    <xf numFmtId="176" fontId="7" fillId="5" borderId="0" xfId="112" applyFont="1" applyFill="1" applyBorder="1" applyAlignment="1">
      <alignment vertical="center" wrapText="1"/>
    </xf>
    <xf numFmtId="176" fontId="6" fillId="5" borderId="0" xfId="112" applyFont="1" applyFill="1" applyBorder="1" applyAlignment="1">
      <alignment vertical="center" wrapText="1"/>
    </xf>
    <xf numFmtId="176" fontId="13" fillId="5" borderId="0" xfId="112" applyFont="1" applyFill="1" applyBorder="1" applyAlignment="1">
      <alignment vertical="center" wrapText="1"/>
    </xf>
    <xf numFmtId="176" fontId="7" fillId="0" borderId="0" xfId="0" applyNumberFormat="1" applyFont="1" applyFill="1" applyBorder="1" applyAlignment="1">
      <alignment vertical="center"/>
    </xf>
    <xf numFmtId="176" fontId="6" fillId="0" borderId="0" xfId="0" applyNumberFormat="1" applyFont="1" applyFill="1" applyBorder="1" applyAlignment="1">
      <alignment vertical="center"/>
    </xf>
    <xf numFmtId="176" fontId="13" fillId="0" borderId="0" xfId="0" applyNumberFormat="1" applyFont="1" applyFill="1" applyAlignment="1">
      <alignment vertical="center"/>
    </xf>
    <xf numFmtId="176" fontId="7" fillId="0" borderId="0" xfId="0" applyNumberFormat="1" applyFont="1" applyFill="1" applyAlignment="1">
      <alignment vertical="center"/>
    </xf>
    <xf numFmtId="176" fontId="8" fillId="0" borderId="0" xfId="0" applyNumberFormat="1" applyFont="1" applyFill="1" applyAlignment="1">
      <alignment vertical="center"/>
    </xf>
    <xf numFmtId="176" fontId="7" fillId="0" borderId="0" xfId="0" applyNumberFormat="1" applyFont="1" applyFill="1" applyAlignment="1"/>
    <xf numFmtId="176" fontId="6" fillId="0" borderId="0" xfId="0" applyNumberFormat="1" applyFont="1" applyFill="1" applyAlignment="1">
      <alignment vertical="center"/>
    </xf>
    <xf numFmtId="176" fontId="7" fillId="0" borderId="0" xfId="0" applyNumberFormat="1" applyFont="1" applyFill="1" applyAlignment="1">
      <alignment horizontal="right" vertical="center"/>
    </xf>
    <xf numFmtId="176" fontId="33" fillId="0" borderId="0" xfId="0" applyNumberFormat="1" applyFont="1" applyFill="1" applyAlignment="1">
      <alignment vertical="center"/>
    </xf>
    <xf numFmtId="176" fontId="34" fillId="0" borderId="0" xfId="0" applyNumberFormat="1" applyFont="1" applyFill="1" applyAlignment="1">
      <alignment vertical="center"/>
    </xf>
    <xf numFmtId="176" fontId="7" fillId="5" borderId="0" xfId="111" applyFont="1" applyFill="1">
      <alignment vertical="top"/>
      <protection locked="0"/>
    </xf>
    <xf numFmtId="176" fontId="7" fillId="5" borderId="0" xfId="111" applyFont="1" applyFill="1" applyAlignment="1">
      <alignment vertical="center"/>
      <protection locked="0"/>
    </xf>
    <xf numFmtId="176" fontId="1" fillId="0" borderId="0" xfId="109" applyFont="1">
      <alignment vertical="center"/>
    </xf>
    <xf numFmtId="176" fontId="27" fillId="5" borderId="0" xfId="111" applyFont="1" applyFill="1" applyAlignment="1">
      <alignment horizontal="center" vertical="center"/>
      <protection locked="0"/>
    </xf>
    <xf numFmtId="176" fontId="28" fillId="5" borderId="0" xfId="111" applyFont="1" applyFill="1" applyBorder="1" applyAlignment="1">
      <alignment horizontal="center" vertical="center"/>
      <protection locked="0"/>
    </xf>
    <xf numFmtId="176" fontId="7" fillId="5" borderId="0" xfId="111" applyFont="1" applyFill="1" applyBorder="1" applyAlignment="1">
      <alignment vertical="center"/>
      <protection locked="0"/>
    </xf>
    <xf numFmtId="176" fontId="7" fillId="5" borderId="0" xfId="111" applyFont="1" applyFill="1" applyBorder="1" applyAlignment="1">
      <alignment horizontal="right" vertical="center"/>
      <protection locked="0"/>
    </xf>
    <xf numFmtId="176" fontId="5" fillId="5" borderId="0" xfId="6" applyFont="1" applyFill="1" applyAlignment="1" applyProtection="1">
      <alignment horizontal="left" vertical="center"/>
      <protection locked="0"/>
    </xf>
    <xf numFmtId="176" fontId="3" fillId="2" borderId="8" xfId="111" applyFont="1" applyFill="1" applyBorder="1" applyAlignment="1">
      <alignment horizontal="center" vertical="center"/>
      <protection locked="0"/>
    </xf>
    <xf numFmtId="176" fontId="7" fillId="2" borderId="8" xfId="111" applyFont="1" applyFill="1" applyBorder="1" applyAlignment="1">
      <alignment vertical="center"/>
      <protection locked="0"/>
    </xf>
    <xf numFmtId="0" fontId="6" fillId="5" borderId="8" xfId="111" applyNumberFormat="1" applyFont="1" applyFill="1" applyBorder="1" applyAlignment="1">
      <alignment horizontal="left" vertical="center"/>
      <protection locked="0"/>
    </xf>
    <xf numFmtId="0" fontId="7" fillId="5" borderId="8" xfId="111" applyNumberFormat="1" applyFont="1" applyFill="1" applyBorder="1" applyAlignment="1">
      <alignment vertical="center"/>
      <protection locked="0"/>
    </xf>
    <xf numFmtId="176" fontId="7" fillId="5" borderId="8" xfId="111" applyFont="1" applyFill="1" applyBorder="1" applyAlignment="1">
      <alignment vertical="center"/>
      <protection locked="0"/>
    </xf>
    <xf numFmtId="176" fontId="5" fillId="0" borderId="0" xfId="0" applyNumberFormat="1" applyFont="1" applyFill="1" applyAlignment="1">
      <alignment vertical="center"/>
    </xf>
    <xf numFmtId="176" fontId="3" fillId="0" borderId="0" xfId="90" applyNumberFormat="1" applyFont="1" applyFill="1" applyAlignment="1">
      <alignment vertical="center"/>
      <protection locked="0"/>
    </xf>
    <xf numFmtId="0" fontId="1" fillId="0" borderId="0" xfId="79" applyNumberFormat="1" applyFont="1" applyAlignment="1" applyProtection="1">
      <alignment vertical="center"/>
      <protection locked="0"/>
    </xf>
    <xf numFmtId="176" fontId="1" fillId="6" borderId="0" xfId="0" applyNumberFormat="1" applyFont="1" applyFill="1" applyAlignment="1">
      <alignment vertical="center"/>
    </xf>
    <xf numFmtId="176" fontId="1" fillId="0" borderId="0" xfId="79" applyFont="1" applyAlignment="1" applyProtection="1">
      <alignment vertical="center"/>
      <protection locked="0"/>
    </xf>
    <xf numFmtId="176" fontId="1" fillId="0" borderId="0" xfId="90" applyNumberFormat="1" applyFont="1" applyFill="1" applyAlignment="1">
      <alignment vertical="center"/>
      <protection locked="0"/>
    </xf>
    <xf numFmtId="176" fontId="2" fillId="0" borderId="0" xfId="90" applyNumberFormat="1" applyFont="1" applyFill="1" applyAlignment="1">
      <alignment horizontal="center" vertical="center"/>
      <protection locked="0"/>
    </xf>
    <xf numFmtId="176" fontId="4" fillId="0" borderId="0" xfId="90" applyNumberFormat="1" applyFont="1" applyFill="1" applyAlignment="1">
      <alignment horizontal="center" vertical="center"/>
      <protection locked="0"/>
    </xf>
    <xf numFmtId="43" fontId="1" fillId="0" borderId="0" xfId="58" applyNumberFormat="1" applyFont="1" applyBorder="1" applyAlignment="1">
      <alignment vertical="center"/>
    </xf>
    <xf numFmtId="43" fontId="1" fillId="0" borderId="0" xfId="58" applyNumberFormat="1" applyFont="1" applyBorder="1" applyAlignment="1">
      <alignment horizontal="left" vertical="center"/>
    </xf>
    <xf numFmtId="176" fontId="1" fillId="0" borderId="0" xfId="90" applyNumberFormat="1" applyFont="1" applyFill="1" applyAlignment="1">
      <alignment horizontal="right" vertical="center"/>
      <protection locked="0"/>
    </xf>
    <xf numFmtId="176" fontId="5" fillId="0" borderId="0" xfId="6" applyFont="1" applyAlignment="1" applyProtection="1">
      <alignment vertical="center"/>
      <protection locked="0"/>
    </xf>
    <xf numFmtId="0" fontId="6" fillId="0" borderId="0" xfId="79" applyNumberFormat="1" applyFont="1" applyAlignment="1">
      <alignment horizontal="left" vertical="center"/>
    </xf>
    <xf numFmtId="176" fontId="13" fillId="2" borderId="8" xfId="0" applyNumberFormat="1" applyFont="1" applyFill="1" applyBorder="1" applyAlignment="1">
      <alignment horizontal="center" vertical="center"/>
    </xf>
    <xf numFmtId="176" fontId="9" fillId="2" borderId="8" xfId="0" applyNumberFormat="1" applyFont="1" applyFill="1" applyBorder="1" applyAlignment="1">
      <alignment horizontal="center" vertical="center"/>
    </xf>
    <xf numFmtId="176" fontId="13" fillId="2" borderId="8" xfId="0" applyNumberFormat="1" applyFont="1" applyFill="1" applyBorder="1" applyAlignment="1">
      <alignment horizontal="left" vertical="center"/>
    </xf>
    <xf numFmtId="0" fontId="1" fillId="5" borderId="8" xfId="0" applyNumberFormat="1" applyFont="1" applyFill="1" applyBorder="1" applyAlignment="1">
      <alignment vertical="center"/>
    </xf>
    <xf numFmtId="176" fontId="13" fillId="2" borderId="8" xfId="0" applyNumberFormat="1" applyFont="1" applyFill="1" applyBorder="1" applyAlignment="1">
      <alignment horizontal="center" vertical="center" wrapText="1"/>
    </xf>
    <xf numFmtId="176" fontId="13" fillId="2" borderId="8" xfId="0" applyNumberFormat="1" applyFont="1" applyFill="1" applyBorder="1" applyAlignment="1">
      <alignment vertical="center"/>
    </xf>
    <xf numFmtId="176" fontId="13" fillId="2" borderId="1" xfId="0" applyNumberFormat="1" applyFont="1" applyFill="1" applyBorder="1" applyAlignment="1">
      <alignment horizontal="left" vertical="center"/>
    </xf>
    <xf numFmtId="176" fontId="13" fillId="2" borderId="3" xfId="0" applyNumberFormat="1" applyFont="1" applyFill="1" applyBorder="1" applyAlignment="1">
      <alignment horizontal="left" vertical="center"/>
    </xf>
    <xf numFmtId="176" fontId="13" fillId="2" borderId="8" xfId="0" applyNumberFormat="1" applyFont="1" applyFill="1" applyBorder="1" applyAlignment="1">
      <alignment horizontal="left" vertical="center" wrapText="1"/>
    </xf>
    <xf numFmtId="176" fontId="13" fillId="2" borderId="8" xfId="110" applyFont="1" applyFill="1" applyBorder="1" applyAlignment="1" applyProtection="1">
      <alignment horizontal="left" vertical="center"/>
    </xf>
    <xf numFmtId="176" fontId="13" fillId="2" borderId="3" xfId="0" applyNumberFormat="1" applyFont="1" applyFill="1" applyBorder="1" applyAlignment="1">
      <alignment horizontal="left" vertical="center" wrapText="1"/>
    </xf>
    <xf numFmtId="176" fontId="13" fillId="2" borderId="1" xfId="0" applyNumberFormat="1" applyFont="1" applyFill="1" applyBorder="1" applyAlignment="1">
      <alignment horizontal="left" vertical="center" wrapText="1"/>
    </xf>
    <xf numFmtId="176" fontId="3" fillId="2" borderId="8" xfId="79" applyFont="1" applyFill="1" applyBorder="1" applyAlignment="1" applyProtection="1">
      <alignment horizontal="left" vertical="center"/>
      <protection locked="0"/>
    </xf>
    <xf numFmtId="176" fontId="3" fillId="2" borderId="8" xfId="79" applyFont="1" applyFill="1" applyBorder="1" applyAlignment="1">
      <alignment horizontal="center" vertical="center"/>
    </xf>
    <xf numFmtId="0" fontId="1" fillId="0" borderId="8" xfId="79" applyNumberFormat="1" applyFont="1" applyBorder="1" applyAlignment="1" applyProtection="1">
      <alignment vertical="center"/>
      <protection locked="0"/>
    </xf>
    <xf numFmtId="0" fontId="3" fillId="0" borderId="0" xfId="90" applyNumberFormat="1" applyFont="1" applyFill="1" applyAlignment="1">
      <alignment vertical="center" wrapText="1"/>
      <protection locked="0"/>
    </xf>
    <xf numFmtId="0" fontId="1" fillId="0" borderId="0" xfId="90" applyNumberFormat="1" applyFont="1" applyFill="1" applyAlignment="1">
      <alignment vertical="center" wrapText="1"/>
      <protection locked="0"/>
    </xf>
    <xf numFmtId="0" fontId="3" fillId="0" borderId="0" xfId="90" applyNumberFormat="1" applyFont="1" applyFill="1" applyAlignment="1">
      <alignment horizontal="left" vertical="center"/>
      <protection locked="0"/>
    </xf>
    <xf numFmtId="176" fontId="14" fillId="0" borderId="0" xfId="80" applyFont="1" applyAlignment="1">
      <alignment vertical="center"/>
      <protection locked="0"/>
    </xf>
    <xf numFmtId="176" fontId="8" fillId="0" borderId="0" xfId="90" applyNumberFormat="1" applyFont="1" applyFill="1" applyAlignment="1">
      <alignment vertical="center"/>
      <protection locked="0"/>
    </xf>
    <xf numFmtId="176" fontId="5" fillId="0" borderId="0" xfId="80" applyFont="1" applyAlignment="1">
      <alignment vertical="center"/>
      <protection locked="0"/>
    </xf>
    <xf numFmtId="176" fontId="5" fillId="0" borderId="0" xfId="80" applyFont="1" applyAlignment="1">
      <alignment horizontal="left"/>
      <protection locked="0"/>
    </xf>
    <xf numFmtId="176" fontId="5" fillId="0" borderId="0" xfId="80" applyFont="1" applyAlignment="1">
      <alignment horizontal="left" vertical="center"/>
      <protection locked="0"/>
    </xf>
    <xf numFmtId="49" fontId="5" fillId="0" borderId="0" xfId="80" applyNumberFormat="1" applyFont="1" applyAlignment="1">
      <alignment horizontal="left" vertical="center"/>
      <protection locked="0"/>
    </xf>
    <xf numFmtId="176" fontId="35" fillId="0" borderId="0" xfId="0" applyNumberFormat="1" applyFont="1" applyFill="1" applyAlignment="1">
      <alignment horizontal="left" vertical="center"/>
    </xf>
    <xf numFmtId="176" fontId="36" fillId="0" borderId="0" xfId="0" applyNumberFormat="1" applyFont="1" applyFill="1" applyAlignment="1"/>
    <xf numFmtId="176" fontId="37" fillId="0" borderId="0" xfId="0" applyNumberFormat="1" applyFont="1" applyFill="1" applyAlignment="1">
      <alignment horizontal="center" vertical="center"/>
    </xf>
    <xf numFmtId="176" fontId="1" fillId="0" borderId="0" xfId="90" applyNumberFormat="1" applyFont="1" applyFill="1" applyAlignment="1">
      <alignment vertical="center" wrapText="1"/>
      <protection locked="0"/>
    </xf>
    <xf numFmtId="0" fontId="1" fillId="0" borderId="0" xfId="109" applyNumberFormat="1" applyFont="1" applyAlignment="1">
      <alignment horizontal="center" vertical="center"/>
    </xf>
    <xf numFmtId="0" fontId="1" fillId="0" borderId="0" xfId="109" applyNumberFormat="1" applyFont="1">
      <alignment vertical="center"/>
    </xf>
    <xf numFmtId="0" fontId="2" fillId="0" borderId="0" xfId="61" applyNumberFormat="1" applyFont="1" applyAlignment="1">
      <alignment horizontal="center" vertical="center"/>
    </xf>
    <xf numFmtId="0" fontId="3" fillId="0" borderId="0" xfId="61" applyNumberFormat="1" applyFont="1" applyAlignment="1">
      <alignment vertical="center"/>
    </xf>
    <xf numFmtId="0" fontId="4" fillId="0" borderId="0" xfId="61" applyNumberFormat="1" applyFont="1" applyAlignment="1">
      <alignment horizontal="center" vertical="center"/>
    </xf>
    <xf numFmtId="0" fontId="3" fillId="0" borderId="0" xfId="58" applyNumberFormat="1" applyFont="1" applyBorder="1" applyAlignment="1">
      <alignment vertical="center"/>
    </xf>
    <xf numFmtId="0" fontId="1" fillId="0" borderId="0" xfId="58" applyNumberFormat="1" applyFont="1" applyBorder="1" applyAlignment="1">
      <alignment horizontal="right" vertical="center"/>
    </xf>
    <xf numFmtId="0" fontId="5" fillId="0" borderId="0" xfId="6" applyNumberFormat="1" applyFont="1" applyBorder="1" applyAlignment="1">
      <alignment horizontal="left" vertical="center"/>
    </xf>
    <xf numFmtId="0" fontId="3" fillId="2" borderId="8" xfId="109" applyNumberFormat="1" applyFont="1" applyFill="1" applyBorder="1" applyAlignment="1">
      <alignment horizontal="center" vertical="center" wrapText="1"/>
    </xf>
    <xf numFmtId="0" fontId="3" fillId="2" borderId="8" xfId="109" applyNumberFormat="1" applyFont="1" applyFill="1" applyBorder="1" applyAlignment="1">
      <alignment horizontal="center" vertical="center"/>
    </xf>
    <xf numFmtId="0" fontId="1" fillId="0" borderId="8" xfId="109" applyNumberFormat="1" applyFont="1" applyBorder="1" applyAlignment="1">
      <alignment horizontal="center" vertical="center"/>
    </xf>
    <xf numFmtId="0" fontId="1" fillId="0" borderId="8" xfId="109" applyNumberFormat="1" applyFont="1" applyBorder="1" applyAlignment="1">
      <alignment horizontal="left" vertical="center"/>
    </xf>
    <xf numFmtId="0" fontId="6" fillId="0" borderId="8" xfId="109" applyNumberFormat="1" applyFont="1" applyBorder="1">
      <alignment vertical="center"/>
    </xf>
    <xf numFmtId="43" fontId="30" fillId="0" borderId="8" xfId="59" applyNumberFormat="1" applyFont="1" applyBorder="1" applyAlignment="1">
      <alignment vertical="center"/>
    </xf>
    <xf numFmtId="0" fontId="30" fillId="0" borderId="8" xfId="68" applyNumberFormat="1" applyFont="1" applyBorder="1" applyAlignment="1">
      <alignment vertical="center"/>
    </xf>
    <xf numFmtId="43" fontId="30" fillId="0" borderId="8" xfId="68" applyNumberFormat="1" applyFont="1" applyBorder="1" applyAlignment="1">
      <alignment vertical="center"/>
    </xf>
    <xf numFmtId="0" fontId="11" fillId="0" borderId="8" xfId="68" applyNumberFormat="1" applyFont="1" applyBorder="1" applyAlignment="1">
      <alignment vertical="center"/>
    </xf>
    <xf numFmtId="0" fontId="1" fillId="0" borderId="8" xfId="109" applyNumberFormat="1" applyFont="1" applyBorder="1">
      <alignment vertical="center"/>
    </xf>
    <xf numFmtId="0" fontId="11" fillId="0" borderId="8" xfId="109" applyNumberFormat="1" applyFont="1" applyBorder="1">
      <alignment vertical="center"/>
    </xf>
    <xf numFmtId="43" fontId="11" fillId="0" borderId="8" xfId="59" applyNumberFormat="1" applyFont="1" applyBorder="1" applyAlignment="1">
      <alignment vertical="center"/>
    </xf>
    <xf numFmtId="43" fontId="11" fillId="0" borderId="8" xfId="68" applyNumberFormat="1" applyFont="1" applyBorder="1" applyAlignment="1">
      <alignment vertical="center"/>
    </xf>
    <xf numFmtId="43" fontId="11" fillId="0" borderId="8" xfId="109" applyNumberFormat="1" applyFont="1" applyBorder="1">
      <alignment vertical="center"/>
    </xf>
    <xf numFmtId="0" fontId="3" fillId="0" borderId="0" xfId="107" applyNumberFormat="1" applyFont="1">
      <alignment vertical="center"/>
    </xf>
    <xf numFmtId="0" fontId="3" fillId="0" borderId="0" xfId="107" applyNumberFormat="1" applyFont="1" applyAlignment="1">
      <alignment vertical="center" wrapText="1"/>
    </xf>
    <xf numFmtId="0" fontId="1" fillId="0" borderId="0" xfId="107" applyNumberFormat="1" applyFont="1">
      <alignment vertical="center"/>
    </xf>
    <xf numFmtId="0" fontId="1" fillId="0" borderId="0" xfId="107" applyNumberFormat="1" applyFont="1" applyAlignment="1">
      <alignment horizontal="center" vertical="center"/>
    </xf>
    <xf numFmtId="0" fontId="1" fillId="0" borderId="0" xfId="59" applyNumberFormat="1" applyFont="1" applyAlignment="1">
      <alignment vertical="center"/>
    </xf>
    <xf numFmtId="0" fontId="2" fillId="0" borderId="0" xfId="107" applyNumberFormat="1" applyFont="1" applyAlignment="1">
      <alignment horizontal="center" vertical="center"/>
    </xf>
    <xf numFmtId="0" fontId="15" fillId="0" borderId="0" xfId="107" applyNumberFormat="1" applyFont="1">
      <alignment vertical="center"/>
    </xf>
    <xf numFmtId="0" fontId="4" fillId="0" borderId="0" xfId="107" applyNumberFormat="1" applyFont="1" applyAlignment="1">
      <alignment horizontal="center" vertical="center"/>
    </xf>
    <xf numFmtId="0" fontId="38" fillId="0" borderId="0" xfId="107" applyNumberFormat="1" applyFont="1" applyAlignment="1">
      <alignment horizontal="center" vertical="center"/>
    </xf>
    <xf numFmtId="0" fontId="1" fillId="0" borderId="0" xfId="107" applyNumberFormat="1" applyFont="1" applyAlignment="1">
      <alignment horizontal="left" vertical="center"/>
    </xf>
    <xf numFmtId="0" fontId="7" fillId="0" borderId="0" xfId="108" applyNumberFormat="1" applyFont="1" applyAlignment="1">
      <alignment horizontal="right" vertical="center"/>
    </xf>
    <xf numFmtId="0" fontId="5" fillId="0" borderId="0" xfId="6" applyNumberFormat="1" applyFont="1" applyAlignment="1">
      <alignment vertical="center"/>
    </xf>
    <xf numFmtId="0" fontId="1" fillId="0" borderId="0" xfId="105" applyNumberFormat="1" applyFont="1" applyAlignment="1">
      <alignment vertical="center"/>
    </xf>
    <xf numFmtId="0" fontId="3" fillId="0" borderId="0" xfId="107" applyNumberFormat="1" applyFont="1" applyAlignment="1">
      <alignment horizontal="center" vertical="center"/>
    </xf>
    <xf numFmtId="0" fontId="3" fillId="0" borderId="0" xfId="59" applyNumberFormat="1" applyFont="1" applyAlignment="1">
      <alignment vertical="center"/>
    </xf>
    <xf numFmtId="0" fontId="6" fillId="0" borderId="0" xfId="107" applyNumberFormat="1" applyFont="1">
      <alignment vertical="center"/>
    </xf>
    <xf numFmtId="0" fontId="1" fillId="0" borderId="0" xfId="107" applyNumberFormat="1" applyFont="1" applyAlignment="1">
      <alignment vertical="center" wrapText="1"/>
    </xf>
    <xf numFmtId="0" fontId="6" fillId="0" borderId="0" xfId="107" applyNumberFormat="1" applyFont="1" applyAlignment="1">
      <alignment horizontal="left" vertical="center" wrapText="1"/>
    </xf>
    <xf numFmtId="0" fontId="3" fillId="7" borderId="0" xfId="107" applyNumberFormat="1" applyFont="1" applyFill="1">
      <alignment vertical="center"/>
    </xf>
    <xf numFmtId="0" fontId="3" fillId="2" borderId="8" xfId="107" applyNumberFormat="1" applyFont="1" applyFill="1" applyBorder="1" applyAlignment="1">
      <alignment horizontal="center" vertical="center" wrapText="1"/>
    </xf>
    <xf numFmtId="0" fontId="3" fillId="2" borderId="8" xfId="59" applyNumberFormat="1" applyFont="1" applyFill="1" applyBorder="1" applyAlignment="1">
      <alignment horizontal="center" vertical="center" wrapText="1"/>
    </xf>
    <xf numFmtId="0" fontId="1" fillId="0" borderId="8" xfId="107" applyNumberFormat="1" applyFont="1" applyBorder="1" applyAlignment="1">
      <alignment horizontal="center" vertical="center"/>
    </xf>
    <xf numFmtId="0" fontId="6" fillId="0" borderId="8" xfId="107" applyNumberFormat="1" applyFont="1" applyBorder="1">
      <alignment vertical="center"/>
    </xf>
    <xf numFmtId="0" fontId="6" fillId="0" borderId="8" xfId="107" applyNumberFormat="1" applyFont="1" applyBorder="1" applyAlignment="1">
      <alignment horizontal="center" vertical="center"/>
    </xf>
    <xf numFmtId="43" fontId="6" fillId="0" borderId="8" xfId="59" applyNumberFormat="1" applyFont="1" applyBorder="1" applyAlignment="1">
      <alignment vertical="center"/>
    </xf>
    <xf numFmtId="0" fontId="6" fillId="0" borderId="8" xfId="107" applyNumberFormat="1" applyFont="1" applyBorder="1" applyAlignment="1">
      <alignment vertical="center" wrapText="1"/>
    </xf>
    <xf numFmtId="0" fontId="1" fillId="0" borderId="8" xfId="107" applyNumberFormat="1" applyFont="1" applyBorder="1">
      <alignment vertical="center"/>
    </xf>
    <xf numFmtId="43" fontId="1" fillId="0" borderId="8" xfId="59" applyNumberFormat="1" applyFont="1" applyBorder="1" applyAlignment="1">
      <alignment vertical="center"/>
    </xf>
    <xf numFmtId="0" fontId="1" fillId="0" borderId="8" xfId="107" applyNumberFormat="1" applyFont="1" applyBorder="1" applyAlignment="1">
      <alignment vertical="center" wrapText="1"/>
    </xf>
    <xf numFmtId="0" fontId="1" fillId="0" borderId="0" xfId="59" applyNumberFormat="1" applyFont="1" applyBorder="1" applyAlignment="1">
      <alignment vertical="center"/>
    </xf>
    <xf numFmtId="0" fontId="30" fillId="0" borderId="0" xfId="105" applyNumberFormat="1" applyFont="1" applyBorder="1" applyAlignment="1">
      <alignment vertical="center"/>
    </xf>
    <xf numFmtId="0" fontId="1" fillId="0" borderId="0" xfId="107" applyNumberFormat="1" applyFont="1" applyAlignment="1">
      <alignment horizontal="left" vertical="center" wrapText="1"/>
    </xf>
    <xf numFmtId="0" fontId="14" fillId="0" borderId="0" xfId="107" applyNumberFormat="1" applyFont="1">
      <alignment vertical="center"/>
    </xf>
    <xf numFmtId="0" fontId="8" fillId="0" borderId="0" xfId="107" applyNumberFormat="1" applyFont="1">
      <alignment vertical="center"/>
    </xf>
    <xf numFmtId="0" fontId="11" fillId="0" borderId="0" xfId="90" applyNumberFormat="1" applyFont="1" applyFill="1" applyAlignment="1">
      <alignment vertical="center"/>
      <protection locked="0"/>
    </xf>
    <xf numFmtId="176" fontId="11" fillId="0" borderId="0" xfId="90" applyNumberFormat="1" applyFont="1" applyFill="1" applyAlignment="1">
      <alignment horizontal="center" vertical="center"/>
      <protection locked="0"/>
    </xf>
    <xf numFmtId="176" fontId="11" fillId="0" borderId="0" xfId="90" applyNumberFormat="1" applyFont="1" applyFill="1" applyAlignment="1">
      <alignment vertical="center"/>
      <protection locked="0"/>
    </xf>
    <xf numFmtId="0" fontId="7" fillId="0" borderId="0" xfId="0" applyNumberFormat="1" applyFont="1" applyFill="1" applyAlignment="1">
      <alignment vertical="center"/>
    </xf>
    <xf numFmtId="0" fontId="32" fillId="0" borderId="0" xfId="6" applyNumberFormat="1" applyFont="1" applyAlignment="1" applyProtection="1">
      <alignment vertical="center"/>
      <protection locked="0"/>
    </xf>
    <xf numFmtId="0" fontId="10" fillId="0" borderId="0" xfId="79" applyNumberFormat="1" applyFont="1" applyAlignment="1">
      <alignment horizontal="left" vertical="center"/>
    </xf>
    <xf numFmtId="0" fontId="11" fillId="0" borderId="0" xfId="90" applyNumberFormat="1" applyFont="1" applyFill="1" applyAlignment="1" applyProtection="1">
      <alignment horizontal="center" vertical="center"/>
    </xf>
    <xf numFmtId="0" fontId="26" fillId="0" borderId="0" xfId="59" applyNumberFormat="1" applyFont="1" applyBorder="1" applyAlignment="1">
      <alignment vertical="center"/>
    </xf>
    <xf numFmtId="0" fontId="11" fillId="0" borderId="0" xfId="90" applyNumberFormat="1" applyFont="1" applyFill="1" applyAlignment="1" applyProtection="1">
      <alignment vertical="center"/>
    </xf>
    <xf numFmtId="0" fontId="11" fillId="0" borderId="0" xfId="90" applyNumberFormat="1" applyFont="1" applyFill="1" applyAlignment="1">
      <alignment horizontal="left" vertical="center"/>
      <protection locked="0"/>
    </xf>
    <xf numFmtId="176" fontId="3" fillId="2" borderId="8" xfId="90" applyNumberFormat="1" applyFont="1" applyFill="1" applyBorder="1" applyAlignment="1">
      <alignment horizontal="center" vertical="center" wrapText="1"/>
      <protection locked="0"/>
    </xf>
    <xf numFmtId="176" fontId="13" fillId="2" borderId="8" xfId="90" applyNumberFormat="1" applyFont="1" applyFill="1" applyBorder="1" applyAlignment="1" applyProtection="1">
      <alignment horizontal="center" vertical="center" wrapText="1"/>
    </xf>
    <xf numFmtId="176" fontId="29" fillId="2" borderId="8" xfId="90" applyNumberFormat="1" applyFont="1" applyFill="1" applyBorder="1" applyAlignment="1" applyProtection="1">
      <alignment horizontal="center" vertical="center" wrapText="1"/>
    </xf>
    <xf numFmtId="0" fontId="11" fillId="0" borderId="8" xfId="90" applyNumberFormat="1" applyFont="1" applyFill="1" applyBorder="1" applyAlignment="1">
      <alignment vertical="center"/>
      <protection locked="0"/>
    </xf>
    <xf numFmtId="0" fontId="11" fillId="0" borderId="8" xfId="59" applyNumberFormat="1" applyFont="1" applyBorder="1" applyAlignment="1" applyProtection="1">
      <alignment vertical="center"/>
      <protection locked="0"/>
    </xf>
    <xf numFmtId="43" fontId="11" fillId="0" borderId="8" xfId="59" applyNumberFormat="1" applyFont="1" applyBorder="1" applyAlignment="1" applyProtection="1">
      <alignment vertical="center"/>
      <protection locked="0"/>
    </xf>
    <xf numFmtId="10" fontId="11" fillId="0" borderId="8" xfId="90" applyNumberFormat="1" applyFont="1" applyFill="1" applyBorder="1" applyAlignment="1">
      <alignment vertical="center"/>
      <protection locked="0"/>
    </xf>
    <xf numFmtId="43" fontId="11" fillId="0" borderId="0" xfId="59" applyFont="1" applyFill="1" applyBorder="1" applyAlignment="1" applyProtection="1">
      <alignment vertical="center"/>
      <protection locked="0"/>
    </xf>
    <xf numFmtId="0" fontId="10" fillId="0" borderId="0" xfId="90" applyNumberFormat="1" applyFont="1" applyFill="1" applyAlignment="1">
      <alignment vertical="center"/>
      <protection locked="0"/>
    </xf>
    <xf numFmtId="0" fontId="3" fillId="0" borderId="0" xfId="89" applyNumberFormat="1" applyFont="1" applyFill="1" applyAlignment="1">
      <alignment vertical="center"/>
    </xf>
    <xf numFmtId="0" fontId="3" fillId="2" borderId="7" xfId="90" applyNumberFormat="1" applyFont="1" applyFill="1" applyBorder="1" applyAlignment="1">
      <alignment horizontal="center" vertical="center" wrapText="1"/>
      <protection locked="0"/>
    </xf>
    <xf numFmtId="0" fontId="3" fillId="2" borderId="7" xfId="90" applyNumberFormat="1" applyFont="1" applyFill="1" applyBorder="1" applyAlignment="1" applyProtection="1">
      <alignment horizontal="center" vertical="center" wrapText="1"/>
    </xf>
    <xf numFmtId="43" fontId="11" fillId="0" borderId="8" xfId="90" applyNumberFormat="1" applyFont="1" applyFill="1" applyBorder="1" applyAlignment="1">
      <alignment vertical="center"/>
      <protection locked="0"/>
    </xf>
    <xf numFmtId="0" fontId="11" fillId="0" borderId="0" xfId="90" applyNumberFormat="1" applyFont="1" applyFill="1" applyAlignment="1">
      <alignment horizontal="center" vertical="center"/>
      <protection locked="0"/>
    </xf>
    <xf numFmtId="0" fontId="11" fillId="0" borderId="0" xfId="59" applyNumberFormat="1" applyFont="1" applyBorder="1" applyAlignment="1" applyProtection="1">
      <alignment vertical="center"/>
      <protection locked="0"/>
    </xf>
    <xf numFmtId="176" fontId="1" fillId="0" borderId="0" xfId="81" applyNumberFormat="1" applyFont="1" applyAlignment="1">
      <alignment vertical="center"/>
      <protection locked="0"/>
    </xf>
    <xf numFmtId="176" fontId="1" fillId="0" borderId="0" xfId="53" applyNumberFormat="1" applyFont="1">
      <alignment vertical="center"/>
    </xf>
    <xf numFmtId="0" fontId="3" fillId="2" borderId="8" xfId="90" applyNumberFormat="1" applyFont="1" applyFill="1" applyBorder="1" applyAlignment="1">
      <alignment horizontal="center" vertical="center"/>
      <protection locked="0"/>
    </xf>
    <xf numFmtId="0" fontId="13" fillId="2" borderId="8" xfId="90" applyNumberFormat="1" applyFont="1" applyFill="1" applyBorder="1" applyAlignment="1" applyProtection="1">
      <alignment horizontal="center" vertical="center" wrapText="1"/>
    </xf>
    <xf numFmtId="43" fontId="1" fillId="0" borderId="8" xfId="90" applyNumberFormat="1" applyFont="1" applyFill="1" applyBorder="1" applyAlignment="1">
      <alignment vertical="center"/>
      <protection locked="0"/>
    </xf>
    <xf numFmtId="0" fontId="1" fillId="0" borderId="8" xfId="59" applyNumberFormat="1" applyFont="1" applyBorder="1" applyAlignment="1" applyProtection="1">
      <alignment vertical="center"/>
      <protection locked="0"/>
    </xf>
    <xf numFmtId="0" fontId="6" fillId="0" borderId="0" xfId="90" applyNumberFormat="1" applyFont="1" applyFill="1" applyAlignment="1">
      <alignment vertical="center"/>
      <protection locked="0"/>
    </xf>
    <xf numFmtId="176" fontId="1" fillId="0" borderId="0" xfId="101" applyFont="1" applyFill="1" applyAlignment="1" applyProtection="1">
      <alignment vertical="center"/>
      <protection locked="0"/>
    </xf>
    <xf numFmtId="0" fontId="15" fillId="0" borderId="0" xfId="101" applyNumberFormat="1" applyFill="1" applyAlignment="1" applyProtection="1">
      <alignment vertical="center"/>
      <protection locked="0"/>
    </xf>
    <xf numFmtId="176" fontId="15" fillId="0" borderId="0" xfId="101" applyFill="1" applyAlignment="1" applyProtection="1">
      <alignment vertical="center"/>
      <protection locked="0"/>
    </xf>
    <xf numFmtId="176" fontId="2" fillId="0" borderId="0" xfId="67" applyFont="1" applyAlignment="1">
      <alignment horizontal="center" vertical="center"/>
    </xf>
    <xf numFmtId="176" fontId="3" fillId="0" borderId="0" xfId="67" applyFont="1" applyAlignment="1">
      <alignment vertical="center"/>
    </xf>
    <xf numFmtId="176" fontId="4" fillId="0" borderId="0" xfId="67" applyFont="1" applyAlignment="1">
      <alignment horizontal="center" vertical="center"/>
    </xf>
    <xf numFmtId="176" fontId="2" fillId="0" borderId="0" xfId="67" applyFont="1" applyAlignment="1">
      <alignment vertical="center"/>
    </xf>
    <xf numFmtId="176" fontId="1" fillId="0" borderId="0" xfId="101" applyFont="1" applyFill="1" applyAlignment="1" applyProtection="1">
      <alignment horizontal="justify" vertical="center" wrapText="1"/>
      <protection locked="0"/>
    </xf>
    <xf numFmtId="176" fontId="1" fillId="0" borderId="0" xfId="101" applyFont="1" applyFill="1" applyAlignment="1" applyProtection="1">
      <alignment horizontal="right" vertical="center"/>
      <protection locked="0"/>
    </xf>
    <xf numFmtId="176" fontId="32" fillId="0" borderId="0" xfId="6" applyNumberFormat="1" applyFont="1" applyAlignment="1" applyProtection="1">
      <alignment vertical="center"/>
      <protection locked="0"/>
    </xf>
    <xf numFmtId="0" fontId="3" fillId="0" borderId="0" xfId="97" applyNumberFormat="1" applyFont="1" applyAlignment="1">
      <alignment vertical="center"/>
    </xf>
    <xf numFmtId="0" fontId="1" fillId="0" borderId="0" xfId="101" applyNumberFormat="1" applyFont="1" applyFill="1" applyAlignment="1" applyProtection="1">
      <alignment vertical="center"/>
      <protection locked="0"/>
    </xf>
    <xf numFmtId="0" fontId="1" fillId="0" borderId="0" xfId="101" applyNumberFormat="1" applyFont="1" applyFill="1" applyAlignment="1" applyProtection="1">
      <alignment horizontal="justify" vertical="center" wrapText="1"/>
      <protection locked="0"/>
    </xf>
    <xf numFmtId="0" fontId="1" fillId="0" borderId="0" xfId="101" applyNumberFormat="1" applyFont="1" applyFill="1" applyAlignment="1" applyProtection="1">
      <alignment horizontal="left" vertical="center"/>
      <protection locked="0"/>
    </xf>
    <xf numFmtId="0" fontId="3" fillId="0" borderId="0" xfId="97" applyNumberFormat="1" applyFont="1" applyAlignment="1" applyProtection="1">
      <alignment vertical="center"/>
      <protection locked="0"/>
    </xf>
    <xf numFmtId="0" fontId="6" fillId="0" borderId="0" xfId="101" applyNumberFormat="1" applyFont="1" applyFill="1" applyAlignment="1" applyProtection="1">
      <alignment vertical="center"/>
      <protection locked="0"/>
    </xf>
    <xf numFmtId="0" fontId="39" fillId="0" borderId="0" xfId="101" applyNumberFormat="1" applyFont="1" applyFill="1" applyAlignment="1" applyProtection="1">
      <alignment vertical="center"/>
      <protection locked="0"/>
    </xf>
    <xf numFmtId="0" fontId="6" fillId="0" borderId="0" xfId="101" applyNumberFormat="1" applyFont="1" applyFill="1" applyAlignment="1" applyProtection="1">
      <alignment vertical="center" wrapText="1"/>
      <protection locked="0"/>
    </xf>
    <xf numFmtId="49" fontId="3" fillId="2" borderId="8" xfId="105" applyNumberFormat="1" applyFont="1" applyFill="1" applyBorder="1" applyAlignment="1">
      <alignment horizontal="center" vertical="center"/>
    </xf>
    <xf numFmtId="176" fontId="3" fillId="2" borderId="8" xfId="105" applyFont="1" applyFill="1" applyBorder="1" applyAlignment="1">
      <alignment horizontal="center" vertical="center"/>
    </xf>
    <xf numFmtId="49" fontId="3" fillId="2" borderId="8" xfId="105" applyNumberFormat="1" applyFont="1" applyFill="1" applyBorder="1" applyAlignment="1">
      <alignment horizontal="center" vertical="center" wrapText="1"/>
    </xf>
    <xf numFmtId="176" fontId="1" fillId="2" borderId="8" xfId="105" applyFont="1" applyFill="1" applyBorder="1" applyAlignment="1">
      <alignment horizontal="center" vertical="center"/>
    </xf>
    <xf numFmtId="43" fontId="11" fillId="0" borderId="8" xfId="105" applyNumberFormat="1" applyFont="1" applyBorder="1" applyAlignment="1">
      <alignment horizontal="right" vertical="center"/>
    </xf>
    <xf numFmtId="43" fontId="11" fillId="2" borderId="8" xfId="106" applyFont="1" applyFill="1" applyBorder="1" applyAlignment="1" applyProtection="1">
      <alignment horizontal="right" vertical="center"/>
    </xf>
    <xf numFmtId="43" fontId="10" fillId="2" borderId="8" xfId="106" applyFont="1" applyFill="1" applyBorder="1" applyAlignment="1" applyProtection="1">
      <alignment horizontal="right" vertical="center"/>
    </xf>
    <xf numFmtId="43" fontId="10" fillId="2" borderId="8" xfId="105" applyNumberFormat="1" applyFont="1" applyFill="1" applyBorder="1" applyAlignment="1">
      <alignment horizontal="right" vertical="center"/>
    </xf>
    <xf numFmtId="0" fontId="3" fillId="0" borderId="0" xfId="101" applyNumberFormat="1" applyFont="1" applyFill="1" applyAlignment="1" applyProtection="1">
      <alignment vertical="center"/>
      <protection locked="0"/>
    </xf>
    <xf numFmtId="176" fontId="3" fillId="0" borderId="0" xfId="101" applyFont="1" applyFill="1" applyAlignment="1" applyProtection="1">
      <alignment vertical="center"/>
      <protection locked="0"/>
    </xf>
    <xf numFmtId="176" fontId="2" fillId="0" borderId="0" xfId="50" applyNumberFormat="1" applyFont="1" applyAlignment="1">
      <alignment horizontal="center" vertical="center"/>
    </xf>
    <xf numFmtId="176" fontId="4" fillId="0" borderId="0" xfId="50" applyNumberFormat="1" applyFont="1" applyAlignment="1">
      <alignment horizontal="center" vertical="center"/>
    </xf>
    <xf numFmtId="176" fontId="1" fillId="0" borderId="0" xfId="81" applyNumberFormat="1" applyFont="1" applyAlignment="1">
      <alignment horizontal="right" vertical="center"/>
      <protection locked="0"/>
    </xf>
    <xf numFmtId="0" fontId="13" fillId="0" borderId="0" xfId="81" applyNumberFormat="1" applyFont="1" applyAlignment="1" applyProtection="1">
      <alignment vertical="center"/>
    </xf>
    <xf numFmtId="0" fontId="7" fillId="0" borderId="0" xfId="81" applyNumberFormat="1" applyFont="1" applyAlignment="1" applyProtection="1">
      <alignment vertical="center"/>
    </xf>
    <xf numFmtId="0" fontId="1" fillId="0" borderId="0" xfId="53" applyNumberFormat="1" applyFont="1">
      <alignment vertical="center"/>
    </xf>
    <xf numFmtId="0" fontId="1" fillId="0" borderId="0" xfId="81" applyNumberFormat="1" applyFont="1" applyAlignment="1">
      <alignment vertical="center"/>
      <protection locked="0"/>
    </xf>
    <xf numFmtId="0" fontId="1" fillId="0" borderId="0" xfId="81" applyNumberFormat="1" applyFont="1" applyAlignment="1">
      <alignment horizontal="right" vertical="center"/>
      <protection locked="0"/>
    </xf>
    <xf numFmtId="0" fontId="1" fillId="0" borderId="0" xfId="82" applyNumberFormat="1" applyFont="1" applyAlignment="1">
      <alignment vertical="center"/>
    </xf>
    <xf numFmtId="0" fontId="3" fillId="0" borderId="0" xfId="81" applyNumberFormat="1" applyFont="1" applyAlignment="1" applyProtection="1">
      <alignment vertical="center"/>
    </xf>
    <xf numFmtId="0" fontId="6" fillId="0" borderId="0" xfId="82" applyNumberFormat="1" applyFont="1" applyAlignment="1">
      <alignment vertical="center"/>
    </xf>
    <xf numFmtId="176" fontId="3" fillId="2" borderId="8" xfId="81" applyNumberFormat="1" applyFont="1" applyFill="1" applyBorder="1" applyAlignment="1">
      <alignment horizontal="center" vertical="center"/>
      <protection locked="0"/>
    </xf>
    <xf numFmtId="176" fontId="3" fillId="2" borderId="8" xfId="81" applyNumberFormat="1" applyFont="1" applyFill="1" applyBorder="1" applyAlignment="1">
      <alignment horizontal="center" vertical="center" wrapText="1"/>
      <protection locked="0"/>
    </xf>
    <xf numFmtId="176" fontId="3" fillId="2" borderId="8" xfId="59" applyNumberFormat="1" applyFont="1" applyFill="1" applyBorder="1" applyAlignment="1">
      <alignment horizontal="center" vertical="center" wrapText="1"/>
    </xf>
    <xf numFmtId="176" fontId="7" fillId="0" borderId="8" xfId="0" applyNumberFormat="1" applyFont="1" applyFill="1" applyBorder="1" applyAlignment="1">
      <alignment vertical="center"/>
    </xf>
    <xf numFmtId="43" fontId="26" fillId="0" borderId="8" xfId="0" applyNumberFormat="1" applyFont="1" applyFill="1" applyBorder="1" applyAlignment="1">
      <alignment vertical="center"/>
    </xf>
    <xf numFmtId="176" fontId="26" fillId="0" borderId="8" xfId="0" applyNumberFormat="1" applyFont="1" applyFill="1" applyBorder="1" applyAlignment="1">
      <alignment vertical="center"/>
    </xf>
    <xf numFmtId="176" fontId="7" fillId="0" borderId="8" xfId="0" applyNumberFormat="1" applyFont="1" applyFill="1" applyBorder="1" applyAlignment="1">
      <alignment vertical="center" wrapText="1"/>
    </xf>
    <xf numFmtId="0" fontId="13" fillId="0" borderId="0" xfId="76" applyNumberFormat="1" applyFont="1" applyFill="1" applyAlignment="1" applyProtection="1">
      <alignment vertical="center"/>
    </xf>
    <xf numFmtId="0" fontId="7" fillId="0" borderId="0" xfId="76" applyNumberFormat="1" applyFont="1" applyFill="1" applyAlignment="1" applyProtection="1">
      <alignment vertical="center"/>
    </xf>
    <xf numFmtId="0" fontId="6" fillId="0" borderId="0" xfId="76" applyNumberFormat="1" applyFont="1" applyFill="1" applyAlignment="1" applyProtection="1">
      <alignment vertical="center"/>
    </xf>
    <xf numFmtId="176" fontId="7" fillId="0" borderId="0" xfId="76" applyNumberFormat="1" applyFont="1" applyFill="1" applyAlignment="1" applyProtection="1">
      <alignment vertical="center"/>
    </xf>
    <xf numFmtId="0" fontId="1" fillId="0" borderId="0" xfId="50" applyNumberFormat="1" applyFont="1">
      <alignment vertical="center"/>
    </xf>
    <xf numFmtId="0" fontId="1" fillId="0" borderId="0" xfId="51" applyNumberFormat="1" applyFont="1">
      <alignment vertical="center"/>
      <protection locked="0"/>
    </xf>
    <xf numFmtId="176" fontId="40" fillId="0" borderId="0" xfId="52" applyNumberFormat="1" applyFont="1" applyFill="1">
      <alignment vertical="center"/>
    </xf>
    <xf numFmtId="0" fontId="3" fillId="0" borderId="0" xfId="52" applyNumberFormat="1" applyFont="1" applyAlignment="1">
      <alignment horizontal="left" vertical="center"/>
    </xf>
    <xf numFmtId="0" fontId="3" fillId="0" borderId="0" xfId="52" applyNumberFormat="1" applyFont="1" applyAlignment="1">
      <alignment horizontal="left" vertical="center" wrapText="1"/>
    </xf>
    <xf numFmtId="0" fontId="1" fillId="0" borderId="0" xfId="52" applyNumberFormat="1" applyFont="1">
      <alignment vertical="center"/>
    </xf>
    <xf numFmtId="0" fontId="2" fillId="0" borderId="0" xfId="50" applyNumberFormat="1" applyFont="1" applyAlignment="1">
      <alignment horizontal="center" vertical="center"/>
    </xf>
    <xf numFmtId="0" fontId="4" fillId="0" borderId="0" xfId="50" applyNumberFormat="1" applyFont="1" applyAlignment="1">
      <alignment horizontal="center" vertical="center"/>
    </xf>
    <xf numFmtId="0" fontId="1" fillId="0" borderId="0" xfId="51" applyNumberFormat="1" applyFont="1" applyAlignment="1">
      <alignment horizontal="left" vertical="center"/>
      <protection locked="0"/>
    </xf>
    <xf numFmtId="0" fontId="3" fillId="0" borderId="0" xfId="51" applyNumberFormat="1" applyFont="1" applyAlignment="1">
      <alignment horizontal="left" vertical="center"/>
      <protection locked="0"/>
    </xf>
    <xf numFmtId="0" fontId="1" fillId="0" borderId="0" xfId="51" applyNumberFormat="1" applyFont="1" applyAlignment="1">
      <alignment horizontal="left" vertical="center" wrapText="1"/>
      <protection locked="0"/>
    </xf>
    <xf numFmtId="0" fontId="3" fillId="0" borderId="0" xfId="51" applyNumberFormat="1" applyFont="1" applyAlignment="1">
      <alignment horizontal="left" vertical="center" wrapText="1"/>
      <protection locked="0"/>
    </xf>
    <xf numFmtId="0" fontId="3" fillId="0" borderId="0" xfId="51" applyNumberFormat="1" applyFont="1" applyAlignment="1">
      <alignment horizontal="justify" vertical="center"/>
      <protection locked="0"/>
    </xf>
    <xf numFmtId="0" fontId="3" fillId="2" borderId="8" xfId="51" applyNumberFormat="1" applyFont="1" applyFill="1" applyBorder="1" applyAlignment="1">
      <alignment horizontal="center" vertical="center" wrapText="1"/>
      <protection locked="0"/>
    </xf>
    <xf numFmtId="0" fontId="3" fillId="2" borderId="8" xfId="51" applyNumberFormat="1" applyFont="1" applyFill="1" applyBorder="1" applyAlignment="1">
      <alignment horizontal="center" vertical="center"/>
      <protection locked="0"/>
    </xf>
    <xf numFmtId="0" fontId="1" fillId="0" borderId="8" xfId="51" applyNumberFormat="1" applyFont="1" applyBorder="1" applyAlignment="1">
      <alignment horizontal="left" vertical="center" wrapText="1"/>
      <protection locked="0"/>
    </xf>
    <xf numFmtId="0" fontId="1" fillId="0" borderId="8" xfId="51" applyNumberFormat="1" applyFont="1" applyBorder="1" applyAlignment="1">
      <alignment horizontal="center" vertical="center" wrapText="1"/>
      <protection locked="0"/>
    </xf>
    <xf numFmtId="0" fontId="3" fillId="2" borderId="8"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wrapText="1"/>
      <protection locked="0"/>
    </xf>
    <xf numFmtId="176" fontId="3" fillId="2" borderId="8" xfId="55" applyFont="1" applyFill="1" applyBorder="1" applyAlignment="1" applyProtection="1">
      <alignment horizontal="center" vertical="center" wrapText="1"/>
      <protection locked="0"/>
    </xf>
    <xf numFmtId="176" fontId="10" fillId="2" borderId="8" xfId="55" applyFont="1" applyFill="1" applyBorder="1" applyAlignment="1" applyProtection="1">
      <alignment horizontal="center" vertical="center" wrapText="1"/>
      <protection locked="0"/>
    </xf>
    <xf numFmtId="176" fontId="8" fillId="0" borderId="0" xfId="56" applyFont="1" applyFill="1" applyAlignment="1">
      <alignment horizontal="left" vertical="center"/>
    </xf>
    <xf numFmtId="0" fontId="11" fillId="0" borderId="8" xfId="53" applyNumberFormat="1" applyFont="1" applyBorder="1" applyAlignment="1">
      <alignment horizontal="center" vertical="center"/>
    </xf>
    <xf numFmtId="0" fontId="3" fillId="0" borderId="8" xfId="52" applyNumberFormat="1" applyFont="1" applyBorder="1" applyAlignment="1">
      <alignment horizontal="left" vertical="center" wrapText="1"/>
    </xf>
    <xf numFmtId="0" fontId="1" fillId="0" borderId="8" xfId="52" applyNumberFormat="1" applyFont="1" applyBorder="1" applyAlignment="1">
      <alignment vertical="center" wrapText="1"/>
    </xf>
    <xf numFmtId="0" fontId="7" fillId="0" borderId="8" xfId="55" applyNumberFormat="1" applyFont="1" applyFill="1" applyBorder="1" applyAlignment="1">
      <alignment horizontal="center" vertical="center" wrapText="1"/>
    </xf>
    <xf numFmtId="0" fontId="11" fillId="0" borderId="8" xfId="0" applyNumberFormat="1" applyFont="1" applyFill="1" applyBorder="1" applyAlignment="1" applyProtection="1">
      <alignment horizontal="center" vertical="center" wrapText="1"/>
      <protection locked="0"/>
    </xf>
    <xf numFmtId="0" fontId="10" fillId="0" borderId="8" xfId="0" applyNumberFormat="1" applyFont="1" applyFill="1" applyBorder="1" applyAlignment="1" applyProtection="1">
      <alignment horizontal="center" vertical="center" wrapText="1"/>
      <protection locked="0"/>
    </xf>
    <xf numFmtId="0" fontId="1" fillId="0" borderId="8" xfId="52" applyNumberFormat="1" applyFont="1" applyBorder="1">
      <alignment vertical="center"/>
    </xf>
    <xf numFmtId="49" fontId="1" fillId="0" borderId="8" xfId="52" applyNumberFormat="1" applyFont="1" applyBorder="1" applyAlignment="1">
      <alignment vertical="center" wrapText="1"/>
    </xf>
    <xf numFmtId="0" fontId="11" fillId="0" borderId="8" xfId="51" applyNumberFormat="1" applyFont="1" applyBorder="1" applyAlignment="1">
      <alignment horizontal="center" vertical="center" wrapText="1"/>
      <protection locked="0"/>
    </xf>
    <xf numFmtId="0" fontId="1" fillId="8" borderId="0" xfId="55" applyNumberFormat="1" applyFont="1" applyFill="1" applyAlignment="1" applyProtection="1">
      <alignment horizontal="left" vertical="center"/>
      <protection locked="0"/>
    </xf>
    <xf numFmtId="176" fontId="11" fillId="0" borderId="8" xfId="0" applyNumberFormat="1" applyFont="1" applyFill="1" applyBorder="1" applyAlignment="1" applyProtection="1">
      <alignment horizontal="center" vertical="center" wrapText="1"/>
      <protection locked="0"/>
    </xf>
    <xf numFmtId="176" fontId="7" fillId="0" borderId="8" xfId="55" applyFont="1" applyFill="1" applyBorder="1" applyAlignment="1">
      <alignment horizontal="center" vertical="center" wrapText="1"/>
    </xf>
    <xf numFmtId="176" fontId="10" fillId="0" borderId="8" xfId="0" applyNumberFormat="1" applyFont="1" applyFill="1" applyBorder="1" applyAlignment="1" applyProtection="1">
      <alignment horizontal="center" vertical="center" wrapText="1"/>
      <protection locked="0"/>
    </xf>
    <xf numFmtId="49" fontId="11" fillId="0" borderId="8" xfId="52" applyNumberFormat="1" applyFont="1" applyBorder="1" applyAlignment="1">
      <alignment vertical="center" wrapText="1"/>
    </xf>
    <xf numFmtId="0" fontId="30" fillId="0" borderId="8" xfId="0" applyNumberFormat="1" applyFont="1" applyFill="1" applyBorder="1" applyAlignment="1" applyProtection="1">
      <alignment horizontal="center" vertical="center" wrapText="1"/>
      <protection locked="0"/>
    </xf>
    <xf numFmtId="176" fontId="7" fillId="0" borderId="8" xfId="72" applyFont="1" applyFill="1" applyBorder="1" applyAlignment="1" applyProtection="1">
      <alignment vertical="center" wrapText="1"/>
    </xf>
    <xf numFmtId="176" fontId="26" fillId="0" borderId="8" xfId="55" applyFont="1" applyFill="1" applyBorder="1" applyAlignment="1">
      <alignment horizontal="center" vertical="center" wrapText="1"/>
    </xf>
    <xf numFmtId="176" fontId="29" fillId="0" borderId="8" xfId="55" applyFont="1" applyFill="1" applyBorder="1" applyAlignment="1">
      <alignment horizontal="center" vertical="center" wrapText="1"/>
    </xf>
    <xf numFmtId="176" fontId="26" fillId="0" borderId="8" xfId="72" applyFont="1" applyFill="1" applyBorder="1" applyAlignment="1" applyProtection="1">
      <alignment vertical="center" wrapText="1"/>
    </xf>
    <xf numFmtId="0" fontId="8" fillId="0" borderId="0" xfId="53" applyNumberFormat="1" applyFont="1" applyAlignment="1">
      <alignment horizontal="left" vertical="center" wrapText="1"/>
    </xf>
    <xf numFmtId="0" fontId="1" fillId="0" borderId="0" xfId="52" applyNumberFormat="1" applyFont="1" applyAlignment="1">
      <alignment vertical="center" wrapText="1"/>
    </xf>
    <xf numFmtId="0" fontId="3" fillId="0" borderId="0" xfId="49" applyNumberFormat="1" applyFont="1" applyAlignment="1">
      <alignment vertical="center"/>
      <protection locked="0"/>
    </xf>
    <xf numFmtId="0" fontId="1" fillId="0" borderId="0" xfId="49" applyNumberFormat="1" applyFont="1" applyAlignment="1">
      <alignment vertical="center"/>
      <protection locked="0"/>
    </xf>
    <xf numFmtId="0" fontId="1" fillId="4" borderId="0" xfId="49" applyNumberFormat="1" applyFont="1" applyFill="1" applyAlignment="1">
      <alignment horizontal="justify" vertical="center"/>
      <protection locked="0"/>
    </xf>
    <xf numFmtId="0" fontId="1" fillId="0" borderId="0" xfId="49" applyNumberFormat="1" applyFont="1" applyAlignment="1">
      <alignment horizontal="justify" vertical="center" wrapText="1"/>
      <protection locked="0"/>
    </xf>
    <xf numFmtId="0" fontId="3" fillId="0" borderId="0" xfId="49" applyNumberFormat="1" applyFont="1" applyAlignment="1">
      <alignment horizontal="center" vertical="center"/>
      <protection locked="0"/>
    </xf>
    <xf numFmtId="176" fontId="11" fillId="4" borderId="0" xfId="0" applyNumberFormat="1" applyFont="1" applyFill="1" applyAlignment="1" applyProtection="1">
      <alignment horizontal="justify" vertical="center" wrapText="1"/>
      <protection locked="0"/>
    </xf>
    <xf numFmtId="0" fontId="1" fillId="0" borderId="11" xfId="95" applyNumberFormat="1" applyFont="1" applyBorder="1" applyAlignment="1">
      <alignment horizontal="center" vertical="center" wrapText="1"/>
      <protection locked="0"/>
    </xf>
    <xf numFmtId="0" fontId="41" fillId="0" borderId="11" xfId="6" applyNumberFormat="1" applyFont="1" applyBorder="1" applyAlignment="1" applyProtection="1">
      <alignment vertical="center"/>
      <protection locked="0"/>
    </xf>
    <xf numFmtId="0" fontId="11" fillId="0" borderId="11" xfId="6" applyNumberFormat="1" applyFont="1" applyBorder="1" applyAlignment="1" applyProtection="1">
      <alignment horizontal="center" vertical="center"/>
      <protection locked="0"/>
    </xf>
    <xf numFmtId="0" fontId="1" fillId="4" borderId="0" xfId="0" applyNumberFormat="1" applyFont="1" applyFill="1" applyAlignment="1" applyProtection="1">
      <alignment horizontal="justify" vertical="center"/>
      <protection locked="0"/>
    </xf>
    <xf numFmtId="0" fontId="42" fillId="0" borderId="11" xfId="6" applyNumberFormat="1" applyFont="1" applyBorder="1" applyAlignment="1" applyProtection="1">
      <alignment vertical="center"/>
      <protection locked="0"/>
    </xf>
    <xf numFmtId="0" fontId="1" fillId="0" borderId="0" xfId="0" applyNumberFormat="1" applyFont="1" applyFill="1" applyAlignment="1" applyProtection="1">
      <alignment vertical="center"/>
      <protection locked="0"/>
    </xf>
    <xf numFmtId="176" fontId="4" fillId="0" borderId="0" xfId="0" applyNumberFormat="1" applyFont="1" applyFill="1" applyAlignment="1" applyProtection="1">
      <alignment horizontal="center" vertical="center"/>
      <protection locked="0"/>
    </xf>
    <xf numFmtId="176" fontId="23" fillId="0" borderId="0" xfId="0" applyNumberFormat="1" applyFont="1" applyFill="1" applyAlignment="1" applyProtection="1">
      <alignment horizontal="left" vertical="center" wrapText="1"/>
      <protection locked="0"/>
    </xf>
    <xf numFmtId="176" fontId="24" fillId="0" borderId="0" xfId="0" applyNumberFormat="1" applyFont="1" applyFill="1" applyAlignment="1" applyProtection="1">
      <alignment horizontal="left" vertical="center" wrapText="1"/>
      <protection locked="0"/>
    </xf>
    <xf numFmtId="0" fontId="43" fillId="0" borderId="11" xfId="6" applyNumberFormat="1" applyFont="1" applyBorder="1" applyAlignment="1" applyProtection="1">
      <alignment vertical="center"/>
      <protection locked="0"/>
    </xf>
    <xf numFmtId="0" fontId="1" fillId="0" borderId="0" xfId="80" applyNumberFormat="1" applyFont="1" applyAlignment="1">
      <alignment horizontal="center" vertical="center"/>
      <protection locked="0"/>
    </xf>
    <xf numFmtId="0" fontId="1" fillId="0" borderId="0" xfId="80" applyNumberFormat="1" applyFont="1" applyAlignment="1">
      <alignment vertical="center"/>
      <protection locked="0"/>
    </xf>
    <xf numFmtId="0" fontId="3" fillId="0" borderId="0" xfId="50" applyNumberFormat="1" applyFont="1">
      <alignment vertical="center"/>
    </xf>
    <xf numFmtId="0" fontId="5" fillId="0" borderId="0" xfId="80" applyNumberFormat="1" applyFont="1" applyAlignment="1">
      <alignment horizontal="left" vertical="center"/>
      <protection locked="0"/>
    </xf>
    <xf numFmtId="0" fontId="1" fillId="0" borderId="0" xfId="80" applyNumberFormat="1" applyFont="1" applyAlignment="1" applyProtection="1">
      <alignment vertical="center"/>
    </xf>
    <xf numFmtId="0" fontId="1" fillId="0" borderId="0" xfId="79" applyNumberFormat="1" applyFont="1" applyAlignment="1">
      <alignment horizontal="left" vertical="center"/>
    </xf>
    <xf numFmtId="0" fontId="25" fillId="0" borderId="0" xfId="80" applyNumberFormat="1" applyFont="1" applyAlignment="1" applyProtection="1">
      <alignment horizontal="center" vertical="center"/>
    </xf>
    <xf numFmtId="0" fontId="6" fillId="0" borderId="0" xfId="90" applyFont="1" applyAlignment="1">
      <alignment horizontal="left" vertical="center"/>
      <protection locked="0"/>
    </xf>
    <xf numFmtId="0" fontId="6" fillId="0" borderId="0" xfId="80" applyNumberFormat="1" applyFont="1" applyAlignment="1">
      <alignment horizontal="left" vertical="center"/>
      <protection locked="0"/>
    </xf>
    <xf numFmtId="0" fontId="1" fillId="0" borderId="0" xfId="80" applyNumberFormat="1" applyFont="1" applyAlignment="1">
      <alignment horizontal="left" vertical="center"/>
      <protection locked="0"/>
    </xf>
    <xf numFmtId="0" fontId="3" fillId="2" borderId="8" xfId="80" applyNumberFormat="1" applyFont="1" applyFill="1" applyBorder="1" applyAlignment="1">
      <alignment horizontal="center" vertical="center"/>
      <protection locked="0"/>
    </xf>
    <xf numFmtId="0" fontId="13" fillId="2" borderId="8" xfId="80" applyNumberFormat="1" applyFont="1" applyFill="1" applyBorder="1" applyAlignment="1" applyProtection="1">
      <alignment horizontal="center" vertical="center"/>
    </xf>
    <xf numFmtId="0" fontId="13" fillId="2" borderId="8" xfId="80" applyNumberFormat="1" applyFont="1" applyFill="1" applyBorder="1" applyAlignment="1" applyProtection="1">
      <alignment horizontal="center" vertical="center" wrapText="1"/>
    </xf>
    <xf numFmtId="0" fontId="6" fillId="0" borderId="8" xfId="80" applyNumberFormat="1" applyFont="1" applyBorder="1" applyAlignment="1">
      <alignment vertical="center"/>
      <protection locked="0"/>
    </xf>
    <xf numFmtId="10" fontId="11" fillId="0" borderId="8" xfId="80" applyNumberFormat="1" applyFont="1" applyBorder="1" applyAlignment="1">
      <alignment vertical="center"/>
      <protection locked="0"/>
    </xf>
    <xf numFmtId="43" fontId="11" fillId="0" borderId="8" xfId="80" applyNumberFormat="1" applyFont="1" applyBorder="1" applyAlignment="1">
      <alignment vertical="center"/>
      <protection locked="0"/>
    </xf>
    <xf numFmtId="0" fontId="11" fillId="2" borderId="8" xfId="59" applyNumberFormat="1" applyFont="1" applyFill="1" applyBorder="1" applyAlignment="1" applyProtection="1">
      <alignment vertical="center"/>
      <protection locked="0"/>
    </xf>
    <xf numFmtId="43" fontId="11" fillId="0" borderId="8" xfId="59" applyNumberFormat="1" applyFont="1" applyFill="1" applyBorder="1" applyAlignment="1" applyProtection="1">
      <alignment vertical="center"/>
      <protection locked="0"/>
    </xf>
    <xf numFmtId="0" fontId="1" fillId="0" borderId="8" xfId="80" applyNumberFormat="1" applyFont="1" applyBorder="1" applyAlignment="1">
      <alignment vertical="center"/>
      <protection locked="0"/>
    </xf>
    <xf numFmtId="0" fontId="8" fillId="0" borderId="0" xfId="0" applyFont="1" applyFill="1" applyBorder="1" applyAlignment="1" applyProtection="1">
      <alignment vertical="center"/>
      <protection locked="0"/>
    </xf>
    <xf numFmtId="0" fontId="1" fillId="0" borderId="0" xfId="57" applyNumberFormat="1" applyFont="1" applyAlignment="1">
      <alignment vertical="center" wrapText="1"/>
      <protection locked="0"/>
    </xf>
    <xf numFmtId="0" fontId="1" fillId="0" borderId="0" xfId="57" applyNumberFormat="1" applyFont="1" applyAlignment="1">
      <alignment vertical="center"/>
      <protection locked="0"/>
    </xf>
    <xf numFmtId="0" fontId="3" fillId="0" borderId="0" xfId="80" applyNumberFormat="1" applyFont="1" applyAlignment="1">
      <alignment vertical="center"/>
      <protection locked="0"/>
    </xf>
    <xf numFmtId="0" fontId="11" fillId="0" borderId="0" xfId="104" applyFont="1" applyAlignment="1">
      <alignment horizontal="center" vertical="center"/>
    </xf>
    <xf numFmtId="0" fontId="11" fillId="0" borderId="0" xfId="90" applyFont="1" applyAlignment="1" applyProtection="1">
      <alignment vertical="center"/>
    </xf>
    <xf numFmtId="0" fontId="15" fillId="0" borderId="0" xfId="64" applyNumberFormat="1" applyFill="1" applyAlignment="1">
      <protection locked="0"/>
    </xf>
    <xf numFmtId="0" fontId="1" fillId="0" borderId="0" xfId="90" applyFont="1" applyAlignment="1">
      <alignment horizontal="left" vertical="center"/>
      <protection locked="0"/>
    </xf>
    <xf numFmtId="0" fontId="11" fillId="0" borderId="0" xfId="90" applyFont="1" applyAlignment="1">
      <alignment horizontal="center" vertical="center"/>
      <protection locked="0"/>
    </xf>
    <xf numFmtId="0" fontId="11" fillId="0" borderId="0" xfId="90" applyFont="1" applyAlignment="1">
      <alignment horizontal="left" vertical="center"/>
      <protection locked="0"/>
    </xf>
    <xf numFmtId="0" fontId="7" fillId="0" borderId="0" xfId="102" applyNumberFormat="1" applyFont="1">
      <alignment vertical="center"/>
    </xf>
    <xf numFmtId="176" fontId="7" fillId="0" borderId="0" xfId="102" applyFont="1">
      <alignment vertical="center"/>
    </xf>
    <xf numFmtId="176" fontId="2" fillId="0" borderId="0" xfId="89" applyNumberFormat="1" applyFont="1" applyFill="1" applyAlignment="1">
      <alignment horizontal="center" vertical="center"/>
    </xf>
    <xf numFmtId="176" fontId="4" fillId="0" borderId="0" xfId="89" applyNumberFormat="1" applyFont="1" applyFill="1" applyAlignment="1">
      <alignment horizontal="center" vertical="center"/>
    </xf>
    <xf numFmtId="14" fontId="1" fillId="0" borderId="0" xfId="58" applyNumberFormat="1" applyFont="1" applyBorder="1" applyAlignment="1">
      <alignment vertical="center"/>
    </xf>
    <xf numFmtId="176" fontId="1" fillId="0" borderId="0" xfId="76" applyFont="1" applyFill="1" applyAlignment="1" applyProtection="1">
      <alignment horizontal="right" vertical="center"/>
      <protection locked="0"/>
    </xf>
    <xf numFmtId="176" fontId="32" fillId="0" borderId="0" xfId="6" applyFont="1" applyAlignment="1">
      <alignment vertical="center"/>
    </xf>
    <xf numFmtId="0" fontId="25" fillId="0" borderId="0" xfId="76" applyNumberFormat="1" applyFont="1" applyFill="1" applyAlignment="1" applyProtection="1">
      <alignment horizontal="center"/>
    </xf>
    <xf numFmtId="0" fontId="1" fillId="0" borderId="0" xfId="76" applyNumberFormat="1" applyFont="1" applyFill="1" applyAlignment="1" applyProtection="1">
      <alignment vertical="center"/>
      <protection locked="0"/>
    </xf>
    <xf numFmtId="0" fontId="1" fillId="0" borderId="0" xfId="76" applyNumberFormat="1" applyFont="1" applyFill="1" applyAlignment="1" applyProtection="1">
      <alignment vertical="center" wrapText="1"/>
      <protection locked="0"/>
    </xf>
    <xf numFmtId="0" fontId="1" fillId="0" borderId="0" xfId="76" applyNumberFormat="1" applyFont="1" applyFill="1" applyAlignment="1" applyProtection="1">
      <alignment horizontal="right" vertical="center" wrapText="1"/>
      <protection locked="0"/>
    </xf>
    <xf numFmtId="0" fontId="3" fillId="0" borderId="0" xfId="79" applyNumberFormat="1" applyFont="1" applyAlignment="1">
      <alignment horizontal="left" vertical="center" wrapText="1"/>
    </xf>
    <xf numFmtId="0" fontId="3" fillId="0" borderId="0" xfId="76" applyNumberFormat="1" applyFont="1" applyFill="1" applyAlignment="1" applyProtection="1">
      <alignment horizontal="left" vertical="center"/>
    </xf>
    <xf numFmtId="0" fontId="1" fillId="0" borderId="0" xfId="76" applyNumberFormat="1" applyFont="1" applyFill="1" applyAlignment="1" applyProtection="1">
      <alignment vertical="center"/>
    </xf>
    <xf numFmtId="0" fontId="6" fillId="0" borderId="0" xfId="76" applyNumberFormat="1" applyFont="1" applyFill="1" applyAlignment="1" applyProtection="1">
      <alignment horizontal="left" vertical="center"/>
    </xf>
    <xf numFmtId="176" fontId="3" fillId="2" borderId="8" xfId="76" applyFont="1" applyFill="1" applyBorder="1" applyAlignment="1" applyProtection="1">
      <alignment horizontal="center" vertical="center"/>
    </xf>
    <xf numFmtId="176" fontId="3" fillId="2" borderId="8" xfId="102" applyFont="1" applyFill="1" applyBorder="1" applyAlignment="1">
      <alignment horizontal="center" vertical="center"/>
    </xf>
    <xf numFmtId="176" fontId="6" fillId="0" borderId="8" xfId="76" applyFont="1" applyFill="1" applyBorder="1" applyAlignment="1" applyProtection="1">
      <alignment horizontal="left" vertical="center"/>
    </xf>
    <xf numFmtId="43" fontId="11" fillId="0" borderId="8" xfId="102" applyNumberFormat="1" applyFont="1" applyBorder="1">
      <alignment vertical="center"/>
    </xf>
    <xf numFmtId="43" fontId="11" fillId="0" borderId="8" xfId="76" applyNumberFormat="1" applyFont="1" applyFill="1" applyBorder="1" applyAlignment="1" applyProtection="1">
      <alignment vertical="center"/>
    </xf>
    <xf numFmtId="10" fontId="11" fillId="2" borderId="8" xfId="76" applyNumberFormat="1" applyFont="1" applyFill="1" applyBorder="1" applyAlignment="1" applyProtection="1">
      <alignment vertical="center"/>
    </xf>
    <xf numFmtId="176" fontId="3" fillId="2" borderId="8" xfId="76" applyFont="1" applyFill="1" applyBorder="1" applyAlignment="1" applyProtection="1">
      <alignment horizontal="left" vertical="center"/>
    </xf>
    <xf numFmtId="43" fontId="11" fillId="2" borderId="8" xfId="76" applyNumberFormat="1" applyFont="1" applyFill="1" applyBorder="1" applyAlignment="1" applyProtection="1">
      <alignment vertical="center"/>
    </xf>
    <xf numFmtId="0" fontId="9" fillId="0" borderId="0" xfId="76" applyNumberFormat="1" applyFont="1" applyFill="1" applyAlignment="1" applyProtection="1">
      <alignment horizontal="left" vertical="center"/>
    </xf>
    <xf numFmtId="176" fontId="7" fillId="0" borderId="8" xfId="102" applyFont="1" applyBorder="1">
      <alignment vertical="center"/>
    </xf>
    <xf numFmtId="10" fontId="11" fillId="0" borderId="8" xfId="76" applyNumberFormat="1" applyFont="1" applyFill="1" applyBorder="1" applyAlignment="1" applyProtection="1">
      <alignment vertical="center"/>
    </xf>
    <xf numFmtId="43" fontId="26" fillId="2" borderId="8" xfId="59" applyFont="1" applyFill="1" applyBorder="1" applyAlignment="1">
      <alignment horizontal="right" vertical="center"/>
    </xf>
    <xf numFmtId="43" fontId="11" fillId="0" borderId="8" xfId="1" applyFont="1" applyBorder="1" applyAlignment="1">
      <alignment horizontal="right" vertical="center"/>
    </xf>
    <xf numFmtId="176" fontId="1" fillId="0" borderId="8" xfId="76" applyFont="1" applyFill="1" applyBorder="1" applyAlignment="1" applyProtection="1">
      <alignment vertical="center"/>
    </xf>
    <xf numFmtId="176" fontId="3" fillId="0" borderId="0" xfId="76" applyFont="1" applyFill="1" applyAlignment="1" applyProtection="1">
      <alignment horizontal="center" vertical="center"/>
    </xf>
    <xf numFmtId="43" fontId="13" fillId="0" borderId="0" xfId="59" applyFont="1" applyFill="1" applyBorder="1" applyAlignment="1">
      <alignment horizontal="right" vertical="center"/>
    </xf>
    <xf numFmtId="176" fontId="3" fillId="0" borderId="0" xfId="76" applyFont="1" applyFill="1" applyAlignment="1" applyProtection="1">
      <alignment vertical="center"/>
    </xf>
    <xf numFmtId="176" fontId="3" fillId="0" borderId="0" xfId="76" applyFont="1" applyFill="1" applyAlignment="1" applyProtection="1">
      <alignment horizontal="left" vertical="center"/>
    </xf>
    <xf numFmtId="176" fontId="1" fillId="0" borderId="0" xfId="76" applyFont="1" applyFill="1" applyAlignment="1" applyProtection="1">
      <alignment vertical="center"/>
    </xf>
    <xf numFmtId="176" fontId="3" fillId="9" borderId="1" xfId="101" applyFont="1" applyFill="1" applyBorder="1" applyAlignment="1">
      <alignment horizontal="center" vertical="center"/>
    </xf>
    <xf numFmtId="176" fontId="3" fillId="9" borderId="2" xfId="101" applyFont="1" applyFill="1" applyBorder="1" applyAlignment="1">
      <alignment horizontal="center" vertical="center"/>
    </xf>
    <xf numFmtId="176" fontId="3" fillId="9" borderId="3" xfId="101" applyFont="1" applyFill="1" applyBorder="1" applyAlignment="1">
      <alignment horizontal="center" vertical="center"/>
    </xf>
    <xf numFmtId="176" fontId="3" fillId="9" borderId="7" xfId="101" applyFont="1" applyFill="1" applyBorder="1" applyAlignment="1">
      <alignment horizontal="center" vertical="center" wrapText="1"/>
    </xf>
    <xf numFmtId="176" fontId="3" fillId="9" borderId="7" xfId="90" applyNumberFormat="1" applyFont="1" applyFill="1" applyBorder="1" applyAlignment="1">
      <alignment horizontal="center" vertical="center"/>
      <protection locked="0"/>
    </xf>
    <xf numFmtId="176" fontId="3" fillId="9" borderId="8" xfId="101" applyFont="1" applyFill="1" applyBorder="1" applyAlignment="1">
      <alignment horizontal="center" vertical="center" wrapText="1"/>
    </xf>
    <xf numFmtId="176" fontId="3" fillId="9" borderId="8" xfId="101" applyFont="1" applyFill="1" applyBorder="1" applyAlignment="1">
      <alignment horizontal="center" vertical="center"/>
    </xf>
    <xf numFmtId="9" fontId="3" fillId="9" borderId="8" xfId="103" applyFont="1" applyFill="1" applyBorder="1" applyAlignment="1">
      <alignment horizontal="center" vertical="center"/>
    </xf>
    <xf numFmtId="176" fontId="3" fillId="9" borderId="9" xfId="101" applyFont="1" applyFill="1" applyBorder="1" applyAlignment="1">
      <alignment horizontal="center" vertical="center" wrapText="1"/>
    </xf>
    <xf numFmtId="176" fontId="3" fillId="9" borderId="9" xfId="90" applyNumberFormat="1" applyFont="1" applyFill="1" applyBorder="1" applyAlignment="1">
      <alignment horizontal="center" vertical="center"/>
      <protection locked="0"/>
    </xf>
    <xf numFmtId="14" fontId="1" fillId="0" borderId="8" xfId="101" applyNumberFormat="1" applyFont="1" applyBorder="1" applyAlignment="1">
      <alignment horizontal="center" vertical="center"/>
    </xf>
    <xf numFmtId="176" fontId="1" fillId="0" borderId="8" xfId="101" applyFont="1" applyBorder="1" applyAlignment="1">
      <alignment horizontal="center" vertical="center"/>
    </xf>
    <xf numFmtId="176" fontId="1" fillId="0" borderId="8" xfId="101" applyFont="1" applyBorder="1" applyAlignment="1">
      <alignment horizontal="left" vertical="center" wrapText="1"/>
    </xf>
    <xf numFmtId="176" fontId="1" fillId="0" borderId="8" xfId="101" applyFont="1" applyBorder="1" applyAlignment="1">
      <alignment horizontal="left" vertical="center"/>
    </xf>
    <xf numFmtId="178" fontId="1" fillId="0" borderId="8" xfId="101" applyNumberFormat="1" applyFont="1" applyBorder="1" applyAlignment="1">
      <alignment horizontal="right" vertical="center"/>
    </xf>
    <xf numFmtId="176" fontId="1" fillId="0" borderId="8" xfId="90" applyNumberFormat="1" applyFont="1" applyFill="1" applyBorder="1" applyAlignment="1">
      <protection locked="0"/>
    </xf>
    <xf numFmtId="14" fontId="3" fillId="0" borderId="8" xfId="76" applyNumberFormat="1" applyFont="1" applyFill="1" applyBorder="1" applyAlignment="1" applyProtection="1">
      <alignment horizontal="center" vertical="center"/>
    </xf>
    <xf numFmtId="176" fontId="3" fillId="0" borderId="8" xfId="76" applyFont="1" applyFill="1" applyBorder="1" applyAlignment="1" applyProtection="1">
      <alignment horizontal="center" vertical="center"/>
    </xf>
    <xf numFmtId="43" fontId="3" fillId="0" borderId="8" xfId="59" applyFont="1" applyBorder="1" applyAlignment="1" applyProtection="1">
      <alignment horizontal="center" vertical="center"/>
    </xf>
    <xf numFmtId="43" fontId="26" fillId="0" borderId="8" xfId="1" applyFont="1" applyBorder="1">
      <alignment vertical="center"/>
    </xf>
    <xf numFmtId="0" fontId="3" fillId="0" borderId="0" xfId="76" applyNumberFormat="1" applyFont="1" applyFill="1" applyAlignment="1" applyProtection="1">
      <alignment horizontal="center" vertical="center"/>
    </xf>
    <xf numFmtId="0" fontId="3" fillId="0" borderId="0" xfId="76" applyNumberFormat="1" applyFont="1" applyFill="1" applyAlignment="1" applyProtection="1">
      <alignment vertical="center"/>
      <protection locked="0"/>
    </xf>
    <xf numFmtId="176" fontId="44" fillId="0" borderId="0" xfId="76" applyFont="1" applyFill="1" applyAlignment="1" applyProtection="1">
      <alignment vertical="center"/>
      <protection locked="0"/>
    </xf>
    <xf numFmtId="176" fontId="1" fillId="0" borderId="0" xfId="76" applyFont="1" applyFill="1" applyAlignment="1" applyProtection="1">
      <alignment vertical="center"/>
      <protection locked="0"/>
    </xf>
    <xf numFmtId="176" fontId="8" fillId="10" borderId="0" xfId="76" applyFont="1" applyFill="1" applyAlignment="1" applyProtection="1">
      <protection locked="0"/>
    </xf>
    <xf numFmtId="176" fontId="1" fillId="0" borderId="0" xfId="76" applyFont="1" applyFill="1" applyAlignment="1" applyProtection="1">
      <protection locked="0"/>
    </xf>
    <xf numFmtId="176" fontId="8" fillId="0" borderId="0" xfId="76" applyFont="1" applyFill="1" applyAlignment="1" applyProtection="1">
      <protection locked="0"/>
    </xf>
    <xf numFmtId="176" fontId="1" fillId="0" borderId="0" xfId="58" applyNumberFormat="1" applyFont="1" applyBorder="1" applyAlignment="1">
      <alignment vertical="center"/>
    </xf>
    <xf numFmtId="176" fontId="1" fillId="0" borderId="0" xfId="58" applyNumberFormat="1" applyFont="1" applyBorder="1" applyAlignment="1">
      <alignment horizontal="left" vertical="center"/>
    </xf>
    <xf numFmtId="176" fontId="1" fillId="0" borderId="0" xfId="58" applyNumberFormat="1" applyFont="1" applyBorder="1" applyAlignment="1">
      <alignment horizontal="right" vertical="center"/>
    </xf>
    <xf numFmtId="0" fontId="7" fillId="0" borderId="0" xfId="90" applyNumberFormat="1" applyFont="1" applyFill="1" applyAlignment="1">
      <alignment vertical="center"/>
      <protection locked="0"/>
    </xf>
    <xf numFmtId="176" fontId="3" fillId="2" borderId="8" xfId="90" applyNumberFormat="1" applyFont="1" applyFill="1" applyBorder="1" applyAlignment="1" applyProtection="1">
      <alignment horizontal="center" vertical="center"/>
    </xf>
    <xf numFmtId="176" fontId="3" fillId="2" borderId="8" xfId="90" applyNumberFormat="1" applyFont="1" applyFill="1" applyBorder="1" applyAlignment="1" applyProtection="1">
      <alignment horizontal="center" vertical="center" wrapText="1"/>
    </xf>
    <xf numFmtId="176" fontId="1" fillId="0" borderId="8" xfId="90" applyNumberFormat="1" applyFont="1" applyFill="1" applyBorder="1" applyAlignment="1" applyProtection="1">
      <alignment horizontal="left" vertical="center"/>
    </xf>
    <xf numFmtId="176" fontId="1" fillId="0" borderId="8" xfId="90" applyNumberFormat="1" applyFont="1" applyFill="1" applyBorder="1" applyAlignment="1" applyProtection="1">
      <alignment horizontal="center" vertical="center"/>
    </xf>
    <xf numFmtId="43" fontId="11" fillId="0" borderId="8" xfId="1" applyFont="1" applyBorder="1" applyAlignment="1" applyProtection="1">
      <alignment vertical="center"/>
    </xf>
    <xf numFmtId="10" fontId="11" fillId="0" borderId="8" xfId="3" applyNumberFormat="1" applyFont="1" applyBorder="1" applyAlignment="1" applyProtection="1">
      <alignment horizontal="center" vertical="center"/>
    </xf>
    <xf numFmtId="14" fontId="11" fillId="0" borderId="8" xfId="90" applyNumberFormat="1" applyFont="1" applyFill="1" applyBorder="1" applyAlignment="1" applyProtection="1">
      <alignment horizontal="center" vertical="center"/>
    </xf>
    <xf numFmtId="176" fontId="11" fillId="0" borderId="8" xfId="90" applyNumberFormat="1" applyFont="1" applyFill="1" applyBorder="1" applyAlignment="1" applyProtection="1">
      <alignment horizontal="center" vertical="center"/>
    </xf>
    <xf numFmtId="43" fontId="11" fillId="0" borderId="8" xfId="1" applyFont="1" applyFill="1" applyBorder="1" applyAlignment="1" applyProtection="1">
      <alignment horizontal="right" vertical="center"/>
    </xf>
    <xf numFmtId="176" fontId="1" fillId="0" borderId="8" xfId="59" applyNumberFormat="1" applyFont="1" applyFill="1" applyBorder="1" applyAlignment="1" applyProtection="1">
      <alignment horizontal="right" vertical="center"/>
    </xf>
    <xf numFmtId="43" fontId="11" fillId="0" borderId="8" xfId="1" applyFont="1" applyBorder="1" applyAlignment="1" applyProtection="1">
      <alignment vertical="center"/>
      <protection locked="0"/>
    </xf>
    <xf numFmtId="0" fontId="1" fillId="0" borderId="0" xfId="90" applyNumberFormat="1" applyFont="1" applyFill="1" applyAlignment="1" applyProtection="1">
      <alignment horizontal="center" vertical="center"/>
    </xf>
    <xf numFmtId="0" fontId="1" fillId="0" borderId="0" xfId="90" applyNumberFormat="1" applyFont="1" applyFill="1" applyAlignment="1" applyProtection="1">
      <alignment horizontal="left" vertical="center"/>
    </xf>
    <xf numFmtId="0" fontId="1" fillId="0" borderId="0" xfId="90" applyNumberFormat="1" applyFont="1" applyFill="1" applyAlignment="1" applyProtection="1">
      <alignment horizontal="right" vertical="center"/>
    </xf>
    <xf numFmtId="0" fontId="3" fillId="0" borderId="0" xfId="101" applyNumberFormat="1" applyFont="1">
      <alignment vertical="center"/>
    </xf>
    <xf numFmtId="0" fontId="1" fillId="0" borderId="0" xfId="101" applyNumberFormat="1" applyFont="1" applyAlignment="1">
      <alignment vertical="center" wrapText="1"/>
    </xf>
    <xf numFmtId="0" fontId="1" fillId="0" borderId="0" xfId="101" applyNumberFormat="1" applyFont="1" applyAlignment="1">
      <alignment horizontal="center" vertical="center"/>
    </xf>
    <xf numFmtId="0" fontId="1" fillId="0" borderId="0" xfId="101" applyNumberFormat="1" applyFont="1">
      <alignment vertical="center"/>
    </xf>
    <xf numFmtId="0" fontId="3" fillId="0" borderId="0" xfId="101" applyNumberFormat="1" applyFont="1" applyAlignment="1">
      <alignment horizontal="center" vertical="center"/>
    </xf>
    <xf numFmtId="176" fontId="12" fillId="0" borderId="0" xfId="0" applyNumberFormat="1" applyFont="1" applyFill="1" applyAlignment="1">
      <alignment horizontal="left" vertical="center" wrapText="1"/>
    </xf>
    <xf numFmtId="176" fontId="12" fillId="0" borderId="0" xfId="0" applyNumberFormat="1" applyFont="1" applyFill="1" applyAlignment="1">
      <alignment horizontal="left" vertical="center"/>
    </xf>
    <xf numFmtId="176" fontId="12" fillId="0" borderId="0" xfId="101" applyNumberFormat="1" applyFont="1">
      <alignment vertical="center"/>
    </xf>
    <xf numFmtId="176" fontId="12" fillId="0" borderId="0" xfId="90" applyNumberFormat="1" applyFont="1" applyFill="1" applyAlignment="1">
      <alignment vertical="center"/>
      <protection locked="0"/>
    </xf>
    <xf numFmtId="176" fontId="7" fillId="0" borderId="0" xfId="0" applyNumberFormat="1" applyFont="1" applyFill="1" applyAlignment="1">
      <alignment horizontal="left" vertical="center"/>
    </xf>
    <xf numFmtId="176" fontId="1" fillId="0" borderId="0" xfId="85" applyNumberFormat="1" applyFont="1" applyFill="1" applyAlignment="1">
      <alignment vertical="center"/>
    </xf>
    <xf numFmtId="176" fontId="3" fillId="0" borderId="0" xfId="85" applyNumberFormat="1" applyFont="1" applyFill="1" applyAlignment="1">
      <alignment horizontal="center" vertical="center"/>
    </xf>
    <xf numFmtId="0" fontId="3" fillId="0" borderId="0" xfId="85" applyNumberFormat="1" applyFont="1" applyFill="1" applyAlignment="1">
      <alignment vertical="center"/>
    </xf>
    <xf numFmtId="176" fontId="3" fillId="0" borderId="0" xfId="85" applyNumberFormat="1" applyFont="1" applyFill="1" applyAlignment="1">
      <alignment vertical="center"/>
    </xf>
    <xf numFmtId="176" fontId="2" fillId="0" borderId="0" xfId="61" applyNumberFormat="1" applyFont="1" applyAlignment="1">
      <alignment horizontal="center" vertical="center"/>
    </xf>
    <xf numFmtId="176" fontId="4" fillId="0" borderId="0" xfId="100" applyNumberFormat="1" applyFont="1" applyAlignment="1">
      <alignment horizontal="center" vertical="center"/>
    </xf>
    <xf numFmtId="176" fontId="1" fillId="0" borderId="0" xfId="85" applyNumberFormat="1" applyFont="1" applyFill="1" applyAlignment="1">
      <alignment horizontal="right" vertical="center"/>
    </xf>
    <xf numFmtId="0" fontId="6" fillId="0" borderId="0" xfId="79" applyNumberFormat="1" applyFont="1" applyAlignment="1">
      <alignment horizontal="left" vertical="center" wrapText="1"/>
    </xf>
    <xf numFmtId="0" fontId="8" fillId="0" borderId="5" xfId="79" applyNumberFormat="1" applyFont="1" applyBorder="1" applyAlignment="1">
      <alignment horizontal="left" vertical="center" wrapText="1"/>
    </xf>
    <xf numFmtId="176" fontId="9" fillId="2" borderId="1" xfId="85" applyNumberFormat="1" applyFont="1" applyFill="1" applyBorder="1" applyAlignment="1">
      <alignment horizontal="center" vertical="center"/>
    </xf>
    <xf numFmtId="176" fontId="9" fillId="2" borderId="2" xfId="85" applyNumberFormat="1" applyFont="1" applyFill="1" applyBorder="1" applyAlignment="1">
      <alignment horizontal="center" vertical="center"/>
    </xf>
    <xf numFmtId="176" fontId="9" fillId="2" borderId="3" xfId="85" applyNumberFormat="1" applyFont="1" applyFill="1" applyBorder="1" applyAlignment="1">
      <alignment horizontal="center" vertical="center"/>
    </xf>
    <xf numFmtId="176" fontId="3" fillId="2" borderId="1" xfId="85" applyNumberFormat="1" applyFont="1" applyFill="1" applyBorder="1" applyAlignment="1">
      <alignment horizontal="center" vertical="center"/>
    </xf>
    <xf numFmtId="176" fontId="3" fillId="2" borderId="2" xfId="85" applyNumberFormat="1" applyFont="1" applyFill="1" applyBorder="1" applyAlignment="1">
      <alignment horizontal="center" vertical="center"/>
    </xf>
    <xf numFmtId="176" fontId="3" fillId="2" borderId="8" xfId="85" applyNumberFormat="1" applyFont="1" applyFill="1" applyBorder="1" applyAlignment="1">
      <alignment horizontal="center" vertical="center" wrapText="1"/>
    </xf>
    <xf numFmtId="176" fontId="11" fillId="0" borderId="8" xfId="85" applyNumberFormat="1" applyFont="1" applyFill="1" applyBorder="1" applyAlignment="1">
      <alignment horizontal="center" vertical="center" wrapText="1"/>
    </xf>
    <xf numFmtId="176" fontId="1" fillId="0" borderId="8" xfId="85" applyNumberFormat="1" applyFont="1" applyFill="1" applyBorder="1" applyAlignment="1">
      <alignment horizontal="center" vertical="center" wrapText="1"/>
    </xf>
    <xf numFmtId="176" fontId="11" fillId="0" borderId="8" xfId="85" applyNumberFormat="1" applyFont="1" applyFill="1" applyBorder="1" applyAlignment="1">
      <alignment vertical="center" wrapText="1"/>
    </xf>
    <xf numFmtId="14" fontId="11" fillId="0" borderId="7" xfId="85" applyNumberFormat="1" applyFont="1" applyFill="1" applyBorder="1" applyAlignment="1">
      <alignment horizontal="center" vertical="center" wrapText="1"/>
    </xf>
    <xf numFmtId="176" fontId="11" fillId="0" borderId="3" xfId="85" applyNumberFormat="1" applyFont="1" applyFill="1" applyBorder="1" applyAlignment="1">
      <alignment horizontal="center" vertical="center" wrapText="1"/>
    </xf>
    <xf numFmtId="176" fontId="10" fillId="0" borderId="2" xfId="90" applyNumberFormat="1" applyFont="1" applyFill="1" applyBorder="1" applyAlignment="1">
      <alignment horizontal="centerContinuous" vertical="center"/>
      <protection locked="0"/>
    </xf>
    <xf numFmtId="176" fontId="3" fillId="0" borderId="2" xfId="90" applyNumberFormat="1" applyFont="1" applyFill="1" applyBorder="1" applyAlignment="1">
      <alignment horizontal="centerContinuous" vertical="center"/>
      <protection locked="0"/>
    </xf>
    <xf numFmtId="14" fontId="10" fillId="0" borderId="2" xfId="90" applyNumberFormat="1" applyFont="1" applyFill="1" applyBorder="1" applyAlignment="1">
      <alignment horizontal="centerContinuous" vertical="center"/>
      <protection locked="0"/>
    </xf>
    <xf numFmtId="176" fontId="10" fillId="0" borderId="3" xfId="90" applyNumberFormat="1" applyFont="1" applyFill="1" applyBorder="1" applyAlignment="1">
      <alignment horizontal="centerContinuous" vertical="center"/>
      <protection locked="0"/>
    </xf>
    <xf numFmtId="176" fontId="11" fillId="0" borderId="8" xfId="85" applyNumberFormat="1" applyFont="1" applyFill="1" applyBorder="1" applyAlignment="1">
      <alignment horizontal="centerContinuous" vertical="center"/>
    </xf>
    <xf numFmtId="14" fontId="11" fillId="0" borderId="9" xfId="85" applyNumberFormat="1" applyFont="1" applyFill="1" applyBorder="1" applyAlignment="1">
      <alignment horizontal="center" vertical="center" wrapText="1"/>
    </xf>
    <xf numFmtId="0" fontId="3" fillId="0" borderId="10" xfId="85" applyNumberFormat="1" applyFont="1" applyFill="1" applyBorder="1" applyAlignment="1">
      <alignment vertical="center"/>
    </xf>
    <xf numFmtId="0" fontId="1" fillId="0" borderId="10" xfId="85" applyNumberFormat="1" applyFont="1" applyFill="1" applyBorder="1" applyAlignment="1">
      <alignment vertical="center"/>
    </xf>
    <xf numFmtId="0" fontId="1" fillId="0" borderId="0" xfId="85" applyNumberFormat="1" applyFont="1" applyFill="1" applyAlignment="1">
      <alignment vertical="center"/>
    </xf>
    <xf numFmtId="176" fontId="12" fillId="0" borderId="0" xfId="85" applyNumberFormat="1" applyFont="1" applyFill="1" applyAlignment="1">
      <alignment vertical="center"/>
    </xf>
    <xf numFmtId="176" fontId="12" fillId="0" borderId="0" xfId="79" applyNumberFormat="1" applyFont="1" applyAlignment="1" applyProtection="1">
      <alignment vertical="center"/>
      <protection locked="0"/>
    </xf>
    <xf numFmtId="176" fontId="2" fillId="0" borderId="0" xfId="61" applyFont="1" applyAlignment="1">
      <alignment horizontal="center" vertical="center"/>
    </xf>
    <xf numFmtId="176" fontId="4" fillId="0" borderId="0" xfId="100" applyFont="1" applyAlignment="1">
      <alignment horizontal="center" vertical="center"/>
    </xf>
    <xf numFmtId="43" fontId="1" fillId="0" borderId="0" xfId="58" applyNumberFormat="1" applyFont="1" applyBorder="1" applyAlignment="1">
      <alignment horizontal="right" vertical="center"/>
    </xf>
    <xf numFmtId="49" fontId="1" fillId="0" borderId="0" xfId="58" applyNumberFormat="1" applyFont="1" applyBorder="1" applyAlignment="1">
      <alignment vertical="center"/>
    </xf>
    <xf numFmtId="176" fontId="3" fillId="2" borderId="3" xfId="85" applyNumberFormat="1" applyFont="1" applyFill="1" applyBorder="1" applyAlignment="1">
      <alignment horizontal="center" vertical="center"/>
    </xf>
    <xf numFmtId="43" fontId="11" fillId="0" borderId="8" xfId="85" applyNumberFormat="1" applyFont="1" applyFill="1" applyBorder="1" applyAlignment="1">
      <alignment vertical="center" wrapText="1"/>
    </xf>
    <xf numFmtId="176" fontId="1" fillId="0" borderId="8" xfId="85" applyNumberFormat="1" applyFont="1" applyFill="1" applyBorder="1" applyAlignment="1">
      <alignment vertical="center" wrapText="1"/>
    </xf>
    <xf numFmtId="176" fontId="11" fillId="0" borderId="7" xfId="85" applyNumberFormat="1" applyFont="1" applyFill="1" applyBorder="1" applyAlignment="1">
      <alignment horizontal="center" vertical="center" wrapText="1"/>
    </xf>
    <xf numFmtId="14" fontId="11" fillId="0" borderId="3" xfId="85" applyNumberFormat="1" applyFont="1" applyFill="1" applyBorder="1" applyAlignment="1">
      <alignment horizontal="center" vertical="center" wrapText="1"/>
    </xf>
    <xf numFmtId="176" fontId="10" fillId="0" borderId="1" xfId="90" applyNumberFormat="1" applyFont="1" applyFill="1" applyBorder="1" applyAlignment="1">
      <alignment horizontal="centerContinuous" vertical="center"/>
      <protection locked="0"/>
    </xf>
    <xf numFmtId="176" fontId="3" fillId="0" borderId="3" xfId="90" applyNumberFormat="1" applyFont="1" applyFill="1" applyBorder="1" applyAlignment="1">
      <alignment horizontal="centerContinuous" vertical="center"/>
      <protection locked="0"/>
    </xf>
    <xf numFmtId="176" fontId="1" fillId="0" borderId="8" xfId="85" applyNumberFormat="1" applyFont="1" applyFill="1" applyBorder="1" applyAlignment="1">
      <alignment horizontal="centerContinuous" vertical="center"/>
    </xf>
    <xf numFmtId="176" fontId="11" fillId="0" borderId="9" xfId="85" applyNumberFormat="1" applyFont="1" applyFill="1" applyBorder="1" applyAlignment="1">
      <alignment horizontal="center" vertical="center" wrapText="1"/>
    </xf>
    <xf numFmtId="176" fontId="1" fillId="0" borderId="0" xfId="89" applyNumberFormat="1" applyFont="1" applyFill="1" applyAlignment="1">
      <alignment vertical="center"/>
    </xf>
    <xf numFmtId="176" fontId="3" fillId="2" borderId="7" xfId="90" applyNumberFormat="1" applyFont="1" applyFill="1" applyBorder="1" applyAlignment="1">
      <alignment horizontal="center" vertical="center"/>
      <protection locked="0"/>
    </xf>
    <xf numFmtId="176" fontId="3" fillId="2" borderId="9" xfId="90" applyNumberFormat="1" applyFont="1" applyFill="1" applyBorder="1" applyAlignment="1">
      <alignment horizontal="center" vertical="center"/>
      <protection locked="0"/>
    </xf>
    <xf numFmtId="176" fontId="13" fillId="2" borderId="8" xfId="99" applyNumberFormat="1" applyFont="1" applyFill="1" applyBorder="1" applyAlignment="1" applyProtection="1">
      <alignment horizontal="center" vertical="center"/>
    </xf>
    <xf numFmtId="0" fontId="26" fillId="0" borderId="8" xfId="0" applyNumberFormat="1" applyFont="1" applyFill="1" applyBorder="1" applyAlignment="1">
      <alignment vertical="center"/>
    </xf>
    <xf numFmtId="0" fontId="26" fillId="0" borderId="8" xfId="99" applyNumberFormat="1" applyFont="1" applyBorder="1" applyAlignment="1" applyProtection="1">
      <alignment vertical="center"/>
    </xf>
    <xf numFmtId="43" fontId="26" fillId="2" borderId="8" xfId="1" applyFont="1" applyFill="1" applyBorder="1" applyAlignment="1" applyProtection="1">
      <alignment vertical="center"/>
    </xf>
    <xf numFmtId="0" fontId="7" fillId="0" borderId="8" xfId="99" applyNumberFormat="1" applyFont="1" applyBorder="1" applyAlignment="1" applyProtection="1">
      <alignment vertical="center"/>
    </xf>
    <xf numFmtId="0" fontId="11" fillId="0" borderId="8" xfId="99" applyNumberFormat="1" applyFont="1" applyBorder="1" applyAlignment="1">
      <alignment vertical="center"/>
      <protection locked="0"/>
    </xf>
    <xf numFmtId="0" fontId="1" fillId="0" borderId="8" xfId="99" applyNumberFormat="1" applyFont="1" applyBorder="1" applyAlignment="1">
      <alignment vertical="center"/>
      <protection locked="0"/>
    </xf>
    <xf numFmtId="176" fontId="1" fillId="0" borderId="0" xfId="99" applyNumberFormat="1" applyFont="1">
      <protection locked="0"/>
    </xf>
    <xf numFmtId="0" fontId="1" fillId="0" borderId="0" xfId="99" applyNumberFormat="1" applyFont="1">
      <protection locked="0"/>
    </xf>
    <xf numFmtId="0" fontId="7" fillId="0" borderId="0" xfId="99" applyNumberFormat="1" applyFont="1" applyAlignment="1" applyProtection="1">
      <alignment vertical="center"/>
    </xf>
    <xf numFmtId="0" fontId="1" fillId="0" borderId="0" xfId="87" applyNumberFormat="1" applyFont="1" applyFill="1" applyAlignment="1" applyProtection="1">
      <protection locked="0"/>
    </xf>
    <xf numFmtId="0" fontId="7" fillId="0" borderId="0" xfId="0" applyNumberFormat="1" applyFont="1" applyFill="1" applyAlignment="1"/>
    <xf numFmtId="176" fontId="1" fillId="0" borderId="0" xfId="79" applyNumberFormat="1" applyFont="1" applyAlignment="1" applyProtection="1">
      <alignment vertical="center"/>
      <protection locked="0"/>
    </xf>
    <xf numFmtId="176" fontId="3" fillId="0" borderId="0" xfId="79" applyNumberFormat="1" applyFont="1" applyAlignment="1">
      <alignment horizontal="left" vertical="center"/>
    </xf>
    <xf numFmtId="176" fontId="1" fillId="0" borderId="0" xfId="79" applyNumberFormat="1" applyFont="1" applyAlignment="1">
      <alignment vertical="center"/>
    </xf>
    <xf numFmtId="176" fontId="6" fillId="0" borderId="0" xfId="79" applyNumberFormat="1" applyFont="1" applyAlignment="1">
      <alignment vertical="center"/>
    </xf>
    <xf numFmtId="176" fontId="1" fillId="0" borderId="0" xfId="79" applyNumberFormat="1" applyFont="1" applyAlignment="1" applyProtection="1">
      <alignment horizontal="right" vertical="center"/>
      <protection locked="0"/>
    </xf>
    <xf numFmtId="176" fontId="9" fillId="2" borderId="8" xfId="90" applyNumberFormat="1" applyFont="1" applyFill="1" applyBorder="1" applyAlignment="1">
      <alignment horizontal="center" vertical="center" wrapText="1"/>
      <protection locked="0"/>
    </xf>
    <xf numFmtId="180" fontId="11" fillId="0" borderId="8" xfId="90" applyNumberFormat="1" applyFont="1" applyFill="1" applyBorder="1" applyAlignment="1">
      <alignment horizontal="left" vertical="center"/>
      <protection locked="0"/>
    </xf>
    <xf numFmtId="14" fontId="11" fillId="0" borderId="8" xfId="90" applyNumberFormat="1" applyFont="1" applyFill="1" applyBorder="1" applyAlignment="1">
      <alignment horizontal="left" vertical="center"/>
      <protection locked="0"/>
    </xf>
    <xf numFmtId="181" fontId="11" fillId="0" borderId="8" xfId="90" applyNumberFormat="1" applyFont="1" applyFill="1" applyBorder="1" applyAlignment="1">
      <alignment vertical="center" wrapText="1"/>
      <protection locked="0"/>
    </xf>
    <xf numFmtId="180" fontId="1" fillId="0" borderId="8" xfId="90" applyNumberFormat="1" applyFont="1" applyFill="1" applyBorder="1" applyAlignment="1">
      <alignment vertical="center"/>
      <protection locked="0"/>
    </xf>
    <xf numFmtId="181" fontId="11" fillId="0" borderId="8" xfId="90" applyNumberFormat="1" applyFont="1" applyFill="1" applyBorder="1" applyAlignment="1">
      <alignment horizontal="left" vertical="center"/>
      <protection locked="0"/>
    </xf>
    <xf numFmtId="180" fontId="11" fillId="0" borderId="8" xfId="90" applyNumberFormat="1" applyFont="1" applyFill="1" applyBorder="1" applyAlignment="1">
      <alignment horizontal="center" vertical="center"/>
      <protection locked="0"/>
    </xf>
    <xf numFmtId="180" fontId="11" fillId="0" borderId="8" xfId="59" applyNumberFormat="1" applyFont="1" applyBorder="1" applyAlignment="1" applyProtection="1">
      <alignment horizontal="center" vertical="center"/>
      <protection locked="0"/>
    </xf>
    <xf numFmtId="181" fontId="11" fillId="0" borderId="8" xfId="90" applyNumberFormat="1" applyFont="1" applyFill="1" applyBorder="1" applyAlignment="1">
      <alignment horizontal="center" vertical="center"/>
      <protection locked="0"/>
    </xf>
    <xf numFmtId="180" fontId="11" fillId="0" borderId="8" xfId="98" applyNumberFormat="1" applyFont="1" applyBorder="1" applyAlignment="1" applyProtection="1">
      <alignment horizontal="justify" vertical="center"/>
      <protection locked="0"/>
    </xf>
    <xf numFmtId="180" fontId="11" fillId="0" borderId="8" xfId="90" applyNumberFormat="1" applyFont="1" applyFill="1" applyBorder="1" applyAlignment="1">
      <alignment vertical="center" wrapText="1"/>
      <protection locked="0"/>
    </xf>
    <xf numFmtId="14" fontId="11" fillId="0" borderId="8" xfId="90" applyNumberFormat="1" applyFont="1" applyFill="1" applyBorder="1" applyAlignment="1">
      <alignment vertical="center" wrapText="1"/>
      <protection locked="0"/>
    </xf>
    <xf numFmtId="180" fontId="1" fillId="0" borderId="8" xfId="90" applyNumberFormat="1" applyFont="1" applyFill="1" applyBorder="1" applyAlignment="1">
      <alignment vertical="center" wrapText="1"/>
      <protection locked="0"/>
    </xf>
    <xf numFmtId="180" fontId="11" fillId="0" borderId="8" xfId="59" applyNumberFormat="1" applyFont="1" applyBorder="1" applyAlignment="1" applyProtection="1">
      <alignment vertical="center" wrapText="1"/>
      <protection locked="0"/>
    </xf>
    <xf numFmtId="0" fontId="3" fillId="0" borderId="10" xfId="90" applyNumberFormat="1" applyFont="1" applyFill="1" applyBorder="1" applyAlignment="1">
      <alignment horizontal="left" vertical="center"/>
      <protection locked="0"/>
    </xf>
    <xf numFmtId="0" fontId="3" fillId="0" borderId="10" xfId="90" applyNumberFormat="1" applyFont="1" applyFill="1" applyBorder="1" applyAlignment="1">
      <alignment vertical="center" wrapText="1"/>
      <protection locked="0"/>
    </xf>
    <xf numFmtId="0" fontId="1" fillId="0" borderId="0" xfId="90" applyNumberFormat="1" applyFont="1" applyFill="1" applyBorder="1" applyAlignment="1">
      <alignment vertical="center" wrapText="1"/>
      <protection locked="0"/>
    </xf>
    <xf numFmtId="0" fontId="3" fillId="0" borderId="0" xfId="90" applyNumberFormat="1" applyFont="1" applyFill="1" applyBorder="1" applyAlignment="1">
      <alignment horizontal="left" vertical="center"/>
      <protection locked="0"/>
    </xf>
    <xf numFmtId="0" fontId="1" fillId="0" borderId="0" xfId="90" applyNumberFormat="1" applyFont="1" applyFill="1" applyAlignment="1">
      <alignment horizontal="left" vertical="center" wrapText="1"/>
      <protection locked="0"/>
    </xf>
    <xf numFmtId="176" fontId="3" fillId="0" borderId="0" xfId="90" applyNumberFormat="1" applyFont="1" applyFill="1" applyAlignment="1">
      <alignment horizontal="left" vertical="center" wrapText="1"/>
      <protection locked="0"/>
    </xf>
    <xf numFmtId="176" fontId="1" fillId="0" borderId="0" xfId="90" applyNumberFormat="1" applyFont="1" applyFill="1" applyAlignment="1">
      <alignment horizontal="left" vertical="center"/>
      <protection locked="0"/>
    </xf>
    <xf numFmtId="176" fontId="1" fillId="0" borderId="0" xfId="90" applyNumberFormat="1" applyFont="1" applyFill="1" applyAlignment="1">
      <alignment horizontal="center" vertical="center"/>
      <protection locked="0"/>
    </xf>
    <xf numFmtId="176" fontId="7" fillId="0" borderId="0" xfId="0" applyNumberFormat="1" applyFont="1" applyFill="1" applyAlignment="1" applyProtection="1">
      <alignment vertical="center"/>
      <protection locked="0"/>
    </xf>
    <xf numFmtId="176" fontId="3" fillId="2" borderId="0" xfId="90" applyNumberFormat="1" applyFont="1" applyFill="1" applyAlignment="1">
      <alignment vertical="center"/>
      <protection locked="0"/>
    </xf>
    <xf numFmtId="176" fontId="17" fillId="0" borderId="0" xfId="90" applyNumberFormat="1" applyFont="1" applyFill="1" applyAlignment="1">
      <alignment vertical="center"/>
      <protection locked="0"/>
    </xf>
    <xf numFmtId="176" fontId="3" fillId="0" borderId="0" xfId="79" applyNumberFormat="1" applyFont="1" applyAlignment="1">
      <alignment vertical="center" wrapText="1"/>
    </xf>
    <xf numFmtId="176" fontId="3" fillId="0" borderId="0" xfId="97" applyFont="1" applyAlignment="1">
      <alignment horizontal="left" vertical="center"/>
    </xf>
    <xf numFmtId="176" fontId="1" fillId="0" borderId="0" xfId="97" applyFont="1" applyAlignment="1">
      <alignment horizontal="left" vertical="center"/>
    </xf>
    <xf numFmtId="176" fontId="8" fillId="0" borderId="0" xfId="97" applyFont="1" applyAlignment="1">
      <alignment horizontal="left" vertical="center"/>
    </xf>
    <xf numFmtId="176" fontId="36" fillId="0" borderId="0" xfId="0" applyNumberFormat="1" applyFont="1" applyFill="1" applyAlignment="1" applyProtection="1">
      <protection locked="0"/>
    </xf>
    <xf numFmtId="176" fontId="7" fillId="0" borderId="0" xfId="76" applyNumberFormat="1" applyFont="1" applyFill="1" applyAlignment="1" applyProtection="1">
      <alignment horizontal="center" vertical="center"/>
    </xf>
    <xf numFmtId="176" fontId="3" fillId="0" borderId="0" xfId="97" applyFont="1" applyBorder="1" applyAlignment="1">
      <alignment vertical="center"/>
    </xf>
    <xf numFmtId="176" fontId="3" fillId="0" borderId="0" xfId="79" applyNumberFormat="1" applyFont="1" applyAlignment="1">
      <alignment vertical="center"/>
    </xf>
    <xf numFmtId="176" fontId="6" fillId="0" borderId="0" xfId="79" applyNumberFormat="1" applyFont="1" applyAlignment="1" applyProtection="1">
      <alignment horizontal="left" vertical="center"/>
      <protection hidden="1"/>
    </xf>
    <xf numFmtId="176" fontId="8" fillId="0" borderId="0" xfId="79" applyNumberFormat="1" applyFont="1" applyAlignment="1" applyProtection="1">
      <alignment horizontal="center" vertical="center"/>
      <protection hidden="1"/>
    </xf>
    <xf numFmtId="176" fontId="1" fillId="0" borderId="0" xfId="79" applyNumberFormat="1" applyFont="1" applyAlignment="1" applyProtection="1">
      <alignment horizontal="left" vertical="center"/>
      <protection hidden="1"/>
    </xf>
    <xf numFmtId="176" fontId="8" fillId="0" borderId="0" xfId="79" applyNumberFormat="1" applyFont="1" applyAlignment="1" applyProtection="1">
      <alignment horizontal="left" vertical="center"/>
      <protection locked="0"/>
    </xf>
    <xf numFmtId="176" fontId="3" fillId="2" borderId="1" xfId="90" applyNumberFormat="1" applyFont="1" applyFill="1" applyBorder="1" applyAlignment="1">
      <alignment horizontal="center" vertical="center" wrapText="1"/>
      <protection locked="0"/>
    </xf>
    <xf numFmtId="176" fontId="3" fillId="2" borderId="2" xfId="90" applyNumberFormat="1" applyFont="1" applyFill="1" applyBorder="1" applyAlignment="1">
      <alignment horizontal="center" vertical="center" wrapText="1"/>
      <protection locked="0"/>
    </xf>
    <xf numFmtId="176" fontId="3" fillId="2" borderId="3" xfId="90" applyNumberFormat="1" applyFont="1" applyFill="1" applyBorder="1" applyAlignment="1">
      <alignment horizontal="center" vertical="center" wrapText="1"/>
      <protection locked="0"/>
    </xf>
    <xf numFmtId="176" fontId="9" fillId="2" borderId="7" xfId="90" applyNumberFormat="1" applyFont="1" applyFill="1" applyBorder="1" applyAlignment="1">
      <alignment horizontal="center" vertical="center" wrapText="1"/>
      <protection locked="0"/>
    </xf>
    <xf numFmtId="176" fontId="3" fillId="3" borderId="8" xfId="96" applyNumberFormat="1" applyFont="1" applyFill="1" applyBorder="1" applyAlignment="1" applyProtection="1">
      <alignment horizontal="center" vertical="center" wrapText="1"/>
    </xf>
    <xf numFmtId="176" fontId="9" fillId="2" borderId="9" xfId="90" applyNumberFormat="1" applyFont="1" applyFill="1" applyBorder="1" applyAlignment="1">
      <alignment horizontal="center" vertical="center" wrapText="1"/>
      <protection locked="0"/>
    </xf>
    <xf numFmtId="176" fontId="11" fillId="0" borderId="8" xfId="90" applyNumberFormat="1" applyFont="1" applyFill="1" applyBorder="1" applyAlignment="1">
      <alignment horizontal="left" vertical="center"/>
      <protection locked="0"/>
    </xf>
    <xf numFmtId="176" fontId="11" fillId="0" borderId="8" xfId="90" applyNumberFormat="1" applyFont="1" applyFill="1" applyBorder="1" applyAlignment="1">
      <alignment vertical="center" wrapText="1"/>
      <protection locked="0"/>
    </xf>
    <xf numFmtId="176" fontId="1" fillId="0" borderId="8" xfId="90" applyNumberFormat="1" applyFont="1" applyFill="1" applyBorder="1" applyAlignment="1">
      <alignment vertical="center"/>
      <protection locked="0"/>
    </xf>
    <xf numFmtId="43" fontId="11" fillId="0" borderId="8" xfId="90" applyNumberFormat="1" applyFont="1" applyFill="1" applyBorder="1" applyAlignment="1">
      <alignment horizontal="center" vertical="center"/>
      <protection locked="0"/>
    </xf>
    <xf numFmtId="176" fontId="11" fillId="0" borderId="8" xfId="90" applyNumberFormat="1" applyFont="1" applyFill="1" applyBorder="1" applyAlignment="1">
      <alignment horizontal="center" vertical="center"/>
      <protection locked="0"/>
    </xf>
    <xf numFmtId="176" fontId="1" fillId="0" borderId="8" xfId="90" applyNumberFormat="1" applyFont="1" applyFill="1" applyBorder="1" applyAlignment="1">
      <alignment horizontal="center" vertical="center"/>
      <protection locked="0"/>
    </xf>
    <xf numFmtId="176" fontId="1" fillId="0" borderId="8" xfId="98" applyNumberFormat="1" applyFont="1" applyBorder="1" applyAlignment="1" applyProtection="1">
      <alignment horizontal="justify" vertical="center"/>
      <protection locked="0"/>
    </xf>
    <xf numFmtId="176" fontId="1" fillId="0" borderId="8" xfId="90" applyNumberFormat="1" applyFont="1" applyFill="1" applyBorder="1" applyAlignment="1">
      <alignment horizontal="left" vertical="center"/>
      <protection locked="0"/>
    </xf>
    <xf numFmtId="176" fontId="3" fillId="2" borderId="8" xfId="90" applyNumberFormat="1" applyFont="1" applyFill="1" applyBorder="1" applyAlignment="1">
      <alignment horizontal="left" vertical="center"/>
      <protection locked="0"/>
    </xf>
    <xf numFmtId="43" fontId="10" fillId="2" borderId="8" xfId="90" applyNumberFormat="1" applyFont="1" applyFill="1" applyBorder="1" applyAlignment="1">
      <alignment horizontal="center" vertical="center"/>
      <protection locked="0"/>
    </xf>
    <xf numFmtId="43" fontId="10" fillId="2" borderId="8" xfId="1" applyFont="1" applyFill="1" applyBorder="1" applyAlignment="1" applyProtection="1">
      <alignment horizontal="center" vertical="center"/>
      <protection locked="0"/>
    </xf>
    <xf numFmtId="14" fontId="10" fillId="2" borderId="8" xfId="90" applyNumberFormat="1" applyFont="1" applyFill="1" applyBorder="1" applyAlignment="1">
      <alignment horizontal="left" vertical="center"/>
      <protection locked="0"/>
    </xf>
    <xf numFmtId="176" fontId="10" fillId="2" borderId="8" xfId="90" applyNumberFormat="1" applyFont="1" applyFill="1" applyBorder="1" applyAlignment="1">
      <alignment horizontal="left" vertical="center"/>
      <protection locked="0"/>
    </xf>
    <xf numFmtId="176" fontId="10" fillId="2" borderId="8" xfId="90" applyNumberFormat="1" applyFont="1" applyFill="1" applyBorder="1" applyAlignment="1">
      <alignment horizontal="center" vertical="center"/>
      <protection locked="0"/>
    </xf>
    <xf numFmtId="176" fontId="3" fillId="2" borderId="8" xfId="90" applyNumberFormat="1" applyFont="1" applyFill="1" applyBorder="1" applyAlignment="1">
      <alignment horizontal="center" vertical="center"/>
      <protection locked="0"/>
    </xf>
    <xf numFmtId="176" fontId="3" fillId="2" borderId="8" xfId="98" applyNumberFormat="1" applyFont="1" applyFill="1" applyBorder="1" applyAlignment="1" applyProtection="1">
      <alignment horizontal="justify" vertical="center"/>
      <protection locked="0"/>
    </xf>
    <xf numFmtId="176" fontId="3" fillId="2" borderId="8" xfId="90" applyNumberFormat="1" applyFont="1" applyFill="1" applyBorder="1" applyAlignment="1">
      <alignment vertical="center"/>
      <protection locked="0"/>
    </xf>
    <xf numFmtId="176" fontId="3" fillId="2" borderId="8" xfId="90" applyNumberFormat="1" applyFont="1" applyFill="1" applyBorder="1" applyAlignment="1">
      <alignment vertical="center" wrapText="1"/>
      <protection locked="0"/>
    </xf>
    <xf numFmtId="43" fontId="10" fillId="2" borderId="8" xfId="90" applyNumberFormat="1" applyFont="1" applyFill="1" applyBorder="1" applyAlignment="1">
      <alignment vertical="center" wrapText="1"/>
      <protection locked="0"/>
    </xf>
    <xf numFmtId="14" fontId="10" fillId="2" borderId="8" xfId="90" applyNumberFormat="1" applyFont="1" applyFill="1" applyBorder="1" applyAlignment="1">
      <alignment vertical="center" wrapText="1"/>
      <protection locked="0"/>
    </xf>
    <xf numFmtId="176" fontId="10" fillId="2" borderId="8" xfId="90" applyNumberFormat="1" applyFont="1" applyFill="1" applyBorder="1" applyAlignment="1">
      <alignment vertical="center" wrapText="1"/>
      <protection locked="0"/>
    </xf>
    <xf numFmtId="10" fontId="10" fillId="2" borderId="8" xfId="3" applyNumberFormat="1" applyFont="1" applyFill="1" applyBorder="1" applyAlignment="1" applyProtection="1">
      <alignment horizontal="right" vertical="center" wrapText="1"/>
      <protection locked="0"/>
    </xf>
    <xf numFmtId="0" fontId="3" fillId="0" borderId="0" xfId="90" applyNumberFormat="1" applyFont="1" applyFill="1" applyBorder="1" applyAlignment="1">
      <alignment vertical="center"/>
      <protection locked="0"/>
    </xf>
    <xf numFmtId="0" fontId="1" fillId="0" borderId="0" xfId="90" applyNumberFormat="1" applyFont="1" applyFill="1" applyBorder="1" applyAlignment="1">
      <alignment vertical="center"/>
      <protection locked="0"/>
    </xf>
    <xf numFmtId="0" fontId="1" fillId="0" borderId="0" xfId="79" applyNumberFormat="1" applyFont="1" applyBorder="1" applyAlignment="1">
      <alignment horizontal="center" vertical="center"/>
    </xf>
    <xf numFmtId="0" fontId="6" fillId="0" borderId="0" xfId="96" applyNumberFormat="1" applyFont="1" applyAlignment="1">
      <alignment vertical="center"/>
      <protection locked="0"/>
    </xf>
    <xf numFmtId="176" fontId="1" fillId="0" borderId="0" xfId="76" applyNumberFormat="1" applyFont="1" applyFill="1" applyAlignment="1" applyProtection="1">
      <alignment vertical="center"/>
      <protection locked="0"/>
    </xf>
    <xf numFmtId="176" fontId="2" fillId="0" borderId="0" xfId="58" applyNumberFormat="1" applyFont="1" applyBorder="1" applyAlignment="1">
      <alignment horizontal="center" vertical="center"/>
    </xf>
    <xf numFmtId="176" fontId="4" fillId="0" borderId="0" xfId="58" applyNumberFormat="1" applyFont="1" applyBorder="1" applyAlignment="1">
      <alignment horizontal="center" vertical="center"/>
    </xf>
    <xf numFmtId="176" fontId="3" fillId="0" borderId="0" xfId="96" applyFont="1" applyAlignment="1">
      <alignment vertical="center"/>
      <protection locked="0"/>
    </xf>
    <xf numFmtId="0" fontId="3" fillId="0" borderId="0" xfId="96" applyNumberFormat="1" applyFont="1" applyAlignment="1">
      <alignment vertical="center"/>
      <protection locked="0"/>
    </xf>
    <xf numFmtId="176" fontId="45" fillId="0" borderId="12" xfId="76" applyNumberFormat="1" applyFont="1" applyFill="1" applyBorder="1" applyAlignment="1" applyProtection="1">
      <alignment horizontal="left" vertical="center"/>
      <protection locked="0"/>
    </xf>
    <xf numFmtId="176" fontId="3" fillId="0" borderId="0" xfId="49" applyNumberFormat="1" applyFont="1" applyAlignment="1">
      <alignment vertical="center"/>
      <protection locked="0"/>
    </xf>
    <xf numFmtId="176" fontId="1" fillId="0" borderId="0" xfId="49" applyNumberFormat="1" applyFont="1" applyAlignment="1">
      <alignment vertical="center"/>
      <protection locked="0"/>
    </xf>
    <xf numFmtId="176" fontId="1" fillId="4" borderId="0" xfId="49" applyNumberFormat="1" applyFont="1" applyFill="1" applyAlignment="1">
      <alignment horizontal="justify" vertical="center"/>
      <protection locked="0"/>
    </xf>
    <xf numFmtId="176" fontId="1" fillId="0" borderId="0" xfId="49" applyNumberFormat="1" applyFont="1" applyAlignment="1">
      <alignment horizontal="justify" wrapText="1"/>
      <protection locked="0"/>
    </xf>
    <xf numFmtId="176" fontId="3" fillId="0" borderId="0" xfId="49" applyNumberFormat="1" applyFont="1" applyAlignment="1">
      <alignment horizontal="center" vertical="center"/>
      <protection locked="0"/>
    </xf>
    <xf numFmtId="0" fontId="11" fillId="0" borderId="11" xfId="95" applyNumberFormat="1" applyFont="1" applyBorder="1" applyAlignment="1">
      <alignment horizontal="center" vertical="center" wrapText="1"/>
      <protection locked="0"/>
    </xf>
    <xf numFmtId="176" fontId="46" fillId="0" borderId="11" xfId="6" applyNumberFormat="1" applyFont="1" applyBorder="1" applyAlignment="1" applyProtection="1">
      <alignment vertical="center"/>
      <protection locked="0"/>
    </xf>
    <xf numFmtId="176" fontId="11" fillId="0" borderId="11" xfId="6" applyNumberFormat="1" applyFont="1" applyBorder="1" applyAlignment="1" applyProtection="1">
      <alignment horizontal="center" vertical="center"/>
      <protection locked="0"/>
    </xf>
    <xf numFmtId="176" fontId="1" fillId="0" borderId="0" xfId="49" applyNumberFormat="1" applyFont="1">
      <protection locked="0"/>
    </xf>
    <xf numFmtId="176" fontId="1" fillId="4" borderId="0" xfId="0" applyNumberFormat="1" applyFont="1" applyFill="1" applyAlignment="1" applyProtection="1">
      <alignment horizontal="justify" vertical="center"/>
      <protection locked="0"/>
    </xf>
    <xf numFmtId="176" fontId="46" fillId="0" borderId="11" xfId="6" applyNumberFormat="1" applyFont="1" applyBorder="1" applyAlignment="1" applyProtection="1">
      <alignment vertical="center"/>
      <protection locked="0"/>
    </xf>
    <xf numFmtId="176" fontId="3" fillId="0" borderId="0" xfId="0" applyNumberFormat="1" applyFont="1" applyFill="1" applyAlignment="1" applyProtection="1">
      <alignment horizontal="justify"/>
      <protection locked="0"/>
    </xf>
    <xf numFmtId="176" fontId="3" fillId="0" borderId="0" xfId="80" applyFont="1" applyAlignment="1">
      <alignment vertical="center"/>
      <protection locked="0"/>
    </xf>
    <xf numFmtId="176" fontId="1" fillId="0" borderId="0" xfId="94" applyFont="1" applyAlignment="1">
      <alignment vertical="center"/>
    </xf>
    <xf numFmtId="0" fontId="1" fillId="0" borderId="0" xfId="94" applyNumberFormat="1" applyFont="1" applyAlignment="1">
      <alignment vertical="center"/>
    </xf>
    <xf numFmtId="0" fontId="1" fillId="0" borderId="0" xfId="94" applyNumberFormat="1" applyFont="1" applyAlignment="1">
      <alignment vertical="center" wrapText="1"/>
    </xf>
    <xf numFmtId="176" fontId="1" fillId="0" borderId="0" xfId="94" applyFont="1" applyAlignment="1">
      <alignment horizontal="center" vertical="center" wrapText="1"/>
    </xf>
    <xf numFmtId="176" fontId="1" fillId="0" borderId="0" xfId="94" applyFont="1" applyAlignment="1">
      <alignment vertical="center" wrapText="1"/>
    </xf>
    <xf numFmtId="182" fontId="1" fillId="0" borderId="0" xfId="94" applyNumberFormat="1" applyFont="1" applyAlignment="1">
      <alignment vertical="center" wrapText="1"/>
    </xf>
    <xf numFmtId="176" fontId="2" fillId="0" borderId="0" xfId="80" applyFont="1" applyAlignment="1">
      <alignment horizontal="center" vertical="center"/>
      <protection locked="0"/>
    </xf>
    <xf numFmtId="176" fontId="4" fillId="0" borderId="0" xfId="94" applyFont="1" applyAlignment="1">
      <alignment horizontal="center" vertical="center" wrapText="1"/>
    </xf>
    <xf numFmtId="0" fontId="1" fillId="0" borderId="0" xfId="78" applyNumberFormat="1" applyFont="1" applyAlignment="1">
      <alignment vertical="center"/>
      <protection locked="0"/>
    </xf>
    <xf numFmtId="176" fontId="5" fillId="0" borderId="0" xfId="94" applyFont="1" applyAlignment="1">
      <alignment horizontal="center" vertical="center"/>
    </xf>
    <xf numFmtId="176" fontId="1" fillId="0" borderId="0" xfId="94" applyFont="1" applyAlignment="1">
      <alignment horizontal="right" vertical="center"/>
    </xf>
    <xf numFmtId="176" fontId="5" fillId="0" borderId="0" xfId="94" applyFont="1" applyAlignment="1">
      <alignment horizontal="left" vertical="center"/>
    </xf>
    <xf numFmtId="0" fontId="1" fillId="0" borderId="0" xfId="80" applyNumberFormat="1" applyFont="1" applyAlignment="1">
      <alignment vertical="center" wrapText="1"/>
      <protection locked="0"/>
    </xf>
    <xf numFmtId="0" fontId="6" fillId="0" borderId="0" xfId="58" applyNumberFormat="1" applyFont="1" applyBorder="1" applyAlignment="1">
      <alignment vertical="center"/>
    </xf>
    <xf numFmtId="0" fontId="6" fillId="0" borderId="0" xfId="58" applyNumberFormat="1" applyFont="1" applyBorder="1" applyAlignment="1">
      <alignment horizontal="left" vertical="center"/>
    </xf>
    <xf numFmtId="176" fontId="1" fillId="2" borderId="8" xfId="94" applyFont="1" applyFill="1" applyBorder="1" applyAlignment="1">
      <alignment horizontal="left" vertical="center" wrapText="1"/>
    </xf>
    <xf numFmtId="49" fontId="30" fillId="0" borderId="8" xfId="94" applyNumberFormat="1" applyFont="1" applyBorder="1" applyAlignment="1">
      <alignment horizontal="center" vertical="center" wrapText="1"/>
    </xf>
    <xf numFmtId="0" fontId="11" fillId="0" borderId="8" xfId="94" applyNumberFormat="1" applyFont="1" applyBorder="1" applyAlignment="1">
      <alignment horizontal="center" vertical="center" wrapText="1"/>
    </xf>
    <xf numFmtId="0" fontId="1" fillId="0" borderId="8" xfId="94" applyNumberFormat="1" applyFont="1" applyBorder="1" applyAlignment="1">
      <alignment horizontal="center" vertical="center" wrapText="1"/>
    </xf>
    <xf numFmtId="14" fontId="11" fillId="0" borderId="8" xfId="94" applyNumberFormat="1" applyFont="1" applyBorder="1" applyAlignment="1">
      <alignment horizontal="center" vertical="center" wrapText="1"/>
    </xf>
    <xf numFmtId="43" fontId="11" fillId="0" borderId="8" xfId="1" applyFont="1" applyFill="1" applyBorder="1" applyAlignment="1">
      <alignment horizontal="center" vertical="center" wrapText="1"/>
    </xf>
    <xf numFmtId="43" fontId="11" fillId="0" borderId="8" xfId="1" applyFont="1" applyBorder="1" applyAlignment="1">
      <alignment horizontal="center" vertical="center" wrapText="1"/>
    </xf>
    <xf numFmtId="0" fontId="3" fillId="0" borderId="0" xfId="94" applyNumberFormat="1" applyFont="1" applyAlignment="1">
      <alignment horizontal="left" vertical="center" wrapText="1"/>
    </xf>
    <xf numFmtId="0" fontId="1" fillId="0" borderId="0" xfId="94" applyNumberFormat="1" applyFont="1" applyAlignment="1">
      <alignment horizontal="left" vertical="center" wrapText="1"/>
    </xf>
    <xf numFmtId="0" fontId="1" fillId="0" borderId="0" xfId="94" applyNumberFormat="1" applyFont="1" applyAlignment="1">
      <alignment horizontal="right" vertical="center" wrapText="1"/>
    </xf>
    <xf numFmtId="0" fontId="1" fillId="0" borderId="0" xfId="94" applyNumberFormat="1" applyFont="1" applyAlignment="1">
      <alignment horizontal="center" vertical="center" wrapText="1"/>
    </xf>
    <xf numFmtId="49" fontId="8" fillId="0" borderId="0" xfId="94" applyNumberFormat="1" applyFont="1" applyAlignment="1">
      <alignment horizontal="left" vertical="center"/>
    </xf>
    <xf numFmtId="49" fontId="1" fillId="0" borderId="0" xfId="94" applyNumberFormat="1" applyFont="1" applyAlignment="1">
      <alignment horizontal="left" vertical="center" wrapText="1"/>
    </xf>
    <xf numFmtId="176" fontId="1" fillId="0" borderId="0" xfId="94" applyFont="1" applyAlignment="1">
      <alignment horizontal="left" vertical="center" wrapText="1"/>
    </xf>
    <xf numFmtId="182" fontId="1" fillId="0" borderId="0" xfId="94" applyNumberFormat="1" applyFont="1" applyAlignment="1">
      <alignment horizontal="right" vertical="center" wrapText="1"/>
    </xf>
    <xf numFmtId="178" fontId="1" fillId="0" borderId="0" xfId="94" applyNumberFormat="1" applyFont="1" applyAlignment="1">
      <alignment horizontal="right" vertical="center" wrapText="1"/>
    </xf>
    <xf numFmtId="0" fontId="1" fillId="0" borderId="0" xfId="89" applyNumberFormat="1" applyFont="1" applyAlignment="1">
      <alignment vertical="center"/>
    </xf>
    <xf numFmtId="0" fontId="1" fillId="0" borderId="0" xfId="90" applyNumberFormat="1" applyFont="1" applyAlignment="1">
      <alignment vertical="center"/>
      <protection locked="0"/>
    </xf>
    <xf numFmtId="0" fontId="1" fillId="0" borderId="0" xfId="83" applyNumberFormat="1" applyFont="1" applyAlignment="1">
      <alignment vertical="center"/>
      <protection locked="0"/>
    </xf>
    <xf numFmtId="0" fontId="7" fillId="0" borderId="0" xfId="0" applyFont="1" applyFill="1" applyAlignment="1"/>
    <xf numFmtId="0" fontId="2" fillId="0" borderId="0" xfId="89" applyNumberFormat="1" applyFont="1" applyAlignment="1">
      <alignment horizontal="center" vertical="center"/>
    </xf>
    <xf numFmtId="0" fontId="4" fillId="0" borderId="0" xfId="89" applyNumberFormat="1" applyFont="1" applyAlignment="1">
      <alignment horizontal="center" vertical="center"/>
    </xf>
    <xf numFmtId="0" fontId="1" fillId="0" borderId="0" xfId="90" applyNumberFormat="1" applyFont="1" applyAlignment="1">
      <alignment horizontal="right" vertical="center"/>
      <protection locked="0"/>
    </xf>
    <xf numFmtId="0" fontId="5" fillId="0" borderId="0" xfId="6" applyNumberFormat="1" applyFont="1" applyAlignment="1" applyProtection="1">
      <alignment horizontal="left" vertical="center"/>
      <protection locked="0"/>
    </xf>
    <xf numFmtId="0" fontId="13" fillId="0" borderId="0" xfId="83" applyNumberFormat="1" applyFont="1" applyAlignment="1" applyProtection="1">
      <alignment vertical="center"/>
    </xf>
    <xf numFmtId="0" fontId="7" fillId="0" borderId="0" xfId="83" applyNumberFormat="1" applyFont="1" applyAlignment="1" applyProtection="1">
      <alignment vertical="center"/>
    </xf>
    <xf numFmtId="0" fontId="6" fillId="0" borderId="0" xfId="83" applyNumberFormat="1" applyFont="1" applyAlignment="1" applyProtection="1">
      <alignment vertical="center"/>
    </xf>
    <xf numFmtId="0" fontId="1" fillId="0" borderId="0" xfId="83" applyFont="1" applyAlignment="1" applyProtection="1">
      <alignment vertical="center"/>
    </xf>
    <xf numFmtId="0" fontId="13" fillId="2" borderId="8" xfId="83" applyFont="1" applyFill="1" applyBorder="1" applyAlignment="1" applyProtection="1">
      <alignment horizontal="center" vertical="center"/>
    </xf>
    <xf numFmtId="0" fontId="13" fillId="2" borderId="8" xfId="83" applyFont="1" applyFill="1" applyBorder="1" applyAlignment="1" applyProtection="1">
      <alignment horizontal="center" vertical="center" wrapText="1"/>
    </xf>
    <xf numFmtId="0" fontId="11" fillId="0" borderId="8" xfId="83" applyFont="1" applyBorder="1" applyAlignment="1" applyProtection="1">
      <alignment horizontal="center" vertical="center"/>
    </xf>
    <xf numFmtId="0" fontId="1" fillId="0" borderId="8" xfId="92" applyNumberFormat="1" applyFont="1" applyFill="1" applyBorder="1" applyAlignment="1">
      <alignment vertical="center"/>
    </xf>
    <xf numFmtId="0" fontId="1" fillId="0" borderId="8" xfId="83" applyFont="1" applyBorder="1" applyAlignment="1" applyProtection="1">
      <alignment horizontal="center" vertical="center"/>
    </xf>
    <xf numFmtId="43" fontId="11" fillId="0" borderId="8" xfId="92" applyFont="1" applyFill="1" applyBorder="1" applyAlignment="1" applyProtection="1">
      <alignment horizontal="center" vertical="center"/>
    </xf>
    <xf numFmtId="183" fontId="11" fillId="0" borderId="8" xfId="83" applyNumberFormat="1" applyFont="1" applyBorder="1" applyAlignment="1" applyProtection="1">
      <alignment horizontal="center" vertical="center"/>
    </xf>
    <xf numFmtId="14" fontId="1" fillId="0" borderId="8" xfId="83" applyNumberFormat="1" applyFont="1" applyBorder="1" applyAlignment="1" applyProtection="1">
      <alignment horizontal="center" vertical="center"/>
    </xf>
    <xf numFmtId="43" fontId="26" fillId="2" borderId="8" xfId="92" applyNumberFormat="1" applyFont="1" applyFill="1" applyBorder="1" applyAlignment="1" applyProtection="1">
      <alignment vertical="center" shrinkToFit="1"/>
    </xf>
    <xf numFmtId="43" fontId="7" fillId="0" borderId="8" xfId="92" applyFont="1" applyFill="1" applyBorder="1" applyAlignment="1" applyProtection="1">
      <alignment vertical="center" shrinkToFit="1"/>
    </xf>
    <xf numFmtId="43" fontId="1" fillId="0" borderId="8" xfId="83" applyNumberFormat="1" applyFont="1" applyBorder="1" applyAlignment="1" applyProtection="1">
      <alignment horizontal="center" vertical="center"/>
    </xf>
    <xf numFmtId="0" fontId="6" fillId="0" borderId="0" xfId="92" applyNumberFormat="1" applyFont="1" applyFill="1" applyAlignment="1">
      <alignment vertical="center"/>
    </xf>
    <xf numFmtId="0" fontId="7" fillId="0" borderId="0" xfId="83" applyNumberFormat="1" applyFont="1" applyAlignment="1" applyProtection="1">
      <alignment horizontal="center" vertical="center"/>
    </xf>
    <xf numFmtId="0" fontId="7" fillId="0" borderId="0" xfId="92" applyNumberFormat="1" applyFont="1" applyFill="1" applyAlignment="1">
      <alignment vertical="center"/>
    </xf>
    <xf numFmtId="0" fontId="29" fillId="0" borderId="0" xfId="83" applyNumberFormat="1" applyFont="1" applyBorder="1" applyAlignment="1" applyProtection="1">
      <alignment horizontal="center" vertical="center"/>
    </xf>
    <xf numFmtId="0" fontId="7" fillId="0" borderId="0" xfId="81" applyNumberFormat="1" applyFont="1" applyAlignment="1" applyProtection="1">
      <alignment horizontal="center" vertical="center"/>
    </xf>
    <xf numFmtId="0" fontId="8" fillId="0" borderId="0" xfId="0" applyFont="1" applyFill="1" applyAlignment="1"/>
    <xf numFmtId="0" fontId="36" fillId="0" borderId="0" xfId="0" applyNumberFormat="1" applyFont="1" applyFill="1" applyAlignment="1"/>
    <xf numFmtId="0" fontId="36" fillId="0" borderId="0" xfId="0" applyFont="1" applyFill="1" applyAlignment="1"/>
    <xf numFmtId="176" fontId="47" fillId="0" borderId="0" xfId="91"/>
    <xf numFmtId="176" fontId="48" fillId="0" borderId="0" xfId="93" applyNumberFormat="1" applyFont="1" applyAlignment="1" applyProtection="1">
      <alignment vertical="center"/>
      <protection locked="0"/>
    </xf>
    <xf numFmtId="176" fontId="5" fillId="0" borderId="0" xfId="6" applyNumberFormat="1" applyFont="1" applyAlignment="1" applyProtection="1">
      <alignment vertical="center"/>
      <protection locked="0"/>
    </xf>
    <xf numFmtId="0" fontId="26" fillId="0" borderId="0" xfId="83" applyNumberFormat="1" applyFont="1" applyAlignment="1" applyProtection="1">
      <alignment vertical="center"/>
    </xf>
    <xf numFmtId="0" fontId="29" fillId="2" borderId="8" xfId="83" applyFont="1" applyFill="1" applyBorder="1" applyAlignment="1" applyProtection="1">
      <alignment horizontal="center" vertical="center"/>
    </xf>
    <xf numFmtId="0" fontId="29" fillId="2" borderId="8" xfId="83" applyFont="1" applyFill="1" applyBorder="1" applyAlignment="1" applyProtection="1">
      <alignment horizontal="center" vertical="center" wrapText="1"/>
    </xf>
    <xf numFmtId="0" fontId="26" fillId="0" borderId="0" xfId="83" applyFont="1" applyAlignment="1" applyProtection="1">
      <alignment vertical="center"/>
    </xf>
    <xf numFmtId="0" fontId="26" fillId="0" borderId="8" xfId="83" applyFont="1" applyBorder="1" applyAlignment="1" applyProtection="1">
      <alignment horizontal="center" vertical="center"/>
    </xf>
    <xf numFmtId="0" fontId="6" fillId="0" borderId="8" xfId="83" applyFont="1" applyBorder="1" applyAlignment="1" applyProtection="1">
      <alignment vertical="center"/>
    </xf>
    <xf numFmtId="0" fontId="26" fillId="0" borderId="8" xfId="83" applyFont="1" applyBorder="1" applyAlignment="1" applyProtection="1">
      <alignment vertical="center"/>
    </xf>
    <xf numFmtId="43" fontId="26" fillId="0" borderId="8" xfId="92" applyFont="1" applyBorder="1" applyAlignment="1" applyProtection="1">
      <alignment vertical="center"/>
    </xf>
    <xf numFmtId="10" fontId="26" fillId="2" borderId="8" xfId="68" applyNumberFormat="1" applyFont="1" applyFill="1" applyBorder="1" applyAlignment="1" applyProtection="1">
      <alignment vertical="center" shrinkToFit="1"/>
    </xf>
    <xf numFmtId="183" fontId="26" fillId="0" borderId="8" xfId="92" applyNumberFormat="1" applyFont="1" applyBorder="1" applyAlignment="1" applyProtection="1">
      <alignment vertical="center"/>
    </xf>
    <xf numFmtId="43" fontId="26" fillId="2" borderId="8" xfId="92" applyFont="1" applyFill="1" applyBorder="1" applyAlignment="1" applyProtection="1">
      <alignment vertical="center" shrinkToFit="1"/>
    </xf>
    <xf numFmtId="43" fontId="26" fillId="0" borderId="8" xfId="92" applyFont="1" applyBorder="1" applyAlignment="1" applyProtection="1">
      <alignment vertical="center" shrinkToFit="1"/>
    </xf>
    <xf numFmtId="10" fontId="26" fillId="2" borderId="8" xfId="68" applyNumberFormat="1" applyFont="1" applyFill="1" applyBorder="1" applyAlignment="1" applyProtection="1">
      <alignment vertical="center"/>
    </xf>
    <xf numFmtId="0" fontId="26" fillId="0" borderId="8" xfId="92" applyNumberFormat="1" applyFont="1" applyBorder="1" applyAlignment="1" applyProtection="1">
      <alignment vertical="center" shrinkToFit="1"/>
    </xf>
    <xf numFmtId="0" fontId="30" fillId="0" borderId="8" xfId="83" applyFont="1" applyBorder="1" applyAlignment="1" applyProtection="1">
      <alignment vertical="center"/>
    </xf>
    <xf numFmtId="0" fontId="29" fillId="0" borderId="8" xfId="83" applyFont="1" applyBorder="1" applyAlignment="1" applyProtection="1">
      <alignment horizontal="center" vertical="center"/>
    </xf>
    <xf numFmtId="0" fontId="26" fillId="0" borderId="8" xfId="83" applyFont="1" applyBorder="1" applyAlignment="1" applyProtection="1">
      <alignment horizontal="right" vertical="center"/>
    </xf>
    <xf numFmtId="0" fontId="26" fillId="0" borderId="0" xfId="83" applyNumberFormat="1" applyFont="1" applyBorder="1" applyAlignment="1" applyProtection="1">
      <alignment horizontal="right" vertical="center"/>
    </xf>
    <xf numFmtId="0" fontId="26" fillId="0" borderId="0" xfId="92" applyNumberFormat="1" applyFont="1" applyBorder="1" applyAlignment="1" applyProtection="1">
      <alignment vertical="center" shrinkToFit="1"/>
    </xf>
    <xf numFmtId="0" fontId="6" fillId="0" borderId="0" xfId="81" applyNumberFormat="1" applyFont="1" applyAlignment="1" applyProtection="1">
      <alignment vertical="center"/>
    </xf>
    <xf numFmtId="0" fontId="8" fillId="0" borderId="0" xfId="0" applyFont="1" applyFill="1" applyAlignment="1">
      <alignment vertical="center"/>
    </xf>
    <xf numFmtId="176" fontId="7" fillId="0" borderId="0" xfId="81" applyNumberFormat="1" applyFont="1" applyAlignment="1" applyProtection="1">
      <alignment horizontal="center" vertical="center"/>
    </xf>
    <xf numFmtId="176" fontId="6" fillId="0" borderId="0" xfId="81" applyNumberFormat="1" applyFont="1" applyAlignment="1" applyProtection="1">
      <alignment vertical="center"/>
    </xf>
    <xf numFmtId="176" fontId="7" fillId="0" borderId="0" xfId="81" applyNumberFormat="1" applyFont="1" applyAlignment="1" applyProtection="1">
      <alignment vertical="center"/>
    </xf>
    <xf numFmtId="176" fontId="13" fillId="0" borderId="0" xfId="81" applyNumberFormat="1" applyFont="1" applyAlignment="1" applyProtection="1">
      <alignment vertical="center"/>
    </xf>
    <xf numFmtId="0" fontId="3" fillId="0" borderId="0" xfId="83" applyNumberFormat="1" applyFont="1" applyAlignment="1" applyProtection="1">
      <alignment vertical="center"/>
    </xf>
    <xf numFmtId="0" fontId="13" fillId="2" borderId="8" xfId="83" applyNumberFormat="1" applyFont="1" applyFill="1" applyBorder="1" applyAlignment="1" applyProtection="1">
      <alignment horizontal="center" vertical="center"/>
    </xf>
    <xf numFmtId="0" fontId="13" fillId="2" borderId="8" xfId="83" applyNumberFormat="1" applyFont="1" applyFill="1" applyBorder="1" applyAlignment="1" applyProtection="1">
      <alignment horizontal="center" vertical="center" wrapText="1"/>
    </xf>
    <xf numFmtId="0" fontId="26" fillId="0" borderId="8" xfId="83" applyNumberFormat="1" applyFont="1" applyBorder="1" applyAlignment="1" applyProtection="1">
      <alignment horizontal="center" vertical="center"/>
    </xf>
    <xf numFmtId="0" fontId="7" fillId="0" borderId="8" xfId="83" applyNumberFormat="1" applyFont="1" applyBorder="1" applyAlignment="1" applyProtection="1">
      <alignment vertical="center"/>
    </xf>
    <xf numFmtId="43" fontId="26" fillId="0" borderId="8" xfId="59" applyNumberFormat="1" applyFont="1" applyBorder="1" applyAlignment="1" applyProtection="1">
      <alignment vertical="center"/>
    </xf>
    <xf numFmtId="0" fontId="26" fillId="0" borderId="8" xfId="83" applyNumberFormat="1" applyFont="1" applyBorder="1" applyAlignment="1" applyProtection="1">
      <alignment vertical="center"/>
    </xf>
    <xf numFmtId="43" fontId="29" fillId="2" borderId="8" xfId="59" applyNumberFormat="1" applyFont="1" applyFill="1" applyBorder="1" applyAlignment="1" applyProtection="1">
      <alignment vertical="center" shrinkToFit="1"/>
    </xf>
    <xf numFmtId="10" fontId="29" fillId="2" borderId="8" xfId="68" applyNumberFormat="1" applyFont="1" applyFill="1" applyBorder="1" applyAlignment="1" applyProtection="1">
      <alignment vertical="center" shrinkToFit="1"/>
    </xf>
    <xf numFmtId="43" fontId="29" fillId="2" borderId="8" xfId="59" applyNumberFormat="1" applyFont="1" applyFill="1" applyBorder="1" applyAlignment="1" applyProtection="1">
      <alignment vertical="center"/>
    </xf>
    <xf numFmtId="0" fontId="26" fillId="2" borderId="8" xfId="83" applyNumberFormat="1" applyFont="1" applyFill="1" applyBorder="1" applyAlignment="1" applyProtection="1">
      <alignment vertical="center"/>
    </xf>
    <xf numFmtId="0" fontId="13" fillId="0" borderId="0" xfId="83" applyNumberFormat="1" applyFont="1" applyBorder="1" applyAlignment="1" applyProtection="1">
      <alignment horizontal="center" vertical="center"/>
    </xf>
    <xf numFmtId="43" fontId="7" fillId="2" borderId="0" xfId="68" applyNumberFormat="1" applyFont="1" applyFill="1" applyBorder="1" applyAlignment="1" applyProtection="1">
      <alignment horizontal="right" vertical="center" shrinkToFit="1"/>
    </xf>
    <xf numFmtId="0" fontId="7" fillId="0" borderId="0" xfId="68" applyNumberFormat="1" applyFont="1" applyFill="1" applyBorder="1" applyAlignment="1" applyProtection="1">
      <alignment horizontal="right" vertical="center" shrinkToFit="1"/>
    </xf>
    <xf numFmtId="43" fontId="26" fillId="2" borderId="0" xfId="68" applyNumberFormat="1" applyFont="1" applyFill="1" applyBorder="1" applyAlignment="1" applyProtection="1">
      <alignment horizontal="right" vertical="center" shrinkToFit="1"/>
    </xf>
    <xf numFmtId="0" fontId="7" fillId="0" borderId="0" xfId="83" applyNumberFormat="1" applyFont="1" applyBorder="1" applyAlignment="1" applyProtection="1">
      <alignment vertical="center"/>
    </xf>
    <xf numFmtId="0" fontId="7" fillId="0" borderId="8" xfId="83" applyNumberFormat="1" applyFont="1" applyBorder="1" applyAlignment="1" applyProtection="1">
      <alignment horizontal="center" vertical="center"/>
    </xf>
    <xf numFmtId="43" fontId="7" fillId="0" borderId="8" xfId="59" applyNumberFormat="1" applyFont="1" applyBorder="1" applyAlignment="1" applyProtection="1">
      <alignment vertical="center"/>
    </xf>
    <xf numFmtId="10" fontId="7" fillId="2" borderId="8" xfId="68" applyNumberFormat="1" applyFont="1" applyFill="1" applyBorder="1" applyAlignment="1" applyProtection="1">
      <alignment vertical="center" shrinkToFit="1"/>
    </xf>
    <xf numFmtId="0" fontId="7" fillId="2" borderId="8" xfId="83" applyNumberFormat="1" applyFont="1" applyFill="1" applyBorder="1" applyAlignment="1" applyProtection="1">
      <alignment vertical="center"/>
    </xf>
    <xf numFmtId="0" fontId="13" fillId="0" borderId="8" xfId="83" applyNumberFormat="1" applyFont="1" applyBorder="1" applyAlignment="1" applyProtection="1">
      <alignment horizontal="center" vertical="center"/>
    </xf>
    <xf numFmtId="0" fontId="26" fillId="2" borderId="8" xfId="68" applyNumberFormat="1" applyFont="1" applyFill="1" applyBorder="1" applyAlignment="1" applyProtection="1">
      <alignment horizontal="right" vertical="center" shrinkToFit="1"/>
    </xf>
    <xf numFmtId="0" fontId="7" fillId="0" borderId="8" xfId="68" applyNumberFormat="1" applyFont="1" applyFill="1" applyBorder="1" applyAlignment="1" applyProtection="1">
      <alignment horizontal="right" vertical="center" shrinkToFit="1"/>
    </xf>
    <xf numFmtId="0" fontId="5" fillId="0" borderId="0" xfId="83" applyFont="1" applyAlignment="1" applyProtection="1">
      <alignment vertical="center"/>
    </xf>
    <xf numFmtId="0" fontId="7" fillId="0" borderId="0" xfId="90" applyNumberFormat="1" applyFont="1" applyAlignment="1" applyProtection="1">
      <alignment vertical="center"/>
    </xf>
    <xf numFmtId="0" fontId="7" fillId="0" borderId="0" xfId="68" applyNumberFormat="1" applyFont="1" applyBorder="1" applyAlignment="1">
      <alignment vertical="center"/>
    </xf>
    <xf numFmtId="176" fontId="1" fillId="0" borderId="0" xfId="50" applyFont="1">
      <alignment vertical="center"/>
    </xf>
    <xf numFmtId="176" fontId="15" fillId="0" borderId="0" xfId="50" applyFont="1">
      <alignment vertical="center"/>
    </xf>
    <xf numFmtId="176" fontId="1" fillId="0" borderId="0" xfId="81" applyFont="1" applyAlignment="1">
      <alignment vertical="center"/>
      <protection locked="0"/>
    </xf>
    <xf numFmtId="176" fontId="2" fillId="0" borderId="0" xfId="50" applyFont="1" applyAlignment="1">
      <alignment horizontal="center" vertical="center"/>
    </xf>
    <xf numFmtId="176" fontId="4" fillId="0" borderId="0" xfId="50" applyFont="1" applyAlignment="1">
      <alignment horizontal="center" vertical="center"/>
    </xf>
    <xf numFmtId="176" fontId="1" fillId="0" borderId="0" xfId="53" applyFont="1">
      <alignment vertical="center"/>
    </xf>
    <xf numFmtId="176" fontId="1" fillId="0" borderId="0" xfId="81" applyFont="1" applyAlignment="1">
      <alignment horizontal="right" vertical="center"/>
      <protection locked="0"/>
    </xf>
    <xf numFmtId="0" fontId="6" fillId="0" borderId="0" xfId="81" applyNumberFormat="1" applyFont="1" applyAlignment="1">
      <alignment vertical="center"/>
      <protection locked="0"/>
    </xf>
    <xf numFmtId="0" fontId="1" fillId="0" borderId="0" xfId="82" applyNumberFormat="1" applyFont="1" applyAlignment="1">
      <alignment horizontal="left" vertical="center" indent="1"/>
    </xf>
    <xf numFmtId="0" fontId="3" fillId="0" borderId="0" xfId="81" applyNumberFormat="1" applyFont="1" applyAlignment="1">
      <alignment vertical="center"/>
      <protection locked="0"/>
    </xf>
    <xf numFmtId="176" fontId="3" fillId="2" borderId="8" xfId="81" applyFont="1" applyFill="1" applyBorder="1" applyAlignment="1">
      <alignment horizontal="center" vertical="center"/>
      <protection locked="0"/>
    </xf>
    <xf numFmtId="176" fontId="3" fillId="2" borderId="1" xfId="81" applyFont="1" applyFill="1" applyBorder="1" applyAlignment="1">
      <alignment horizontal="center" vertical="center"/>
      <protection locked="0"/>
    </xf>
    <xf numFmtId="176" fontId="3" fillId="2" borderId="2" xfId="81" applyFont="1" applyFill="1" applyBorder="1" applyAlignment="1">
      <alignment horizontal="center" vertical="center"/>
      <protection locked="0"/>
    </xf>
    <xf numFmtId="176" fontId="3" fillId="2" borderId="3" xfId="81" applyFont="1" applyFill="1" applyBorder="1" applyAlignment="1">
      <alignment horizontal="center" vertical="center"/>
      <protection locked="0"/>
    </xf>
    <xf numFmtId="0" fontId="3" fillId="2" borderId="7" xfId="83" applyFont="1" applyFill="1" applyBorder="1" applyAlignment="1">
      <alignment horizontal="center" vertical="center"/>
      <protection locked="0"/>
    </xf>
    <xf numFmtId="176" fontId="3" fillId="2" borderId="8" xfId="81" applyFont="1" applyFill="1" applyBorder="1" applyAlignment="1">
      <alignment horizontal="center" vertical="center" wrapText="1"/>
      <protection locked="0"/>
    </xf>
    <xf numFmtId="176" fontId="3" fillId="2" borderId="8" xfId="88" applyFont="1" applyFill="1" applyBorder="1" applyAlignment="1">
      <alignment horizontal="center" vertical="center" wrapText="1"/>
    </xf>
    <xf numFmtId="0" fontId="3" fillId="2" borderId="7" xfId="84" applyNumberFormat="1" applyFont="1" applyFill="1" applyBorder="1" applyAlignment="1">
      <alignment horizontal="center" vertical="center"/>
    </xf>
    <xf numFmtId="0" fontId="3" fillId="2" borderId="7" xfId="85" applyNumberFormat="1" applyFont="1" applyFill="1" applyBorder="1" applyAlignment="1">
      <alignment horizontal="center" vertical="center" wrapText="1"/>
    </xf>
    <xf numFmtId="0" fontId="3" fillId="2" borderId="7" xfId="85" applyFont="1" applyFill="1" applyBorder="1" applyAlignment="1">
      <alignment horizontal="center" vertical="center" wrapText="1"/>
    </xf>
    <xf numFmtId="0" fontId="3" fillId="2" borderId="7" xfId="85" applyFont="1" applyFill="1" applyBorder="1" applyAlignment="1">
      <alignment horizontal="center" vertical="center"/>
    </xf>
    <xf numFmtId="0" fontId="3" fillId="2" borderId="13" xfId="83" applyFont="1" applyFill="1" applyBorder="1" applyAlignment="1">
      <alignment horizontal="center" vertical="center"/>
      <protection locked="0"/>
    </xf>
    <xf numFmtId="0" fontId="3" fillId="2" borderId="9" xfId="84" applyNumberFormat="1" applyFont="1" applyFill="1" applyBorder="1" applyAlignment="1">
      <alignment horizontal="center" vertical="center"/>
    </xf>
    <xf numFmtId="0" fontId="3" fillId="2" borderId="9" xfId="85" applyNumberFormat="1" applyFont="1" applyFill="1" applyBorder="1" applyAlignment="1">
      <alignment horizontal="center" vertical="center" wrapText="1"/>
    </xf>
    <xf numFmtId="0" fontId="3" fillId="2" borderId="9" xfId="85" applyFont="1" applyFill="1" applyBorder="1" applyAlignment="1">
      <alignment horizontal="center" vertical="center" wrapText="1"/>
    </xf>
    <xf numFmtId="0" fontId="3" fillId="2" borderId="9" xfId="85" applyFont="1" applyFill="1" applyBorder="1" applyAlignment="1">
      <alignment horizontal="center" vertical="center"/>
    </xf>
    <xf numFmtId="0" fontId="3" fillId="2" borderId="9" xfId="83" applyFont="1" applyFill="1" applyBorder="1" applyAlignment="1">
      <alignment horizontal="center" vertical="center"/>
      <protection locked="0"/>
    </xf>
    <xf numFmtId="0" fontId="11" fillId="0" borderId="8" xfId="88" applyNumberFormat="1" applyFont="1" applyBorder="1" applyAlignment="1">
      <alignment horizontal="center" vertical="center" wrapText="1"/>
    </xf>
    <xf numFmtId="43" fontId="11" fillId="0" borderId="8" xfId="88" applyNumberFormat="1" applyFont="1" applyBorder="1" applyAlignment="1">
      <alignment horizontal="center" vertical="center" wrapText="1"/>
    </xf>
    <xf numFmtId="43" fontId="11" fillId="0" borderId="8" xfId="59" applyNumberFormat="1" applyFont="1" applyBorder="1" applyAlignment="1">
      <alignment vertical="center" wrapText="1"/>
    </xf>
    <xf numFmtId="43" fontId="11" fillId="2" borderId="8" xfId="59" applyNumberFormat="1" applyFont="1" applyFill="1" applyBorder="1" applyAlignment="1">
      <alignment vertical="center" wrapText="1"/>
    </xf>
    <xf numFmtId="10" fontId="11" fillId="2" borderId="8" xfId="68" applyNumberFormat="1" applyFont="1" applyFill="1" applyBorder="1" applyAlignment="1">
      <alignment horizontal="right" vertical="center" wrapText="1"/>
    </xf>
    <xf numFmtId="0" fontId="11" fillId="2" borderId="8" xfId="68" applyNumberFormat="1" applyFont="1" applyFill="1" applyBorder="1" applyAlignment="1">
      <alignment horizontal="right" vertical="center" wrapText="1"/>
    </xf>
    <xf numFmtId="0" fontId="11" fillId="2" borderId="8" xfId="59" applyNumberFormat="1" applyFont="1" applyFill="1" applyBorder="1" applyAlignment="1">
      <alignment horizontal="right" vertical="center"/>
    </xf>
    <xf numFmtId="10" fontId="11" fillId="2" borderId="8" xfId="68" applyNumberFormat="1" applyFont="1" applyFill="1" applyBorder="1" applyAlignment="1">
      <alignment horizontal="right" vertical="center"/>
    </xf>
    <xf numFmtId="0" fontId="11" fillId="0" borderId="8" xfId="59" applyNumberFormat="1" applyFont="1" applyBorder="1" applyAlignment="1">
      <alignment horizontal="center" vertical="center" wrapText="1"/>
    </xf>
    <xf numFmtId="0" fontId="10" fillId="0" borderId="8" xfId="59" applyNumberFormat="1" applyFont="1" applyBorder="1" applyAlignment="1">
      <alignment horizontal="center" vertical="center" wrapText="1"/>
    </xf>
    <xf numFmtId="43" fontId="10" fillId="2" borderId="8" xfId="59" applyNumberFormat="1" applyFont="1" applyFill="1" applyBorder="1" applyAlignment="1">
      <alignment horizontal="center" vertical="center" wrapText="1"/>
    </xf>
    <xf numFmtId="10" fontId="10" fillId="2" borderId="8" xfId="68" applyNumberFormat="1" applyFont="1" applyFill="1" applyBorder="1" applyAlignment="1">
      <alignment horizontal="right" vertical="center" wrapText="1"/>
    </xf>
    <xf numFmtId="0" fontId="11" fillId="0" borderId="8" xfId="83" applyFont="1" applyBorder="1" applyAlignment="1">
      <alignment vertical="center"/>
      <protection locked="0"/>
    </xf>
    <xf numFmtId="176" fontId="3" fillId="0" borderId="8" xfId="81" applyFont="1" applyBorder="1" applyAlignment="1">
      <alignment horizontal="left" vertical="center"/>
      <protection locked="0"/>
    </xf>
    <xf numFmtId="43" fontId="10" fillId="0" borderId="8" xfId="81" applyNumberFormat="1" applyFont="1" applyBorder="1" applyAlignment="1">
      <alignment horizontal="center" vertical="center" wrapText="1"/>
      <protection locked="0"/>
    </xf>
    <xf numFmtId="43" fontId="11" fillId="0" borderId="8" xfId="81" applyNumberFormat="1" applyFont="1" applyBorder="1" applyAlignment="1">
      <alignment vertical="center"/>
      <protection locked="0"/>
    </xf>
    <xf numFmtId="43" fontId="10" fillId="0" borderId="8" xfId="81" applyNumberFormat="1" applyFont="1" applyBorder="1" applyAlignment="1">
      <alignment horizontal="center" vertical="center"/>
      <protection locked="0"/>
    </xf>
    <xf numFmtId="0" fontId="9" fillId="0" borderId="0" xfId="81" applyNumberFormat="1" applyFont="1" applyAlignment="1">
      <alignment vertical="center"/>
      <protection locked="0"/>
    </xf>
    <xf numFmtId="0" fontId="1" fillId="0" borderId="0" xfId="67" applyNumberFormat="1" applyFont="1" applyFill="1" applyAlignment="1">
      <alignment vertical="center"/>
    </xf>
    <xf numFmtId="0" fontId="6" fillId="0" borderId="0" xfId="83" applyNumberFormat="1" applyFont="1" applyAlignment="1">
      <alignment vertical="center"/>
      <protection locked="0"/>
    </xf>
    <xf numFmtId="0" fontId="3" fillId="0" borderId="0" xfId="83" applyNumberFormat="1" applyFont="1" applyAlignment="1">
      <alignment vertical="center"/>
      <protection locked="0"/>
    </xf>
    <xf numFmtId="0" fontId="1" fillId="0" borderId="0" xfId="83" applyNumberFormat="1" applyFont="1" applyAlignment="1">
      <alignment horizontal="right" vertical="center"/>
      <protection locked="0"/>
    </xf>
    <xf numFmtId="0" fontId="6" fillId="0" borderId="0" xfId="70" applyNumberFormat="1" applyFont="1" applyFill="1" applyAlignment="1">
      <alignment vertical="center"/>
    </xf>
    <xf numFmtId="0" fontId="1" fillId="0" borderId="0" xfId="70" applyNumberFormat="1" applyFont="1" applyFill="1" applyAlignment="1">
      <alignment horizontal="left" vertical="center" indent="1"/>
    </xf>
    <xf numFmtId="0" fontId="1" fillId="0" borderId="0" xfId="83" applyNumberFormat="1" applyFont="1" applyAlignment="1">
      <alignment vertical="center" wrapText="1"/>
      <protection locked="0"/>
    </xf>
    <xf numFmtId="0" fontId="1" fillId="0" borderId="0" xfId="70" applyNumberFormat="1" applyFont="1" applyFill="1" applyAlignment="1">
      <alignment vertical="center"/>
    </xf>
    <xf numFmtId="0" fontId="3" fillId="2" borderId="8" xfId="84" applyNumberFormat="1" applyFont="1" applyFill="1" applyBorder="1" applyAlignment="1">
      <alignment horizontal="center" vertical="center"/>
    </xf>
    <xf numFmtId="0" fontId="10" fillId="2" borderId="8" xfId="84" applyNumberFormat="1" applyFont="1" applyFill="1" applyBorder="1" applyAlignment="1">
      <alignment horizontal="center" vertical="center"/>
    </xf>
    <xf numFmtId="0" fontId="1" fillId="0" borderId="8" xfId="70" applyNumberFormat="1" applyFont="1" applyFill="1" applyBorder="1" applyAlignment="1">
      <alignment vertical="center"/>
    </xf>
    <xf numFmtId="0" fontId="11" fillId="0" borderId="8" xfId="70" applyNumberFormat="1" applyFont="1" applyFill="1" applyBorder="1" applyAlignment="1">
      <alignment horizontal="left" vertical="center" indent="1"/>
    </xf>
    <xf numFmtId="0" fontId="11" fillId="0" borderId="8" xfId="83" applyNumberFormat="1" applyFont="1" applyBorder="1" applyAlignment="1">
      <alignment vertical="center"/>
      <protection locked="0"/>
    </xf>
    <xf numFmtId="0" fontId="11" fillId="0" borderId="8" xfId="83" applyNumberFormat="1" applyFont="1" applyBorder="1" applyAlignment="1">
      <alignment vertical="center" wrapText="1"/>
      <protection locked="0"/>
    </xf>
    <xf numFmtId="43" fontId="11" fillId="2" borderId="8" xfId="85" applyNumberFormat="1" applyFont="1" applyFill="1" applyBorder="1" applyAlignment="1">
      <alignment horizontal="right" vertical="center" wrapText="1"/>
    </xf>
    <xf numFmtId="10" fontId="11" fillId="2" borderId="8" xfId="3" applyNumberFormat="1" applyFont="1" applyFill="1" applyBorder="1" applyAlignment="1">
      <alignment horizontal="right" vertical="center" wrapText="1"/>
    </xf>
    <xf numFmtId="0" fontId="11" fillId="2" borderId="8" xfId="85" applyNumberFormat="1" applyFont="1" applyFill="1" applyBorder="1" applyAlignment="1">
      <alignment horizontal="right" vertical="center" wrapText="1"/>
    </xf>
    <xf numFmtId="0" fontId="3" fillId="2" borderId="1" xfId="85" applyNumberFormat="1" applyFont="1" applyFill="1" applyBorder="1" applyAlignment="1">
      <alignment horizontal="center" vertical="center"/>
    </xf>
    <xf numFmtId="0" fontId="3" fillId="2" borderId="2" xfId="85" applyNumberFormat="1" applyFont="1" applyFill="1" applyBorder="1" applyAlignment="1">
      <alignment horizontal="center" vertical="center"/>
    </xf>
    <xf numFmtId="0" fontId="3" fillId="2" borderId="3" xfId="85" applyNumberFormat="1" applyFont="1" applyFill="1" applyBorder="1" applyAlignment="1">
      <alignment horizontal="center" vertical="center"/>
    </xf>
    <xf numFmtId="0" fontId="3" fillId="2" borderId="8" xfId="86" applyNumberFormat="1" applyFont="1" applyFill="1" applyBorder="1" applyAlignment="1">
      <alignment horizontal="center" vertical="center"/>
    </xf>
    <xf numFmtId="0" fontId="6" fillId="0" borderId="7" xfId="85" applyNumberFormat="1" applyFont="1" applyBorder="1" applyAlignment="1">
      <alignment horizontal="center" vertical="center" wrapText="1"/>
    </xf>
    <xf numFmtId="43" fontId="11" fillId="0" borderId="7" xfId="85" applyNumberFormat="1" applyFont="1" applyBorder="1" applyAlignment="1">
      <alignment horizontal="right" vertical="center" wrapText="1"/>
    </xf>
    <xf numFmtId="43" fontId="11" fillId="2" borderId="7" xfId="85" applyNumberFormat="1" applyFont="1" applyFill="1" applyBorder="1" applyAlignment="1">
      <alignment horizontal="right" vertical="center" wrapText="1"/>
    </xf>
    <xf numFmtId="43" fontId="11" fillId="0" borderId="8" xfId="59" applyNumberFormat="1" applyFont="1" applyBorder="1" applyAlignment="1">
      <alignment horizontal="right" vertical="center" wrapText="1"/>
    </xf>
    <xf numFmtId="10" fontId="11" fillId="2" borderId="8" xfId="59" applyNumberFormat="1" applyFont="1" applyFill="1" applyBorder="1" applyAlignment="1">
      <alignment horizontal="right" vertical="center" wrapText="1"/>
    </xf>
    <xf numFmtId="43" fontId="11" fillId="2" borderId="8" xfId="59" applyNumberFormat="1" applyFont="1" applyFill="1" applyBorder="1" applyAlignment="1">
      <alignment horizontal="right" vertical="center" wrapText="1"/>
    </xf>
    <xf numFmtId="0" fontId="1" fillId="0" borderId="8" xfId="87" applyNumberFormat="1" applyFont="1" applyBorder="1" applyAlignment="1">
      <alignment vertical="center" wrapText="1"/>
    </xf>
    <xf numFmtId="0" fontId="6" fillId="0" borderId="8" xfId="85" applyNumberFormat="1" applyFont="1" applyBorder="1" applyAlignment="1">
      <alignment horizontal="center" vertical="center" wrapText="1"/>
    </xf>
    <xf numFmtId="0" fontId="6" fillId="0" borderId="9" xfId="85" applyNumberFormat="1" applyFont="1" applyBorder="1" applyAlignment="1">
      <alignment horizontal="center" vertical="center" wrapText="1"/>
    </xf>
    <xf numFmtId="43" fontId="10" fillId="2" borderId="8" xfId="59" applyNumberFormat="1" applyFont="1" applyFill="1" applyBorder="1" applyAlignment="1">
      <alignment horizontal="right" vertical="center" wrapText="1"/>
    </xf>
    <xf numFmtId="43" fontId="10" fillId="2" borderId="8" xfId="85" applyNumberFormat="1" applyFont="1" applyFill="1" applyBorder="1" applyAlignment="1">
      <alignment horizontal="right" vertical="center" wrapText="1"/>
    </xf>
    <xf numFmtId="10" fontId="10" fillId="2" borderId="8" xfId="59" applyNumberFormat="1" applyFont="1" applyFill="1" applyBorder="1" applyAlignment="1">
      <alignment horizontal="right" vertical="center" wrapText="1"/>
    </xf>
    <xf numFmtId="10" fontId="10" fillId="2" borderId="8" xfId="3" applyNumberFormat="1" applyFont="1" applyFill="1" applyBorder="1" applyAlignment="1">
      <alignment horizontal="right" vertical="center" wrapText="1"/>
    </xf>
    <xf numFmtId="0" fontId="3" fillId="2" borderId="8" xfId="87" applyNumberFormat="1" applyFont="1" applyFill="1" applyBorder="1" applyAlignment="1">
      <alignment vertical="center" wrapText="1"/>
    </xf>
    <xf numFmtId="0" fontId="8" fillId="0" borderId="0" xfId="70" applyNumberFormat="1" applyFont="1" applyFill="1" applyAlignment="1">
      <alignment vertical="center"/>
    </xf>
    <xf numFmtId="0" fontId="8" fillId="0" borderId="0" xfId="70" applyNumberFormat="1" applyFont="1" applyFill="1" applyAlignment="1">
      <alignment horizontal="left" vertical="center"/>
    </xf>
    <xf numFmtId="176" fontId="3" fillId="0" borderId="0" xfId="81" applyFont="1" applyAlignment="1">
      <alignment horizontal="center" vertical="center"/>
      <protection locked="0"/>
    </xf>
    <xf numFmtId="176" fontId="32" fillId="0" borderId="0" xfId="6" applyNumberFormat="1" applyFont="1" applyAlignment="1" applyProtection="1">
      <alignment horizontal="left" vertical="center"/>
      <protection locked="0"/>
    </xf>
    <xf numFmtId="0" fontId="1" fillId="0" borderId="0" xfId="81" applyNumberFormat="1" applyFont="1" applyAlignment="1">
      <alignment horizontal="left" vertical="center" indent="1"/>
      <protection locked="0"/>
    </xf>
    <xf numFmtId="176" fontId="3" fillId="2" borderId="7" xfId="81" applyFont="1" applyFill="1" applyBorder="1" applyAlignment="1">
      <alignment horizontal="center" vertical="center"/>
      <protection locked="0"/>
    </xf>
    <xf numFmtId="43" fontId="3" fillId="2" borderId="8" xfId="59" applyFont="1" applyFill="1" applyBorder="1" applyAlignment="1">
      <alignment horizontal="center" vertical="center" wrapText="1"/>
    </xf>
    <xf numFmtId="176" fontId="6" fillId="0" borderId="0" xfId="82" applyFont="1" applyAlignment="1">
      <alignment vertical="center"/>
    </xf>
    <xf numFmtId="176" fontId="3" fillId="2" borderId="9" xfId="81" applyFont="1" applyFill="1" applyBorder="1" applyAlignment="1">
      <alignment horizontal="center" vertical="center"/>
      <protection locked="0"/>
    </xf>
    <xf numFmtId="176" fontId="1" fillId="0" borderId="7" xfId="81" applyFont="1" applyBorder="1" applyAlignment="1">
      <alignment vertical="center"/>
      <protection locked="0"/>
    </xf>
    <xf numFmtId="43" fontId="11" fillId="0" borderId="8" xfId="59" applyNumberFormat="1" applyFont="1" applyBorder="1" applyAlignment="1">
      <alignment horizontal="right" vertical="center"/>
    </xf>
    <xf numFmtId="43" fontId="11" fillId="2" borderId="8" xfId="59" applyNumberFormat="1" applyFont="1" applyFill="1" applyBorder="1" applyAlignment="1">
      <alignment horizontal="right" vertical="center"/>
    </xf>
    <xf numFmtId="43" fontId="1" fillId="0" borderId="8" xfId="59" applyFont="1" applyBorder="1" applyAlignment="1">
      <alignment horizontal="right" vertical="center"/>
    </xf>
    <xf numFmtId="176" fontId="1" fillId="0" borderId="8" xfId="81" applyFont="1" applyBorder="1" applyAlignment="1">
      <alignment vertical="center"/>
      <protection locked="0"/>
    </xf>
    <xf numFmtId="176" fontId="1" fillId="0" borderId="9" xfId="81" applyFont="1" applyBorder="1" applyAlignment="1">
      <alignment vertical="center"/>
      <protection locked="0"/>
    </xf>
    <xf numFmtId="0" fontId="3" fillId="0" borderId="0" xfId="49" applyNumberFormat="1" applyFont="1" applyFill="1" applyAlignment="1">
      <alignment vertical="center"/>
      <protection locked="0"/>
    </xf>
    <xf numFmtId="0" fontId="1" fillId="0" borderId="0" xfId="49" applyNumberFormat="1" applyFont="1" applyFill="1" applyAlignment="1">
      <alignment vertical="center"/>
      <protection locked="0"/>
    </xf>
    <xf numFmtId="0" fontId="1" fillId="4" borderId="0" xfId="49" applyNumberFormat="1" applyFont="1" applyFill="1" applyAlignment="1">
      <alignment horizontal="justify" vertical="center" wrapText="1"/>
      <protection locked="0"/>
    </xf>
    <xf numFmtId="0" fontId="1" fillId="0" borderId="0" xfId="49" applyNumberFormat="1" applyFont="1" applyFill="1" applyAlignment="1">
      <alignment horizontal="justify" wrapText="1"/>
      <protection locked="0"/>
    </xf>
    <xf numFmtId="0" fontId="3" fillId="0" borderId="0" xfId="49" applyNumberFormat="1" applyFont="1" applyFill="1" applyAlignment="1">
      <alignment horizontal="center" vertical="center"/>
      <protection locked="0"/>
    </xf>
    <xf numFmtId="0" fontId="1" fillId="0" borderId="11" xfId="49" applyNumberFormat="1" applyFont="1" applyFill="1" applyBorder="1" applyAlignment="1">
      <alignment horizontal="center" vertical="center" wrapText="1"/>
      <protection locked="0"/>
    </xf>
    <xf numFmtId="0" fontId="46" fillId="0" borderId="11" xfId="6" applyFont="1" applyBorder="1" applyAlignment="1" applyProtection="1">
      <alignment vertical="center"/>
      <protection locked="0"/>
    </xf>
    <xf numFmtId="0" fontId="26" fillId="0" borderId="11" xfId="6" applyFont="1" applyBorder="1" applyAlignment="1" applyProtection="1">
      <alignment horizontal="center" vertical="center"/>
      <protection locked="0"/>
    </xf>
    <xf numFmtId="0" fontId="1" fillId="0" borderId="0" xfId="49" applyNumberFormat="1" applyFont="1" applyFill="1" applyAlignment="1">
      <alignment horizontal="justify"/>
      <protection locked="0"/>
    </xf>
    <xf numFmtId="0" fontId="1" fillId="0" borderId="0" xfId="49" applyNumberFormat="1" applyFont="1" applyFill="1" applyAlignment="1">
      <protection locked="0"/>
    </xf>
    <xf numFmtId="0" fontId="1" fillId="4" borderId="0" xfId="0" applyFont="1" applyFill="1" applyAlignment="1" applyProtection="1">
      <alignment horizontal="justify" vertical="center" wrapText="1"/>
      <protection locked="0"/>
    </xf>
    <xf numFmtId="0" fontId="3" fillId="0" borderId="0" xfId="0" applyFont="1" applyFill="1" applyAlignment="1" applyProtection="1">
      <alignment horizontal="justify"/>
      <protection locked="0"/>
    </xf>
    <xf numFmtId="0" fontId="4" fillId="0" borderId="0" xfId="0" applyFont="1" applyFill="1" applyAlignment="1" applyProtection="1">
      <alignment horizontal="center" vertical="center"/>
      <protection locked="0"/>
    </xf>
    <xf numFmtId="0" fontId="49" fillId="0" borderId="14" xfId="49" applyNumberFormat="1" applyFont="1" applyFill="1" applyBorder="1" applyAlignment="1">
      <alignment horizontal="center" vertical="center" wrapText="1"/>
      <protection locked="0"/>
    </xf>
    <xf numFmtId="0" fontId="50" fillId="0" borderId="14" xfId="6" applyFont="1" applyBorder="1" applyAlignment="1" applyProtection="1">
      <alignment vertical="center"/>
      <protection locked="0"/>
    </xf>
    <xf numFmtId="0" fontId="1" fillId="0" borderId="14" xfId="6" applyFont="1" applyBorder="1" applyAlignment="1" applyProtection="1">
      <alignment horizontal="center" vertical="center"/>
      <protection locked="0"/>
    </xf>
    <xf numFmtId="0" fontId="23" fillId="0" borderId="0" xfId="0" applyFont="1" applyFill="1" applyAlignment="1" applyProtection="1">
      <alignment horizontal="left" vertical="center" wrapText="1"/>
      <protection locked="0"/>
    </xf>
    <xf numFmtId="0" fontId="49" fillId="0" borderId="0" xfId="49" applyNumberFormat="1" applyFont="1" applyFill="1" applyBorder="1" applyAlignment="1">
      <alignment horizontal="center" vertical="center" wrapText="1"/>
      <protection locked="0"/>
    </xf>
    <xf numFmtId="0" fontId="50" fillId="0" borderId="0" xfId="6" applyFont="1" applyBorder="1" applyAlignment="1" applyProtection="1">
      <alignment vertical="center"/>
      <protection locked="0"/>
    </xf>
    <xf numFmtId="0" fontId="1" fillId="0" borderId="0" xfId="6" applyFont="1" applyBorder="1" applyAlignment="1" applyProtection="1">
      <alignment horizontal="center" vertical="center"/>
      <protection locked="0"/>
    </xf>
    <xf numFmtId="0" fontId="7" fillId="0" borderId="0" xfId="0" applyFont="1" applyFill="1" applyBorder="1" applyAlignment="1"/>
    <xf numFmtId="0" fontId="24" fillId="0" borderId="0" xfId="0" applyFont="1" applyFill="1" applyAlignment="1" applyProtection="1">
      <alignment horizontal="left" vertical="center" wrapText="1"/>
      <protection locked="0"/>
    </xf>
    <xf numFmtId="0" fontId="7" fillId="0" borderId="0" xfId="0" applyFont="1" applyFill="1" applyBorder="1" applyAlignment="1">
      <alignment horizontal="center"/>
    </xf>
    <xf numFmtId="43" fontId="8" fillId="5" borderId="0" xfId="58" applyNumberFormat="1" applyFont="1" applyFill="1" applyBorder="1" applyAlignment="1">
      <alignment vertical="center"/>
    </xf>
    <xf numFmtId="43" fontId="2" fillId="5" borderId="0" xfId="58" applyNumberFormat="1" applyFont="1" applyFill="1" applyBorder="1" applyAlignment="1">
      <alignment horizontal="center" vertical="center"/>
    </xf>
    <xf numFmtId="43" fontId="4" fillId="5" borderId="0" xfId="58" applyNumberFormat="1" applyFont="1" applyFill="1" applyBorder="1" applyAlignment="1">
      <alignment horizontal="center" vertical="center"/>
    </xf>
    <xf numFmtId="43" fontId="1" fillId="5" borderId="0" xfId="58" applyNumberFormat="1" applyFont="1" applyFill="1" applyBorder="1" applyAlignment="1">
      <alignment horizontal="right" vertical="center"/>
    </xf>
    <xf numFmtId="43" fontId="32" fillId="5" borderId="0" xfId="58" applyNumberFormat="1" applyFont="1" applyFill="1" applyBorder="1" applyAlignment="1">
      <alignment horizontal="left" vertical="center"/>
    </xf>
    <xf numFmtId="0" fontId="3" fillId="5" borderId="0" xfId="79" applyNumberFormat="1" applyFont="1" applyFill="1" applyAlignment="1">
      <alignment vertical="center"/>
    </xf>
    <xf numFmtId="0" fontId="1" fillId="5" borderId="0" xfId="58" applyNumberFormat="1" applyFont="1" applyFill="1" applyBorder="1" applyAlignment="1">
      <alignment vertical="center"/>
    </xf>
    <xf numFmtId="0" fontId="1" fillId="5" borderId="0" xfId="80" applyNumberFormat="1" applyFont="1" applyFill="1" applyAlignment="1">
      <alignment vertical="center" wrapText="1"/>
      <protection locked="0"/>
    </xf>
    <xf numFmtId="0" fontId="6" fillId="5" borderId="0" xfId="80" applyNumberFormat="1" applyFont="1" applyFill="1" applyAlignment="1">
      <alignment vertical="center"/>
      <protection locked="0"/>
    </xf>
    <xf numFmtId="0" fontId="1" fillId="5" borderId="0" xfId="57" applyNumberFormat="1" applyFont="1" applyFill="1">
      <protection locked="0"/>
    </xf>
    <xf numFmtId="0" fontId="1" fillId="5" borderId="0" xfId="80" applyNumberFormat="1" applyFont="1" applyFill="1" applyAlignment="1">
      <alignment horizontal="justify" vertical="center" wrapText="1"/>
      <protection locked="0"/>
    </xf>
    <xf numFmtId="0" fontId="1" fillId="5" borderId="0" xfId="80" applyNumberFormat="1" applyFont="1" applyFill="1" applyAlignment="1">
      <alignment vertical="center"/>
      <protection locked="0"/>
    </xf>
    <xf numFmtId="0" fontId="3" fillId="5" borderId="0" xfId="80" applyNumberFormat="1" applyFont="1" applyFill="1" applyAlignment="1">
      <alignment vertical="center"/>
      <protection locked="0"/>
    </xf>
    <xf numFmtId="0" fontId="1" fillId="5" borderId="0" xfId="61" applyNumberFormat="1" applyFont="1" applyFill="1" applyAlignment="1">
      <alignment vertical="center"/>
    </xf>
    <xf numFmtId="0" fontId="6" fillId="5" borderId="0" xfId="80" applyNumberFormat="1" applyFont="1" applyFill="1" applyAlignment="1">
      <alignment vertical="center" wrapText="1"/>
      <protection locked="0"/>
    </xf>
    <xf numFmtId="0" fontId="6" fillId="5" borderId="0" xfId="61" applyNumberFormat="1" applyFont="1" applyFill="1" applyAlignment="1">
      <alignment vertical="center"/>
    </xf>
    <xf numFmtId="0" fontId="3" fillId="5" borderId="0" xfId="61" applyNumberFormat="1" applyFont="1" applyFill="1" applyAlignment="1">
      <alignment vertical="center"/>
    </xf>
    <xf numFmtId="0" fontId="3" fillId="5" borderId="0" xfId="79" applyNumberFormat="1" applyFont="1" applyFill="1" applyAlignment="1">
      <alignment horizontal="left" vertical="center"/>
    </xf>
    <xf numFmtId="0" fontId="1" fillId="5" borderId="0" xfId="80" applyNumberFormat="1" applyFont="1" applyFill="1" applyAlignment="1">
      <alignment horizontal="center" vertical="center" wrapText="1"/>
      <protection locked="0"/>
    </xf>
    <xf numFmtId="49" fontId="12" fillId="5" borderId="0" xfId="58" applyNumberFormat="1" applyFont="1" applyFill="1" applyBorder="1" applyAlignment="1">
      <alignment horizontal="left" vertical="center" wrapText="1"/>
    </xf>
    <xf numFmtId="176" fontId="1" fillId="0" borderId="0" xfId="0" applyNumberFormat="1" applyFont="1" applyFill="1" applyAlignment="1" applyProtection="1">
      <alignment vertical="center"/>
      <protection locked="0"/>
    </xf>
    <xf numFmtId="176" fontId="5" fillId="0" borderId="0" xfId="6" applyNumberFormat="1" applyFont="1" applyAlignment="1">
      <alignment horizontal="left" vertical="center"/>
      <protection locked="0"/>
    </xf>
    <xf numFmtId="176" fontId="13" fillId="2" borderId="8" xfId="76" applyNumberFormat="1" applyFont="1" applyFill="1" applyBorder="1" applyAlignment="1">
      <alignment horizontal="center" vertical="center"/>
    </xf>
    <xf numFmtId="176" fontId="13" fillId="2" borderId="8" xfId="76" applyNumberFormat="1" applyFont="1" applyFill="1" applyBorder="1" applyAlignment="1">
      <alignment horizontal="center" vertical="center" wrapText="1"/>
    </xf>
    <xf numFmtId="176" fontId="3" fillId="2" borderId="8" xfId="76" applyNumberFormat="1" applyFont="1" applyFill="1" applyBorder="1" applyAlignment="1">
      <alignment horizontal="center" vertical="center" wrapText="1"/>
    </xf>
    <xf numFmtId="176" fontId="3" fillId="2" borderId="8" xfId="77" applyNumberFormat="1" applyFont="1" applyFill="1" applyBorder="1" applyAlignment="1" applyProtection="1">
      <alignment horizontal="center" vertical="center" wrapText="1"/>
      <protection locked="0"/>
    </xf>
    <xf numFmtId="176" fontId="51" fillId="2" borderId="8" xfId="77" applyNumberFormat="1" applyFont="1" applyFill="1" applyBorder="1" applyAlignment="1" applyProtection="1">
      <alignment horizontal="center" vertical="center" wrapText="1"/>
      <protection locked="0"/>
    </xf>
    <xf numFmtId="0" fontId="7" fillId="0" borderId="8" xfId="76" applyNumberFormat="1" applyFont="1" applyBorder="1" applyAlignment="1">
      <alignment vertical="center"/>
    </xf>
    <xf numFmtId="43" fontId="26" fillId="0" borderId="8" xfId="1" applyFont="1" applyBorder="1" applyAlignment="1">
      <alignment vertical="center"/>
    </xf>
    <xf numFmtId="0" fontId="26" fillId="0" borderId="8" xfId="76" applyNumberFormat="1" applyFont="1" applyBorder="1" applyAlignment="1">
      <alignment vertical="center"/>
    </xf>
    <xf numFmtId="176" fontId="8" fillId="0" borderId="0" xfId="76" applyNumberFormat="1" applyFont="1" applyAlignment="1" applyProtection="1">
      <alignment vertical="center"/>
      <protection locked="0"/>
    </xf>
    <xf numFmtId="176" fontId="1" fillId="0" borderId="0" xfId="76" applyNumberFormat="1" applyFont="1" applyAlignment="1" applyProtection="1">
      <alignment vertical="center" wrapText="1"/>
      <protection locked="0"/>
    </xf>
    <xf numFmtId="176" fontId="7" fillId="0" borderId="0" xfId="76" applyNumberFormat="1" applyFont="1" applyAlignment="1" applyProtection="1">
      <alignment vertical="center"/>
      <protection locked="0"/>
    </xf>
    <xf numFmtId="176" fontId="1" fillId="0" borderId="0" xfId="71" applyNumberFormat="1" applyFont="1">
      <alignment vertical="center"/>
    </xf>
    <xf numFmtId="0" fontId="1" fillId="0" borderId="0" xfId="72" applyNumberFormat="1" applyFont="1" applyAlignment="1">
      <alignment vertical="center"/>
      <protection locked="0"/>
    </xf>
    <xf numFmtId="176" fontId="3" fillId="0" borderId="0" xfId="72" applyNumberFormat="1" applyFont="1" applyAlignment="1">
      <alignment horizontal="center" vertical="center"/>
      <protection locked="0"/>
    </xf>
    <xf numFmtId="176" fontId="1" fillId="0" borderId="0" xfId="72" applyNumberFormat="1" applyFont="1" applyAlignment="1">
      <alignment vertical="center"/>
      <protection locked="0"/>
    </xf>
    <xf numFmtId="176" fontId="3" fillId="0" borderId="0" xfId="71" applyNumberFormat="1" applyFont="1" applyAlignment="1">
      <alignment horizontal="center" vertical="center"/>
    </xf>
    <xf numFmtId="0" fontId="13" fillId="0" borderId="0" xfId="72" applyNumberFormat="1" applyFont="1" applyAlignment="1" applyProtection="1">
      <alignment vertical="center"/>
    </xf>
    <xf numFmtId="0" fontId="1" fillId="0" borderId="0" xfId="70" applyNumberFormat="1" applyFont="1" applyFill="1" applyAlignment="1">
      <alignment vertical="center"/>
    </xf>
    <xf numFmtId="0" fontId="1" fillId="0" borderId="0" xfId="75" applyNumberFormat="1" applyFont="1" applyAlignment="1">
      <alignment vertical="center"/>
    </xf>
    <xf numFmtId="0" fontId="13" fillId="0" borderId="0" xfId="72" applyNumberFormat="1" applyFont="1" applyAlignment="1" applyProtection="1">
      <alignment horizontal="left" vertical="center"/>
    </xf>
    <xf numFmtId="0" fontId="6" fillId="0" borderId="0" xfId="70" applyNumberFormat="1" applyFont="1" applyFill="1" applyAlignment="1">
      <alignment vertical="center"/>
    </xf>
    <xf numFmtId="176" fontId="3" fillId="2" borderId="8" xfId="72" applyNumberFormat="1" applyFont="1" applyFill="1" applyBorder="1" applyAlignment="1">
      <alignment horizontal="center" vertical="center"/>
      <protection locked="0"/>
    </xf>
    <xf numFmtId="176" fontId="3" fillId="2" borderId="1" xfId="72" applyNumberFormat="1" applyFont="1" applyFill="1" applyBorder="1" applyAlignment="1">
      <alignment horizontal="center" vertical="center"/>
      <protection locked="0"/>
    </xf>
    <xf numFmtId="176" fontId="3" fillId="2" borderId="2" xfId="72" applyNumberFormat="1" applyFont="1" applyFill="1" applyBorder="1" applyAlignment="1">
      <alignment horizontal="center" vertical="center"/>
      <protection locked="0"/>
    </xf>
    <xf numFmtId="176" fontId="3" fillId="2" borderId="3" xfId="72" applyNumberFormat="1" applyFont="1" applyFill="1" applyBorder="1" applyAlignment="1">
      <alignment horizontal="center" vertical="center"/>
      <protection locked="0"/>
    </xf>
    <xf numFmtId="176" fontId="3" fillId="2" borderId="8" xfId="72" applyNumberFormat="1" applyFont="1" applyFill="1" applyBorder="1" applyAlignment="1">
      <alignment horizontal="centerContinuous" vertical="center"/>
      <protection locked="0"/>
    </xf>
    <xf numFmtId="176" fontId="3" fillId="2" borderId="7" xfId="72" applyNumberFormat="1" applyFont="1" applyFill="1" applyBorder="1" applyAlignment="1">
      <alignment horizontal="center" vertical="center"/>
      <protection locked="0"/>
    </xf>
    <xf numFmtId="176" fontId="3" fillId="2" borderId="9" xfId="72" applyNumberFormat="1" applyFont="1" applyFill="1" applyBorder="1" applyAlignment="1">
      <alignment horizontal="center" vertical="center"/>
      <protection locked="0"/>
    </xf>
    <xf numFmtId="176" fontId="1" fillId="0" borderId="8" xfId="73" applyNumberFormat="1" applyFont="1" applyBorder="1" applyAlignment="1">
      <alignment horizontal="left" vertical="center" wrapText="1"/>
    </xf>
    <xf numFmtId="43" fontId="11" fillId="0" borderId="8" xfId="73" applyNumberFormat="1" applyFont="1" applyBorder="1" applyAlignment="1">
      <alignment horizontal="left" vertical="center" wrapText="1"/>
    </xf>
    <xf numFmtId="43" fontId="11" fillId="2" borderId="8" xfId="60" applyNumberFormat="1" applyFont="1" applyFill="1" applyBorder="1" applyAlignment="1">
      <alignment vertical="center"/>
    </xf>
    <xf numFmtId="10" fontId="11" fillId="2" borderId="8" xfId="74" applyNumberFormat="1" applyFont="1" applyFill="1" applyBorder="1" applyAlignment="1">
      <alignment horizontal="right" vertical="center"/>
    </xf>
    <xf numFmtId="43" fontId="11" fillId="2" borderId="8" xfId="74" applyNumberFormat="1" applyFont="1" applyFill="1" applyBorder="1" applyAlignment="1">
      <alignment horizontal="right" vertical="center"/>
    </xf>
    <xf numFmtId="176" fontId="1" fillId="0" borderId="8" xfId="60" applyNumberFormat="1" applyFont="1" applyBorder="1" applyAlignment="1">
      <alignment vertical="center"/>
    </xf>
    <xf numFmtId="43" fontId="11" fillId="0" borderId="8" xfId="74" applyNumberFormat="1" applyFont="1" applyBorder="1" applyAlignment="1">
      <alignment horizontal="center" vertical="center"/>
    </xf>
    <xf numFmtId="176" fontId="1" fillId="0" borderId="8" xfId="72" applyNumberFormat="1" applyFont="1" applyBorder="1" applyAlignment="1">
      <alignment horizontal="center" vertical="center"/>
      <protection locked="0"/>
    </xf>
    <xf numFmtId="43" fontId="10" fillId="2" borderId="8" xfId="60" applyNumberFormat="1" applyFont="1" applyFill="1" applyBorder="1" applyAlignment="1">
      <alignment vertical="center"/>
    </xf>
    <xf numFmtId="10" fontId="10" fillId="2" borderId="8" xfId="74" applyNumberFormat="1" applyFont="1" applyFill="1" applyBorder="1" applyAlignment="1">
      <alignment horizontal="right" vertical="center"/>
    </xf>
    <xf numFmtId="43" fontId="10" fillId="2" borderId="8" xfId="74" applyNumberFormat="1" applyFont="1" applyFill="1" applyBorder="1" applyAlignment="1">
      <alignment horizontal="right" vertical="center"/>
    </xf>
    <xf numFmtId="176" fontId="3" fillId="0" borderId="8" xfId="60" applyNumberFormat="1" applyFont="1" applyBorder="1" applyAlignment="1">
      <alignment vertical="center"/>
    </xf>
    <xf numFmtId="0" fontId="3" fillId="0" borderId="0" xfId="72" applyNumberFormat="1" applyFont="1" applyAlignment="1">
      <alignment vertical="center"/>
      <protection locked="0"/>
    </xf>
    <xf numFmtId="176" fontId="8" fillId="0" borderId="0" xfId="72" applyNumberFormat="1" applyFont="1" applyAlignment="1">
      <alignment vertical="center"/>
      <protection locked="0"/>
    </xf>
    <xf numFmtId="176" fontId="44" fillId="0" borderId="0" xfId="72" applyNumberFormat="1" applyFont="1" applyAlignment="1">
      <alignment vertical="center"/>
      <protection locked="0"/>
    </xf>
    <xf numFmtId="176" fontId="1" fillId="0" borderId="0" xfId="67" applyNumberFormat="1" applyFont="1">
      <alignment vertical="center"/>
    </xf>
    <xf numFmtId="176" fontId="3" fillId="0" borderId="0" xfId="0" applyNumberFormat="1" applyFont="1" applyFill="1" applyAlignment="1" applyProtection="1">
      <alignment vertical="center"/>
      <protection locked="0"/>
    </xf>
    <xf numFmtId="176" fontId="2" fillId="0" borderId="0" xfId="67" applyNumberFormat="1" applyFont="1" applyAlignment="1">
      <alignment horizontal="center" vertical="center"/>
    </xf>
    <xf numFmtId="176" fontId="4" fillId="0" borderId="0" xfId="67" applyNumberFormat="1" applyFont="1" applyAlignment="1">
      <alignment horizontal="center" vertical="center"/>
    </xf>
    <xf numFmtId="176" fontId="1" fillId="0" borderId="0" xfId="0" applyNumberFormat="1" applyFont="1" applyFill="1" applyAlignment="1" applyProtection="1">
      <alignment horizontal="right" vertical="center"/>
      <protection locked="0"/>
    </xf>
    <xf numFmtId="0" fontId="1" fillId="0" borderId="0" xfId="69" applyNumberFormat="1" applyFont="1" applyAlignment="1">
      <alignment vertical="center"/>
    </xf>
    <xf numFmtId="0" fontId="1" fillId="0" borderId="0" xfId="0" applyNumberFormat="1" applyFont="1" applyFill="1" applyAlignment="1" applyProtection="1">
      <alignment horizontal="right" vertical="center"/>
      <protection locked="0"/>
    </xf>
    <xf numFmtId="0" fontId="52" fillId="0" borderId="0" xfId="0" applyNumberFormat="1" applyFont="1" applyFill="1" applyAlignment="1" applyProtection="1">
      <alignment vertical="center"/>
      <protection locked="0"/>
    </xf>
    <xf numFmtId="0" fontId="52" fillId="0" borderId="0" xfId="70" applyNumberFormat="1" applyFont="1" applyFill="1" applyAlignment="1">
      <alignment horizontal="left" vertical="center" indent="1"/>
    </xf>
    <xf numFmtId="176" fontId="3" fillId="2" borderId="8" xfId="0" applyNumberFormat="1" applyFont="1" applyFill="1" applyBorder="1" applyAlignment="1" applyProtection="1">
      <alignment horizontal="center" vertical="center" wrapText="1"/>
      <protection locked="0"/>
    </xf>
    <xf numFmtId="176" fontId="10" fillId="2" borderId="8" xfId="0" applyNumberFormat="1" applyFont="1" applyFill="1" applyBorder="1" applyAlignment="1" applyProtection="1">
      <alignment horizontal="center" vertical="center" wrapText="1"/>
      <protection locked="0"/>
    </xf>
    <xf numFmtId="176" fontId="3" fillId="2" borderId="7" xfId="1" applyNumberFormat="1" applyFont="1" applyFill="1" applyBorder="1" applyAlignment="1">
      <alignment horizontal="center" vertical="center" wrapText="1"/>
    </xf>
    <xf numFmtId="176" fontId="3" fillId="2" borderId="7" xfId="1" applyNumberFormat="1" applyFont="1" applyFill="1" applyBorder="1" applyAlignment="1">
      <alignment horizontal="center" vertical="center"/>
    </xf>
    <xf numFmtId="176" fontId="3" fillId="2" borderId="7" xfId="3" applyNumberFormat="1" applyFont="1" applyFill="1" applyBorder="1" applyAlignment="1">
      <alignment horizontal="center" vertical="center"/>
    </xf>
    <xf numFmtId="176" fontId="3" fillId="2" borderId="7" xfId="0" applyNumberFormat="1" applyFont="1" applyFill="1" applyBorder="1" applyAlignment="1" applyProtection="1">
      <alignment horizontal="center" vertical="center"/>
      <protection locked="0"/>
    </xf>
    <xf numFmtId="176" fontId="1" fillId="0" borderId="8" xfId="0" applyNumberFormat="1" applyFont="1" applyFill="1" applyBorder="1" applyAlignment="1" applyProtection="1">
      <alignment vertical="center"/>
      <protection locked="0"/>
    </xf>
    <xf numFmtId="43" fontId="10" fillId="0" borderId="8" xfId="59" applyNumberFormat="1" applyFont="1" applyFill="1" applyBorder="1" applyAlignment="1">
      <alignment horizontal="right" vertical="center"/>
    </xf>
    <xf numFmtId="43" fontId="10" fillId="2" borderId="8" xfId="59" applyNumberFormat="1" applyFont="1" applyFill="1" applyBorder="1" applyAlignment="1">
      <alignment horizontal="right" vertical="center"/>
    </xf>
    <xf numFmtId="176" fontId="1" fillId="0" borderId="8" xfId="1" applyNumberFormat="1" applyFont="1" applyBorder="1" applyAlignment="1">
      <alignment horizontal="center" vertical="center"/>
    </xf>
    <xf numFmtId="176" fontId="1" fillId="0" borderId="8" xfId="0" applyNumberFormat="1" applyFont="1" applyFill="1" applyBorder="1" applyAlignment="1" applyProtection="1">
      <alignment horizontal="center" vertical="center"/>
      <protection locked="0"/>
    </xf>
    <xf numFmtId="176" fontId="1" fillId="0" borderId="7" xfId="0" applyNumberFormat="1" applyFont="1" applyFill="1" applyBorder="1" applyAlignment="1" applyProtection="1">
      <alignment horizontal="center" vertical="center"/>
      <protection locked="0"/>
    </xf>
    <xf numFmtId="176" fontId="1" fillId="0" borderId="9" xfId="0" applyNumberFormat="1" applyFont="1" applyFill="1" applyBorder="1" applyAlignment="1" applyProtection="1">
      <alignment horizontal="center" vertical="center"/>
      <protection locked="0"/>
    </xf>
    <xf numFmtId="176" fontId="3" fillId="2" borderId="8" xfId="0" applyNumberFormat="1" applyFont="1" applyFill="1" applyBorder="1" applyAlignment="1" applyProtection="1">
      <alignment horizontal="center" vertical="center"/>
      <protection locked="0"/>
    </xf>
    <xf numFmtId="10" fontId="10" fillId="2" borderId="8" xfId="68" applyNumberFormat="1" applyFont="1" applyFill="1" applyBorder="1" applyAlignment="1">
      <alignment horizontal="right" vertical="center"/>
    </xf>
    <xf numFmtId="176" fontId="3" fillId="2" borderId="8" xfId="1" applyNumberFormat="1" applyFont="1" applyFill="1" applyBorder="1" applyAlignment="1">
      <alignment horizontal="center" vertical="center"/>
    </xf>
    <xf numFmtId="176" fontId="3" fillId="2" borderId="15" xfId="0" applyNumberFormat="1" applyFont="1" applyFill="1" applyBorder="1" applyAlignment="1" applyProtection="1">
      <alignment horizontal="center" vertical="center"/>
      <protection locked="0"/>
    </xf>
    <xf numFmtId="176" fontId="10" fillId="0" borderId="8" xfId="68" applyNumberFormat="1" applyFont="1" applyBorder="1" applyAlignment="1">
      <alignment horizontal="right" vertical="center"/>
    </xf>
    <xf numFmtId="176" fontId="1" fillId="0" borderId="8" xfId="3" applyNumberFormat="1" applyFont="1" applyBorder="1" applyAlignment="1">
      <alignment horizontal="center" vertical="center"/>
    </xf>
    <xf numFmtId="0" fontId="1" fillId="0" borderId="10" xfId="0" applyNumberFormat="1" applyFont="1" applyFill="1" applyBorder="1" applyAlignment="1" applyProtection="1">
      <alignment vertical="center"/>
      <protection locked="0"/>
    </xf>
    <xf numFmtId="0" fontId="6" fillId="0" borderId="0" xfId="0" applyNumberFormat="1" applyFont="1" applyFill="1" applyAlignment="1" applyProtection="1">
      <alignment vertical="center"/>
      <protection locked="0"/>
    </xf>
    <xf numFmtId="0" fontId="3" fillId="0" borderId="0" xfId="0" applyNumberFormat="1" applyFont="1" applyFill="1" applyAlignment="1" applyProtection="1">
      <alignment vertical="center"/>
      <protection locked="0"/>
    </xf>
    <xf numFmtId="176" fontId="8" fillId="0" borderId="0" xfId="0" applyNumberFormat="1" applyFont="1" applyFill="1" applyAlignment="1" applyProtection="1">
      <alignment vertical="center"/>
      <protection locked="0"/>
    </xf>
    <xf numFmtId="43" fontId="3" fillId="0" borderId="0" xfId="56" applyNumberFormat="1" applyFont="1">
      <alignment vertical="center"/>
    </xf>
    <xf numFmtId="43" fontId="53" fillId="0" borderId="0" xfId="56" applyNumberFormat="1" applyFont="1">
      <alignment vertical="center"/>
    </xf>
    <xf numFmtId="176" fontId="10" fillId="0" borderId="0" xfId="64" applyFont="1" applyAlignment="1">
      <alignment horizontal="center" vertical="center"/>
      <protection locked="0"/>
    </xf>
    <xf numFmtId="176" fontId="2" fillId="0" borderId="0" xfId="64" applyFont="1" applyAlignment="1">
      <alignment horizontal="center" vertical="center"/>
      <protection locked="0"/>
    </xf>
    <xf numFmtId="176" fontId="23" fillId="0" borderId="0" xfId="64" applyFont="1" applyAlignment="1">
      <alignment horizontal="center" vertical="center"/>
      <protection locked="0"/>
    </xf>
    <xf numFmtId="176" fontId="11" fillId="0" borderId="0" xfId="64" applyFont="1" applyAlignment="1">
      <alignment vertical="center"/>
      <protection locked="0"/>
    </xf>
    <xf numFmtId="176" fontId="1" fillId="0" borderId="0" xfId="64" applyFont="1" applyAlignment="1">
      <alignment horizontal="right" vertical="center"/>
      <protection locked="0"/>
    </xf>
    <xf numFmtId="176" fontId="11" fillId="0" borderId="0" xfId="64" applyFont="1" applyAlignment="1">
      <alignment horizontal="right" vertical="center"/>
      <protection locked="0"/>
    </xf>
    <xf numFmtId="43" fontId="2" fillId="0" borderId="0" xfId="56" applyNumberFormat="1" applyFont="1">
      <alignment vertical="center"/>
    </xf>
    <xf numFmtId="43" fontId="54" fillId="0" borderId="0" xfId="66" applyNumberFormat="1" applyFont="1" applyAlignment="1" applyProtection="1">
      <alignment horizontal="center" vertical="center"/>
    </xf>
    <xf numFmtId="43" fontId="55" fillId="0" borderId="0" xfId="56" applyNumberFormat="1" applyFont="1" applyAlignment="1">
      <alignment horizontal="justify" vertical="center"/>
    </xf>
    <xf numFmtId="43" fontId="56" fillId="0" borderId="16" xfId="56" applyNumberFormat="1" applyFont="1" applyBorder="1" applyAlignment="1">
      <alignment horizontal="justify" vertical="center" wrapText="1"/>
    </xf>
    <xf numFmtId="43" fontId="56" fillId="0" borderId="17" xfId="56" applyNumberFormat="1" applyFont="1" applyBorder="1" applyAlignment="1">
      <alignment horizontal="center" vertical="center" wrapText="1"/>
    </xf>
    <xf numFmtId="176" fontId="1" fillId="0" borderId="17" xfId="56" applyBorder="1" applyAlignment="1"/>
    <xf numFmtId="176" fontId="1" fillId="0" borderId="18" xfId="56" applyBorder="1" applyAlignment="1"/>
    <xf numFmtId="43" fontId="56" fillId="0" borderId="18" xfId="56" applyNumberFormat="1" applyFont="1" applyBorder="1" applyAlignment="1">
      <alignment horizontal="right" vertical="center" wrapText="1"/>
    </xf>
    <xf numFmtId="43" fontId="57" fillId="0" borderId="0" xfId="56" applyNumberFormat="1" applyFont="1" applyAlignment="1">
      <alignment horizontal="justify" vertical="center" wrapText="1"/>
    </xf>
    <xf numFmtId="43" fontId="57" fillId="0" borderId="0" xfId="56" applyNumberFormat="1" applyFont="1" applyFill="1" applyAlignment="1">
      <alignment horizontal="right" vertical="center" wrapText="1"/>
    </xf>
    <xf numFmtId="43" fontId="56" fillId="0" borderId="19" xfId="56" applyNumberFormat="1" applyFont="1" applyBorder="1" applyAlignment="1">
      <alignment horizontal="justify" vertical="center" wrapText="1"/>
    </xf>
    <xf numFmtId="43" fontId="56" fillId="0" borderId="19" xfId="56" applyNumberFormat="1" applyFont="1" applyBorder="1" applyAlignment="1">
      <alignment horizontal="right" vertical="center" wrapText="1"/>
    </xf>
    <xf numFmtId="43" fontId="58" fillId="0" borderId="0" xfId="56" applyNumberFormat="1" applyFont="1" applyAlignment="1">
      <alignment horizontal="left" vertical="center"/>
    </xf>
    <xf numFmtId="43" fontId="55" fillId="0" borderId="0" xfId="56" applyNumberFormat="1" applyFont="1" applyAlignment="1">
      <alignment horizontal="left" vertical="center"/>
    </xf>
    <xf numFmtId="43" fontId="56" fillId="0" borderId="16" xfId="56" applyNumberFormat="1" applyFont="1" applyBorder="1" applyAlignment="1">
      <alignment horizontal="justify" vertical="center"/>
    </xf>
    <xf numFmtId="43" fontId="56" fillId="0" borderId="17" xfId="56" applyNumberFormat="1" applyFont="1" applyBorder="1" applyAlignment="1">
      <alignment horizontal="center" vertical="center"/>
    </xf>
    <xf numFmtId="43" fontId="59" fillId="0" borderId="18" xfId="56" applyNumberFormat="1" applyFont="1" applyBorder="1" applyAlignment="1">
      <alignment horizontal="right" vertical="center"/>
    </xf>
    <xf numFmtId="43" fontId="59" fillId="0" borderId="18" xfId="56" applyNumberFormat="1" applyFont="1" applyBorder="1" applyAlignment="1">
      <alignment horizontal="right" vertical="center" wrapText="1"/>
    </xf>
    <xf numFmtId="43" fontId="57" fillId="0" borderId="0" xfId="56" applyNumberFormat="1" applyFont="1" applyAlignment="1">
      <alignment horizontal="justify" vertical="center"/>
    </xf>
    <xf numFmtId="43" fontId="57" fillId="0" borderId="0" xfId="56" applyNumberFormat="1" applyFont="1" applyAlignment="1">
      <alignment horizontal="right" vertical="center"/>
    </xf>
    <xf numFmtId="43" fontId="57" fillId="0" borderId="0" xfId="56" applyNumberFormat="1" applyFont="1" applyAlignment="1">
      <alignment horizontal="right" vertical="center" wrapText="1"/>
    </xf>
    <xf numFmtId="43" fontId="60" fillId="0" borderId="0" xfId="56" applyNumberFormat="1" applyFont="1" applyAlignment="1">
      <alignment horizontal="justify" vertical="center"/>
    </xf>
    <xf numFmtId="43" fontId="57" fillId="0" borderId="18" xfId="56" applyNumberFormat="1" applyFont="1" applyBorder="1" applyAlignment="1">
      <alignment horizontal="justify" vertical="center"/>
    </xf>
    <xf numFmtId="43" fontId="57" fillId="0" borderId="18" xfId="56" applyNumberFormat="1" applyFont="1" applyBorder="1" applyAlignment="1">
      <alignment horizontal="right" vertical="center"/>
    </xf>
    <xf numFmtId="43" fontId="56" fillId="0" borderId="18" xfId="56" applyNumberFormat="1" applyFont="1" applyBorder="1" applyAlignment="1">
      <alignment horizontal="justify" vertical="center"/>
    </xf>
    <xf numFmtId="43" fontId="56" fillId="0" borderId="18" xfId="56" applyNumberFormat="1" applyFont="1" applyBorder="1" applyAlignment="1">
      <alignment horizontal="right" vertical="center"/>
    </xf>
    <xf numFmtId="43" fontId="60" fillId="0" borderId="18" xfId="56" applyNumberFormat="1" applyFont="1" applyBorder="1" applyAlignment="1">
      <alignment horizontal="justify" vertical="center"/>
    </xf>
    <xf numFmtId="43" fontId="57" fillId="0" borderId="18" xfId="56" applyNumberFormat="1" applyFont="1" applyBorder="1" applyAlignment="1">
      <alignment horizontal="right" vertical="center" wrapText="1"/>
    </xf>
    <xf numFmtId="176" fontId="2" fillId="0" borderId="20" xfId="56" applyFont="1" applyBorder="1" applyAlignment="1">
      <alignment horizontal="left" vertical="center"/>
    </xf>
    <xf numFmtId="176" fontId="61" fillId="0" borderId="17" xfId="56" applyFont="1" applyBorder="1" applyAlignment="1">
      <alignment horizontal="center" vertical="center"/>
    </xf>
    <xf numFmtId="176" fontId="2" fillId="0" borderId="21" xfId="56" applyFont="1" applyBorder="1" applyAlignment="1">
      <alignment horizontal="left" vertical="center"/>
    </xf>
    <xf numFmtId="176" fontId="62" fillId="0" borderId="0" xfId="56" applyFont="1" applyAlignment="1">
      <alignment horizontal="center" vertical="center"/>
    </xf>
    <xf numFmtId="176" fontId="63" fillId="0" borderId="0" xfId="56" applyFont="1" applyAlignment="1">
      <alignment horizontal="center"/>
    </xf>
    <xf numFmtId="176" fontId="1" fillId="0" borderId="21" xfId="56" applyBorder="1" applyAlignment="1"/>
    <xf numFmtId="176" fontId="61" fillId="0" borderId="18" xfId="56" applyFont="1" applyBorder="1" applyAlignment="1">
      <alignment horizontal="right" vertical="center"/>
    </xf>
    <xf numFmtId="176" fontId="55" fillId="0" borderId="0" xfId="56" applyFont="1" applyAlignment="1">
      <alignment horizontal="left" vertical="center"/>
    </xf>
    <xf numFmtId="43" fontId="24" fillId="0" borderId="0" xfId="65" applyNumberFormat="1" applyFont="1" applyAlignment="1">
      <alignment horizontal="right" vertical="center"/>
    </xf>
    <xf numFmtId="176" fontId="24" fillId="0" borderId="0" xfId="56" applyFont="1" applyAlignment="1">
      <alignment horizontal="right" vertical="center"/>
    </xf>
    <xf numFmtId="176" fontId="64" fillId="0" borderId="16" xfId="56" applyFont="1" applyBorder="1" applyAlignment="1">
      <alignment horizontal="left" vertical="center"/>
    </xf>
    <xf numFmtId="43" fontId="23" fillId="0" borderId="16" xfId="65" applyNumberFormat="1" applyFont="1" applyBorder="1" applyAlignment="1">
      <alignment horizontal="right" vertical="center"/>
    </xf>
    <xf numFmtId="43" fontId="65" fillId="0" borderId="0" xfId="56" applyNumberFormat="1" applyFont="1" applyAlignment="1">
      <alignment horizontal="left" vertical="center"/>
    </xf>
    <xf numFmtId="43" fontId="56" fillId="0" borderId="16" xfId="56" applyNumberFormat="1" applyFont="1" applyBorder="1" applyAlignment="1">
      <alignment horizontal="left" vertical="center"/>
    </xf>
    <xf numFmtId="43" fontId="66" fillId="0" borderId="16" xfId="56" applyNumberFormat="1" applyFont="1" applyBorder="1" applyAlignment="1">
      <alignment horizontal="right" vertical="center"/>
    </xf>
    <xf numFmtId="43" fontId="56" fillId="0" borderId="16" xfId="56" applyNumberFormat="1" applyFont="1" applyBorder="1" applyAlignment="1">
      <alignment horizontal="right" vertical="center"/>
    </xf>
    <xf numFmtId="43" fontId="57" fillId="0" borderId="0" xfId="56" applyNumberFormat="1" applyFont="1" applyAlignment="1">
      <alignment horizontal="left" vertical="center"/>
    </xf>
    <xf numFmtId="43" fontId="57" fillId="0" borderId="18" xfId="56" applyNumberFormat="1" applyFont="1" applyBorder="1" applyAlignment="1">
      <alignment horizontal="left" vertical="center"/>
    </xf>
    <xf numFmtId="176" fontId="58" fillId="0" borderId="0" xfId="56" applyFont="1" applyAlignment="1">
      <alignment horizontal="left" vertical="center"/>
    </xf>
    <xf numFmtId="43" fontId="2" fillId="0" borderId="0" xfId="65" applyNumberFormat="1" applyFont="1" applyAlignment="1">
      <alignment horizontal="center" vertical="center"/>
    </xf>
    <xf numFmtId="43" fontId="67" fillId="0" borderId="0" xfId="65" applyNumberFormat="1" applyFont="1">
      <alignment vertical="center"/>
    </xf>
    <xf numFmtId="176" fontId="15" fillId="0" borderId="0" xfId="56" applyFont="1">
      <alignment vertical="center"/>
    </xf>
    <xf numFmtId="176" fontId="16" fillId="0" borderId="0" xfId="56" applyFont="1" applyAlignment="1">
      <alignment horizontal="left" vertical="center"/>
    </xf>
    <xf numFmtId="176" fontId="16" fillId="0" borderId="0" xfId="56" applyFont="1">
      <alignment vertical="center"/>
    </xf>
    <xf numFmtId="176" fontId="23" fillId="0" borderId="0" xfId="56" applyFont="1" applyAlignment="1">
      <alignment horizontal="left" vertical="center"/>
    </xf>
    <xf numFmtId="176" fontId="23" fillId="0" borderId="0" xfId="56" applyFont="1">
      <alignment vertical="center"/>
    </xf>
    <xf numFmtId="176" fontId="68" fillId="0" borderId="0" xfId="66" applyFont="1" applyAlignment="1" applyProtection="1">
      <alignment horizontal="center" vertical="center"/>
    </xf>
    <xf numFmtId="176" fontId="22" fillId="0" borderId="0" xfId="66" applyAlignment="1" applyProtection="1">
      <alignment horizontal="center" vertical="center"/>
    </xf>
    <xf numFmtId="176" fontId="2" fillId="0" borderId="0" xfId="56" applyFont="1">
      <alignment vertical="center"/>
    </xf>
    <xf numFmtId="176" fontId="24" fillId="0" borderId="0" xfId="56" applyFont="1" applyAlignment="1">
      <alignment horizontal="left" vertical="center"/>
    </xf>
    <xf numFmtId="176" fontId="64" fillId="0" borderId="16" xfId="56" applyFont="1" applyBorder="1" applyAlignment="1">
      <alignment horizontal="left" vertical="center" wrapText="1"/>
    </xf>
    <xf numFmtId="176" fontId="61" fillId="0" borderId="17" xfId="56" applyFont="1" applyBorder="1" applyAlignment="1">
      <alignment horizontal="center" vertical="center" wrapText="1"/>
    </xf>
    <xf numFmtId="176" fontId="61" fillId="0" borderId="18" xfId="56" applyFont="1" applyBorder="1" applyAlignment="1">
      <alignment horizontal="right" vertical="center" wrapText="1"/>
    </xf>
    <xf numFmtId="176" fontId="2" fillId="0" borderId="0" xfId="56" applyFont="1" applyAlignment="1">
      <alignment horizontal="center" vertical="center"/>
    </xf>
    <xf numFmtId="176" fontId="55" fillId="0" borderId="0" xfId="56" applyFont="1" applyAlignment="1">
      <alignment horizontal="left" vertical="center" wrapText="1"/>
    </xf>
    <xf numFmtId="43" fontId="24" fillId="0" borderId="0" xfId="56" applyNumberFormat="1" applyFont="1" applyFill="1" applyAlignment="1">
      <alignment horizontal="right" vertical="center" wrapText="1"/>
    </xf>
    <xf numFmtId="176" fontId="55" fillId="0" borderId="18" xfId="56" applyFont="1" applyBorder="1" applyAlignment="1">
      <alignment horizontal="left" vertical="center" wrapText="1"/>
    </xf>
    <xf numFmtId="43" fontId="24" fillId="0" borderId="18" xfId="56" applyNumberFormat="1" applyFont="1" applyFill="1" applyBorder="1" applyAlignment="1">
      <alignment horizontal="right" vertical="center" wrapText="1"/>
    </xf>
    <xf numFmtId="176" fontId="64" fillId="0" borderId="18" xfId="56" applyFont="1" applyBorder="1" applyAlignment="1">
      <alignment horizontal="left" vertical="center" wrapText="1"/>
    </xf>
    <xf numFmtId="43" fontId="23" fillId="0" borderId="18" xfId="65" applyNumberFormat="1" applyFont="1" applyBorder="1" applyAlignment="1">
      <alignment horizontal="right" vertical="center" wrapText="1"/>
    </xf>
    <xf numFmtId="176" fontId="69" fillId="0" borderId="0" xfId="56" applyFont="1" applyAlignment="1">
      <alignment horizontal="left" vertical="center"/>
    </xf>
    <xf numFmtId="176" fontId="64" fillId="0" borderId="17" xfId="56" applyFont="1" applyBorder="1" applyAlignment="1">
      <alignment horizontal="center" vertical="center"/>
    </xf>
    <xf numFmtId="176" fontId="24" fillId="0" borderId="0" xfId="56" applyFont="1" applyAlignment="1">
      <alignment horizontal="right" vertical="center" wrapText="1"/>
    </xf>
    <xf numFmtId="176" fontId="70" fillId="0" borderId="0" xfId="56" applyFont="1" applyAlignment="1">
      <alignment horizontal="left" vertical="center"/>
    </xf>
    <xf numFmtId="177" fontId="1" fillId="0" borderId="0" xfId="65">
      <alignment vertical="center"/>
    </xf>
    <xf numFmtId="176" fontId="71" fillId="0" borderId="0" xfId="56" applyFont="1" applyAlignment="1">
      <alignment horizontal="left" vertical="center"/>
    </xf>
    <xf numFmtId="176" fontId="55" fillId="0" borderId="18" xfId="56" applyFont="1" applyBorder="1" applyAlignment="1">
      <alignment horizontal="left" vertical="center"/>
    </xf>
    <xf numFmtId="43" fontId="24" fillId="0" borderId="18" xfId="65" applyNumberFormat="1" applyFont="1" applyBorder="1" applyAlignment="1">
      <alignment horizontal="right" vertical="center"/>
    </xf>
    <xf numFmtId="176" fontId="64" fillId="0" borderId="18" xfId="56" applyFont="1" applyBorder="1" applyAlignment="1">
      <alignment horizontal="left" vertical="center"/>
    </xf>
    <xf numFmtId="43" fontId="23" fillId="0" borderId="18" xfId="56" applyNumberFormat="1" applyFont="1" applyBorder="1" applyAlignment="1">
      <alignment horizontal="right" vertical="center"/>
    </xf>
    <xf numFmtId="176" fontId="71" fillId="0" borderId="18" xfId="56" applyFont="1" applyBorder="1" applyAlignment="1">
      <alignment horizontal="left" vertical="center"/>
    </xf>
    <xf numFmtId="176" fontId="24" fillId="0" borderId="18" xfId="56" applyFont="1" applyBorder="1" applyAlignment="1">
      <alignment horizontal="right" vertical="center"/>
    </xf>
    <xf numFmtId="176" fontId="24" fillId="0" borderId="18" xfId="56" applyFont="1" applyBorder="1" applyAlignment="1">
      <alignment horizontal="right" vertical="center" wrapText="1"/>
    </xf>
    <xf numFmtId="43" fontId="23" fillId="0" borderId="18" xfId="65" applyNumberFormat="1" applyFont="1" applyBorder="1" applyAlignment="1">
      <alignment horizontal="right" vertical="center"/>
    </xf>
    <xf numFmtId="176" fontId="72" fillId="0" borderId="0" xfId="56" applyFont="1" applyAlignment="1">
      <alignment horizontal="left" vertical="center"/>
    </xf>
    <xf numFmtId="176" fontId="73" fillId="0" borderId="0" xfId="56" applyFont="1" applyAlignment="1">
      <alignment horizontal="left" vertical="center"/>
    </xf>
    <xf numFmtId="176" fontId="74" fillId="0" borderId="16" xfId="56" applyFont="1" applyBorder="1" applyAlignment="1">
      <alignment horizontal="right" vertical="center"/>
    </xf>
    <xf numFmtId="176" fontId="64" fillId="0" borderId="16" xfId="56" applyFont="1" applyBorder="1" applyAlignment="1">
      <alignment horizontal="right" vertical="center"/>
    </xf>
    <xf numFmtId="43" fontId="24" fillId="0" borderId="17" xfId="65" applyNumberFormat="1" applyFont="1" applyBorder="1" applyAlignment="1">
      <alignment horizontal="right" vertical="center"/>
    </xf>
    <xf numFmtId="176" fontId="16" fillId="0" borderId="18" xfId="56" applyFont="1" applyBorder="1">
      <alignment vertical="center"/>
    </xf>
    <xf numFmtId="176" fontId="75" fillId="0" borderId="17" xfId="56" applyFont="1" applyBorder="1" applyAlignment="1">
      <alignment horizontal="center" vertical="center"/>
    </xf>
    <xf numFmtId="176" fontId="27" fillId="0" borderId="17" xfId="56" applyFont="1" applyBorder="1" applyAlignment="1">
      <alignment horizontal="center" vertical="center"/>
    </xf>
    <xf numFmtId="176" fontId="15" fillId="0" borderId="18" xfId="64" applyBorder="1" applyAlignment="1">
      <alignment horizontal="center" vertical="center"/>
      <protection locked="0"/>
    </xf>
    <xf numFmtId="176" fontId="27" fillId="0" borderId="18" xfId="56" applyFont="1" applyBorder="1" applyAlignment="1">
      <alignment horizontal="center" vertical="center"/>
    </xf>
    <xf numFmtId="43" fontId="1" fillId="0" borderId="0" xfId="58" applyNumberFormat="1" applyFont="1" applyFill="1" applyBorder="1" applyAlignment="1">
      <alignment vertical="center"/>
    </xf>
    <xf numFmtId="43" fontId="8" fillId="0" borderId="0" xfId="58" applyNumberFormat="1" applyFont="1" applyBorder="1" applyAlignment="1">
      <alignment vertical="center"/>
    </xf>
    <xf numFmtId="43" fontId="2" fillId="0" borderId="0" xfId="58" applyNumberFormat="1" applyFont="1" applyBorder="1" applyAlignment="1">
      <alignment horizontal="center" vertical="center"/>
    </xf>
    <xf numFmtId="43" fontId="4" fillId="0" borderId="0" xfId="58" applyNumberFormat="1" applyFont="1" applyBorder="1" applyAlignment="1">
      <alignment horizontal="center" vertical="center"/>
    </xf>
    <xf numFmtId="43" fontId="5" fillId="0" borderId="0" xfId="58" applyNumberFormat="1" applyFont="1" applyBorder="1" applyAlignment="1">
      <alignment vertical="center"/>
    </xf>
    <xf numFmtId="43" fontId="3" fillId="2" borderId="22" xfId="59" applyFont="1" applyFill="1" applyBorder="1" applyAlignment="1">
      <alignment horizontal="center" vertical="center"/>
    </xf>
    <xf numFmtId="43" fontId="3" fillId="2" borderId="22" xfId="58" applyNumberFormat="1" applyFont="1" applyFill="1" applyBorder="1" applyAlignment="1">
      <alignment horizontal="center" vertical="center"/>
    </xf>
    <xf numFmtId="43" fontId="1" fillId="2" borderId="22" xfId="59" applyFont="1" applyFill="1" applyBorder="1" applyAlignment="1">
      <alignment vertical="center"/>
    </xf>
    <xf numFmtId="43" fontId="1" fillId="2" borderId="22" xfId="59" applyFont="1" applyFill="1" applyBorder="1" applyAlignment="1">
      <alignment horizontal="center" vertical="center"/>
    </xf>
    <xf numFmtId="43" fontId="7" fillId="2" borderId="22" xfId="60" applyFont="1" applyFill="1" applyBorder="1" applyAlignment="1">
      <alignment horizontal="right" vertical="center"/>
    </xf>
    <xf numFmtId="43" fontId="1" fillId="0" borderId="22" xfId="59" applyFont="1" applyFill="1" applyBorder="1" applyAlignment="1">
      <alignment vertical="center"/>
    </xf>
    <xf numFmtId="43" fontId="11" fillId="0" borderId="22" xfId="59" applyNumberFormat="1" applyFont="1" applyFill="1" applyBorder="1" applyAlignment="1">
      <alignment horizontal="center" vertical="center"/>
    </xf>
    <xf numFmtId="43" fontId="26" fillId="2" borderId="22" xfId="60" applyNumberFormat="1" applyFont="1" applyFill="1" applyBorder="1" applyAlignment="1">
      <alignment horizontal="right" vertical="center"/>
    </xf>
    <xf numFmtId="43" fontId="1" fillId="0" borderId="22" xfId="59" applyFont="1" applyFill="1" applyBorder="1" applyAlignment="1">
      <alignment horizontal="left" vertical="center"/>
    </xf>
    <xf numFmtId="43" fontId="13" fillId="2" borderId="22" xfId="60" applyFont="1" applyFill="1" applyBorder="1" applyAlignment="1">
      <alignment horizontal="center" vertical="center"/>
    </xf>
    <xf numFmtId="43" fontId="29" fillId="2" borderId="22" xfId="60" applyNumberFormat="1" applyFont="1" applyFill="1" applyBorder="1" applyAlignment="1">
      <alignment horizontal="right" vertical="center"/>
    </xf>
    <xf numFmtId="43" fontId="11" fillId="2" borderId="22" xfId="59" applyNumberFormat="1" applyFont="1" applyFill="1" applyBorder="1" applyAlignment="1">
      <alignment horizontal="center" vertical="center"/>
    </xf>
    <xf numFmtId="43" fontId="3" fillId="0" borderId="0" xfId="58" applyNumberFormat="1" applyFont="1" applyFill="1" applyBorder="1" applyAlignment="1">
      <alignment vertical="center"/>
    </xf>
    <xf numFmtId="43" fontId="1" fillId="0" borderId="0" xfId="59" applyFont="1" applyFill="1" applyBorder="1" applyAlignment="1">
      <alignment horizontal="center" vertical="center"/>
    </xf>
    <xf numFmtId="43" fontId="11" fillId="2" borderId="0" xfId="59" applyFont="1" applyFill="1" applyBorder="1" applyAlignment="1">
      <alignment horizontal="center" vertical="center"/>
    </xf>
    <xf numFmtId="43" fontId="3" fillId="0" borderId="0" xfId="58" applyNumberFormat="1" applyFont="1" applyBorder="1" applyAlignment="1">
      <alignment horizontal="left" vertical="center"/>
    </xf>
    <xf numFmtId="176" fontId="3" fillId="0" borderId="0" xfId="61" applyFont="1" applyAlignment="1">
      <alignment vertical="center"/>
    </xf>
    <xf numFmtId="43" fontId="76" fillId="0" borderId="0" xfId="6" applyNumberFormat="1" applyFont="1" applyBorder="1" applyAlignment="1" applyProtection="1">
      <alignment horizontal="center" vertical="center"/>
    </xf>
    <xf numFmtId="0" fontId="1" fillId="0" borderId="0" xfId="61" applyNumberFormat="1" applyFont="1" applyAlignment="1">
      <alignment vertical="center"/>
    </xf>
    <xf numFmtId="0" fontId="1" fillId="0" borderId="0" xfId="61" applyNumberFormat="1" applyFont="1" applyAlignment="1">
      <alignment horizontal="left" vertical="center"/>
    </xf>
    <xf numFmtId="0" fontId="6" fillId="0" borderId="0" xfId="63" applyNumberFormat="1" applyFont="1" applyBorder="1" applyAlignment="1">
      <alignment vertical="center"/>
    </xf>
    <xf numFmtId="0" fontId="11" fillId="0" borderId="0" xfId="63" applyNumberFormat="1" applyFont="1" applyBorder="1" applyAlignment="1">
      <alignment vertical="center"/>
    </xf>
    <xf numFmtId="0" fontId="6" fillId="0" borderId="8" xfId="63" applyNumberFormat="1" applyFont="1" applyBorder="1" applyAlignment="1">
      <alignment horizontal="center" vertical="center"/>
    </xf>
    <xf numFmtId="0" fontId="6" fillId="0" borderId="8" xfId="63" applyNumberFormat="1" applyFont="1" applyBorder="1" applyAlignment="1">
      <alignment vertical="center"/>
    </xf>
    <xf numFmtId="0" fontId="30" fillId="0" borderId="1" xfId="63" applyNumberFormat="1" applyFont="1" applyBorder="1" applyAlignment="1">
      <alignment horizontal="left" vertical="center"/>
    </xf>
    <xf numFmtId="0" fontId="30" fillId="0" borderId="3" xfId="63" applyNumberFormat="1" applyFont="1" applyBorder="1" applyAlignment="1">
      <alignment horizontal="left" vertical="center"/>
    </xf>
    <xf numFmtId="0" fontId="30" fillId="0" borderId="1" xfId="63" applyNumberFormat="1" applyFont="1" applyBorder="1" applyAlignment="1">
      <alignment horizontal="center" vertical="center"/>
    </xf>
    <xf numFmtId="0" fontId="30" fillId="0" borderId="3" xfId="63" applyNumberFormat="1" applyFont="1" applyBorder="1" applyAlignment="1">
      <alignment horizontal="center" vertical="center"/>
    </xf>
    <xf numFmtId="0" fontId="30" fillId="0" borderId="8" xfId="63" applyNumberFormat="1" applyFont="1" applyBorder="1" applyAlignment="1">
      <alignment vertical="center"/>
    </xf>
    <xf numFmtId="0" fontId="76" fillId="0" borderId="0" xfId="6" applyNumberFormat="1" applyFont="1" applyBorder="1" applyAlignment="1" applyProtection="1">
      <alignment horizontal="center" vertical="center"/>
    </xf>
    <xf numFmtId="43" fontId="6" fillId="0" borderId="0" xfId="63" applyNumberFormat="1" applyFont="1" applyBorder="1" applyAlignment="1">
      <alignment horizontal="left" vertical="center"/>
    </xf>
    <xf numFmtId="43" fontId="30" fillId="0" borderId="0" xfId="63" applyNumberFormat="1" applyFont="1" applyBorder="1" applyAlignment="1">
      <alignment horizontal="left" vertical="center"/>
    </xf>
    <xf numFmtId="43" fontId="30" fillId="0" borderId="0" xfId="63" applyNumberFormat="1" applyFont="1" applyBorder="1" applyAlignment="1">
      <alignment horizontal="center" vertical="center"/>
    </xf>
    <xf numFmtId="43" fontId="30" fillId="0" borderId="0" xfId="63" applyNumberFormat="1" applyFont="1" applyBorder="1" applyAlignment="1">
      <alignment vertical="center"/>
    </xf>
    <xf numFmtId="176" fontId="1" fillId="0" borderId="0" xfId="61" applyFont="1" applyAlignment="1">
      <alignment vertical="center"/>
    </xf>
    <xf numFmtId="176" fontId="6" fillId="0" borderId="0" xfId="61" applyFont="1" applyAlignment="1">
      <alignment vertical="center"/>
    </xf>
    <xf numFmtId="43" fontId="8" fillId="0" borderId="0" xfId="58" applyNumberFormat="1" applyFont="1" applyBorder="1" applyAlignment="1">
      <alignment horizontal="left" vertical="center"/>
    </xf>
    <xf numFmtId="43" fontId="14" fillId="0" borderId="0" xfId="58" applyNumberFormat="1" applyFont="1" applyBorder="1" applyAlignment="1">
      <alignment vertical="center"/>
    </xf>
    <xf numFmtId="43" fontId="8" fillId="0" borderId="0" xfId="58" applyNumberFormat="1" applyFont="1" applyBorder="1" applyAlignment="1">
      <alignment horizontal="right" vertical="center"/>
    </xf>
    <xf numFmtId="176" fontId="1" fillId="0" borderId="8" xfId="62" applyFont="1" applyBorder="1" applyAlignment="1">
      <alignment horizontal="left" vertical="center" wrapText="1"/>
    </xf>
    <xf numFmtId="176" fontId="1" fillId="0" borderId="0" xfId="50" applyNumberFormat="1" applyFont="1">
      <alignment vertical="center"/>
    </xf>
    <xf numFmtId="176" fontId="1" fillId="0" borderId="0" xfId="51" applyNumberFormat="1" applyFont="1">
      <alignment vertical="center"/>
      <protection locked="0"/>
    </xf>
    <xf numFmtId="176" fontId="1" fillId="0" borderId="0" xfId="52" applyNumberFormat="1" applyFont="1" applyFill="1">
      <alignment vertical="center"/>
    </xf>
    <xf numFmtId="176" fontId="3" fillId="0" borderId="0" xfId="52" applyNumberFormat="1" applyFont="1" applyAlignment="1">
      <alignment horizontal="left" vertical="center"/>
    </xf>
    <xf numFmtId="176" fontId="1" fillId="0" borderId="0" xfId="52" applyNumberFormat="1" applyFont="1">
      <alignment vertical="center"/>
    </xf>
    <xf numFmtId="176" fontId="1" fillId="0" borderId="0" xfId="51" applyNumberFormat="1" applyFont="1" applyAlignment="1">
      <alignment horizontal="left" vertical="center"/>
      <protection locked="0"/>
    </xf>
    <xf numFmtId="176" fontId="1" fillId="0" borderId="0" xfId="51" applyNumberFormat="1" applyFont="1" applyAlignment="1">
      <alignment horizontal="right" vertical="center"/>
      <protection locked="0"/>
    </xf>
    <xf numFmtId="176" fontId="3" fillId="0" borderId="0" xfId="51" applyNumberFormat="1" applyFont="1" applyAlignment="1">
      <alignment horizontal="left" vertical="center"/>
      <protection locked="0"/>
    </xf>
    <xf numFmtId="176" fontId="1" fillId="0" borderId="0" xfId="51" applyNumberFormat="1" applyFont="1" applyBorder="1" applyAlignment="1">
      <alignment horizontal="left" vertical="center" wrapText="1"/>
      <protection locked="0"/>
    </xf>
    <xf numFmtId="176" fontId="3" fillId="0" borderId="0" xfId="51" applyNumberFormat="1" applyFont="1" applyAlignment="1">
      <alignment horizontal="justify" vertical="center"/>
      <protection locked="0"/>
    </xf>
    <xf numFmtId="176" fontId="3" fillId="2" borderId="8" xfId="51" applyNumberFormat="1" applyFont="1" applyFill="1" applyBorder="1" applyAlignment="1">
      <alignment horizontal="center" vertical="center" wrapText="1"/>
      <protection locked="0"/>
    </xf>
    <xf numFmtId="176" fontId="3" fillId="2" borderId="8" xfId="51" applyNumberFormat="1" applyFont="1" applyFill="1" applyBorder="1" applyAlignment="1">
      <alignment horizontal="center" vertical="center"/>
      <protection locked="0"/>
    </xf>
    <xf numFmtId="176" fontId="1" fillId="0" borderId="8" xfId="51" applyNumberFormat="1" applyFont="1" applyBorder="1" applyAlignment="1">
      <alignment horizontal="left" vertical="center" wrapText="1"/>
      <protection locked="0"/>
    </xf>
    <xf numFmtId="176" fontId="1" fillId="0" borderId="8" xfId="51" applyNumberFormat="1" applyFont="1" applyBorder="1" applyAlignment="1">
      <alignment horizontal="center" vertical="center" wrapText="1"/>
      <protection locked="0"/>
    </xf>
    <xf numFmtId="176" fontId="8" fillId="0" borderId="0" xfId="56" applyFont="1" applyFill="1" applyAlignment="1">
      <alignment horizontal="left" vertical="center"/>
    </xf>
    <xf numFmtId="176" fontId="11" fillId="0" borderId="8" xfId="53" applyNumberFormat="1" applyFont="1" applyBorder="1" applyAlignment="1">
      <alignment horizontal="center" vertical="center"/>
    </xf>
    <xf numFmtId="176" fontId="1" fillId="0" borderId="8" xfId="53" applyNumberFormat="1" applyFont="1" applyFill="1" applyBorder="1" applyAlignment="1">
      <alignment horizontal="left" vertical="center" wrapText="1"/>
    </xf>
    <xf numFmtId="176" fontId="1" fillId="0" borderId="8" xfId="0" applyNumberFormat="1" applyFont="1" applyFill="1" applyBorder="1" applyAlignment="1" applyProtection="1">
      <alignment horizontal="left" vertical="center" wrapText="1"/>
      <protection locked="0"/>
    </xf>
    <xf numFmtId="176" fontId="1" fillId="0" borderId="8" xfId="0" applyNumberFormat="1" applyFont="1" applyFill="1" applyBorder="1" applyAlignment="1" applyProtection="1">
      <alignment horizontal="center" vertical="center" wrapText="1"/>
      <protection locked="0"/>
    </xf>
    <xf numFmtId="176" fontId="7" fillId="0" borderId="8" xfId="54" applyFont="1" applyFill="1" applyBorder="1" applyAlignment="1">
      <alignment horizontal="center" vertical="center" wrapText="1"/>
    </xf>
    <xf numFmtId="176" fontId="13" fillId="0" borderId="8" xfId="54" applyFont="1" applyFill="1" applyBorder="1" applyAlignment="1">
      <alignment horizontal="center" vertical="center" wrapText="1"/>
    </xf>
    <xf numFmtId="176" fontId="26" fillId="0" borderId="8" xfId="54" applyFont="1" applyFill="1" applyBorder="1" applyAlignment="1">
      <alignment horizontal="center" vertical="center" wrapText="1"/>
    </xf>
    <xf numFmtId="176" fontId="11" fillId="0" borderId="8" xfId="0" applyNumberFormat="1" applyFont="1" applyFill="1" applyBorder="1" applyAlignment="1" applyProtection="1">
      <alignment horizontal="center" vertical="center" wrapText="1"/>
      <protection locked="0"/>
    </xf>
    <xf numFmtId="176" fontId="13" fillId="0" borderId="8" xfId="55" applyFont="1" applyFill="1" applyBorder="1" applyAlignment="1">
      <alignment horizontal="center" vertical="center" wrapText="1"/>
    </xf>
    <xf numFmtId="176" fontId="7" fillId="0" borderId="8" xfId="55" applyFont="1" applyFill="1" applyBorder="1" applyAlignment="1">
      <alignment horizontal="center" vertical="center" wrapText="1"/>
    </xf>
    <xf numFmtId="176" fontId="1" fillId="0" borderId="8" xfId="52" applyNumberFormat="1" applyFont="1" applyFill="1" applyBorder="1" applyAlignment="1">
      <alignment horizontal="left" vertical="center" wrapText="1"/>
    </xf>
    <xf numFmtId="176" fontId="7" fillId="0" borderId="8" xfId="54" applyFont="1" applyFill="1" applyBorder="1" applyAlignment="1">
      <alignment vertical="center" wrapText="1"/>
    </xf>
    <xf numFmtId="176" fontId="1" fillId="0" borderId="8" xfId="51" applyNumberFormat="1" applyFont="1" applyFill="1" applyBorder="1" applyAlignment="1" applyProtection="1">
      <alignment horizontal="center" vertical="center" wrapText="1"/>
    </xf>
    <xf numFmtId="176" fontId="11" fillId="0" borderId="8" xfId="51" applyNumberFormat="1" applyFont="1" applyFill="1" applyBorder="1" applyAlignment="1">
      <alignment horizontal="center" vertical="center" wrapText="1"/>
      <protection locked="0"/>
    </xf>
    <xf numFmtId="176" fontId="10" fillId="0" borderId="8" xfId="0" applyNumberFormat="1" applyFont="1" applyFill="1" applyBorder="1" applyAlignment="1" applyProtection="1">
      <alignment horizontal="center" vertical="center" wrapText="1"/>
      <protection locked="0"/>
    </xf>
    <xf numFmtId="176" fontId="30" fillId="0" borderId="8" xfId="0" applyNumberFormat="1" applyFont="1" applyFill="1" applyBorder="1" applyAlignment="1" applyProtection="1">
      <alignment horizontal="center" vertical="center" wrapText="1"/>
      <protection locked="0"/>
    </xf>
    <xf numFmtId="176" fontId="5" fillId="8" borderId="0" xfId="54" applyFont="1" applyFill="1" applyAlignment="1" applyProtection="1">
      <alignment horizontal="left" vertical="center" wrapText="1"/>
      <protection locked="0"/>
    </xf>
    <xf numFmtId="176" fontId="1" fillId="0" borderId="8" xfId="0" applyNumberFormat="1" applyFont="1" applyFill="1" applyBorder="1" applyAlignment="1" applyProtection="1">
      <alignment horizontal="justify" vertical="center" wrapText="1"/>
      <protection locked="0"/>
    </xf>
    <xf numFmtId="176" fontId="8" fillId="0" borderId="0" xfId="52" applyNumberFormat="1" applyFont="1" applyFill="1">
      <alignment vertical="center"/>
    </xf>
    <xf numFmtId="176" fontId="1" fillId="0" borderId="8" xfId="52" applyNumberFormat="1" applyFont="1" applyFill="1" applyBorder="1" applyAlignment="1">
      <alignment vertical="center" wrapText="1"/>
    </xf>
    <xf numFmtId="176" fontId="11" fillId="0" borderId="8" xfId="0" applyNumberFormat="1" applyFont="1" applyFill="1" applyBorder="1" applyAlignment="1" applyProtection="1">
      <alignment horizontal="center" vertical="center"/>
      <protection locked="0"/>
    </xf>
    <xf numFmtId="176" fontId="1" fillId="0" borderId="8" xfId="0" applyNumberFormat="1" applyFont="1" applyFill="1" applyBorder="1" applyAlignment="1" applyProtection="1">
      <alignment vertical="center" wrapText="1"/>
    </xf>
    <xf numFmtId="176" fontId="1" fillId="0" borderId="8" xfId="52" applyNumberFormat="1" applyFont="1" applyBorder="1" applyAlignment="1">
      <alignment vertical="center" wrapText="1"/>
    </xf>
    <xf numFmtId="176" fontId="3" fillId="0" borderId="8" xfId="0" applyNumberFormat="1" applyFont="1" applyFill="1" applyBorder="1" applyAlignment="1" applyProtection="1">
      <alignment horizontal="center" vertical="center" wrapText="1"/>
      <protection locked="0"/>
    </xf>
    <xf numFmtId="176" fontId="3" fillId="0" borderId="8" xfId="0" applyNumberFormat="1" applyFont="1" applyFill="1" applyBorder="1" applyAlignment="1" applyProtection="1">
      <alignment horizontal="justify" vertical="center" wrapText="1"/>
      <protection locked="0"/>
    </xf>
    <xf numFmtId="176" fontId="1" fillId="0" borderId="0" xfId="52" applyNumberFormat="1" applyFont="1" applyAlignment="1">
      <alignment horizontal="left" vertical="center"/>
    </xf>
    <xf numFmtId="176" fontId="1" fillId="0" borderId="0" xfId="52" applyNumberFormat="1" applyFont="1" applyAlignment="1">
      <alignment vertical="center" wrapText="1"/>
    </xf>
    <xf numFmtId="179" fontId="11" fillId="0" borderId="11" xfId="49" applyNumberFormat="1" applyFont="1" applyBorder="1" applyAlignment="1">
      <alignment horizontal="center" vertical="center" wrapText="1"/>
      <protection locked="0"/>
    </xf>
    <xf numFmtId="176" fontId="1" fillId="0" borderId="0" xfId="49" applyFont="1" applyAlignment="1">
      <alignment horizontal="justify" vertical="top" wrapText="1"/>
      <protection locked="0"/>
    </xf>
    <xf numFmtId="176" fontId="8" fillId="0" borderId="0" xfId="49" applyFont="1">
      <protection locked="0"/>
    </xf>
    <xf numFmtId="176" fontId="1" fillId="4" borderId="0" xfId="0" applyNumberFormat="1" applyFont="1" applyFill="1" applyAlignment="1" applyProtection="1">
      <alignment horizontal="justify" vertical="center" wrapText="1"/>
      <protection locked="0"/>
    </xf>
    <xf numFmtId="176" fontId="1" fillId="0" borderId="0" xfId="49" applyFont="1" applyAlignment="1">
      <alignment horizontal="justify"/>
      <protection locked="0"/>
    </xf>
    <xf numFmtId="176" fontId="3" fillId="0" borderId="0" xfId="0" applyNumberFormat="1" applyFont="1" applyFill="1" applyAlignment="1" applyProtection="1">
      <alignment horizontal="justify"/>
      <protection locked="0"/>
    </xf>
    <xf numFmtId="176" fontId="4" fillId="0" borderId="0" xfId="0" applyNumberFormat="1" applyFont="1" applyFill="1" applyAlignment="1" applyProtection="1">
      <alignment horizontal="center" vertical="center"/>
      <protection locked="0"/>
    </xf>
    <xf numFmtId="176" fontId="23" fillId="0" borderId="0" xfId="0" applyNumberFormat="1" applyFont="1" applyFill="1" applyAlignment="1" applyProtection="1">
      <alignment horizontal="left" vertical="center" wrapText="1"/>
      <protection locked="0"/>
    </xf>
    <xf numFmtId="176" fontId="3" fillId="0" borderId="0" xfId="49" applyFont="1">
      <protection locked="0"/>
    </xf>
    <xf numFmtId="176" fontId="24" fillId="0" borderId="0" xfId="0" applyNumberFormat="1" applyFont="1" applyFill="1" applyAlignment="1" applyProtection="1">
      <alignment horizontal="left" vertical="center" wrapText="1"/>
      <protection locked="0"/>
    </xf>
    <xf numFmtId="176" fontId="3" fillId="2" borderId="8" xfId="81" applyFont="1" applyFill="1" applyBorder="1" applyAlignment="1" quotePrefix="1">
      <alignment horizontal="center" vertical="center" wrapText="1"/>
      <protection locked="0"/>
    </xf>
    <xf numFmtId="0" fontId="26" fillId="0" borderId="8" xfId="83" applyFont="1" applyBorder="1" applyAlignment="1" applyProtection="1" quotePrefix="1">
      <alignment horizontal="right" vertical="center"/>
    </xf>
  </cellXfs>
  <cellStyles count="11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通用表" xfId="49"/>
    <cellStyle name="常规_Book1 2 2" xfId="50"/>
    <cellStyle name="常规 2 4 3" xfId="51"/>
    <cellStyle name="常规_制造费用 2" xfId="52"/>
    <cellStyle name="常规_制造费用" xfId="53"/>
    <cellStyle name="常规 7 5" xfId="54"/>
    <cellStyle name="常规 7" xfId="55"/>
    <cellStyle name="常规 11 5" xfId="56"/>
    <cellStyle name="常规 2 8" xfId="57"/>
    <cellStyle name="常规_新审定表 2" xfId="58"/>
    <cellStyle name="千位分隔 3" xfId="59"/>
    <cellStyle name="千位分隔 2 2" xfId="60"/>
    <cellStyle name="常规_c-资产类" xfId="61"/>
    <cellStyle name="常规_2-1项目审定表－模板" xfId="62"/>
    <cellStyle name="常规_新审定表" xfId="63"/>
    <cellStyle name="常规 12" xfId="64"/>
    <cellStyle name="千位分隔 5 2" xfId="65"/>
    <cellStyle name="超链接 3 2" xfId="66"/>
    <cellStyle name="常规_Book1" xfId="67"/>
    <cellStyle name="百分比 3" xfId="68"/>
    <cellStyle name="常规_T1000-主营业务收入" xfId="69"/>
    <cellStyle name="常规 6" xfId="70"/>
    <cellStyle name="常规_Book1 2 2 2" xfId="71"/>
    <cellStyle name="常规 13" xfId="72"/>
    <cellStyle name="常规_2-1项目审定表－模板 2" xfId="73"/>
    <cellStyle name="百分比 2 2 2" xfId="74"/>
    <cellStyle name="常规 6 2 5" xfId="75"/>
    <cellStyle name="常规 2 2" xfId="76"/>
    <cellStyle name="常规 4 2 2" xfId="77"/>
    <cellStyle name="常规 2 2 3" xfId="78"/>
    <cellStyle name="常规_进一步审计程序--销售与收款循环 2" xfId="79"/>
    <cellStyle name="常规 3 2 2" xfId="80"/>
    <cellStyle name="常规 2 2 4" xfId="81"/>
    <cellStyle name="常规 6 2 2" xfId="82"/>
    <cellStyle name="常规 2" xfId="83"/>
    <cellStyle name="常规_2销售循环导引表(217-230)" xfId="84"/>
    <cellStyle name="普通_附23_PBC4" xfId="85"/>
    <cellStyle name="常规_SA-主营业务收入" xfId="86"/>
    <cellStyle name="百分比 2" xfId="87"/>
    <cellStyle name="普通_附23_PBC4 2" xfId="88"/>
    <cellStyle name="常规_Book1 2" xfId="89"/>
    <cellStyle name="常规 3 2" xfId="90"/>
    <cellStyle name="常规 9" xfId="91"/>
    <cellStyle name="千位分隔 3 2" xfId="92"/>
    <cellStyle name="超链接 3" xfId="93"/>
    <cellStyle name="常规 6 2" xfId="94"/>
    <cellStyle name="常规_通用表 2" xfId="95"/>
    <cellStyle name="常规 2 2 4 2" xfId="96"/>
    <cellStyle name="常规_进一步审计程序--销售与收款循环" xfId="97"/>
    <cellStyle name="常规 6 5" xfId="98"/>
    <cellStyle name="常规 3 2 4" xfId="99"/>
    <cellStyle name="常规_D21主营业务收入" xfId="100"/>
    <cellStyle name="常规 2 4" xfId="101"/>
    <cellStyle name="常规 33 2" xfId="102"/>
    <cellStyle name="百分比 2 2" xfId="103"/>
    <cellStyle name="常规_进一步审计程序--销售与收款循环 2 2" xfId="104"/>
    <cellStyle name="常规 5" xfId="105"/>
    <cellStyle name="千位分隔 15" xfId="106"/>
    <cellStyle name="常规 5 2" xfId="107"/>
    <cellStyle name="常规 6 3" xfId="108"/>
    <cellStyle name="常规 11 2" xfId="109"/>
    <cellStyle name="常规 4" xfId="110"/>
    <cellStyle name="常规_审计提示－沟通记录模板（适用内外各主体、各阶段的沟通及会议）" xfId="111"/>
    <cellStyle name="常规 2 7" xfId="112"/>
    <cellStyle name="常规_工程施工业务循环内控测试" xfId="113"/>
    <cellStyle name="常规_控制测试底稿" xfId="114"/>
    <cellStyle name="常规_货币资金C" xfId="115"/>
    <cellStyle name="常规 2 3 2" xfId="116"/>
    <cellStyle name="常规_检查情况表" xfId="117"/>
    <cellStyle name="常规 2 8 2" xfId="11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6" Type="http://schemas.openxmlformats.org/officeDocument/2006/relationships/styles" Target="styles.xml"/><Relationship Id="rId65" Type="http://schemas.openxmlformats.org/officeDocument/2006/relationships/sharedStrings" Target="sharedStrings.xml"/><Relationship Id="rId64" Type="http://schemas.openxmlformats.org/officeDocument/2006/relationships/theme" Target="theme/theme1.xml"/><Relationship Id="rId63" Type="http://schemas.openxmlformats.org/officeDocument/2006/relationships/externalLink" Target="externalLinks/externalLink17.xml"/><Relationship Id="rId62" Type="http://schemas.openxmlformats.org/officeDocument/2006/relationships/externalLink" Target="externalLinks/externalLink16.xml"/><Relationship Id="rId61" Type="http://schemas.openxmlformats.org/officeDocument/2006/relationships/externalLink" Target="externalLinks/externalLink15.xml"/><Relationship Id="rId60" Type="http://schemas.openxmlformats.org/officeDocument/2006/relationships/externalLink" Target="externalLinks/externalLink14.xml"/><Relationship Id="rId6" Type="http://schemas.openxmlformats.org/officeDocument/2006/relationships/worksheet" Target="worksheets/sheet6.xml"/><Relationship Id="rId59" Type="http://schemas.openxmlformats.org/officeDocument/2006/relationships/externalLink" Target="externalLinks/externalLink13.xml"/><Relationship Id="rId58" Type="http://schemas.openxmlformats.org/officeDocument/2006/relationships/externalLink" Target="externalLinks/externalLink12.xml"/><Relationship Id="rId57" Type="http://schemas.openxmlformats.org/officeDocument/2006/relationships/externalLink" Target="externalLinks/externalLink11.xml"/><Relationship Id="rId56" Type="http://schemas.openxmlformats.org/officeDocument/2006/relationships/externalLink" Target="externalLinks/externalLink10.xml"/><Relationship Id="rId55" Type="http://schemas.openxmlformats.org/officeDocument/2006/relationships/externalLink" Target="externalLinks/externalLink9.xml"/><Relationship Id="rId54" Type="http://schemas.openxmlformats.org/officeDocument/2006/relationships/externalLink" Target="externalLinks/externalLink8.xml"/><Relationship Id="rId53" Type="http://schemas.openxmlformats.org/officeDocument/2006/relationships/externalLink" Target="externalLinks/externalLink7.xml"/><Relationship Id="rId52" Type="http://schemas.openxmlformats.org/officeDocument/2006/relationships/externalLink" Target="externalLinks/externalLink6.xml"/><Relationship Id="rId51" Type="http://schemas.openxmlformats.org/officeDocument/2006/relationships/externalLink" Target="externalLinks/externalLink5.xml"/><Relationship Id="rId50" Type="http://schemas.openxmlformats.org/officeDocument/2006/relationships/externalLink" Target="externalLinks/externalLink4.xml"/><Relationship Id="rId5" Type="http://schemas.openxmlformats.org/officeDocument/2006/relationships/worksheet" Target="worksheets/sheet5.xml"/><Relationship Id="rId49" Type="http://schemas.openxmlformats.org/officeDocument/2006/relationships/externalLink" Target="externalLinks/externalLink3.xml"/><Relationship Id="rId48" Type="http://schemas.openxmlformats.org/officeDocument/2006/relationships/externalLink" Target="externalLinks/externalLink2.xml"/><Relationship Id="rId47" Type="http://schemas.openxmlformats.org/officeDocument/2006/relationships/externalLink" Target="externalLinks/externalLink1.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Users\Administrator\Documents\Worksheet in 5440 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C:\Users\Administrator\Documents\Worksheet in 8240 COS breakdown"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Documents and 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C:\&#24213;&#31295;&#20462;&#35746;\D &#25910;&#20837;&#24490;&#29615;\D4&#20027;&#33829;&#19994;&#21153;&#25910;&#20837;\D4 &#20027;&#33829;&#19994;&#21153;&#25910;&#20837; - &#23457;&#23450;&#34920;&#26126;&#32454;&#34920;&#65288;Leap-&#24120;&#35268;&#31243;&#24207;&#65289;&#20462;&#35746;&#35760;&#244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AppData\Local\Temp\splitmerge\tempsplit\1784121425269\D4-1&#33267;D4-4%20&#33829;&#19994;&#25910;&#20837;%20-%20&#23457;&#23450;&#34920;&#26126;&#32454;&#34920;&#65288;Leap-&#24120;&#35268;&#31243;&#24207;&#65289;_1.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file:///C:\Users\Administrator\Downloads\Worksheet in 5440 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ile:///C:\Users\Administrator\Downloads\Worksheet in 8240 COS breakdown"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file:///C:\Users\Administrator\AppData\Local\Temp\splitmerge\tempsplit\1784121426058\D4-1&#33267;D4-4 &#33829;&#19994;&#25910;&#20837; - &#23457;&#23450;&#34920;&#26126;&#32454;&#34920;&#65288;Leap-&#24120;&#35268;&#31243;&#24207;&#6528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4-6&#33267;D4-11&#33829;&#19994;&#25910;&#20837;%20-%20&#20998;&#26512;&#31243;&#24207;&#65288;Leap&#24212;&#23545;&#25514;&#26045;-&#20998;&#26512;&#31243;&#24207;&#65289;.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file:///D:\Documents and Settings\Administrator\&#26700;&#38754;\to&#65293;&#20869;&#37096;&#25511;&#21046;&#32452;\&#20854;&#20182;&#25152;\&#22825;&#24314;\&#22269;&#36152;_2005_&#38543;&#2041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4-1&#33267;D4-4%20&#33829;&#19994;&#25910;&#20837;%20-%20&#23457;&#23450;&#34920;&#26126;&#32454;&#34920;&#65288;Leap-&#24120;&#35268;&#31243;&#24207;&#6528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4-12%20&#33829;&#19994;&#25910;&#20837;-&#21512;&#21516;&#26816;&#26597;&#65288;Leap-&#24120;&#35268;&#31243;&#24207;&#6528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4-13&#33267;D4-20&#20027;&#33829;&#19994;&#21153;&#25910;&#20837;-&#26816;&#26597;&#65288;Leap&#24212;&#23545;&#25514;&#26045;-&#26816;&#26597;&#6528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4-21&#33829;&#19994;&#25910;&#20837;-&#20851;&#32852;&#26041;&#26816;&#26597;&#65288;Leap-&#24120;&#35268;&#31243;&#24207;&#65289;.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file:///D:\Documents and Settings\bjcpauser\&#26700;&#38754;\Jinyuu\total\Documents and Settings\Administrator\&#26700;&#38754;\to&#65293;&#20869;&#37096;&#25511;&#21046;&#32452;\&#20854;&#20182;&#25152;\&#22825;&#24314;\&#22269;&#36152;_2005_&#38543;&#2041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4-22&#33267;D4-32&#33829;&#19994;&#25910;&#20837;-IPO%20&#19978;&#24066;%20&#26032;&#19977;&#26495;%20&#37325;&#32452;%20&#33310;&#24330;&#24212;&#2354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4-33&#33267;D4-36%20&#20854;&#20182;&#19994;&#21153;&#25910;&#2083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 val="名称（勿删）"/>
      <sheetName val="基础信息"/>
      <sheetName val="UFPrn20050930091710"/>
      <sheetName val="UFPrn20050930204109"/>
      <sheetName val="自定义名称"/>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投资性房地产Dy"/>
      <sheetName val="原材料"/>
      <sheetName val="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底稿目录"/>
      <sheetName val="主营业务收入审计程序表D4A"/>
      <sheetName val="主营业务收入审定表D4"/>
      <sheetName val="收入分解信息D4-2"/>
      <sheetName val="调整分录汇总表_D4-2-1"/>
      <sheetName val="履约进度审核表D4-10"/>
      <sheetName val="BOT收入测算（示例）D4-13"/>
      <sheetName val="明细表D4-20(品种）"/>
      <sheetName val="合同成本D4-18"/>
      <sheetName val="GT_Custom"/>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efreshError="1">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底稿目录"/>
      <sheetName val="重要指标分析D4-6"/>
      <sheetName val="毛利率分析表D4-7"/>
      <sheetName val="重要产品毛利分析D4-8"/>
      <sheetName val="重要客户结构分析D4-9"/>
      <sheetName val="重要客户销售价格分析D4-10"/>
      <sheetName val="产品销售价格分析D4-11"/>
    </sheetNames>
    <sheetDataSet>
      <sheetData sheetId="0">
        <row r="2">
          <cell r="A2" t="str">
            <v>被审计单位名称：</v>
          </cell>
        </row>
        <row r="3">
          <cell r="A3" t="str">
            <v>会计期间：202X年度</v>
          </cell>
        </row>
        <row r="3">
          <cell r="F3" t="str">
            <v>D4-6</v>
          </cell>
        </row>
        <row r="4">
          <cell r="A4" t="str">
            <v>编制人：</v>
          </cell>
        </row>
        <row r="4">
          <cell r="F4" t="str">
            <v>D4-7</v>
          </cell>
        </row>
        <row r="5">
          <cell r="A5" t="str">
            <v>编制日期：</v>
          </cell>
        </row>
        <row r="5">
          <cell r="F5" t="str">
            <v>D4-8</v>
          </cell>
        </row>
        <row r="6">
          <cell r="A6" t="str">
            <v>复核人：</v>
          </cell>
        </row>
        <row r="6">
          <cell r="F6" t="str">
            <v>D4-9</v>
          </cell>
        </row>
        <row r="7">
          <cell r="A7" t="str">
            <v>复核日期：</v>
          </cell>
        </row>
        <row r="7">
          <cell r="F7" t="str">
            <v>D4-10</v>
          </cell>
        </row>
        <row r="8">
          <cell r="F8" t="str">
            <v>D4-11</v>
          </cell>
        </row>
      </sheetData>
      <sheetData sheetId="1"/>
      <sheetData sheetId="2">
        <row r="26">
          <cell r="B26">
            <v>0</v>
          </cell>
        </row>
        <row r="26">
          <cell r="D26">
            <v>0</v>
          </cell>
        </row>
        <row r="26">
          <cell r="J26">
            <v>0</v>
          </cell>
        </row>
        <row r="26">
          <cell r="L26">
            <v>0</v>
          </cell>
        </row>
      </sheetData>
      <sheetData sheetId="3"/>
      <sheetData sheetId="4"/>
      <sheetData sheetId="5"/>
      <sheetData sheetId="6"/>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合同检查表D4-12"/>
    </sheetNames>
    <sheetDataSet>
      <sheetData sheetId="0"/>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底稿目录"/>
      <sheetName val="营业收入账面金额与ERP系统核对记录D4-13"/>
      <sheetName val="营业收入发生检查表D4-14"/>
      <sheetName val="营业收入完整性检查表D4-15"/>
      <sheetName val="出口收入电子口岸系统核对D4-16"/>
      <sheetName val="营业收入截止测试（账到单据）D4-17"/>
      <sheetName val="营业收入截止测试（单据到账）D4-18"/>
      <sheetName val="销售折扣与折让检查D4-19"/>
      <sheetName val="销售退货检查表 D4-20"/>
    </sheetNames>
    <sheetDataSet>
      <sheetData sheetId="0">
        <row r="2">
          <cell r="A2" t="str">
            <v>被审计单位：</v>
          </cell>
        </row>
        <row r="3">
          <cell r="A3" t="str">
            <v>会计期间：202X年度</v>
          </cell>
        </row>
        <row r="3">
          <cell r="F3" t="str">
            <v>D4-13</v>
          </cell>
        </row>
        <row r="4">
          <cell r="A4" t="str">
            <v>编制人：</v>
          </cell>
        </row>
        <row r="4">
          <cell r="F4" t="str">
            <v>D4-14</v>
          </cell>
        </row>
        <row r="5">
          <cell r="A5" t="str">
            <v>编制日期：</v>
          </cell>
        </row>
        <row r="5">
          <cell r="F5" t="str">
            <v>D4-15</v>
          </cell>
        </row>
        <row r="6">
          <cell r="A6" t="str">
            <v>复核人：</v>
          </cell>
        </row>
        <row r="6">
          <cell r="F6" t="str">
            <v>D4-16</v>
          </cell>
        </row>
        <row r="7">
          <cell r="A7" t="str">
            <v>复核日期：</v>
          </cell>
        </row>
        <row r="7">
          <cell r="F7" t="str">
            <v>D4-17</v>
          </cell>
        </row>
        <row r="8">
          <cell r="F8" t="str">
            <v>D4-18</v>
          </cell>
        </row>
        <row r="9">
          <cell r="F9" t="str">
            <v>D4-19</v>
          </cell>
        </row>
        <row r="10">
          <cell r="F10" t="str">
            <v>D4-20</v>
          </cell>
        </row>
      </sheetData>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关联方销售情况及价格分析D4-21"/>
    </sheetNames>
    <sheetDataSet>
      <sheetData sheetId="0"/>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底稿目录"/>
      <sheetName val="程序表D4-22A"/>
      <sheetName val="重要指标分析表D4-22"/>
      <sheetName val="收入与开具发票金额比较分析D4-23"/>
      <sheetName val="第三方回款检查D4-24"/>
      <sheetName val="经销商检查D4-25"/>
      <sheetName val="境外销售收入检查D4-26"/>
      <sheetName val="识别未披露的关联方D4-27"/>
      <sheetName val="客户信息核查清单D4-28"/>
      <sheetName val="客户信息检查表D4-29"/>
      <sheetName val="客户访谈记录汇总表D4-30"/>
      <sheetName val="客户访谈记录 D4-31"/>
      <sheetName val="访谈记录与核对示例"/>
      <sheetName val="客户、供应商等资金流水检查D4-32"/>
    </sheetNames>
    <sheetDataSet>
      <sheetData sheetId="0">
        <row r="2">
          <cell r="A2" t="str">
            <v>被审计单位名称：</v>
          </cell>
        </row>
        <row r="3">
          <cell r="A3" t="str">
            <v>会计期间：202X年度</v>
          </cell>
        </row>
        <row r="3">
          <cell r="F3" t="str">
            <v>D4-22A</v>
          </cell>
        </row>
        <row r="4">
          <cell r="A4" t="str">
            <v>编制人：</v>
          </cell>
        </row>
        <row r="4">
          <cell r="F4" t="str">
            <v>D4-22</v>
          </cell>
        </row>
        <row r="5">
          <cell r="A5" t="str">
            <v>编制日期：</v>
          </cell>
        </row>
        <row r="5">
          <cell r="F5" t="str">
            <v>D4-23</v>
          </cell>
        </row>
        <row r="6">
          <cell r="A6" t="str">
            <v>复核人：</v>
          </cell>
        </row>
        <row r="6">
          <cell r="F6" t="str">
            <v>D4-24</v>
          </cell>
        </row>
        <row r="7">
          <cell r="A7" t="str">
            <v>复核日期：</v>
          </cell>
        </row>
        <row r="7">
          <cell r="F7" t="str">
            <v>D4-25</v>
          </cell>
        </row>
        <row r="8">
          <cell r="F8" t="str">
            <v>D4-26</v>
          </cell>
        </row>
        <row r="17">
          <cell r="F17" t="str">
            <v>D4-27</v>
          </cell>
        </row>
        <row r="18">
          <cell r="F18" t="str">
            <v>D4-28</v>
          </cell>
        </row>
        <row r="19">
          <cell r="F19" t="str">
            <v>D4-29</v>
          </cell>
        </row>
        <row r="20">
          <cell r="F20" t="str">
            <v>D4-30</v>
          </cell>
        </row>
        <row r="21">
          <cell r="F21" t="str">
            <v>D4-31</v>
          </cell>
        </row>
        <row r="22">
          <cell r="F22" t="str">
            <v>D4-32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底稿目录"/>
      <sheetName val="其他业务毛利率分析表D4-33"/>
      <sheetName val="其他业务收入合同测算表D4-34"/>
      <sheetName val="其他业务收入检查表D4-35"/>
      <sheetName val="其他业务收入截止性测试D4-36"/>
    </sheetNames>
    <sheetDataSet>
      <sheetData sheetId="0">
        <row r="2">
          <cell r="A2" t="str">
            <v>被审计单位：</v>
          </cell>
        </row>
        <row r="3">
          <cell r="A3" t="str">
            <v>会计期间：202X年度</v>
          </cell>
        </row>
        <row r="3">
          <cell r="F3" t="str">
            <v>D4-33</v>
          </cell>
        </row>
        <row r="4">
          <cell r="A4" t="str">
            <v>编制人：</v>
          </cell>
        </row>
        <row r="4">
          <cell r="F4" t="str">
            <v>D4-34</v>
          </cell>
        </row>
        <row r="5">
          <cell r="A5" t="str">
            <v>编制日期：</v>
          </cell>
        </row>
        <row r="5">
          <cell r="F5" t="str">
            <v>D4-35</v>
          </cell>
        </row>
        <row r="6">
          <cell r="A6" t="str">
            <v>复核人：</v>
          </cell>
        </row>
        <row r="6">
          <cell r="F6" t="str">
            <v>D4-36</v>
          </cell>
        </row>
        <row r="7">
          <cell r="A7" t="str">
            <v>复核日期：</v>
          </cell>
        </row>
      </sheetData>
      <sheetData sheetId="1">
        <row r="24">
          <cell r="B24">
            <v>0</v>
          </cell>
        </row>
      </sheetData>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abSelected="1" workbookViewId="0">
      <selection activeCell="A1" sqref="A1"/>
    </sheetView>
  </sheetViews>
  <sheetFormatPr defaultColWidth="9.81818181818182" defaultRowHeight="20.1" customHeight="1" outlineLevelCol="7"/>
  <cols>
    <col min="1" max="1" width="83.3454545454545" style="161" customWidth="1"/>
    <col min="2" max="2" width="2.18181818181818" style="161" customWidth="1"/>
    <col min="3" max="3" width="2.29090909090909" style="161" customWidth="1"/>
    <col min="4" max="4" width="6.65454545454545" style="153" customWidth="1"/>
    <col min="5" max="5" width="29.0181818181818" style="153" customWidth="1"/>
    <col min="6" max="6" width="12" style="153" customWidth="1"/>
    <col min="7" max="7" width="28.4727272727273" style="161" customWidth="1"/>
    <col min="8" max="16384" width="9.81818181818182" style="161"/>
  </cols>
  <sheetData>
    <row r="1" s="153" customFormat="1" customHeight="1" spans="1:8">
      <c r="A1" s="152" t="s">
        <v>0</v>
      </c>
    </row>
    <row r="2" customHeight="1" spans="1:8">
      <c r="A2" s="154" t="s">
        <v>1</v>
      </c>
      <c r="B2" s="155"/>
      <c r="C2" s="155"/>
      <c r="D2" s="156" t="s">
        <v>2</v>
      </c>
      <c r="E2" s="156" t="s">
        <v>3</v>
      </c>
      <c r="F2" s="156" t="s">
        <v>4</v>
      </c>
      <c r="G2" s="155"/>
      <c r="H2" s="155"/>
    </row>
    <row r="3" customHeight="1" spans="1:8">
      <c r="A3" s="482" t="s">
        <v>5</v>
      </c>
      <c r="B3" s="155"/>
      <c r="C3" s="155"/>
      <c r="D3" s="1281">
        <v>1</v>
      </c>
      <c r="E3" s="159" t="s">
        <v>6</v>
      </c>
      <c r="F3" s="160" t="s">
        <v>7</v>
      </c>
      <c r="G3" s="155"/>
      <c r="H3" s="1282"/>
    </row>
    <row r="4" customHeight="1" spans="1:8">
      <c r="A4" s="154" t="s">
        <v>8</v>
      </c>
      <c r="D4" s="1281">
        <v>2</v>
      </c>
      <c r="E4" s="159" t="s">
        <v>9</v>
      </c>
      <c r="F4" s="160" t="s">
        <v>10</v>
      </c>
      <c r="G4" s="155"/>
      <c r="H4" s="155"/>
    </row>
    <row r="5" customHeight="1" spans="1:8">
      <c r="A5" s="154" t="s">
        <v>11</v>
      </c>
      <c r="D5" s="1281">
        <v>3</v>
      </c>
      <c r="E5" s="159" t="s">
        <v>12</v>
      </c>
      <c r="F5" s="160"/>
      <c r="G5" s="1283" t="s">
        <v>13</v>
      </c>
    </row>
    <row r="6" customHeight="1" spans="1:8">
      <c r="A6" s="1284" t="s">
        <v>14</v>
      </c>
      <c r="D6" s="1281">
        <v>4</v>
      </c>
      <c r="E6" s="159" t="s">
        <v>15</v>
      </c>
      <c r="F6" s="160"/>
      <c r="G6" s="1283" t="s">
        <v>13</v>
      </c>
    </row>
    <row r="7" customHeight="1" spans="1:8">
      <c r="A7" s="1284" t="s">
        <v>16</v>
      </c>
      <c r="D7" s="1281">
        <v>5</v>
      </c>
      <c r="E7" s="159" t="s">
        <v>17</v>
      </c>
      <c r="F7" s="160" t="s">
        <v>18</v>
      </c>
      <c r="G7" s="1285"/>
    </row>
    <row r="8" customHeight="1" spans="1:8">
      <c r="A8" s="1286"/>
      <c r="D8" s="1281">
        <v>6</v>
      </c>
      <c r="E8" s="159" t="s">
        <v>19</v>
      </c>
      <c r="F8" s="160" t="s">
        <v>20</v>
      </c>
      <c r="G8" s="1285"/>
    </row>
    <row r="9" customHeight="1" spans="1:8">
      <c r="A9" s="1287" t="s">
        <v>21</v>
      </c>
      <c r="D9" s="1281">
        <v>7</v>
      </c>
      <c r="E9" s="159" t="s">
        <v>22</v>
      </c>
      <c r="F9" s="160" t="s">
        <v>23</v>
      </c>
      <c r="G9" s="1285"/>
    </row>
    <row r="10" customHeight="1" spans="1:8">
      <c r="A10" s="1288" t="s">
        <v>24</v>
      </c>
      <c r="G10" s="1285"/>
    </row>
    <row r="11" customHeight="1" spans="1:8">
      <c r="A11" s="1288"/>
      <c r="G11" s="1285"/>
    </row>
    <row r="12" customHeight="1" spans="1:8">
      <c r="A12" s="1288"/>
    </row>
    <row r="13" customHeight="1" spans="1:8">
      <c r="A13" s="1288"/>
      <c r="G13" s="1289"/>
    </row>
    <row r="14" customHeight="1" spans="1:8">
      <c r="A14" s="1288" t="s">
        <v>25</v>
      </c>
    </row>
    <row r="15" customHeight="1" spans="1:8">
      <c r="A15" s="1288"/>
    </row>
    <row r="16" customHeight="1" spans="1:8">
      <c r="A16" s="1288"/>
    </row>
    <row r="17" customHeight="1" spans="1:1">
      <c r="A17" s="1290" t="s">
        <v>26</v>
      </c>
    </row>
    <row r="18" customHeight="1" spans="1:1">
      <c r="A18" s="1290"/>
    </row>
    <row r="19" customHeight="1" spans="1:1">
      <c r="A19" s="1290"/>
    </row>
  </sheetData>
  <mergeCells count="3">
    <mergeCell ref="A10:A13"/>
    <mergeCell ref="A14:A16"/>
    <mergeCell ref="A17:A19"/>
  </mergeCells>
  <hyperlinks>
    <hyperlink ref="E4" location="'营业收入审定表D4-1'!A1" display="营业收入审定表"/>
    <hyperlink ref="E8" location="'其他业务收入明细表D4-3'!A1" display="其他业务收入明细表"/>
    <hyperlink ref="E3" location="营业收入审计程序表D4A!A1" display="营业收入审计程序表"/>
    <hyperlink ref="E7" location="'主营业务收入明细表D4-2'!Print_Area" display="主营业务收入月度明细表"/>
    <hyperlink ref="E5" location="'附注披露信息（上市公司）'!A1" display="附注披露信息（上市公司）"/>
    <hyperlink ref="E6" location="'附注披露信息（上市公司）'!A1" display="附注披露信息（国企）"/>
    <hyperlink ref="E9" location="'营业收入调整分录汇总D4-4'!A1" display="调整分录汇总表"/>
  </hyperlinks>
  <pageMargins left="0.708333333333333" right="0.708333333333333" top="0.747916666666667" bottom="0.747916666666667" header="0.314583333333333" footer="0.314583333333333"/>
  <pageSetup paperSize="9" scale="73" orientation="portrait" blackAndWhite="1" horizontalDpi="1200" verticalDpi="1200"/>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
  <sheetViews>
    <sheetView view="pageBreakPreview" zoomScaleNormal="100" workbookViewId="0">
      <selection activeCell="A2" sqref="A2:J2"/>
    </sheetView>
  </sheetViews>
  <sheetFormatPr defaultColWidth="9.81818181818182" defaultRowHeight="20.1" customHeight="1"/>
  <cols>
    <col min="1" max="1" width="5.45454545454545" style="1242" customWidth="1"/>
    <col min="2" max="2" width="9.70909090909091" style="1242" customWidth="1"/>
    <col min="3" max="3" width="67.0909090909091" style="1243" customWidth="1"/>
    <col min="4" max="4" width="11.2363636363636" style="1243" customWidth="1"/>
    <col min="5" max="5" width="6" style="1243" customWidth="1"/>
    <col min="6" max="6" width="6.98181818181818" style="1243" customWidth="1"/>
    <col min="7" max="7" width="6.76363636363636" style="1243" customWidth="1"/>
    <col min="8" max="8" width="6.98181818181818" style="1243" customWidth="1"/>
    <col min="9" max="9" width="5.56363636363636" style="1243" customWidth="1"/>
    <col min="10" max="10" width="7.63636363636364" style="1243" customWidth="1"/>
    <col min="11" max="11" width="66.7636363636364" style="1243" customWidth="1"/>
    <col min="12" max="16384" width="9.81818181818182" style="1243"/>
  </cols>
  <sheetData>
    <row r="1" s="1239" customFormat="1" customHeight="1" spans="1:11">
      <c r="A1" s="412" t="s">
        <v>27</v>
      </c>
      <c r="B1" s="412"/>
      <c r="C1" s="412"/>
      <c r="D1" s="412"/>
      <c r="E1" s="412"/>
      <c r="F1" s="412"/>
      <c r="G1" s="412"/>
      <c r="H1" s="412"/>
      <c r="I1" s="412"/>
      <c r="J1" s="412"/>
    </row>
    <row r="2" s="1239" customFormat="1" customHeight="1" spans="1:11">
      <c r="A2" s="413" t="s">
        <v>28</v>
      </c>
      <c r="B2" s="413"/>
      <c r="C2" s="413"/>
      <c r="D2" s="413"/>
      <c r="E2" s="413"/>
      <c r="F2" s="413"/>
      <c r="G2" s="413"/>
      <c r="H2" s="413"/>
      <c r="I2" s="413"/>
      <c r="J2" s="413"/>
    </row>
    <row r="3" s="1240" customFormat="1" customHeight="1" spans="1:11">
      <c r="A3" s="1244" t="str">
        <f>[5]底稿目录!A2</f>
        <v>被审计单位：</v>
      </c>
      <c r="B3" s="1244"/>
      <c r="C3" s="1244"/>
      <c r="D3" s="1240" t="str">
        <f>[5]底稿目录!A4</f>
        <v>编制人：</v>
      </c>
      <c r="F3" s="1240" t="str">
        <f>[5]底稿目录!A5</f>
        <v>编制日期：</v>
      </c>
      <c r="I3" s="1245" t="s">
        <v>29</v>
      </c>
      <c r="J3" s="1018" t="s">
        <v>7</v>
      </c>
    </row>
    <row r="4" s="1240" customFormat="1" customHeight="1" spans="1:11">
      <c r="A4" s="1244" t="str">
        <f>[5]底稿目录!A3</f>
        <v>会计期间：202X年度</v>
      </c>
      <c r="B4" s="1244"/>
      <c r="C4" s="1244"/>
      <c r="D4" s="1240" t="str">
        <f>[5]底稿目录!A6</f>
        <v>复核人：</v>
      </c>
      <c r="F4" s="1240" t="str">
        <f>[5]底稿目录!A7</f>
        <v>复核日期：</v>
      </c>
      <c r="I4" s="1245" t="s">
        <v>30</v>
      </c>
    </row>
    <row r="5" customHeight="1" spans="1:11">
      <c r="A5" s="1246" t="s">
        <v>31</v>
      </c>
      <c r="B5" s="1246"/>
      <c r="C5" s="1246"/>
    </row>
    <row r="6" customHeight="1" spans="1:11">
      <c r="A6" s="1247" t="s">
        <v>32</v>
      </c>
      <c r="B6" s="1247"/>
      <c r="C6" s="1247"/>
      <c r="D6" s="1247"/>
      <c r="E6" s="1247"/>
      <c r="F6" s="1247"/>
      <c r="G6" s="1247"/>
      <c r="H6" s="1247"/>
      <c r="I6" s="1247"/>
      <c r="J6" s="1247"/>
    </row>
    <row r="7" s="1240" customFormat="1" customHeight="1" spans="1:11">
      <c r="A7" s="1246" t="s">
        <v>33</v>
      </c>
      <c r="B7" s="1246"/>
      <c r="C7" s="1246"/>
      <c r="D7" s="1248"/>
    </row>
    <row r="8" s="1240" customFormat="1" ht="19.95" customHeight="1" spans="1:11">
      <c r="A8" s="1249" t="s">
        <v>34</v>
      </c>
      <c r="B8" s="1249"/>
      <c r="C8" s="1249"/>
      <c r="D8" s="1249"/>
      <c r="E8" s="1249"/>
      <c r="F8" s="1249"/>
      <c r="G8" s="1249"/>
      <c r="H8" s="1250" t="s">
        <v>35</v>
      </c>
      <c r="I8" s="1250"/>
      <c r="J8" s="1250"/>
    </row>
    <row r="9" s="1240" customFormat="1" ht="19.95" customHeight="1" spans="1:11">
      <c r="A9" s="1251" t="s">
        <v>36</v>
      </c>
      <c r="B9" s="1251"/>
      <c r="C9" s="1251"/>
      <c r="D9" s="1251"/>
      <c r="E9" s="1251"/>
      <c r="F9" s="1251"/>
      <c r="G9" s="1251"/>
      <c r="H9" s="1252" t="s">
        <v>37</v>
      </c>
      <c r="I9" s="1252"/>
      <c r="J9" s="1252"/>
    </row>
    <row r="10" s="1240" customFormat="1" ht="19.95" customHeight="1" spans="1:11">
      <c r="A10" s="1251" t="s">
        <v>38</v>
      </c>
      <c r="B10" s="1251"/>
      <c r="C10" s="1251"/>
      <c r="D10" s="1251"/>
      <c r="E10" s="1251"/>
      <c r="F10" s="1251"/>
      <c r="G10" s="1251"/>
      <c r="H10" s="1252" t="s">
        <v>39</v>
      </c>
      <c r="I10" s="1252"/>
      <c r="J10" s="1252"/>
    </row>
    <row r="11" s="1240" customFormat="1" ht="19.95" customHeight="1" spans="1:11">
      <c r="A11" s="1251" t="s">
        <v>40</v>
      </c>
      <c r="B11" s="1251"/>
      <c r="C11" s="1251"/>
      <c r="D11" s="1251"/>
      <c r="E11" s="1251"/>
      <c r="F11" s="1251"/>
      <c r="G11" s="1251"/>
      <c r="H11" s="1252" t="s">
        <v>41</v>
      </c>
      <c r="I11" s="1252"/>
      <c r="J11" s="1252"/>
    </row>
    <row r="12" s="1240" customFormat="1" ht="19.95" customHeight="1" spans="1:11">
      <c r="A12" s="1251" t="s">
        <v>42</v>
      </c>
      <c r="B12" s="1251"/>
      <c r="C12" s="1251"/>
      <c r="D12" s="1251"/>
      <c r="E12" s="1251"/>
      <c r="F12" s="1251"/>
      <c r="G12" s="1251"/>
      <c r="H12" s="1252" t="s">
        <v>43</v>
      </c>
      <c r="I12" s="1252"/>
      <c r="J12" s="1252"/>
    </row>
    <row r="13" s="1240" customFormat="1" ht="19.95" customHeight="1" spans="1:11">
      <c r="A13" s="1251" t="s">
        <v>44</v>
      </c>
      <c r="B13" s="1251"/>
      <c r="C13" s="1251"/>
      <c r="D13" s="1251"/>
      <c r="E13" s="1251"/>
      <c r="F13" s="1251"/>
      <c r="G13" s="1251"/>
      <c r="H13" s="1252" t="s">
        <v>45</v>
      </c>
      <c r="I13" s="1252"/>
      <c r="J13" s="1252"/>
    </row>
    <row r="14" s="1240" customFormat="1" customHeight="1" spans="1:11">
      <c r="A14" s="1246" t="s">
        <v>46</v>
      </c>
      <c r="B14" s="1246"/>
      <c r="C14" s="1246"/>
      <c r="D14" s="1248"/>
    </row>
    <row r="15" s="1240" customFormat="1" customHeight="1" spans="1:11">
      <c r="A15" s="1084" t="s">
        <v>2</v>
      </c>
      <c r="B15" s="1071" t="s">
        <v>47</v>
      </c>
      <c r="C15" s="453" t="s">
        <v>48</v>
      </c>
      <c r="D15" s="1071" t="s">
        <v>49</v>
      </c>
      <c r="E15" s="1084" t="s">
        <v>50</v>
      </c>
      <c r="F15" s="1084"/>
      <c r="G15" s="1084"/>
      <c r="H15" s="1084"/>
      <c r="I15" s="1084"/>
      <c r="J15" s="453" t="s">
        <v>51</v>
      </c>
    </row>
    <row r="16" s="1240" customFormat="1" customHeight="1" spans="1:11">
      <c r="A16" s="1084"/>
      <c r="B16" s="1071"/>
      <c r="C16" s="453"/>
      <c r="D16" s="1071"/>
      <c r="E16" s="1249" t="s">
        <v>37</v>
      </c>
      <c r="F16" s="1249" t="s">
        <v>39</v>
      </c>
      <c r="G16" s="1249" t="s">
        <v>41</v>
      </c>
      <c r="H16" s="1249" t="s">
        <v>43</v>
      </c>
      <c r="I16" s="1249" t="s">
        <v>45</v>
      </c>
      <c r="J16" s="454"/>
      <c r="K16" s="1253" t="s">
        <v>52</v>
      </c>
    </row>
    <row r="17" ht="60.6" customHeight="1" spans="1:15">
      <c r="A17" s="1254" t="s">
        <v>53</v>
      </c>
      <c r="B17" s="1255" t="s">
        <v>54</v>
      </c>
      <c r="C17" s="1256" t="s">
        <v>55</v>
      </c>
      <c r="D17" s="1257" t="s">
        <v>56</v>
      </c>
      <c r="E17" s="1258" t="s">
        <v>57</v>
      </c>
      <c r="F17" s="1258" t="s">
        <v>57</v>
      </c>
      <c r="G17" s="1259" t="s">
        <v>57</v>
      </c>
      <c r="H17" s="1258"/>
      <c r="I17" s="1260"/>
      <c r="J17" s="1261" t="s">
        <v>58</v>
      </c>
    </row>
    <row r="18" ht="38.4" customHeight="1" spans="1:15">
      <c r="A18" s="1254" t="s">
        <v>59</v>
      </c>
      <c r="B18" s="1255" t="s">
        <v>54</v>
      </c>
      <c r="C18" s="1256" t="s">
        <v>60</v>
      </c>
      <c r="D18" s="1257" t="s">
        <v>61</v>
      </c>
      <c r="E18" s="1262" t="s">
        <v>57</v>
      </c>
      <c r="F18" s="1262" t="s">
        <v>57</v>
      </c>
      <c r="G18" s="1263" t="s">
        <v>57</v>
      </c>
      <c r="H18" s="1263"/>
      <c r="I18" s="1260"/>
      <c r="J18" s="1261" t="s">
        <v>62</v>
      </c>
    </row>
    <row r="19" ht="55.2" customHeight="1" spans="1:15">
      <c r="A19" s="1254" t="s">
        <v>63</v>
      </c>
      <c r="B19" s="1264" t="s">
        <v>64</v>
      </c>
      <c r="C19" s="1265" t="s">
        <v>65</v>
      </c>
      <c r="D19" s="1266" t="s">
        <v>56</v>
      </c>
      <c r="E19" s="1267"/>
      <c r="F19" s="1268" t="s">
        <v>66</v>
      </c>
      <c r="G19" s="1261" t="s">
        <v>67</v>
      </c>
      <c r="H19" s="1261"/>
      <c r="I19" s="1267"/>
      <c r="J19" s="1269" t="s">
        <v>68</v>
      </c>
      <c r="K19" s="1270" t="s">
        <v>69</v>
      </c>
    </row>
    <row r="20" ht="73.8" customHeight="1" spans="1:15">
      <c r="A20" s="1254" t="s">
        <v>70</v>
      </c>
      <c r="B20" s="1255" t="s">
        <v>71</v>
      </c>
      <c r="C20" s="1271" t="s">
        <v>72</v>
      </c>
      <c r="D20" s="1257" t="s">
        <v>61</v>
      </c>
      <c r="E20" s="1268" t="s">
        <v>66</v>
      </c>
      <c r="F20" s="1261" t="s">
        <v>67</v>
      </c>
      <c r="G20" s="1261" t="s">
        <v>67</v>
      </c>
      <c r="H20" s="1268" t="s">
        <v>66</v>
      </c>
      <c r="I20" s="1261"/>
      <c r="J20" s="1261"/>
      <c r="K20" s="1270" t="s">
        <v>73</v>
      </c>
    </row>
    <row r="21" s="1241" customFormat="1" ht="55.5" customHeight="1" spans="1:15">
      <c r="A21" s="1254" t="s">
        <v>74</v>
      </c>
      <c r="B21" s="1255" t="s">
        <v>75</v>
      </c>
      <c r="C21" s="1256" t="s">
        <v>76</v>
      </c>
      <c r="D21" s="1257" t="s">
        <v>56</v>
      </c>
      <c r="E21" s="1261" t="s">
        <v>67</v>
      </c>
      <c r="F21" s="1261"/>
      <c r="G21" s="1268" t="s">
        <v>66</v>
      </c>
      <c r="H21" s="1261"/>
      <c r="I21" s="1261"/>
      <c r="J21" s="1261" t="s">
        <v>77</v>
      </c>
      <c r="K21" s="1272" t="s">
        <v>78</v>
      </c>
    </row>
    <row r="22" ht="273" customHeight="1" spans="1:15">
      <c r="A22" s="1254" t="s">
        <v>79</v>
      </c>
      <c r="B22" s="1255" t="s">
        <v>80</v>
      </c>
      <c r="C22" s="1271" t="s">
        <v>81</v>
      </c>
      <c r="D22" s="1257" t="s">
        <v>56</v>
      </c>
      <c r="E22" s="1268" t="s">
        <v>66</v>
      </c>
      <c r="F22" s="1261" t="s">
        <v>67</v>
      </c>
      <c r="G22" s="1261" t="s">
        <v>67</v>
      </c>
      <c r="H22" s="1261"/>
      <c r="I22" s="1261"/>
      <c r="J22" s="1261" t="s">
        <v>82</v>
      </c>
    </row>
    <row r="23" s="1241" customFormat="1" ht="208.8" customHeight="1" spans="1:15">
      <c r="A23" s="1254" t="s">
        <v>83</v>
      </c>
      <c r="B23" s="1255" t="s">
        <v>84</v>
      </c>
      <c r="C23" s="1271" t="s">
        <v>85</v>
      </c>
      <c r="D23" s="1257" t="s">
        <v>56</v>
      </c>
      <c r="E23" s="1268" t="s">
        <v>66</v>
      </c>
      <c r="F23" s="1261"/>
      <c r="G23" s="1261" t="s">
        <v>67</v>
      </c>
      <c r="H23" s="1261"/>
      <c r="I23" s="1261"/>
      <c r="J23" s="1261" t="s">
        <v>86</v>
      </c>
      <c r="L23" s="1243"/>
      <c r="M23" s="1243"/>
      <c r="N23" s="1243"/>
      <c r="O23" s="1243"/>
    </row>
    <row r="24" s="1241" customFormat="1" ht="56.4" customHeight="1" spans="1:15">
      <c r="A24" s="1254" t="s">
        <v>87</v>
      </c>
      <c r="B24" s="1255" t="s">
        <v>88</v>
      </c>
      <c r="C24" s="1273" t="s">
        <v>89</v>
      </c>
      <c r="D24" s="1257" t="s">
        <v>56</v>
      </c>
      <c r="E24" s="1268" t="s">
        <v>66</v>
      </c>
      <c r="F24" s="1261"/>
      <c r="G24" s="1261" t="s">
        <v>67</v>
      </c>
      <c r="H24" s="1261" t="s">
        <v>67</v>
      </c>
      <c r="I24" s="1261"/>
      <c r="J24" s="1274" t="s">
        <v>90</v>
      </c>
      <c r="L24" s="1243"/>
      <c r="M24" s="1243"/>
      <c r="N24" s="1243"/>
      <c r="O24" s="1243"/>
    </row>
    <row r="25" ht="67.8" customHeight="1" spans="1:15">
      <c r="A25" s="1254" t="s">
        <v>91</v>
      </c>
      <c r="B25" s="1255" t="s">
        <v>88</v>
      </c>
      <c r="C25" s="1275" t="s">
        <v>92</v>
      </c>
      <c r="D25" s="1257" t="s">
        <v>61</v>
      </c>
      <c r="E25" s="1268" t="s">
        <v>66</v>
      </c>
      <c r="F25" s="1261"/>
      <c r="G25" s="1261" t="s">
        <v>67</v>
      </c>
      <c r="H25" s="1261" t="s">
        <v>67</v>
      </c>
      <c r="I25" s="1261"/>
      <c r="J25" s="1261" t="s">
        <v>93</v>
      </c>
      <c r="K25" s="1241"/>
    </row>
    <row r="26" s="1241" customFormat="1" ht="42" customHeight="1" spans="1:15">
      <c r="A26" s="1254" t="s">
        <v>94</v>
      </c>
      <c r="B26" s="1255" t="s">
        <v>88</v>
      </c>
      <c r="C26" s="1276" t="s">
        <v>95</v>
      </c>
      <c r="D26" s="1257" t="s">
        <v>61</v>
      </c>
      <c r="E26" s="1268" t="s">
        <v>66</v>
      </c>
      <c r="F26" s="1261"/>
      <c r="G26" s="1257" t="s">
        <v>57</v>
      </c>
      <c r="H26" s="1261"/>
      <c r="I26" s="1261"/>
      <c r="J26" s="1274"/>
      <c r="L26" s="1243"/>
      <c r="M26" s="1243"/>
      <c r="N26" s="1243"/>
      <c r="O26" s="1243"/>
    </row>
    <row r="27" s="1241" customFormat="1" ht="136.8" customHeight="1" spans="1:15">
      <c r="A27" s="1254" t="s">
        <v>96</v>
      </c>
      <c r="B27" s="1255" t="s">
        <v>88</v>
      </c>
      <c r="C27" s="1275" t="s">
        <v>97</v>
      </c>
      <c r="D27" s="1257" t="s">
        <v>61</v>
      </c>
      <c r="E27" s="1268" t="s">
        <v>66</v>
      </c>
      <c r="F27" s="1261"/>
      <c r="G27" s="1257" t="s">
        <v>57</v>
      </c>
      <c r="H27" s="1261" t="s">
        <v>67</v>
      </c>
      <c r="I27" s="1261"/>
      <c r="J27" s="1274"/>
      <c r="L27" s="1243"/>
      <c r="M27" s="1243"/>
      <c r="N27" s="1243"/>
      <c r="O27" s="1243"/>
    </row>
    <row r="28" s="1241" customFormat="1" ht="160.5" customHeight="1" spans="1:15">
      <c r="A28" s="1254" t="s">
        <v>98</v>
      </c>
      <c r="B28" s="1255" t="s">
        <v>88</v>
      </c>
      <c r="C28" s="1271" t="s">
        <v>99</v>
      </c>
      <c r="D28" s="1257" t="s">
        <v>56</v>
      </c>
      <c r="E28" s="1261"/>
      <c r="F28" s="1261"/>
      <c r="G28" s="1261"/>
      <c r="H28" s="1268" t="s">
        <v>66</v>
      </c>
      <c r="I28" s="1261"/>
      <c r="J28" s="1261" t="s">
        <v>100</v>
      </c>
      <c r="L28" s="1243"/>
      <c r="M28" s="1243"/>
      <c r="N28" s="1243"/>
      <c r="O28" s="1243"/>
    </row>
    <row r="29" s="1241" customFormat="1" ht="102.75" customHeight="1" spans="1:15">
      <c r="A29" s="1254" t="s">
        <v>101</v>
      </c>
      <c r="B29" s="1255" t="s">
        <v>88</v>
      </c>
      <c r="C29" s="1271" t="s">
        <v>102</v>
      </c>
      <c r="D29" s="1257" t="s">
        <v>56</v>
      </c>
      <c r="E29" s="1261"/>
      <c r="F29" s="1261"/>
      <c r="G29" s="1277" t="s">
        <v>57</v>
      </c>
      <c r="H29" s="1268"/>
      <c r="I29" s="1261"/>
      <c r="J29" s="1261" t="s">
        <v>103</v>
      </c>
    </row>
    <row r="30" s="1241" customFormat="1" ht="57" customHeight="1" spans="1:15">
      <c r="A30" s="1254" t="s">
        <v>104</v>
      </c>
      <c r="B30" s="1255" t="s">
        <v>88</v>
      </c>
      <c r="C30" s="1271" t="s">
        <v>105</v>
      </c>
      <c r="D30" s="1257" t="s">
        <v>56</v>
      </c>
      <c r="E30" s="1277" t="s">
        <v>57</v>
      </c>
      <c r="F30" s="1261"/>
      <c r="G30" s="1257" t="s">
        <v>57</v>
      </c>
      <c r="H30" s="1257" t="s">
        <v>57</v>
      </c>
      <c r="I30" s="1261"/>
      <c r="J30" s="1274" t="s">
        <v>106</v>
      </c>
    </row>
    <row r="31" s="1241" customFormat="1" ht="125.4" customHeight="1" spans="1:15">
      <c r="A31" s="1254" t="s">
        <v>107</v>
      </c>
      <c r="B31" s="1255" t="s">
        <v>108</v>
      </c>
      <c r="C31" s="1276" t="s">
        <v>109</v>
      </c>
      <c r="D31" s="1257" t="s">
        <v>56</v>
      </c>
      <c r="E31" s="1268" t="s">
        <v>66</v>
      </c>
      <c r="F31" s="1261" t="s">
        <v>67</v>
      </c>
      <c r="G31" s="1268" t="s">
        <v>66</v>
      </c>
      <c r="H31" s="1261"/>
      <c r="I31" s="1261" t="s">
        <v>67</v>
      </c>
      <c r="J31" s="1274" t="s">
        <v>110</v>
      </c>
      <c r="L31" s="1243"/>
      <c r="M31" s="1243"/>
      <c r="N31" s="1243"/>
      <c r="O31" s="1243"/>
    </row>
    <row r="32" s="1241" customFormat="1" ht="37.8" customHeight="1" spans="1:15">
      <c r="A32" s="1254" t="s">
        <v>111</v>
      </c>
      <c r="B32" s="1255"/>
      <c r="C32" s="1276" t="s">
        <v>112</v>
      </c>
      <c r="D32" s="1263" t="s">
        <v>113</v>
      </c>
      <c r="E32" s="1268"/>
      <c r="F32" s="1261"/>
      <c r="G32" s="1268"/>
      <c r="H32" s="1261"/>
      <c r="I32" s="1261"/>
      <c r="J32" s="1274" t="s">
        <v>114</v>
      </c>
      <c r="L32" s="1243"/>
      <c r="M32" s="1243"/>
      <c r="N32" s="1243"/>
      <c r="O32" s="1243"/>
    </row>
    <row r="33" s="1241" customFormat="1" ht="36" customHeight="1" spans="1:15">
      <c r="A33" s="1254" t="s">
        <v>115</v>
      </c>
      <c r="B33" s="1255"/>
      <c r="C33" s="1271" t="s">
        <v>116</v>
      </c>
      <c r="D33" s="1257" t="s">
        <v>56</v>
      </c>
      <c r="E33" s="1261"/>
      <c r="F33" s="1261"/>
      <c r="G33" s="1261"/>
      <c r="H33" s="1261"/>
      <c r="I33" s="1261" t="s">
        <v>67</v>
      </c>
      <c r="J33" s="1261" t="s">
        <v>117</v>
      </c>
      <c r="L33" s="1243"/>
      <c r="M33" s="1243"/>
      <c r="N33" s="1243"/>
      <c r="O33" s="1243"/>
    </row>
    <row r="34" s="1241" customFormat="1" customHeight="1" spans="1:15">
      <c r="A34" s="1254"/>
      <c r="B34" s="1255"/>
      <c r="C34" s="1278" t="s">
        <v>118</v>
      </c>
      <c r="D34" s="1257"/>
      <c r="E34" s="1261"/>
      <c r="F34" s="1261"/>
      <c r="G34" s="1261"/>
      <c r="H34" s="1268"/>
      <c r="I34" s="1261"/>
      <c r="J34" s="1274"/>
    </row>
    <row r="35" s="1241" customFormat="1" ht="45.75" customHeight="1" spans="1:15">
      <c r="A35" s="456">
        <v>18</v>
      </c>
      <c r="B35" s="1255" t="s">
        <v>75</v>
      </c>
      <c r="C35" s="1271" t="s">
        <v>119</v>
      </c>
      <c r="D35" s="1257" t="s">
        <v>56</v>
      </c>
      <c r="E35" s="1268" t="s">
        <v>66</v>
      </c>
      <c r="F35" s="1261"/>
      <c r="G35" s="1261"/>
      <c r="H35" s="1268"/>
      <c r="I35" s="1261"/>
      <c r="J35" s="1261" t="s">
        <v>120</v>
      </c>
    </row>
    <row r="36" s="1241" customFormat="1" ht="44.4" customHeight="1" spans="1:15">
      <c r="A36" s="456">
        <v>19</v>
      </c>
      <c r="B36" s="1255" t="s">
        <v>80</v>
      </c>
      <c r="C36" s="1271" t="s">
        <v>121</v>
      </c>
      <c r="D36" s="1257" t="s">
        <v>56</v>
      </c>
      <c r="E36" s="1268" t="s">
        <v>66</v>
      </c>
      <c r="F36" s="1261" t="s">
        <v>67</v>
      </c>
      <c r="G36" s="1257" t="s">
        <v>57</v>
      </c>
      <c r="H36" s="1261"/>
      <c r="I36" s="1261"/>
      <c r="J36" s="1274" t="s">
        <v>122</v>
      </c>
    </row>
    <row r="37" s="1241" customFormat="1" ht="30.75" customHeight="1" spans="1:15">
      <c r="A37" s="456">
        <v>20</v>
      </c>
      <c r="B37" s="1255" t="s">
        <v>88</v>
      </c>
      <c r="C37" s="1271" t="s">
        <v>123</v>
      </c>
      <c r="D37" s="1257" t="s">
        <v>56</v>
      </c>
      <c r="E37" s="1268" t="s">
        <v>66</v>
      </c>
      <c r="F37" s="1261" t="s">
        <v>67</v>
      </c>
      <c r="G37" s="1277" t="s">
        <v>57</v>
      </c>
      <c r="H37" s="1261" t="s">
        <v>67</v>
      </c>
      <c r="I37" s="1261"/>
      <c r="J37" s="1274" t="s">
        <v>124</v>
      </c>
    </row>
    <row r="38" s="1241" customFormat="1" ht="30.75" customHeight="1" spans="1:15">
      <c r="A38" s="456">
        <v>21</v>
      </c>
      <c r="B38" s="1255" t="s">
        <v>88</v>
      </c>
      <c r="C38" s="1271" t="s">
        <v>125</v>
      </c>
      <c r="D38" s="1257" t="s">
        <v>56</v>
      </c>
      <c r="E38" s="1268" t="s">
        <v>66</v>
      </c>
      <c r="F38" s="1261"/>
      <c r="G38" s="1268" t="s">
        <v>66</v>
      </c>
      <c r="H38" s="1261" t="s">
        <v>67</v>
      </c>
      <c r="I38" s="1261"/>
      <c r="J38" s="1274" t="s">
        <v>126</v>
      </c>
    </row>
    <row r="39" s="1241" customFormat="1" ht="55.8" customHeight="1" spans="1:15">
      <c r="A39" s="456">
        <v>22</v>
      </c>
      <c r="B39" s="1255" t="s">
        <v>88</v>
      </c>
      <c r="C39" s="1271" t="s">
        <v>127</v>
      </c>
      <c r="D39" s="1257" t="s">
        <v>56</v>
      </c>
      <c r="E39" s="1261"/>
      <c r="F39" s="1261"/>
      <c r="G39" s="1261"/>
      <c r="H39" s="1268" t="s">
        <v>66</v>
      </c>
      <c r="I39" s="1261"/>
      <c r="J39" s="1274" t="s">
        <v>128</v>
      </c>
    </row>
    <row r="40" customHeight="1" spans="1:15">
      <c r="B40" s="1279"/>
    </row>
    <row r="43" customHeight="1" spans="1:15">
      <c r="C43" s="1280"/>
    </row>
  </sheetData>
  <mergeCells count="25">
    <mergeCell ref="A1:J1"/>
    <mergeCell ref="A2:J2"/>
    <mergeCell ref="A3:C3"/>
    <mergeCell ref="A4:C4"/>
    <mergeCell ref="A5:C5"/>
    <mergeCell ref="A6:J6"/>
    <mergeCell ref="A8:G8"/>
    <mergeCell ref="H8:J8"/>
    <mergeCell ref="A9:G9"/>
    <mergeCell ref="H9:J9"/>
    <mergeCell ref="A10:G10"/>
    <mergeCell ref="H10:J10"/>
    <mergeCell ref="A11:G11"/>
    <mergeCell ref="H11:J11"/>
    <mergeCell ref="A12:G12"/>
    <mergeCell ref="H12:J12"/>
    <mergeCell ref="A13:G13"/>
    <mergeCell ref="H13:J13"/>
    <mergeCell ref="A14:C14"/>
    <mergeCell ref="E15:H15"/>
    <mergeCell ref="A15:A16"/>
    <mergeCell ref="B15:B16"/>
    <mergeCell ref="C15:C16"/>
    <mergeCell ref="D15:D16"/>
    <mergeCell ref="J15:J16"/>
  </mergeCells>
  <hyperlinks>
    <hyperlink ref="J3" location="底稿目录!Print_Area" display="D4A"/>
  </hyperlinks>
  <pageMargins left="0.708333333333333" right="0.708333333333333" top="0.747916666666667" bottom="0.747916666666667" header="0.314583333333333" footer="0.314583333333333"/>
  <pageSetup paperSize="9" scale="67" orientation="portrait" blackAndWhite="1" horizontalDpi="1200" verticalDpi="1200"/>
  <headerFooter alignWithMargins="0">
    <oddFooter>&amp;C&amp;P/&amp;N</oddFooter>
  </headerFooter>
  <rowBreaks count="1" manualBreakCount="1">
    <brk id="23" max="9"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0"/>
  <sheetViews>
    <sheetView view="pageBreakPreview" zoomScaleNormal="130" workbookViewId="0">
      <selection activeCell="F8" sqref="F8"/>
    </sheetView>
  </sheetViews>
  <sheetFormatPr defaultColWidth="9.81818181818182" defaultRowHeight="20.1" customHeight="1"/>
  <cols>
    <col min="1" max="1" width="26.1818181818182" style="263" customWidth="1"/>
    <col min="2" max="9" width="14.6181818181818" style="263" customWidth="1"/>
    <col min="10" max="16384" width="9.81818181818182" style="263"/>
  </cols>
  <sheetData>
    <row r="1" customHeight="1" spans="1:9">
      <c r="A1" s="1196" t="s">
        <v>27</v>
      </c>
      <c r="B1" s="1196"/>
      <c r="C1" s="1196"/>
      <c r="D1" s="1196"/>
      <c r="E1" s="1196"/>
      <c r="F1" s="1196"/>
      <c r="G1" s="1196"/>
      <c r="H1" s="1196"/>
      <c r="I1" s="1196"/>
    </row>
    <row r="2" customHeight="1" spans="1:9">
      <c r="A2" s="1197" t="s">
        <v>9</v>
      </c>
      <c r="B2" s="1197"/>
      <c r="C2" s="1197"/>
      <c r="D2" s="1197"/>
      <c r="E2" s="1197"/>
      <c r="F2" s="1197"/>
      <c r="G2" s="1197"/>
      <c r="H2" s="1197"/>
      <c r="I2" s="1197"/>
    </row>
    <row r="3" customHeight="1" spans="1:9">
      <c r="A3" s="263" t="str">
        <f>[5]底稿目录!A2</f>
        <v>被审计单位：</v>
      </c>
      <c r="C3" s="264" t="str">
        <f>[5]底稿目录!A4</f>
        <v>编制人：</v>
      </c>
      <c r="D3" s="264"/>
      <c r="E3" s="264"/>
      <c r="F3" s="263" t="str">
        <f>[5]底稿目录!A5</f>
        <v>编制日期：</v>
      </c>
      <c r="H3" s="644" t="s">
        <v>29</v>
      </c>
      <c r="I3" s="1018" t="s">
        <v>10</v>
      </c>
    </row>
    <row r="4" customHeight="1" spans="1:9">
      <c r="A4" s="263" t="str">
        <f>[5]底稿目录!A3</f>
        <v>会计期间：202X年度</v>
      </c>
      <c r="C4" s="264" t="str">
        <f>[5]底稿目录!A6</f>
        <v>复核人：</v>
      </c>
      <c r="D4" s="264"/>
      <c r="E4" s="264"/>
      <c r="F4" s="263" t="str">
        <f>[5]底稿目录!A7</f>
        <v>复核日期：</v>
      </c>
      <c r="H4" s="644" t="s">
        <v>129</v>
      </c>
      <c r="I4" s="1198"/>
    </row>
    <row r="5" customHeight="1" spans="1:9">
      <c r="A5" s="1199" t="s">
        <v>130</v>
      </c>
      <c r="B5" s="1200" t="s">
        <v>131</v>
      </c>
      <c r="C5" s="1200"/>
      <c r="D5" s="1200"/>
      <c r="E5" s="1200"/>
      <c r="F5" s="1200" t="s">
        <v>132</v>
      </c>
      <c r="G5" s="1200"/>
      <c r="H5" s="1200"/>
      <c r="I5" s="1200"/>
    </row>
    <row r="6" customHeight="1" spans="1:9">
      <c r="A6" s="1199"/>
      <c r="B6" s="1199" t="s">
        <v>133</v>
      </c>
      <c r="C6" s="1199" t="s">
        <v>134</v>
      </c>
      <c r="D6" s="1199" t="s">
        <v>135</v>
      </c>
      <c r="E6" s="1199" t="s">
        <v>136</v>
      </c>
      <c r="F6" s="1199" t="s">
        <v>133</v>
      </c>
      <c r="G6" s="1199" t="s">
        <v>134</v>
      </c>
      <c r="H6" s="1199" t="s">
        <v>135</v>
      </c>
      <c r="I6" s="1199" t="s">
        <v>136</v>
      </c>
    </row>
    <row r="7" customHeight="1" spans="1:9">
      <c r="A7" s="1201" t="s">
        <v>137</v>
      </c>
      <c r="B7" s="1202"/>
      <c r="C7" s="1202"/>
      <c r="D7" s="1202"/>
      <c r="E7" s="1203"/>
      <c r="F7" s="1202"/>
      <c r="G7" s="1202"/>
      <c r="H7" s="1202"/>
      <c r="I7" s="1203"/>
    </row>
    <row r="8" customHeight="1" spans="1:9">
      <c r="A8" s="1204"/>
      <c r="B8" s="1205"/>
      <c r="C8" s="1205"/>
      <c r="D8" s="1205"/>
      <c r="E8" s="1206">
        <f t="shared" ref="E8:E11" si="0">SUM(B8:D8)</f>
        <v>0</v>
      </c>
      <c r="F8" s="1205"/>
      <c r="G8" s="1205"/>
      <c r="H8" s="1205"/>
      <c r="I8" s="1206">
        <f t="shared" ref="I8:I11" si="1">SUM(F8:H8)</f>
        <v>0</v>
      </c>
    </row>
    <row r="9" customHeight="1" spans="1:9">
      <c r="A9" s="1204"/>
      <c r="B9" s="1205"/>
      <c r="C9" s="1205"/>
      <c r="D9" s="1205"/>
      <c r="E9" s="1206">
        <f t="shared" si="0"/>
        <v>0</v>
      </c>
      <c r="F9" s="1205"/>
      <c r="G9" s="1205"/>
      <c r="H9" s="1205"/>
      <c r="I9" s="1206">
        <f t="shared" si="1"/>
        <v>0</v>
      </c>
    </row>
    <row r="10" customHeight="1" spans="1:9">
      <c r="A10" s="1204"/>
      <c r="B10" s="1205"/>
      <c r="C10" s="1205"/>
      <c r="D10" s="1205"/>
      <c r="E10" s="1206">
        <f t="shared" si="0"/>
        <v>0</v>
      </c>
      <c r="F10" s="1205"/>
      <c r="G10" s="1205"/>
      <c r="H10" s="1205"/>
      <c r="I10" s="1206">
        <f t="shared" si="1"/>
        <v>0</v>
      </c>
    </row>
    <row r="11" customHeight="1" spans="1:9">
      <c r="A11" s="1207"/>
      <c r="B11" s="1205"/>
      <c r="C11" s="1205"/>
      <c r="D11" s="1205"/>
      <c r="E11" s="1206">
        <f t="shared" si="0"/>
        <v>0</v>
      </c>
      <c r="F11" s="1205"/>
      <c r="G11" s="1205"/>
      <c r="H11" s="1205"/>
      <c r="I11" s="1206">
        <f t="shared" si="1"/>
        <v>0</v>
      </c>
    </row>
    <row r="12" customHeight="1" spans="1:9">
      <c r="A12" s="1208" t="s">
        <v>138</v>
      </c>
      <c r="B12" s="1209">
        <f t="shared" ref="B12:I12" si="2">SUM(B8:B11)</f>
        <v>0</v>
      </c>
      <c r="C12" s="1209">
        <f t="shared" si="2"/>
        <v>0</v>
      </c>
      <c r="D12" s="1209">
        <f t="shared" si="2"/>
        <v>0</v>
      </c>
      <c r="E12" s="1209">
        <f>B12+C12+D12</f>
        <v>0</v>
      </c>
      <c r="F12" s="1209">
        <f t="shared" si="2"/>
        <v>0</v>
      </c>
      <c r="G12" s="1209">
        <f t="shared" si="2"/>
        <v>0</v>
      </c>
      <c r="H12" s="1209">
        <f t="shared" si="2"/>
        <v>0</v>
      </c>
      <c r="I12" s="1209">
        <f t="shared" si="2"/>
        <v>0</v>
      </c>
    </row>
    <row r="13" customHeight="1" spans="1:9">
      <c r="A13" s="1201" t="s">
        <v>139</v>
      </c>
      <c r="B13" s="1210"/>
      <c r="C13" s="1210"/>
      <c r="D13" s="1210"/>
      <c r="E13" s="1206"/>
      <c r="F13" s="1210"/>
      <c r="G13" s="1210"/>
      <c r="H13" s="1210"/>
      <c r="I13" s="1206"/>
    </row>
    <row r="14" customHeight="1" spans="1:9">
      <c r="A14" s="1204"/>
      <c r="B14" s="1205"/>
      <c r="C14" s="1205"/>
      <c r="D14" s="1205"/>
      <c r="E14" s="1206">
        <f t="shared" ref="E14:E17" si="3">SUM(B14:D14)</f>
        <v>0</v>
      </c>
      <c r="F14" s="1205"/>
      <c r="G14" s="1205"/>
      <c r="H14" s="1205"/>
      <c r="I14" s="1206">
        <f t="shared" ref="I14:I17" si="4">SUM(F14:H14)</f>
        <v>0</v>
      </c>
    </row>
    <row r="15" customHeight="1" spans="1:9">
      <c r="A15" s="1204"/>
      <c r="B15" s="1205"/>
      <c r="C15" s="1205"/>
      <c r="D15" s="1205"/>
      <c r="E15" s="1206">
        <f t="shared" si="3"/>
        <v>0</v>
      </c>
      <c r="F15" s="1205"/>
      <c r="G15" s="1205"/>
      <c r="H15" s="1205"/>
      <c r="I15" s="1206">
        <f t="shared" si="4"/>
        <v>0</v>
      </c>
    </row>
    <row r="16" customHeight="1" spans="1:9">
      <c r="A16" s="1204"/>
      <c r="B16" s="1205"/>
      <c r="C16" s="1205"/>
      <c r="D16" s="1205"/>
      <c r="E16" s="1206">
        <f t="shared" si="3"/>
        <v>0</v>
      </c>
      <c r="F16" s="1205"/>
      <c r="G16" s="1205"/>
      <c r="H16" s="1205"/>
      <c r="I16" s="1206">
        <f t="shared" si="4"/>
        <v>0</v>
      </c>
    </row>
    <row r="17" customHeight="1" spans="1:9">
      <c r="A17" s="1204"/>
      <c r="B17" s="1205"/>
      <c r="C17" s="1205"/>
      <c r="D17" s="1205"/>
      <c r="E17" s="1206">
        <f t="shared" si="3"/>
        <v>0</v>
      </c>
      <c r="F17" s="1205"/>
      <c r="G17" s="1205"/>
      <c r="H17" s="1205"/>
      <c r="I17" s="1206">
        <f t="shared" si="4"/>
        <v>0</v>
      </c>
    </row>
    <row r="18" customHeight="1" spans="1:9">
      <c r="A18" s="1208" t="s">
        <v>138</v>
      </c>
      <c r="B18" s="1209">
        <f t="shared" ref="B18:I18" si="5">SUM(B14:B17)</f>
        <v>0</v>
      </c>
      <c r="C18" s="1209">
        <f t="shared" si="5"/>
        <v>0</v>
      </c>
      <c r="D18" s="1209">
        <f t="shared" si="5"/>
        <v>0</v>
      </c>
      <c r="E18" s="1209">
        <f t="shared" si="5"/>
        <v>0</v>
      </c>
      <c r="F18" s="1209">
        <f t="shared" si="5"/>
        <v>0</v>
      </c>
      <c r="G18" s="1209">
        <f t="shared" si="5"/>
        <v>0</v>
      </c>
      <c r="H18" s="1209">
        <f t="shared" si="5"/>
        <v>0</v>
      </c>
      <c r="I18" s="1209">
        <f t="shared" si="5"/>
        <v>0</v>
      </c>
    </row>
    <row r="19" customHeight="1" spans="1:9">
      <c r="A19" s="1208" t="s">
        <v>140</v>
      </c>
      <c r="B19" s="1209">
        <f t="shared" ref="B19:I19" si="6">B18+B12</f>
        <v>0</v>
      </c>
      <c r="C19" s="1209">
        <f t="shared" si="6"/>
        <v>0</v>
      </c>
      <c r="D19" s="1209">
        <f t="shared" si="6"/>
        <v>0</v>
      </c>
      <c r="E19" s="1209">
        <f t="shared" si="6"/>
        <v>0</v>
      </c>
      <c r="F19" s="1209">
        <f t="shared" si="6"/>
        <v>0</v>
      </c>
      <c r="G19" s="1209">
        <f t="shared" si="6"/>
        <v>0</v>
      </c>
      <c r="H19" s="1209">
        <f t="shared" si="6"/>
        <v>0</v>
      </c>
      <c r="I19" s="1209">
        <f t="shared" si="6"/>
        <v>0</v>
      </c>
    </row>
    <row r="20" s="1194" customFormat="1" customHeight="1" spans="1:9">
      <c r="A20" s="1211" t="s">
        <v>141</v>
      </c>
      <c r="B20" s="1212"/>
      <c r="C20" s="1212"/>
      <c r="D20" s="1212"/>
      <c r="E20" s="1212"/>
      <c r="F20" s="1212"/>
      <c r="G20" s="1212"/>
      <c r="H20" s="1212"/>
      <c r="I20" s="1212"/>
    </row>
    <row r="21" s="1194" customFormat="1" customHeight="1" spans="1:9">
      <c r="A21" s="1211" t="s">
        <v>142</v>
      </c>
      <c r="B21" s="1212"/>
      <c r="C21" s="1212"/>
      <c r="D21" s="1212"/>
      <c r="E21" s="1213">
        <f>E19-E20</f>
        <v>0</v>
      </c>
      <c r="F21" s="1212"/>
      <c r="G21" s="1212"/>
      <c r="H21" s="1212"/>
      <c r="I21" s="1213">
        <f>I19-I20</f>
        <v>0</v>
      </c>
    </row>
    <row r="22" customHeight="1" spans="1:9">
      <c r="A22" s="1214" t="s">
        <v>143</v>
      </c>
      <c r="B22" s="264"/>
      <c r="C22" s="264"/>
      <c r="D22" s="264"/>
      <c r="E22" s="1215" t="s">
        <v>144</v>
      </c>
      <c r="F22" s="1216"/>
      <c r="H22" s="1215"/>
      <c r="I22" s="1216"/>
    </row>
    <row r="23" customHeight="1" spans="1:9">
      <c r="A23" s="1217" t="s">
        <v>145</v>
      </c>
      <c r="B23" s="1217"/>
      <c r="C23" s="1217"/>
      <c r="D23" s="1217"/>
      <c r="E23" s="1217"/>
      <c r="F23" s="1217"/>
      <c r="G23" s="1217"/>
      <c r="H23" s="1217"/>
      <c r="I23" s="1217"/>
    </row>
    <row r="24" customHeight="1" spans="1:9">
      <c r="A24" s="1217" t="s">
        <v>146</v>
      </c>
      <c r="B24" s="1217"/>
      <c r="C24" s="1217"/>
      <c r="D24" s="1217"/>
      <c r="E24" s="1217"/>
      <c r="F24" s="1217"/>
      <c r="G24" s="1217"/>
      <c r="H24" s="1217"/>
      <c r="I24" s="1217"/>
    </row>
    <row r="25" customHeight="1" spans="1:9">
      <c r="A25" s="1217"/>
      <c r="B25" s="1217"/>
      <c r="C25" s="1217"/>
      <c r="D25" s="1217"/>
      <c r="E25" s="1217"/>
      <c r="F25" s="1217"/>
      <c r="G25" s="1217"/>
      <c r="H25" s="1217"/>
      <c r="I25" s="1217"/>
    </row>
    <row r="26" customHeight="1" spans="1:9">
      <c r="A26" s="1217" t="s">
        <v>147</v>
      </c>
      <c r="B26" s="1217"/>
      <c r="C26" s="1217"/>
      <c r="D26" s="1217"/>
      <c r="E26" s="1217"/>
      <c r="F26" s="1217"/>
      <c r="G26" s="1217"/>
      <c r="H26" s="1217"/>
      <c r="I26" s="1217"/>
    </row>
    <row r="27" customHeight="1" spans="1:9">
      <c r="A27" s="1217"/>
      <c r="B27" s="1218"/>
      <c r="C27" s="1218"/>
      <c r="D27" s="1218"/>
      <c r="E27" s="1218"/>
      <c r="F27" s="1218"/>
      <c r="G27" s="1218"/>
      <c r="H27" s="1218"/>
      <c r="I27" s="1218"/>
    </row>
    <row r="28" customHeight="1" spans="1:9">
      <c r="A28" s="1219" t="s">
        <v>148</v>
      </c>
      <c r="B28" s="1220"/>
      <c r="C28" s="1220"/>
      <c r="D28" s="1220"/>
      <c r="E28" s="1220"/>
      <c r="F28" s="1218"/>
      <c r="G28" s="1218"/>
      <c r="H28" s="1218"/>
      <c r="I28" s="1218"/>
    </row>
    <row r="29" customHeight="1" spans="1:9">
      <c r="A29" s="1221" t="s">
        <v>149</v>
      </c>
      <c r="B29" s="1221"/>
      <c r="C29" s="1221" t="s">
        <v>150</v>
      </c>
      <c r="D29" s="1221"/>
      <c r="E29" s="1222" t="s">
        <v>51</v>
      </c>
      <c r="F29" s="1218"/>
      <c r="G29" s="1218"/>
      <c r="H29" s="1218"/>
      <c r="I29" s="1218"/>
    </row>
    <row r="30" customHeight="1" spans="1:9">
      <c r="A30" s="1223"/>
      <c r="B30" s="1224"/>
      <c r="C30" s="1225"/>
      <c r="D30" s="1226"/>
      <c r="E30" s="1227"/>
      <c r="F30" s="1218"/>
      <c r="G30" s="1218"/>
      <c r="H30" s="1218"/>
      <c r="I30" s="1218"/>
    </row>
    <row r="31" customHeight="1" spans="1:9">
      <c r="A31" s="1223"/>
      <c r="B31" s="1224"/>
      <c r="C31" s="1225"/>
      <c r="D31" s="1226"/>
      <c r="E31" s="1227"/>
      <c r="F31" s="1218"/>
      <c r="G31" s="1218"/>
      <c r="H31" s="1218"/>
      <c r="I31" s="1218"/>
    </row>
    <row r="32" customHeight="1" spans="1:9">
      <c r="A32" s="1223"/>
      <c r="B32" s="1224"/>
      <c r="C32" s="1225"/>
      <c r="D32" s="1226"/>
      <c r="E32" s="1227"/>
      <c r="F32" s="1218"/>
      <c r="G32" s="1218"/>
      <c r="H32" s="1218"/>
      <c r="I32" s="1218"/>
    </row>
    <row r="33" customHeight="1" spans="1:9">
      <c r="A33" s="1223"/>
      <c r="B33" s="1224"/>
      <c r="C33" s="1225"/>
      <c r="D33" s="1226"/>
      <c r="E33" s="1227"/>
      <c r="F33" s="1218"/>
      <c r="G33" s="1218"/>
      <c r="H33" s="1218"/>
      <c r="I33" s="1218"/>
    </row>
    <row r="34" customHeight="1" spans="1:9">
      <c r="A34" s="1223"/>
      <c r="B34" s="1224"/>
      <c r="C34" s="1225"/>
      <c r="D34" s="1226"/>
      <c r="E34" s="1227"/>
      <c r="F34" s="1228"/>
      <c r="G34" s="1228"/>
      <c r="H34" s="1228"/>
      <c r="I34" s="1228"/>
    </row>
    <row r="35" customHeight="1" spans="1:9">
      <c r="A35" s="1223"/>
      <c r="B35" s="1224"/>
      <c r="C35" s="1225"/>
      <c r="D35" s="1226"/>
      <c r="E35" s="1227"/>
      <c r="F35" s="1217"/>
      <c r="G35" s="1217"/>
      <c r="H35" s="1217"/>
      <c r="I35" s="1217"/>
    </row>
    <row r="36" customHeight="1" spans="1:9">
      <c r="A36" s="1229" t="s">
        <v>151</v>
      </c>
      <c r="B36" s="1230"/>
      <c r="C36" s="1231"/>
      <c r="D36" s="1231"/>
      <c r="E36" s="1232"/>
      <c r="F36" s="1233"/>
      <c r="G36" s="1233"/>
      <c r="H36" s="1233"/>
      <c r="I36" s="1233"/>
    </row>
    <row r="37" customHeight="1" spans="1:9">
      <c r="A37" s="1234" t="s">
        <v>152</v>
      </c>
      <c r="B37" s="1233"/>
      <c r="C37" s="1233"/>
      <c r="D37" s="1233"/>
      <c r="E37" s="1233"/>
      <c r="F37" s="1233"/>
      <c r="G37" s="1233"/>
      <c r="H37" s="1233"/>
      <c r="I37" s="1233"/>
    </row>
    <row r="39" s="1195" customFormat="1" customHeight="1" spans="1:9">
      <c r="A39" s="1235" t="s">
        <v>153</v>
      </c>
    </row>
    <row r="40" s="1195" customFormat="1" customHeight="1" spans="1:9">
      <c r="A40" s="1195" t="s">
        <v>154</v>
      </c>
    </row>
    <row r="41" s="1195" customFormat="1" customHeight="1" spans="1:9">
      <c r="A41" s="1195" t="s">
        <v>155</v>
      </c>
    </row>
    <row r="42" s="1195" customFormat="1" customHeight="1" spans="1:9">
      <c r="A42" s="1235" t="s">
        <v>156</v>
      </c>
    </row>
    <row r="43" s="1195" customFormat="1" customHeight="1"/>
    <row r="44" s="1195" customFormat="1" customHeight="1"/>
    <row r="45" s="1195" customFormat="1" customHeight="1"/>
    <row r="46" s="1195" customFormat="1" customHeight="1"/>
    <row r="47" s="1195" customFormat="1" customHeight="1"/>
    <row r="48" s="1195" customFormat="1" customHeight="1"/>
    <row r="49" s="1195" customFormat="1" customHeight="1" spans="1:2">
      <c r="A49" s="1236"/>
    </row>
    <row r="50" s="1195" customFormat="1" customHeight="1"/>
    <row r="51" s="1195" customFormat="1" customHeight="1"/>
    <row r="52" customHeight="1" spans="1:2">
      <c r="A52" s="1195"/>
    </row>
    <row r="53" customHeight="1" spans="1:2">
      <c r="A53" s="1195"/>
    </row>
    <row r="54" customHeight="1" spans="1:2">
      <c r="A54" s="1195"/>
    </row>
    <row r="55" customHeight="1" spans="1:2">
      <c r="A55" s="1195"/>
    </row>
    <row r="56" customHeight="1" spans="1:2">
      <c r="A56" s="1195"/>
    </row>
    <row r="58" customHeight="1" spans="1:2">
      <c r="A58" s="1195"/>
    </row>
    <row r="59" customHeight="1" spans="1:2">
      <c r="A59" s="1236"/>
    </row>
    <row r="60" customHeight="1" spans="1:2">
      <c r="A60" s="1237"/>
      <c r="B60" s="1195"/>
    </row>
    <row r="61" customHeight="1" spans="1:2">
      <c r="A61" s="1237"/>
      <c r="B61" s="1195"/>
    </row>
    <row r="62" customHeight="1" spans="1:2">
      <c r="A62" s="1237"/>
      <c r="B62" s="1195"/>
    </row>
    <row r="74" customHeight="1" spans="1:1">
      <c r="A74" s="1238" t="s">
        <v>157</v>
      </c>
    </row>
    <row r="75" customHeight="1" spans="1:1">
      <c r="A75" s="1238" t="s">
        <v>158</v>
      </c>
    </row>
    <row r="76" customHeight="1" spans="1:1">
      <c r="A76" s="1238" t="s">
        <v>159</v>
      </c>
    </row>
    <row r="77" customHeight="1" spans="1:1">
      <c r="A77" s="1238" t="s">
        <v>160</v>
      </c>
    </row>
    <row r="78" customHeight="1" spans="1:1">
      <c r="A78" s="1238" t="s">
        <v>161</v>
      </c>
    </row>
    <row r="79" customHeight="1" spans="1:1">
      <c r="A79" s="1238" t="s">
        <v>162</v>
      </c>
    </row>
    <row r="80" customHeight="1" spans="1:1">
      <c r="A80" s="1238" t="s">
        <v>163</v>
      </c>
    </row>
  </sheetData>
  <mergeCells count="19">
    <mergeCell ref="A1:I1"/>
    <mergeCell ref="A2:I2"/>
    <mergeCell ref="B5:E5"/>
    <mergeCell ref="F5:I5"/>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5:A6"/>
  </mergeCells>
  <hyperlinks>
    <hyperlink ref="I3" location="底稿目录!Print_Area" display="D4-1"/>
  </hyperlinks>
  <pageMargins left="0.708333333333333" right="0.708333333333333" top="0.747916666666667" bottom="0.747916666666667" header="0.314583333333333" footer="0.314583333333333"/>
  <pageSetup paperSize="9" scale="62" orientation="portrait" blackAndWhite="1" horizontalDpi="1200" verticalDpi="1200"/>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view="pageBreakPreview" zoomScaleNormal="60" workbookViewId="0">
      <pane xSplit="1" ySplit="8" topLeftCell="B9" activePane="bottomRight" state="frozen"/>
      <selection/>
      <selection pane="topRight"/>
      <selection pane="bottomLeft"/>
      <selection pane="bottomRight" activeCell="A1" sqref="A1:I1"/>
    </sheetView>
  </sheetViews>
  <sheetFormatPr defaultColWidth="8.94545454545455" defaultRowHeight="20.1" customHeight="1"/>
  <cols>
    <col min="1" max="1" width="35.1272727272727" style="1152" customWidth="1"/>
    <col min="2" max="2" width="18.7636363636364" style="1153" customWidth="1"/>
    <col min="3" max="3" width="20.4" style="1153" customWidth="1"/>
    <col min="4" max="4" width="22.5818181818182" style="1153" customWidth="1"/>
    <col min="5" max="5" width="21.7090909090909" style="1153" customWidth="1"/>
    <col min="6" max="6" width="9.70909090909091" style="1153" customWidth="1"/>
    <col min="7" max="7" width="8.94545454545455" style="1153" customWidth="1"/>
    <col min="8" max="16384" width="8.94545454545455" style="1153"/>
  </cols>
  <sheetData>
    <row r="1" customHeight="1" spans="1:9">
      <c r="A1" s="1096" t="s">
        <v>164</v>
      </c>
      <c r="B1" s="1096"/>
      <c r="C1" s="1096"/>
      <c r="D1" s="1096"/>
      <c r="E1" s="1096"/>
      <c r="F1" s="1096"/>
      <c r="G1" s="1096"/>
      <c r="H1" s="1096"/>
      <c r="I1" s="1096"/>
    </row>
    <row r="2" customHeight="1" spans="1:9">
      <c r="A2" s="1097" t="s">
        <v>12</v>
      </c>
      <c r="B2" s="1098"/>
      <c r="C2" s="1098"/>
      <c r="D2" s="1098"/>
      <c r="E2" s="1098"/>
      <c r="F2" s="1098"/>
      <c r="G2" s="1098"/>
      <c r="H2" s="1098"/>
      <c r="I2" s="1098"/>
    </row>
    <row r="3" customHeight="1" spans="1:9">
      <c r="A3" s="1099" t="s">
        <v>165</v>
      </c>
      <c r="B3" s="1099"/>
      <c r="C3" s="1099" t="s">
        <v>8</v>
      </c>
      <c r="D3" s="1099"/>
      <c r="E3" s="1099" t="s">
        <v>11</v>
      </c>
      <c r="F3" s="1099"/>
      <c r="G3" s="1099"/>
      <c r="H3" s="1099"/>
      <c r="I3" s="1100" t="s">
        <v>29</v>
      </c>
    </row>
    <row r="4" customHeight="1" spans="1:9">
      <c r="A4" s="1099" t="s">
        <v>166</v>
      </c>
      <c r="B4" s="1099"/>
      <c r="C4" s="1099" t="s">
        <v>14</v>
      </c>
      <c r="D4" s="1099"/>
      <c r="E4" s="1099" t="s">
        <v>16</v>
      </c>
      <c r="F4" s="1099"/>
      <c r="G4" s="1099"/>
      <c r="H4" s="1099"/>
      <c r="I4" s="1101" t="s">
        <v>167</v>
      </c>
    </row>
    <row r="6" ht="25.5" customHeight="1" spans="1:9">
      <c r="A6" s="1154" t="s">
        <v>168</v>
      </c>
      <c r="B6" s="1155"/>
      <c r="C6" s="1155"/>
      <c r="D6" s="1156"/>
      <c r="E6" s="1157"/>
      <c r="F6" s="1158"/>
    </row>
    <row r="7" ht="29.25" customHeight="1" spans="1:9">
      <c r="A7" s="1159" t="s">
        <v>169</v>
      </c>
    </row>
    <row r="8" s="1149" customFormat="1" ht="20.25" customHeight="1" spans="1:9">
      <c r="A8" s="1160" t="s">
        <v>170</v>
      </c>
      <c r="B8" s="1161" t="s">
        <v>171</v>
      </c>
      <c r="C8" s="1107"/>
      <c r="D8" s="1161" t="s">
        <v>172</v>
      </c>
      <c r="E8" s="1107"/>
      <c r="F8" s="1153"/>
    </row>
    <row r="9" ht="15.75" spans="1:9">
      <c r="A9" s="1108"/>
      <c r="B9" s="1162" t="s">
        <v>173</v>
      </c>
      <c r="C9" s="1162" t="s">
        <v>174</v>
      </c>
      <c r="D9" s="1162" t="s">
        <v>173</v>
      </c>
      <c r="E9" s="1162" t="s">
        <v>174</v>
      </c>
      <c r="G9" s="1163"/>
      <c r="H9" s="1163"/>
    </row>
    <row r="10" ht="15.5" spans="1:9">
      <c r="A10" s="1164" t="s">
        <v>175</v>
      </c>
      <c r="B10" s="1165"/>
      <c r="C10" s="1165"/>
      <c r="D10" s="1165"/>
      <c r="E10" s="1165"/>
      <c r="G10" s="1163"/>
      <c r="H10" s="1163"/>
    </row>
    <row r="11" ht="16.25" spans="1:9">
      <c r="A11" s="1166" t="s">
        <v>176</v>
      </c>
      <c r="B11" s="1167"/>
      <c r="C11" s="1167"/>
      <c r="D11" s="1167"/>
      <c r="E11" s="1167"/>
      <c r="G11" s="1163"/>
      <c r="H11" s="1163"/>
    </row>
    <row r="12" ht="16.25" spans="1:9">
      <c r="A12" s="1168" t="s">
        <v>177</v>
      </c>
      <c r="B12" s="1169">
        <f>SUM(B10:B11)</f>
        <v>0</v>
      </c>
      <c r="C12" s="1169">
        <f>SUM(C10:C11)</f>
        <v>0</v>
      </c>
      <c r="D12" s="1169">
        <f>SUM(D10:D11)</f>
        <v>0</v>
      </c>
      <c r="E12" s="1169">
        <f>SUM(E10:E11)</f>
        <v>0</v>
      </c>
      <c r="G12" s="1163"/>
      <c r="H12" s="1163"/>
    </row>
    <row r="13" ht="15" spans="1:9">
      <c r="A13" s="1137" t="s">
        <v>178</v>
      </c>
      <c r="G13" s="1163"/>
      <c r="H13" s="1163"/>
    </row>
    <row r="14" ht="15.5" spans="1:9">
      <c r="A14" s="1170" t="s">
        <v>179</v>
      </c>
      <c r="G14" s="1163"/>
      <c r="H14" s="1163"/>
    </row>
    <row r="15" ht="15" spans="1:9">
      <c r="A15" s="1148" t="s">
        <v>180</v>
      </c>
      <c r="G15" s="1163"/>
      <c r="H15" s="1163"/>
    </row>
    <row r="16" ht="15" spans="1:9">
      <c r="A16" s="1148" t="s">
        <v>181</v>
      </c>
      <c r="G16" s="1163"/>
      <c r="H16" s="1163"/>
    </row>
    <row r="17" ht="15.5" spans="1:8">
      <c r="A17" s="1170" t="s">
        <v>182</v>
      </c>
      <c r="G17" s="1163"/>
      <c r="H17" s="1163"/>
    </row>
    <row r="18" s="1150" customFormat="1" ht="16.5" spans="1:8">
      <c r="A18" s="1170" t="s">
        <v>183</v>
      </c>
      <c r="B18" s="1153"/>
      <c r="C18" s="1153"/>
      <c r="D18" s="1153"/>
      <c r="E18" s="1153"/>
      <c r="F18" s="1153"/>
    </row>
    <row r="19" s="1150" customFormat="1" ht="16.5" spans="1:8">
      <c r="A19" s="1170" t="s">
        <v>184</v>
      </c>
      <c r="B19" s="1153"/>
      <c r="C19" s="1153"/>
      <c r="D19" s="1153"/>
      <c r="E19" s="1153"/>
      <c r="F19" s="1153"/>
    </row>
    <row r="20" s="1151" customFormat="1" ht="16.5" customHeight="1" spans="1:8">
      <c r="A20" s="1159" t="s">
        <v>185</v>
      </c>
      <c r="B20" s="1153"/>
      <c r="C20" s="1153"/>
      <c r="D20" s="1153"/>
      <c r="E20" s="1153"/>
      <c r="F20" s="1153"/>
    </row>
    <row r="21" ht="15.75" spans="1:8">
      <c r="A21" s="1140" t="s">
        <v>186</v>
      </c>
      <c r="B21" s="1171" t="s">
        <v>171</v>
      </c>
      <c r="C21" s="1107"/>
      <c r="D21" s="1171" t="s">
        <v>172</v>
      </c>
      <c r="E21" s="1107"/>
    </row>
    <row r="22" ht="29.25" customHeight="1" spans="1:8">
      <c r="A22" s="1108"/>
      <c r="B22" s="1136" t="s">
        <v>173</v>
      </c>
      <c r="C22" s="1136" t="s">
        <v>174</v>
      </c>
      <c r="D22" s="1136" t="s">
        <v>173</v>
      </c>
      <c r="E22" s="1162" t="s">
        <v>174</v>
      </c>
    </row>
    <row r="23" s="1149" customFormat="1" ht="20.25" customHeight="1" spans="1:8">
      <c r="A23" s="1137" t="s">
        <v>187</v>
      </c>
      <c r="B23" s="1139"/>
      <c r="C23" s="1139"/>
      <c r="D23" s="1139"/>
      <c r="E23" s="1172"/>
      <c r="F23" s="1153"/>
    </row>
    <row r="24" ht="15" spans="1:8">
      <c r="A24" s="1173" t="s">
        <v>188</v>
      </c>
      <c r="B24" s="1174"/>
      <c r="C24" s="1174"/>
      <c r="D24" s="1174"/>
      <c r="E24" s="1174"/>
      <c r="G24" s="1163"/>
      <c r="H24" s="1163"/>
    </row>
    <row r="25" ht="15" spans="1:8">
      <c r="A25" s="1173" t="s">
        <v>189</v>
      </c>
      <c r="B25" s="1174"/>
      <c r="C25" s="1174"/>
      <c r="D25" s="1174"/>
      <c r="E25" s="1174"/>
      <c r="G25" s="1163"/>
      <c r="H25" s="1163"/>
    </row>
    <row r="26" ht="15" spans="1:8">
      <c r="A26" s="1173" t="s">
        <v>190</v>
      </c>
      <c r="B26" s="1174"/>
      <c r="C26" s="1174"/>
      <c r="D26" s="1174"/>
      <c r="E26" s="1174"/>
      <c r="G26" s="1163"/>
      <c r="H26" s="1163"/>
    </row>
    <row r="27" ht="15.5" spans="1:8">
      <c r="A27" s="1175" t="s">
        <v>191</v>
      </c>
      <c r="B27" s="1139"/>
      <c r="C27" s="1139"/>
      <c r="D27" s="1139"/>
      <c r="E27" s="1172"/>
      <c r="G27" s="1163"/>
      <c r="H27" s="1163"/>
    </row>
    <row r="28" ht="15.5" spans="1:8">
      <c r="A28" s="1175"/>
      <c r="B28" s="1139"/>
      <c r="C28" s="1139"/>
      <c r="D28" s="1139"/>
      <c r="E28" s="1172"/>
      <c r="G28" s="1163"/>
      <c r="H28" s="1163"/>
    </row>
    <row r="29" s="1150" customFormat="1" ht="15.5" spans="1:8">
      <c r="A29" s="1137" t="s">
        <v>192</v>
      </c>
      <c r="B29" s="1138">
        <f>SUM(B24:B28)-B24-B25-B26</f>
        <v>0</v>
      </c>
      <c r="C29" s="1138">
        <f>SUM(C24:C28)-C24-C25-C26</f>
        <v>0</v>
      </c>
      <c r="D29" s="1138">
        <f>SUM(D24:D28)-D24-D25-D26</f>
        <v>0</v>
      </c>
      <c r="E29" s="1138">
        <f>SUM(E24:E28)-E24-E25-E26</f>
        <v>0</v>
      </c>
      <c r="F29" s="1153"/>
    </row>
    <row r="30" s="1151" customFormat="1" ht="16.5" customHeight="1" spans="1:8">
      <c r="A30" s="1137" t="s">
        <v>193</v>
      </c>
      <c r="B30" s="1139"/>
      <c r="C30" s="1139"/>
      <c r="D30" s="1139"/>
      <c r="E30" s="1172"/>
      <c r="F30" s="1153"/>
    </row>
    <row r="31" ht="15.5" spans="1:8">
      <c r="A31" s="1173" t="s">
        <v>160</v>
      </c>
      <c r="B31" s="1139"/>
      <c r="C31" s="1139"/>
      <c r="D31" s="1139"/>
      <c r="E31" s="1172"/>
    </row>
    <row r="32" ht="29.25" customHeight="1" spans="1:8">
      <c r="A32" s="1173" t="s">
        <v>194</v>
      </c>
      <c r="B32" s="1139"/>
      <c r="C32" s="1139"/>
      <c r="D32" s="1139"/>
      <c r="E32" s="1172"/>
    </row>
    <row r="33" s="1149" customFormat="1" ht="20.25" customHeight="1" spans="1:9">
      <c r="A33" s="1176" t="s">
        <v>192</v>
      </c>
      <c r="B33" s="1177">
        <f>SUM(B31:B32)</f>
        <v>0</v>
      </c>
      <c r="C33" s="1177">
        <f>SUM(C31:C32)</f>
        <v>0</v>
      </c>
      <c r="D33" s="1177">
        <f>SUM(D31:D32)</f>
        <v>0</v>
      </c>
      <c r="E33" s="1177">
        <f>SUM(E31:E32)</f>
        <v>0</v>
      </c>
      <c r="F33" s="1153"/>
    </row>
    <row r="34" ht="16.25" spans="1:9">
      <c r="A34" s="1178" t="s">
        <v>177</v>
      </c>
      <c r="B34" s="1179">
        <f>B29+B33</f>
        <v>0</v>
      </c>
      <c r="C34" s="1179">
        <f>C29+C33</f>
        <v>0</v>
      </c>
      <c r="D34" s="1179">
        <f>D29+D33</f>
        <v>0</v>
      </c>
      <c r="E34" s="1179">
        <f>E29+E33</f>
        <v>0</v>
      </c>
      <c r="G34" s="1163"/>
      <c r="H34" s="1163"/>
    </row>
    <row r="35" ht="17.25" spans="1:9">
      <c r="A35" s="1159" t="s">
        <v>195</v>
      </c>
      <c r="G35" s="1163"/>
      <c r="H35" s="1163"/>
    </row>
    <row r="36" ht="15.75" spans="1:9">
      <c r="A36" s="1140" t="s">
        <v>196</v>
      </c>
      <c r="B36" s="1171" t="s">
        <v>171</v>
      </c>
      <c r="C36" s="1107"/>
      <c r="D36" s="1171" t="s">
        <v>172</v>
      </c>
      <c r="E36" s="1107"/>
      <c r="G36" s="1163"/>
      <c r="H36" s="1163"/>
    </row>
    <row r="37" ht="15.75" spans="1:9">
      <c r="A37" s="1108"/>
      <c r="B37" s="1136" t="s">
        <v>197</v>
      </c>
      <c r="C37" s="1136" t="s">
        <v>198</v>
      </c>
      <c r="D37" s="1136" t="s">
        <v>197</v>
      </c>
      <c r="E37" s="1162" t="s">
        <v>198</v>
      </c>
      <c r="G37" s="1163"/>
      <c r="H37" s="1163"/>
    </row>
    <row r="38" ht="15.5" spans="1:9">
      <c r="A38" s="1173" t="s">
        <v>199</v>
      </c>
      <c r="B38" s="1138"/>
      <c r="C38" s="1138"/>
      <c r="D38" s="1138"/>
      <c r="E38" s="1138"/>
      <c r="G38" s="1163"/>
      <c r="H38" s="1163"/>
    </row>
    <row r="39" ht="15.5" spans="1:9">
      <c r="A39" s="1173" t="s">
        <v>200</v>
      </c>
      <c r="B39" s="1138"/>
      <c r="C39" s="1138"/>
      <c r="D39" s="1138"/>
      <c r="E39" s="1138"/>
      <c r="G39" s="1163"/>
      <c r="H39" s="1163"/>
    </row>
    <row r="40" ht="29.25" customHeight="1" spans="1:9">
      <c r="A40" s="1173" t="s">
        <v>201</v>
      </c>
      <c r="B40" s="1138"/>
      <c r="C40" s="1138"/>
      <c r="D40" s="1138"/>
      <c r="E40" s="1138"/>
    </row>
    <row r="41" ht="15.5" spans="1:9">
      <c r="A41" s="1175" t="s">
        <v>191</v>
      </c>
      <c r="B41" s="1139"/>
      <c r="C41" s="1139"/>
      <c r="D41" s="1139"/>
      <c r="E41" s="1172"/>
      <c r="G41" s="1163"/>
      <c r="H41" s="1163"/>
    </row>
    <row r="42" ht="16.25" spans="1:9">
      <c r="A42" s="1180"/>
      <c r="B42" s="1181"/>
      <c r="C42" s="1181"/>
      <c r="D42" s="1181"/>
      <c r="E42" s="1182"/>
      <c r="G42" s="1163"/>
      <c r="H42" s="1163"/>
    </row>
    <row r="43" ht="16.25" spans="1:9">
      <c r="A43" s="1178" t="s">
        <v>192</v>
      </c>
      <c r="B43" s="1183">
        <f>B40+B39+B38</f>
        <v>0</v>
      </c>
      <c r="C43" s="1183">
        <f>C40+C39+C38</f>
        <v>0</v>
      </c>
      <c r="D43" s="1183">
        <f>D40+D39+D38</f>
        <v>0</v>
      </c>
      <c r="E43" s="1183">
        <f>E40+E39+E38</f>
        <v>0</v>
      </c>
      <c r="G43" s="1163"/>
      <c r="H43" s="1163"/>
    </row>
    <row r="44" ht="17.25" spans="1:9">
      <c r="A44" s="1159" t="s">
        <v>202</v>
      </c>
      <c r="G44" s="1163"/>
      <c r="H44" s="1163"/>
    </row>
    <row r="45" ht="15.75" spans="1:9">
      <c r="A45" s="1130"/>
      <c r="B45" s="1131" t="s">
        <v>171</v>
      </c>
      <c r="C45" s="1131"/>
      <c r="D45" s="1131"/>
      <c r="E45" s="1131"/>
      <c r="F45" s="1131"/>
      <c r="G45" s="1131"/>
      <c r="H45" s="1131"/>
      <c r="I45" s="1131"/>
    </row>
    <row r="46" ht="15.75" spans="1:9">
      <c r="A46" s="1132"/>
      <c r="B46" s="1133" t="s">
        <v>188</v>
      </c>
      <c r="C46" s="1133"/>
      <c r="D46" s="1133" t="s">
        <v>189</v>
      </c>
      <c r="E46" s="1133"/>
      <c r="F46" s="1134" t="s">
        <v>190</v>
      </c>
      <c r="G46" s="1134"/>
      <c r="H46" s="1134" t="s">
        <v>203</v>
      </c>
      <c r="I46" s="1134"/>
    </row>
    <row r="47" ht="15.75" spans="1:9">
      <c r="A47" s="1135"/>
      <c r="B47" s="1136" t="s">
        <v>173</v>
      </c>
      <c r="C47" s="1136" t="s">
        <v>174</v>
      </c>
      <c r="D47" s="1136" t="s">
        <v>173</v>
      </c>
      <c r="E47" s="1136" t="s">
        <v>174</v>
      </c>
      <c r="F47" s="1136" t="s">
        <v>173</v>
      </c>
      <c r="G47" s="1136" t="s">
        <v>174</v>
      </c>
      <c r="H47" s="1136" t="s">
        <v>173</v>
      </c>
      <c r="I47" s="1136" t="s">
        <v>174</v>
      </c>
    </row>
    <row r="48" ht="15.5" spans="1:9">
      <c r="A48" s="1137" t="s">
        <v>175</v>
      </c>
      <c r="B48" s="1138">
        <f t="shared" ref="B48:F48" si="0">SUM(B49:B51)</f>
        <v>0</v>
      </c>
      <c r="C48" s="1138">
        <f t="shared" si="0"/>
        <v>0</v>
      </c>
      <c r="D48" s="1138"/>
      <c r="E48" s="1138"/>
      <c r="F48" s="1138">
        <f t="shared" si="0"/>
        <v>0</v>
      </c>
      <c r="G48" s="1138"/>
      <c r="H48" s="1138"/>
      <c r="I48" s="1138">
        <f>SUM(I49:I51)</f>
        <v>0</v>
      </c>
    </row>
    <row r="49" ht="15.5" spans="1:9">
      <c r="A49" s="1137" t="s">
        <v>204</v>
      </c>
      <c r="B49" s="1138"/>
      <c r="C49" s="1138"/>
      <c r="D49" s="1138"/>
      <c r="E49" s="1138"/>
      <c r="F49" s="1138"/>
      <c r="G49" s="1138"/>
      <c r="H49" s="1138"/>
      <c r="I49" s="1138"/>
    </row>
    <row r="50" s="1150" customFormat="1" ht="15.5" spans="1:9">
      <c r="A50" s="1137" t="s">
        <v>205</v>
      </c>
      <c r="B50" s="1138"/>
      <c r="C50" s="1138"/>
      <c r="D50" s="1138"/>
      <c r="E50" s="1138"/>
      <c r="F50" s="1138"/>
      <c r="G50" s="1138"/>
      <c r="H50" s="1138"/>
      <c r="I50" s="1138"/>
    </row>
    <row r="51" s="1151" customFormat="1" ht="16.5" customHeight="1" spans="1:9">
      <c r="A51" s="1137"/>
      <c r="B51" s="1138"/>
      <c r="C51" s="1138"/>
      <c r="D51" s="1138"/>
      <c r="E51" s="1138"/>
      <c r="F51" s="1138"/>
      <c r="G51" s="1138"/>
      <c r="H51" s="1138"/>
      <c r="I51" s="1138"/>
    </row>
    <row r="52" ht="15.5" spans="1:9">
      <c r="A52" s="1137" t="s">
        <v>176</v>
      </c>
      <c r="B52" s="1138">
        <f t="shared" ref="B52:F52" si="1">SUM(B53:B55)</f>
        <v>0</v>
      </c>
      <c r="C52" s="1138">
        <f t="shared" si="1"/>
        <v>0</v>
      </c>
      <c r="D52" s="1138"/>
      <c r="E52" s="1138"/>
      <c r="F52" s="1138">
        <f t="shared" si="1"/>
        <v>0</v>
      </c>
      <c r="G52" s="1138"/>
      <c r="H52" s="1138"/>
      <c r="I52" s="1138">
        <f>SUM(I53:I55)</f>
        <v>0</v>
      </c>
    </row>
    <row r="53" ht="15.5" spans="1:9">
      <c r="A53" s="1137" t="s">
        <v>204</v>
      </c>
      <c r="B53" s="1138"/>
      <c r="C53" s="1139"/>
      <c r="D53" s="1139"/>
      <c r="E53" s="1139"/>
      <c r="F53" s="1139"/>
      <c r="G53" s="1139"/>
      <c r="H53" s="1139"/>
      <c r="I53" s="1139"/>
    </row>
    <row r="54" ht="15.5" spans="1:9">
      <c r="A54" s="1137" t="s">
        <v>205</v>
      </c>
      <c r="B54" s="1139"/>
      <c r="C54" s="1139"/>
      <c r="D54" s="1139"/>
      <c r="E54" s="1139"/>
      <c r="F54" s="1139"/>
      <c r="G54" s="1139"/>
      <c r="H54" s="1139"/>
      <c r="I54" s="1139"/>
    </row>
    <row r="55" ht="16.25" spans="1:9">
      <c r="A55" s="1137" t="s">
        <v>206</v>
      </c>
      <c r="B55" s="1139"/>
      <c r="C55" s="1139"/>
      <c r="D55" s="1139"/>
      <c r="E55" s="1139"/>
      <c r="F55" s="1139"/>
      <c r="G55" s="1139"/>
      <c r="H55" s="1139"/>
      <c r="I55" s="1139"/>
    </row>
    <row r="56" ht="16.25" spans="1:9">
      <c r="A56" s="1140" t="s">
        <v>177</v>
      </c>
      <c r="B56" s="1141">
        <f t="shared" ref="B56:F56" si="2">B52+B48</f>
        <v>0</v>
      </c>
      <c r="C56" s="1141">
        <f t="shared" si="2"/>
        <v>0</v>
      </c>
      <c r="D56" s="1141"/>
      <c r="E56" s="1141"/>
      <c r="F56" s="1141">
        <f t="shared" si="2"/>
        <v>0</v>
      </c>
      <c r="G56" s="1141"/>
      <c r="H56" s="1141"/>
      <c r="I56" s="1141">
        <f>I52+I48</f>
        <v>0</v>
      </c>
    </row>
    <row r="57" ht="15" spans="1:9">
      <c r="A57" s="1148" t="s">
        <v>207</v>
      </c>
    </row>
    <row r="58" ht="16.5" spans="1:9">
      <c r="A58" s="1184" t="s">
        <v>208</v>
      </c>
    </row>
    <row r="59" ht="16.5" spans="1:9">
      <c r="A59" s="1184" t="s">
        <v>209</v>
      </c>
    </row>
    <row r="60" ht="16.5" spans="1:9">
      <c r="A60" s="1184" t="s">
        <v>210</v>
      </c>
    </row>
    <row r="61" ht="15" spans="1:9">
      <c r="A61" s="1148" t="s">
        <v>211</v>
      </c>
    </row>
    <row r="62" ht="16.5" spans="1:9">
      <c r="A62" s="1185" t="s">
        <v>212</v>
      </c>
    </row>
    <row r="63" ht="15.5" spans="1:9">
      <c r="A63" s="1159" t="s">
        <v>213</v>
      </c>
    </row>
    <row r="64" ht="15" spans="1:9">
      <c r="A64" s="1148" t="s">
        <v>214</v>
      </c>
    </row>
    <row r="65" ht="15.5" spans="1:4">
      <c r="A65" s="1159" t="s">
        <v>215</v>
      </c>
    </row>
    <row r="66" ht="15" spans="1:4">
      <c r="A66" s="1148" t="s">
        <v>216</v>
      </c>
    </row>
    <row r="67" ht="15.75" spans="1:4">
      <c r="A67" s="1137" t="s">
        <v>217</v>
      </c>
    </row>
    <row r="68" ht="17.25" spans="1:4">
      <c r="A68" s="1140" t="s">
        <v>218</v>
      </c>
      <c r="B68" s="1186" t="s">
        <v>219</v>
      </c>
      <c r="C68" s="1186" t="s">
        <v>220</v>
      </c>
      <c r="D68" s="1187" t="s">
        <v>140</v>
      </c>
    </row>
    <row r="69" ht="15.5" spans="1:4">
      <c r="A69" s="1137" t="s">
        <v>221</v>
      </c>
      <c r="B69" s="1139"/>
      <c r="C69" s="1139"/>
      <c r="D69" s="1188">
        <f>SUM(B69:C69)</f>
        <v>0</v>
      </c>
    </row>
    <row r="70" ht="16.25" spans="1:4">
      <c r="A70" s="1176"/>
      <c r="B70" s="1181"/>
      <c r="C70" s="1181"/>
      <c r="D70" s="1177">
        <f>SUM(B70:C70)</f>
        <v>0</v>
      </c>
    </row>
    <row r="71" ht="15" spans="1:4">
      <c r="A71" s="1148" t="s">
        <v>222</v>
      </c>
    </row>
    <row r="72" ht="15" spans="1:4">
      <c r="A72" s="1148" t="s">
        <v>223</v>
      </c>
    </row>
    <row r="73" ht="15" spans="1:4">
      <c r="A73" s="1148" t="s">
        <v>224</v>
      </c>
    </row>
    <row r="74" ht="15" spans="1:4">
      <c r="A74" s="1148" t="s">
        <v>225</v>
      </c>
    </row>
    <row r="75" ht="15" spans="1:4">
      <c r="A75" s="1148" t="s">
        <v>226</v>
      </c>
    </row>
    <row r="76" ht="15" spans="1:4">
      <c r="A76" s="1148" t="s">
        <v>227</v>
      </c>
    </row>
    <row r="77" ht="15" spans="1:4">
      <c r="A77" s="1148" t="s">
        <v>228</v>
      </c>
    </row>
    <row r="78" customHeight="1" spans="1:4">
      <c r="A78" s="1137" t="s">
        <v>229</v>
      </c>
    </row>
    <row r="79" customHeight="1" spans="1:4">
      <c r="A79" s="1148" t="s">
        <v>230</v>
      </c>
    </row>
    <row r="80" customHeight="1" spans="1:4">
      <c r="A80" s="1137" t="s">
        <v>231</v>
      </c>
    </row>
    <row r="81" customHeight="1" spans="1:5">
      <c r="A81" s="1148" t="s">
        <v>232</v>
      </c>
      <c r="E81" s="1189"/>
    </row>
    <row r="82" customHeight="1" spans="1:5">
      <c r="A82" s="1190" t="s">
        <v>130</v>
      </c>
      <c r="B82" s="1191" t="s">
        <v>171</v>
      </c>
      <c r="C82" s="1191"/>
      <c r="D82" s="1191" t="s">
        <v>172</v>
      </c>
      <c r="E82" s="1191"/>
    </row>
    <row r="83" customHeight="1" spans="1:5">
      <c r="A83" s="1192"/>
      <c r="B83" s="1193" t="s">
        <v>173</v>
      </c>
      <c r="C83" s="1193" t="s">
        <v>174</v>
      </c>
      <c r="D83" s="1193" t="s">
        <v>173</v>
      </c>
      <c r="E83" s="1193" t="s">
        <v>174</v>
      </c>
    </row>
    <row r="84" customHeight="1" spans="1:5">
      <c r="A84" s="1137" t="s">
        <v>233</v>
      </c>
      <c r="B84" s="1139"/>
      <c r="C84" s="1139"/>
      <c r="D84" s="1139"/>
      <c r="E84" s="1139"/>
    </row>
    <row r="85" customHeight="1" spans="1:5">
      <c r="A85" s="1176" t="s">
        <v>234</v>
      </c>
      <c r="B85" s="1181"/>
      <c r="C85" s="1181"/>
      <c r="D85" s="1181"/>
      <c r="E85" s="1181"/>
    </row>
  </sheetData>
  <mergeCells count="20">
    <mergeCell ref="A1:I1"/>
    <mergeCell ref="A2:I2"/>
    <mergeCell ref="B8:C8"/>
    <mergeCell ref="D8:E8"/>
    <mergeCell ref="B21:C21"/>
    <mergeCell ref="D21:E21"/>
    <mergeCell ref="B36:C36"/>
    <mergeCell ref="D36:E36"/>
    <mergeCell ref="B45:I45"/>
    <mergeCell ref="B46:C46"/>
    <mergeCell ref="D46:E46"/>
    <mergeCell ref="F46:G46"/>
    <mergeCell ref="H46:I46"/>
    <mergeCell ref="B82:C82"/>
    <mergeCell ref="D82:E82"/>
    <mergeCell ref="A8:A9"/>
    <mergeCell ref="A21:A22"/>
    <mergeCell ref="A36:A37"/>
    <mergeCell ref="A45:A47"/>
    <mergeCell ref="A82:A83"/>
  </mergeCells>
  <pageMargins left="0.708333333333333" right="0.708333333333333" top="0.747916666666667" bottom="0.747916666666667" header="0.314583333333333" footer="0.314583333333333"/>
  <pageSetup paperSize="9" scale="65" orientation="landscape" blackAndWhite="1" horizontalDpi="1200" verticalDpi="1200"/>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2"/>
  <sheetViews>
    <sheetView view="pageBreakPreview" zoomScaleNormal="60" workbookViewId="0">
      <pane xSplit="1" ySplit="5" topLeftCell="B21" activePane="bottomRight" state="frozen"/>
      <selection/>
      <selection pane="topRight"/>
      <selection pane="bottomLeft"/>
      <selection pane="bottomRight" activeCell="A1" sqref="A1:I1"/>
    </sheetView>
  </sheetViews>
  <sheetFormatPr defaultColWidth="8.83636363636364" defaultRowHeight="20.25" customHeight="1"/>
  <cols>
    <col min="1" max="1" width="35.1272727272727" style="1095" customWidth="1"/>
    <col min="2" max="2" width="18.6545454545455" style="1095" customWidth="1"/>
    <col min="3" max="3" width="20.4" style="1095" customWidth="1"/>
    <col min="4" max="4" width="22.5818181818182" style="1095" customWidth="1"/>
    <col min="5" max="11" width="21.8181818181818" style="1095" customWidth="1"/>
    <col min="12" max="15" width="20.4" style="1095" customWidth="1"/>
    <col min="16" max="18" width="17.1272727272727" style="1095" customWidth="1"/>
    <col min="19" max="19" width="18.2181818181818" style="1095" customWidth="1"/>
    <col min="20" max="20" width="8.83636363636364" style="1095" customWidth="1"/>
    <col min="21" max="16384" width="8.83636363636364" style="1095"/>
  </cols>
  <sheetData>
    <row r="1" customHeight="1" spans="1:19">
      <c r="A1" s="1096" t="s">
        <v>164</v>
      </c>
      <c r="B1" s="1096"/>
      <c r="C1" s="1096"/>
      <c r="D1" s="1096"/>
      <c r="E1" s="1096"/>
      <c r="F1" s="1096"/>
      <c r="G1" s="1096"/>
      <c r="H1" s="1096"/>
      <c r="I1" s="1096"/>
    </row>
    <row r="2" customHeight="1" spans="1:19">
      <c r="A2" s="1097" t="s">
        <v>235</v>
      </c>
      <c r="B2" s="1098"/>
      <c r="C2" s="1098"/>
      <c r="D2" s="1098"/>
      <c r="E2" s="1098"/>
      <c r="F2" s="1098"/>
      <c r="G2" s="1098"/>
      <c r="H2" s="1098"/>
      <c r="I2" s="1098"/>
    </row>
    <row r="3" customHeight="1" spans="1:19">
      <c r="A3" s="1099" t="s">
        <v>165</v>
      </c>
      <c r="B3" s="1099"/>
      <c r="C3" s="1099" t="s">
        <v>8</v>
      </c>
      <c r="D3" s="1099"/>
      <c r="E3" s="1099" t="s">
        <v>11</v>
      </c>
      <c r="F3" s="1099"/>
      <c r="G3" s="1099"/>
      <c r="H3" s="1099"/>
      <c r="I3" s="1100" t="s">
        <v>29</v>
      </c>
    </row>
    <row r="4" customHeight="1" spans="1:19">
      <c r="A4" s="1099" t="s">
        <v>166</v>
      </c>
      <c r="B4" s="1099"/>
      <c r="C4" s="1099" t="s">
        <v>14</v>
      </c>
      <c r="D4" s="1099"/>
      <c r="E4" s="1099" t="s">
        <v>16</v>
      </c>
      <c r="F4" s="1099"/>
      <c r="G4" s="1099"/>
      <c r="H4" s="1099"/>
      <c r="I4" s="1101" t="s">
        <v>167</v>
      </c>
    </row>
    <row r="5" s="1094" customFormat="1" ht="28.5" customHeight="1" spans="1:19">
      <c r="A5" s="1102" t="s">
        <v>236</v>
      </c>
      <c r="B5" s="1102"/>
      <c r="C5" s="1102"/>
      <c r="D5" s="1103"/>
      <c r="E5" s="1103"/>
      <c r="F5" s="1102"/>
      <c r="G5" s="1102"/>
      <c r="H5" s="1102"/>
      <c r="I5" s="1102"/>
      <c r="J5" s="1102"/>
      <c r="K5" s="1102"/>
      <c r="L5" s="1102"/>
      <c r="M5" s="1102"/>
      <c r="N5" s="1102"/>
      <c r="O5" s="1102"/>
      <c r="P5" s="1102"/>
      <c r="Q5" s="1102"/>
      <c r="R5" s="1102"/>
      <c r="S5" s="1102"/>
    </row>
    <row r="6" ht="15.75" spans="1:19">
      <c r="A6" s="1104" t="s">
        <v>237</v>
      </c>
    </row>
    <row r="7" ht="14.75" spans="1:19">
      <c r="A7" s="1105" t="s">
        <v>170</v>
      </c>
      <c r="B7" s="1106" t="s">
        <v>171</v>
      </c>
      <c r="C7" s="1107"/>
      <c r="D7" s="1106" t="s">
        <v>172</v>
      </c>
      <c r="E7" s="1107"/>
    </row>
    <row r="8" ht="14.75" spans="1:19">
      <c r="A8" s="1108"/>
      <c r="B8" s="1109" t="s">
        <v>173</v>
      </c>
      <c r="C8" s="1109" t="s">
        <v>174</v>
      </c>
      <c r="D8" s="1109" t="s">
        <v>173</v>
      </c>
      <c r="E8" s="1109" t="s">
        <v>174</v>
      </c>
    </row>
    <row r="9" ht="14" spans="1:19">
      <c r="A9" s="1110" t="s">
        <v>175</v>
      </c>
      <c r="B9" s="1111"/>
      <c r="C9" s="1111"/>
      <c r="D9" s="1111"/>
      <c r="E9" s="1111"/>
    </row>
    <row r="10" ht="14.75" spans="1:19">
      <c r="A10" s="1110" t="s">
        <v>176</v>
      </c>
      <c r="B10" s="1111"/>
      <c r="C10" s="1111"/>
      <c r="D10" s="1111"/>
      <c r="E10" s="1111"/>
    </row>
    <row r="11" ht="14.75" spans="1:19">
      <c r="A11" s="1112" t="s">
        <v>177</v>
      </c>
      <c r="B11" s="1113">
        <f>SUM(B9:B10)</f>
        <v>0</v>
      </c>
      <c r="C11" s="1113">
        <f>SUM(C9:C10)</f>
        <v>0</v>
      </c>
      <c r="D11" s="1113">
        <f>SUM(D9:D10)</f>
        <v>0</v>
      </c>
      <c r="E11" s="1113">
        <f>SUM(E9:E10)</f>
        <v>0</v>
      </c>
    </row>
    <row r="12" ht="15" spans="1:19">
      <c r="A12" s="1114" t="s">
        <v>181</v>
      </c>
    </row>
    <row r="13" ht="15" spans="1:19">
      <c r="A13" s="1114" t="s">
        <v>182</v>
      </c>
    </row>
    <row r="14" ht="15" spans="1:19">
      <c r="A14" s="1114" t="s">
        <v>238</v>
      </c>
    </row>
    <row r="15" ht="15" spans="1:19">
      <c r="A15" s="1114" t="s">
        <v>239</v>
      </c>
    </row>
    <row r="16" ht="15.75" spans="1:19">
      <c r="A16" s="1115" t="s">
        <v>240</v>
      </c>
    </row>
    <row r="17" ht="14.75" spans="1:5">
      <c r="A17" s="1116" t="s">
        <v>186</v>
      </c>
      <c r="B17" s="1117" t="s">
        <v>171</v>
      </c>
      <c r="C17" s="1107"/>
      <c r="D17" s="1117" t="s">
        <v>172</v>
      </c>
      <c r="E17" s="1107"/>
    </row>
    <row r="18" ht="14.75" spans="1:5">
      <c r="A18" s="1108"/>
      <c r="B18" s="1118" t="s">
        <v>173</v>
      </c>
      <c r="C18" s="1118" t="s">
        <v>174</v>
      </c>
      <c r="D18" s="1118" t="s">
        <v>173</v>
      </c>
      <c r="E18" s="1119" t="s">
        <v>174</v>
      </c>
    </row>
    <row r="19" ht="14" spans="1:5">
      <c r="A19" s="1120" t="s">
        <v>187</v>
      </c>
      <c r="B19" s="1121"/>
      <c r="C19" s="1121"/>
      <c r="D19" s="1121"/>
      <c r="E19" s="1122"/>
    </row>
    <row r="20" ht="14" spans="1:5">
      <c r="A20" s="1123" t="s">
        <v>188</v>
      </c>
      <c r="B20" s="1121"/>
      <c r="C20" s="1121"/>
      <c r="D20" s="1121"/>
      <c r="E20" s="1122"/>
    </row>
    <row r="21" ht="14" spans="1:5">
      <c r="A21" s="1123" t="s">
        <v>189</v>
      </c>
      <c r="B21" s="1121"/>
      <c r="C21" s="1121"/>
      <c r="D21" s="1121"/>
      <c r="E21" s="1122"/>
    </row>
    <row r="22" ht="14" spans="1:5">
      <c r="A22" s="1123" t="s">
        <v>190</v>
      </c>
      <c r="B22" s="1121"/>
      <c r="C22" s="1121"/>
      <c r="D22" s="1121"/>
      <c r="E22" s="1122"/>
    </row>
    <row r="23" ht="14" spans="1:5">
      <c r="A23" s="1120" t="s">
        <v>192</v>
      </c>
      <c r="B23" s="1121">
        <f>B20+B21+B22</f>
        <v>0</v>
      </c>
      <c r="C23" s="1121">
        <f>C20+C21+C22</f>
        <v>0</v>
      </c>
      <c r="D23" s="1121">
        <f>D20+D21+D22</f>
        <v>0</v>
      </c>
      <c r="E23" s="1121">
        <f>E20+E21+E22</f>
        <v>0</v>
      </c>
    </row>
    <row r="24" ht="14" spans="1:5">
      <c r="A24" s="1120" t="s">
        <v>193</v>
      </c>
      <c r="B24" s="1121"/>
      <c r="C24" s="1121"/>
      <c r="D24" s="1121"/>
      <c r="E24" s="1122"/>
    </row>
    <row r="25" ht="14" spans="1:5">
      <c r="A25" s="1123" t="s">
        <v>160</v>
      </c>
      <c r="B25" s="1121"/>
      <c r="C25" s="1121"/>
      <c r="D25" s="1121"/>
      <c r="E25" s="1122"/>
    </row>
    <row r="26" ht="14" spans="1:5">
      <c r="A26" s="1123" t="s">
        <v>194</v>
      </c>
      <c r="B26" s="1121"/>
      <c r="C26" s="1121"/>
      <c r="D26" s="1121"/>
      <c r="E26" s="1122"/>
    </row>
    <row r="27" ht="14.75" spans="1:5">
      <c r="A27" s="1124" t="s">
        <v>192</v>
      </c>
      <c r="B27" s="1125">
        <f>B25+B26</f>
        <v>0</v>
      </c>
      <c r="C27" s="1125">
        <f>C25+C26</f>
        <v>0</v>
      </c>
      <c r="D27" s="1125">
        <f>D25+D26</f>
        <v>0</v>
      </c>
      <c r="E27" s="1125">
        <f>E25+E26</f>
        <v>0</v>
      </c>
    </row>
    <row r="28" ht="14.75" spans="1:5">
      <c r="A28" s="1126" t="s">
        <v>177</v>
      </c>
      <c r="B28" s="1127">
        <f>B23+B27</f>
        <v>0</v>
      </c>
      <c r="C28" s="1127">
        <f>C23+C27</f>
        <v>0</v>
      </c>
      <c r="D28" s="1127">
        <f>D23+D27</f>
        <v>0</v>
      </c>
      <c r="E28" s="1127">
        <f>E23+E27</f>
        <v>0</v>
      </c>
    </row>
    <row r="29" ht="15.75" spans="1:5">
      <c r="A29" s="1114" t="s">
        <v>241</v>
      </c>
    </row>
    <row r="30" ht="14.75" spans="1:5">
      <c r="A30" s="1116" t="s">
        <v>196</v>
      </c>
      <c r="B30" s="1117" t="s">
        <v>171</v>
      </c>
      <c r="C30" s="1107"/>
      <c r="D30" s="1117" t="s">
        <v>172</v>
      </c>
      <c r="E30" s="1107"/>
    </row>
    <row r="31" ht="14.75" spans="1:5">
      <c r="A31" s="1108"/>
      <c r="B31" s="1118" t="s">
        <v>173</v>
      </c>
      <c r="C31" s="1118" t="s">
        <v>174</v>
      </c>
      <c r="D31" s="1118" t="s">
        <v>173</v>
      </c>
      <c r="E31" s="1119" t="s">
        <v>174</v>
      </c>
    </row>
    <row r="32" ht="14" spans="1:5">
      <c r="A32" s="1123" t="s">
        <v>199</v>
      </c>
      <c r="B32" s="1121"/>
      <c r="C32" s="1121"/>
      <c r="D32" s="1121"/>
      <c r="E32" s="1122"/>
    </row>
    <row r="33" ht="14" spans="1:9">
      <c r="A33" s="1123" t="s">
        <v>200</v>
      </c>
      <c r="B33" s="1121"/>
      <c r="C33" s="1121"/>
      <c r="D33" s="1121"/>
      <c r="E33" s="1122"/>
    </row>
    <row r="34" ht="14" spans="1:9">
      <c r="A34" s="1123" t="s">
        <v>201</v>
      </c>
      <c r="B34" s="1121"/>
      <c r="C34" s="1121"/>
      <c r="D34" s="1121"/>
      <c r="E34" s="1122"/>
    </row>
    <row r="35" ht="14.75" spans="1:9">
      <c r="A35" s="1128"/>
      <c r="B35" s="1125"/>
      <c r="C35" s="1125"/>
      <c r="D35" s="1125"/>
      <c r="E35" s="1129"/>
    </row>
    <row r="36" ht="14.75" spans="1:9">
      <c r="A36" s="1126" t="s">
        <v>192</v>
      </c>
      <c r="B36" s="1127">
        <f>B32+B33+B34</f>
        <v>0</v>
      </c>
      <c r="C36" s="1127">
        <f>C32+C33+C34</f>
        <v>0</v>
      </c>
      <c r="D36" s="1127">
        <f>D32+D33+D34</f>
        <v>0</v>
      </c>
      <c r="E36" s="1127">
        <f>E32+E33+E34</f>
        <v>0</v>
      </c>
    </row>
    <row r="37" ht="15.75" spans="1:9">
      <c r="A37" s="1104" t="s">
        <v>242</v>
      </c>
    </row>
    <row r="38" ht="15.75" spans="1:9">
      <c r="A38" s="1130"/>
      <c r="B38" s="1131" t="s">
        <v>171</v>
      </c>
      <c r="C38" s="1131"/>
      <c r="D38" s="1131"/>
      <c r="E38" s="1131"/>
      <c r="F38" s="1131"/>
      <c r="G38" s="1131"/>
      <c r="H38" s="1131"/>
      <c r="I38" s="1131"/>
    </row>
    <row r="39" ht="15.75" spans="1:9">
      <c r="A39" s="1132"/>
      <c r="B39" s="1133" t="s">
        <v>188</v>
      </c>
      <c r="C39" s="1133"/>
      <c r="D39" s="1133" t="s">
        <v>189</v>
      </c>
      <c r="E39" s="1133"/>
      <c r="F39" s="1134" t="s">
        <v>190</v>
      </c>
      <c r="G39" s="1134"/>
      <c r="H39" s="1134" t="s">
        <v>203</v>
      </c>
      <c r="I39" s="1134"/>
    </row>
    <row r="40" ht="15.75" spans="1:9">
      <c r="A40" s="1135"/>
      <c r="B40" s="1136" t="s">
        <v>173</v>
      </c>
      <c r="C40" s="1136" t="s">
        <v>174</v>
      </c>
      <c r="D40" s="1136" t="s">
        <v>173</v>
      </c>
      <c r="E40" s="1136" t="s">
        <v>174</v>
      </c>
      <c r="F40" s="1136" t="s">
        <v>173</v>
      </c>
      <c r="G40" s="1136" t="s">
        <v>174</v>
      </c>
      <c r="H40" s="1136" t="s">
        <v>173</v>
      </c>
      <c r="I40" s="1136" t="s">
        <v>174</v>
      </c>
    </row>
    <row r="41" ht="15.5" spans="1:9">
      <c r="A41" s="1137" t="s">
        <v>175</v>
      </c>
      <c r="B41" s="1138">
        <f t="shared" ref="B41:F41" si="0">SUM(B42:B44)</f>
        <v>0</v>
      </c>
      <c r="C41" s="1138">
        <f t="shared" si="0"/>
        <v>0</v>
      </c>
      <c r="D41" s="1138"/>
      <c r="E41" s="1138"/>
      <c r="F41" s="1138">
        <f t="shared" si="0"/>
        <v>0</v>
      </c>
      <c r="G41" s="1138"/>
      <c r="H41" s="1138"/>
      <c r="I41" s="1138">
        <f>SUM(I42:I44)</f>
        <v>0</v>
      </c>
    </row>
    <row r="42" ht="15.5" spans="1:9">
      <c r="A42" s="1137" t="s">
        <v>204</v>
      </c>
      <c r="B42" s="1138"/>
      <c r="C42" s="1138"/>
      <c r="D42" s="1138"/>
      <c r="E42" s="1138"/>
      <c r="F42" s="1138"/>
      <c r="G42" s="1138"/>
      <c r="H42" s="1138"/>
      <c r="I42" s="1138"/>
    </row>
    <row r="43" ht="15.5" spans="1:9">
      <c r="A43" s="1137" t="s">
        <v>205</v>
      </c>
      <c r="B43" s="1138"/>
      <c r="C43" s="1138"/>
      <c r="D43" s="1138"/>
      <c r="E43" s="1138"/>
      <c r="F43" s="1138"/>
      <c r="G43" s="1138"/>
      <c r="H43" s="1138"/>
      <c r="I43" s="1138"/>
    </row>
    <row r="44" ht="15.5" spans="1:9">
      <c r="A44" s="1137"/>
      <c r="B44" s="1138"/>
      <c r="C44" s="1138"/>
      <c r="D44" s="1138"/>
      <c r="E44" s="1138"/>
      <c r="F44" s="1138"/>
      <c r="G44" s="1138"/>
      <c r="H44" s="1138"/>
      <c r="I44" s="1138"/>
    </row>
    <row r="45" ht="15.5" spans="1:9">
      <c r="A45" s="1137" t="s">
        <v>176</v>
      </c>
      <c r="B45" s="1138">
        <f t="shared" ref="B45:F45" si="1">SUM(B46:B48)</f>
        <v>0</v>
      </c>
      <c r="C45" s="1138">
        <f t="shared" si="1"/>
        <v>0</v>
      </c>
      <c r="D45" s="1138"/>
      <c r="E45" s="1138"/>
      <c r="F45" s="1138">
        <f t="shared" si="1"/>
        <v>0</v>
      </c>
      <c r="G45" s="1138"/>
      <c r="H45" s="1138"/>
      <c r="I45" s="1138">
        <f>SUM(I46:I48)</f>
        <v>0</v>
      </c>
    </row>
    <row r="46" ht="15.5" spans="1:9">
      <c r="A46" s="1137" t="s">
        <v>204</v>
      </c>
      <c r="B46" s="1138"/>
      <c r="C46" s="1139"/>
      <c r="D46" s="1139"/>
      <c r="E46" s="1139"/>
      <c r="F46" s="1139"/>
      <c r="G46" s="1139"/>
      <c r="H46" s="1139"/>
      <c r="I46" s="1139"/>
    </row>
    <row r="47" ht="15.5" spans="1:9">
      <c r="A47" s="1137" t="s">
        <v>205</v>
      </c>
      <c r="B47" s="1139"/>
      <c r="C47" s="1139"/>
      <c r="D47" s="1139"/>
      <c r="E47" s="1139"/>
      <c r="F47" s="1139"/>
      <c r="G47" s="1139"/>
      <c r="H47" s="1139"/>
      <c r="I47" s="1139"/>
    </row>
    <row r="48" ht="16.25" spans="1:9">
      <c r="A48" s="1137" t="s">
        <v>206</v>
      </c>
      <c r="B48" s="1139"/>
      <c r="C48" s="1139"/>
      <c r="D48" s="1139"/>
      <c r="E48" s="1139"/>
      <c r="F48" s="1139"/>
      <c r="G48" s="1139"/>
      <c r="H48" s="1139"/>
      <c r="I48" s="1139"/>
    </row>
    <row r="49" ht="16.25" spans="1:9">
      <c r="A49" s="1140" t="s">
        <v>177</v>
      </c>
      <c r="B49" s="1141">
        <f t="shared" ref="B49:F49" si="2">B45+B41</f>
        <v>0</v>
      </c>
      <c r="C49" s="1141">
        <f t="shared" si="2"/>
        <v>0</v>
      </c>
      <c r="D49" s="1141"/>
      <c r="E49" s="1141"/>
      <c r="F49" s="1141">
        <f t="shared" si="2"/>
        <v>0</v>
      </c>
      <c r="G49" s="1141"/>
      <c r="H49" s="1141"/>
      <c r="I49" s="1141">
        <f>I45+I41</f>
        <v>0</v>
      </c>
    </row>
    <row r="50" ht="15" spans="1:9">
      <c r="A50" s="1114" t="s">
        <v>243</v>
      </c>
    </row>
    <row r="51" ht="15" spans="1:9">
      <c r="A51" s="1114" t="s">
        <v>208</v>
      </c>
    </row>
    <row r="52" ht="15" spans="1:9">
      <c r="A52" s="1114" t="s">
        <v>209</v>
      </c>
    </row>
    <row r="53" ht="15" spans="1:9">
      <c r="A53" s="1114" t="s">
        <v>210</v>
      </c>
    </row>
    <row r="54" ht="15" spans="1:9">
      <c r="A54" s="1114" t="s">
        <v>211</v>
      </c>
    </row>
    <row r="55" ht="15" spans="1:9">
      <c r="A55" s="1142" t="s">
        <v>212</v>
      </c>
    </row>
    <row r="56" ht="15" spans="1:9">
      <c r="A56" s="1104" t="s">
        <v>244</v>
      </c>
    </row>
    <row r="57" ht="15" spans="1:9">
      <c r="A57" s="1114" t="s">
        <v>245</v>
      </c>
    </row>
    <row r="58" ht="15" spans="1:9">
      <c r="A58" s="1104" t="s">
        <v>215</v>
      </c>
    </row>
    <row r="59" ht="15" spans="1:9">
      <c r="A59" s="1114" t="s">
        <v>246</v>
      </c>
    </row>
    <row r="60" ht="15.75" spans="1:9">
      <c r="A60" s="1115" t="s">
        <v>217</v>
      </c>
    </row>
    <row r="61" ht="14.75" spans="1:9">
      <c r="A61" s="1143" t="s">
        <v>218</v>
      </c>
      <c r="B61" s="1144" t="s">
        <v>247</v>
      </c>
      <c r="C61" s="1144" t="s">
        <v>248</v>
      </c>
      <c r="D61" s="1145" t="s">
        <v>140</v>
      </c>
    </row>
    <row r="62" ht="14" spans="1:9">
      <c r="A62" s="1146" t="s">
        <v>221</v>
      </c>
      <c r="B62" s="1121"/>
      <c r="C62" s="1121"/>
      <c r="D62" s="1121"/>
    </row>
    <row r="63" ht="14.75" spans="1:9">
      <c r="A63" s="1147"/>
      <c r="B63" s="1125"/>
      <c r="C63" s="1125"/>
      <c r="D63" s="1125"/>
    </row>
    <row r="64" ht="15" spans="1:9">
      <c r="A64" s="1114" t="s">
        <v>249</v>
      </c>
    </row>
    <row r="65" ht="15" spans="1:1">
      <c r="A65" s="1114" t="s">
        <v>223</v>
      </c>
    </row>
    <row r="66" ht="15" spans="1:1">
      <c r="A66" s="1114" t="s">
        <v>224</v>
      </c>
    </row>
    <row r="67" ht="15" spans="1:1">
      <c r="A67" s="1114" t="s">
        <v>225</v>
      </c>
    </row>
    <row r="68" ht="15" spans="1:1">
      <c r="A68" s="1114" t="s">
        <v>226</v>
      </c>
    </row>
    <row r="69" ht="15" spans="1:1">
      <c r="A69" s="1114" t="s">
        <v>227</v>
      </c>
    </row>
    <row r="70" ht="15" spans="1:1">
      <c r="A70" s="1114" t="s">
        <v>228</v>
      </c>
    </row>
    <row r="71" customHeight="1" spans="1:1">
      <c r="A71" s="1137" t="s">
        <v>229</v>
      </c>
    </row>
    <row r="72" customHeight="1" spans="1:1">
      <c r="A72" s="1148" t="s">
        <v>250</v>
      </c>
    </row>
  </sheetData>
  <mergeCells count="17">
    <mergeCell ref="A1:I1"/>
    <mergeCell ref="A2:I2"/>
    <mergeCell ref="B7:C7"/>
    <mergeCell ref="D7:E7"/>
    <mergeCell ref="B17:C17"/>
    <mergeCell ref="D17:E17"/>
    <mergeCell ref="B30:C30"/>
    <mergeCell ref="D30:E30"/>
    <mergeCell ref="B38:I38"/>
    <mergeCell ref="B39:C39"/>
    <mergeCell ref="D39:E39"/>
    <mergeCell ref="F39:G39"/>
    <mergeCell ref="H39:I39"/>
    <mergeCell ref="A7:A8"/>
    <mergeCell ref="A17:A18"/>
    <mergeCell ref="A30:A31"/>
    <mergeCell ref="A38:A40"/>
  </mergeCells>
  <pageMargins left="0.708333333333333" right="0.708333333333333" top="0.747916666666667" bottom="0.747916666666667" header="0.314583333333333" footer="0.314583333333333"/>
  <pageSetup paperSize="9" scale="65" orientation="landscape" blackAndWhite="1" horizontalDpi="1200" verticalDpi="1200"/>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2"/>
  <sheetViews>
    <sheetView view="pageBreakPreview" zoomScale="90" zoomScaleNormal="100" topLeftCell="A16" workbookViewId="0">
      <selection activeCell="D30" sqref="D30"/>
    </sheetView>
  </sheetViews>
  <sheetFormatPr defaultColWidth="9.81818181818182" defaultRowHeight="20.1" customHeight="1"/>
  <cols>
    <col min="1" max="1" width="14.0727272727273" style="1017" customWidth="1"/>
    <col min="2" max="13" width="10.1454545454545" style="1017" customWidth="1"/>
    <col min="14" max="14" width="10.2545454545455" style="1017" customWidth="1"/>
    <col min="15" max="15" width="11.7818181818182" style="1017" customWidth="1"/>
    <col min="16" max="16" width="12.3272727272727" style="1017" customWidth="1"/>
    <col min="17" max="17" width="10.6909090909091" style="1017" customWidth="1"/>
    <col min="18" max="18" width="10.9090909090909" style="1017" customWidth="1"/>
    <col min="19" max="19" width="12.4363636363636" style="1017" customWidth="1"/>
    <col min="20" max="20" width="10.2545454545455" style="1017" customWidth="1"/>
    <col min="21" max="16384" width="9.81818181818182" style="1017"/>
  </cols>
  <sheetData>
    <row r="1" s="1062" customFormat="1" customHeight="1" spans="1:22">
      <c r="A1" s="1064" t="s">
        <v>27</v>
      </c>
      <c r="B1" s="1064"/>
      <c r="C1" s="1064"/>
      <c r="D1" s="1064"/>
      <c r="E1" s="1064"/>
      <c r="F1" s="1064"/>
      <c r="G1" s="1064"/>
      <c r="H1" s="1064"/>
      <c r="I1" s="1064"/>
      <c r="J1" s="1064"/>
      <c r="K1" s="1064"/>
      <c r="L1" s="1064"/>
      <c r="M1" s="1064"/>
      <c r="N1" s="1064"/>
      <c r="O1" s="1064"/>
      <c r="P1" s="1064"/>
      <c r="Q1" s="1064"/>
      <c r="R1" s="1064"/>
      <c r="S1" s="1064"/>
      <c r="T1" s="1064"/>
      <c r="U1" s="1064"/>
      <c r="V1" s="1064"/>
    </row>
    <row r="2" s="1062" customFormat="1" customHeight="1" spans="1:22">
      <c r="A2" s="1065" t="s">
        <v>251</v>
      </c>
      <c r="B2" s="1065"/>
      <c r="C2" s="1065"/>
      <c r="D2" s="1065"/>
      <c r="E2" s="1065"/>
      <c r="F2" s="1065"/>
      <c r="G2" s="1065"/>
      <c r="H2" s="1065"/>
      <c r="I2" s="1065"/>
      <c r="J2" s="1065"/>
      <c r="K2" s="1065"/>
      <c r="L2" s="1065"/>
      <c r="M2" s="1065"/>
      <c r="N2" s="1065"/>
      <c r="O2" s="1065"/>
      <c r="P2" s="1065"/>
      <c r="Q2" s="1065"/>
      <c r="R2" s="1065"/>
      <c r="S2" s="1065"/>
      <c r="T2" s="1065"/>
      <c r="U2" s="1065"/>
      <c r="V2" s="1065"/>
    </row>
    <row r="3" customHeight="1" spans="1:22">
      <c r="A3" s="1017" t="str">
        <f>[5]底稿目录!A2</f>
        <v>被审计单位：</v>
      </c>
      <c r="I3" s="1017" t="str">
        <f>[5]底稿目录!A4</f>
        <v>编制人：</v>
      </c>
      <c r="M3" s="1066"/>
      <c r="O3" s="1017" t="str">
        <f>[5]底稿目录!A5</f>
        <v>编制日期：</v>
      </c>
      <c r="U3" s="1066" t="s">
        <v>29</v>
      </c>
      <c r="V3" s="1018" t="s">
        <v>18</v>
      </c>
    </row>
    <row r="4" customHeight="1" spans="1:22">
      <c r="A4" s="1017" t="str">
        <f>[5]底稿目录!A3</f>
        <v>会计期间：202X年度</v>
      </c>
      <c r="I4" s="1017" t="str">
        <f>[5]底稿目录!A6</f>
        <v>复核人：</v>
      </c>
      <c r="M4" s="1066"/>
      <c r="O4" s="1017" t="str">
        <f>[5]底稿目录!A7</f>
        <v>复核日期：</v>
      </c>
      <c r="U4" s="1066" t="s">
        <v>129</v>
      </c>
    </row>
    <row r="5" s="1" customFormat="1" customHeight="1" spans="1:22">
      <c r="A5" s="118" t="s">
        <v>252</v>
      </c>
      <c r="B5" s="1067"/>
      <c r="K5" s="1068"/>
      <c r="L5" s="1068"/>
      <c r="M5" s="1068"/>
    </row>
    <row r="6" s="1" customFormat="1" customHeight="1" spans="1:22">
      <c r="A6" s="1036" t="s">
        <v>253</v>
      </c>
      <c r="B6" s="1"/>
      <c r="C6" s="1"/>
      <c r="D6" s="1"/>
      <c r="E6" s="1"/>
      <c r="F6" s="1"/>
      <c r="G6" s="1"/>
      <c r="K6" s="1068"/>
      <c r="L6" s="1068"/>
      <c r="M6" s="1068"/>
    </row>
    <row r="7" s="1" customFormat="1" customHeight="1" spans="1:22">
      <c r="A7" s="118" t="s">
        <v>254</v>
      </c>
      <c r="K7" s="1068"/>
      <c r="L7" s="1068"/>
      <c r="M7" s="1068"/>
    </row>
    <row r="8" s="1" customFormat="1" customHeight="1" spans="1:22">
      <c r="A8" s="1039" t="s">
        <v>255</v>
      </c>
      <c r="B8" s="1069"/>
      <c r="C8" s="1069"/>
      <c r="D8" s="1069"/>
      <c r="E8" s="1069"/>
      <c r="F8" s="1069"/>
    </row>
    <row r="9" s="1" customFormat="1" customHeight="1" spans="1:22">
      <c r="A9" s="1070"/>
      <c r="B9" s="1069"/>
      <c r="C9" s="1069"/>
      <c r="D9" s="1069"/>
      <c r="E9" s="1069"/>
      <c r="F9" s="1069"/>
    </row>
    <row r="10" s="1" customFormat="1" customHeight="1"/>
    <row r="11" s="1063" customFormat="1" ht="39" customHeight="1" spans="1:22">
      <c r="A11" s="1071" t="s">
        <v>130</v>
      </c>
      <c r="B11" s="1072" t="s">
        <v>256</v>
      </c>
      <c r="C11" s="1072" t="s">
        <v>257</v>
      </c>
      <c r="D11" s="1072" t="s">
        <v>258</v>
      </c>
      <c r="E11" s="1072" t="s">
        <v>259</v>
      </c>
      <c r="F11" s="1072" t="s">
        <v>260</v>
      </c>
      <c r="G11" s="1072" t="s">
        <v>261</v>
      </c>
      <c r="H11" s="1072" t="s">
        <v>262</v>
      </c>
      <c r="I11" s="1072" t="s">
        <v>263</v>
      </c>
      <c r="J11" s="1072" t="s">
        <v>264</v>
      </c>
      <c r="K11" s="1072" t="s">
        <v>265</v>
      </c>
      <c r="L11" s="1072" t="s">
        <v>266</v>
      </c>
      <c r="M11" s="1072" t="s">
        <v>267</v>
      </c>
      <c r="N11" s="1073" t="s">
        <v>268</v>
      </c>
      <c r="O11" s="1074" t="s">
        <v>269</v>
      </c>
      <c r="P11" s="1073" t="s">
        <v>270</v>
      </c>
      <c r="Q11" s="1075" t="s">
        <v>271</v>
      </c>
      <c r="R11" s="1074" t="s">
        <v>272</v>
      </c>
      <c r="S11" s="1074" t="s">
        <v>273</v>
      </c>
      <c r="T11" s="1073" t="s">
        <v>274</v>
      </c>
      <c r="U11" s="1073" t="s">
        <v>275</v>
      </c>
      <c r="V11" s="1076" t="s">
        <v>276</v>
      </c>
    </row>
    <row r="12" customHeight="1" spans="1:22">
      <c r="A12" s="1077"/>
      <c r="B12" s="969"/>
      <c r="C12" s="969"/>
      <c r="D12" s="969"/>
      <c r="E12" s="969"/>
      <c r="F12" s="969"/>
      <c r="G12" s="969"/>
      <c r="H12" s="969"/>
      <c r="I12" s="969"/>
      <c r="J12" s="969"/>
      <c r="K12" s="969"/>
      <c r="L12" s="969"/>
      <c r="M12" s="969"/>
      <c r="N12" s="970">
        <f t="shared" ref="N12:N23" si="0">SUM(B12:M12)</f>
        <v>0</v>
      </c>
      <c r="O12" s="1078"/>
      <c r="P12" s="1079">
        <f t="shared" ref="P12:P23" si="1">N12+O12</f>
        <v>0</v>
      </c>
      <c r="Q12" s="1078"/>
      <c r="R12" s="1078"/>
      <c r="S12" s="970">
        <f t="shared" ref="S12:S23" si="2">Q12+R12</f>
        <v>0</v>
      </c>
      <c r="T12" s="913">
        <f t="shared" ref="T12:T24" si="3">IF(AND(Q12=0,N12=0),0,IF(AND(Q12=0,N12&gt;0),1,(N12-Q12)/Q12))</f>
        <v>0</v>
      </c>
      <c r="U12" s="913">
        <f t="shared" ref="U12:U24" si="4">IF(AND(S12=0,P12=0),0,IF(AND(S12=0,P12&gt;0),1,(P12-S12)/S12))</f>
        <v>0</v>
      </c>
      <c r="V12" s="1080"/>
    </row>
    <row r="13" customHeight="1" spans="1:22">
      <c r="A13" s="1081"/>
      <c r="B13" s="969"/>
      <c r="C13" s="969"/>
      <c r="D13" s="969"/>
      <c r="E13" s="969"/>
      <c r="F13" s="969"/>
      <c r="G13" s="969"/>
      <c r="H13" s="969"/>
      <c r="I13" s="969"/>
      <c r="J13" s="969"/>
      <c r="K13" s="969"/>
      <c r="L13" s="969"/>
      <c r="M13" s="969"/>
      <c r="N13" s="970">
        <f t="shared" si="0"/>
        <v>0</v>
      </c>
      <c r="O13" s="1078"/>
      <c r="P13" s="1079">
        <f t="shared" si="1"/>
        <v>0</v>
      </c>
      <c r="Q13" s="1078"/>
      <c r="R13" s="1078"/>
      <c r="S13" s="970">
        <f t="shared" si="2"/>
        <v>0</v>
      </c>
      <c r="T13" s="913">
        <f t="shared" si="3"/>
        <v>0</v>
      </c>
      <c r="U13" s="913">
        <f t="shared" si="4"/>
        <v>0</v>
      </c>
      <c r="V13" s="1080"/>
    </row>
    <row r="14" customHeight="1" spans="1:22">
      <c r="A14" s="1081"/>
      <c r="B14" s="969"/>
      <c r="C14" s="969"/>
      <c r="D14" s="969"/>
      <c r="E14" s="969"/>
      <c r="F14" s="969"/>
      <c r="G14" s="969"/>
      <c r="H14" s="969"/>
      <c r="I14" s="969"/>
      <c r="J14" s="969"/>
      <c r="K14" s="969"/>
      <c r="L14" s="969"/>
      <c r="M14" s="969"/>
      <c r="N14" s="970">
        <f t="shared" si="0"/>
        <v>0</v>
      </c>
      <c r="O14" s="1078"/>
      <c r="P14" s="1079">
        <f t="shared" si="1"/>
        <v>0</v>
      </c>
      <c r="Q14" s="1078"/>
      <c r="R14" s="1078"/>
      <c r="S14" s="970">
        <f t="shared" si="2"/>
        <v>0</v>
      </c>
      <c r="T14" s="913">
        <f t="shared" si="3"/>
        <v>0</v>
      </c>
      <c r="U14" s="913">
        <f t="shared" si="4"/>
        <v>0</v>
      </c>
      <c r="V14" s="1080"/>
    </row>
    <row r="15" customHeight="1" spans="1:22">
      <c r="A15" s="1081"/>
      <c r="B15" s="969"/>
      <c r="C15" s="969"/>
      <c r="D15" s="969"/>
      <c r="E15" s="969"/>
      <c r="F15" s="969"/>
      <c r="G15" s="969"/>
      <c r="H15" s="969"/>
      <c r="I15" s="969"/>
      <c r="J15" s="969"/>
      <c r="K15" s="969"/>
      <c r="L15" s="969"/>
      <c r="M15" s="969"/>
      <c r="N15" s="970">
        <f t="shared" si="0"/>
        <v>0</v>
      </c>
      <c r="O15" s="1078"/>
      <c r="P15" s="1079">
        <f t="shared" si="1"/>
        <v>0</v>
      </c>
      <c r="Q15" s="1078"/>
      <c r="R15" s="1078"/>
      <c r="S15" s="970">
        <f t="shared" si="2"/>
        <v>0</v>
      </c>
      <c r="T15" s="913">
        <f t="shared" si="3"/>
        <v>0</v>
      </c>
      <c r="U15" s="913">
        <f t="shared" si="4"/>
        <v>0</v>
      </c>
      <c r="V15" s="1080"/>
    </row>
    <row r="16" customHeight="1" spans="1:22">
      <c r="A16" s="1081"/>
      <c r="B16" s="969"/>
      <c r="C16" s="969"/>
      <c r="D16" s="969"/>
      <c r="E16" s="969"/>
      <c r="F16" s="969"/>
      <c r="G16" s="969"/>
      <c r="H16" s="969"/>
      <c r="I16" s="969"/>
      <c r="J16" s="969"/>
      <c r="K16" s="969"/>
      <c r="L16" s="969"/>
      <c r="M16" s="969"/>
      <c r="N16" s="970">
        <f t="shared" si="0"/>
        <v>0</v>
      </c>
      <c r="O16" s="1078"/>
      <c r="P16" s="1079">
        <f t="shared" si="1"/>
        <v>0</v>
      </c>
      <c r="Q16" s="1078"/>
      <c r="R16" s="1078"/>
      <c r="S16" s="970">
        <f t="shared" si="2"/>
        <v>0</v>
      </c>
      <c r="T16" s="913">
        <f t="shared" si="3"/>
        <v>0</v>
      </c>
      <c r="U16" s="913">
        <f t="shared" si="4"/>
        <v>0</v>
      </c>
      <c r="V16" s="1080"/>
    </row>
    <row r="17" customHeight="1" spans="1:22">
      <c r="A17" s="1081"/>
      <c r="B17" s="969"/>
      <c r="C17" s="969"/>
      <c r="D17" s="969"/>
      <c r="E17" s="969"/>
      <c r="F17" s="969"/>
      <c r="G17" s="969"/>
      <c r="H17" s="969"/>
      <c r="I17" s="969"/>
      <c r="J17" s="969"/>
      <c r="K17" s="969"/>
      <c r="L17" s="969"/>
      <c r="M17" s="969"/>
      <c r="N17" s="970">
        <f t="shared" si="0"/>
        <v>0</v>
      </c>
      <c r="O17" s="1078"/>
      <c r="P17" s="1079">
        <f t="shared" si="1"/>
        <v>0</v>
      </c>
      <c r="Q17" s="1078"/>
      <c r="R17" s="1078"/>
      <c r="S17" s="970">
        <f t="shared" si="2"/>
        <v>0</v>
      </c>
      <c r="T17" s="913">
        <f t="shared" si="3"/>
        <v>0</v>
      </c>
      <c r="U17" s="913">
        <f t="shared" si="4"/>
        <v>0</v>
      </c>
      <c r="V17" s="1080"/>
    </row>
    <row r="18" customHeight="1" spans="1:22">
      <c r="A18" s="1082"/>
      <c r="B18" s="969"/>
      <c r="C18" s="969"/>
      <c r="D18" s="969"/>
      <c r="E18" s="969"/>
      <c r="F18" s="969"/>
      <c r="G18" s="969"/>
      <c r="H18" s="969"/>
      <c r="I18" s="969"/>
      <c r="J18" s="969"/>
      <c r="K18" s="969"/>
      <c r="L18" s="969"/>
      <c r="M18" s="969"/>
      <c r="N18" s="970">
        <f t="shared" si="0"/>
        <v>0</v>
      </c>
      <c r="O18" s="1078"/>
      <c r="P18" s="1079">
        <f t="shared" si="1"/>
        <v>0</v>
      </c>
      <c r="Q18" s="1078"/>
      <c r="R18" s="1078"/>
      <c r="S18" s="970">
        <f t="shared" si="2"/>
        <v>0</v>
      </c>
      <c r="T18" s="913">
        <f t="shared" si="3"/>
        <v>0</v>
      </c>
      <c r="U18" s="913">
        <f t="shared" si="4"/>
        <v>0</v>
      </c>
      <c r="V18" s="1080"/>
    </row>
    <row r="19" customHeight="1" spans="1:22">
      <c r="A19" s="1082"/>
      <c r="B19" s="969"/>
      <c r="C19" s="969"/>
      <c r="D19" s="969"/>
      <c r="E19" s="969"/>
      <c r="F19" s="969"/>
      <c r="G19" s="969"/>
      <c r="H19" s="969"/>
      <c r="I19" s="969"/>
      <c r="J19" s="969"/>
      <c r="K19" s="969"/>
      <c r="L19" s="969"/>
      <c r="M19" s="969"/>
      <c r="N19" s="970">
        <f t="shared" si="0"/>
        <v>0</v>
      </c>
      <c r="O19" s="1078"/>
      <c r="P19" s="1079">
        <f t="shared" si="1"/>
        <v>0</v>
      </c>
      <c r="Q19" s="1078"/>
      <c r="R19" s="1078"/>
      <c r="S19" s="970">
        <f t="shared" si="2"/>
        <v>0</v>
      </c>
      <c r="T19" s="913">
        <f t="shared" si="3"/>
        <v>0</v>
      </c>
      <c r="U19" s="913">
        <f t="shared" si="4"/>
        <v>0</v>
      </c>
      <c r="V19" s="1080"/>
    </row>
    <row r="20" customHeight="1" spans="1:22">
      <c r="A20" s="1081"/>
      <c r="B20" s="969"/>
      <c r="C20" s="969"/>
      <c r="D20" s="969"/>
      <c r="E20" s="969"/>
      <c r="F20" s="969"/>
      <c r="G20" s="969"/>
      <c r="H20" s="969"/>
      <c r="I20" s="969"/>
      <c r="J20" s="969"/>
      <c r="K20" s="969"/>
      <c r="L20" s="969"/>
      <c r="M20" s="969"/>
      <c r="N20" s="970">
        <f t="shared" si="0"/>
        <v>0</v>
      </c>
      <c r="O20" s="1078"/>
      <c r="P20" s="1079">
        <f t="shared" si="1"/>
        <v>0</v>
      </c>
      <c r="Q20" s="1078"/>
      <c r="R20" s="1078"/>
      <c r="S20" s="970">
        <f t="shared" si="2"/>
        <v>0</v>
      </c>
      <c r="T20" s="913">
        <f t="shared" si="3"/>
        <v>0</v>
      </c>
      <c r="U20" s="913">
        <f t="shared" si="4"/>
        <v>0</v>
      </c>
      <c r="V20" s="1080"/>
    </row>
    <row r="21" customHeight="1" spans="1:22">
      <c r="A21" s="1081"/>
      <c r="B21" s="969"/>
      <c r="C21" s="969"/>
      <c r="D21" s="969"/>
      <c r="E21" s="969"/>
      <c r="F21" s="969"/>
      <c r="G21" s="969"/>
      <c r="H21" s="969"/>
      <c r="I21" s="969"/>
      <c r="J21" s="969"/>
      <c r="K21" s="969"/>
      <c r="L21" s="969"/>
      <c r="M21" s="969"/>
      <c r="N21" s="970">
        <f t="shared" si="0"/>
        <v>0</v>
      </c>
      <c r="O21" s="1078"/>
      <c r="P21" s="1079">
        <f t="shared" si="1"/>
        <v>0</v>
      </c>
      <c r="Q21" s="1078"/>
      <c r="R21" s="1078"/>
      <c r="S21" s="970">
        <f t="shared" si="2"/>
        <v>0</v>
      </c>
      <c r="T21" s="913">
        <f t="shared" si="3"/>
        <v>0</v>
      </c>
      <c r="U21" s="913">
        <f t="shared" si="4"/>
        <v>0</v>
      </c>
      <c r="V21" s="1080"/>
    </row>
    <row r="22" customHeight="1" spans="1:22">
      <c r="A22" s="1081"/>
      <c r="B22" s="969"/>
      <c r="C22" s="969"/>
      <c r="D22" s="969"/>
      <c r="E22" s="969"/>
      <c r="F22" s="969"/>
      <c r="G22" s="969"/>
      <c r="H22" s="969"/>
      <c r="I22" s="969"/>
      <c r="J22" s="969"/>
      <c r="K22" s="969"/>
      <c r="L22" s="969"/>
      <c r="M22" s="969"/>
      <c r="N22" s="970">
        <f t="shared" si="0"/>
        <v>0</v>
      </c>
      <c r="O22" s="1078"/>
      <c r="P22" s="1079">
        <f t="shared" si="1"/>
        <v>0</v>
      </c>
      <c r="Q22" s="1078"/>
      <c r="R22" s="1078"/>
      <c r="S22" s="970">
        <f t="shared" si="2"/>
        <v>0</v>
      </c>
      <c r="T22" s="913">
        <f t="shared" si="3"/>
        <v>0</v>
      </c>
      <c r="U22" s="913">
        <f t="shared" si="4"/>
        <v>0</v>
      </c>
      <c r="V22" s="1080"/>
    </row>
    <row r="23" customHeight="1" spans="1:22">
      <c r="A23" s="1083"/>
      <c r="B23" s="969"/>
      <c r="C23" s="969"/>
      <c r="D23" s="969"/>
      <c r="E23" s="969"/>
      <c r="F23" s="969"/>
      <c r="G23" s="969"/>
      <c r="H23" s="969"/>
      <c r="I23" s="969"/>
      <c r="J23" s="969"/>
      <c r="K23" s="969"/>
      <c r="L23" s="969"/>
      <c r="M23" s="969"/>
      <c r="N23" s="970">
        <f t="shared" si="0"/>
        <v>0</v>
      </c>
      <c r="O23" s="1078"/>
      <c r="P23" s="1079">
        <f t="shared" si="1"/>
        <v>0</v>
      </c>
      <c r="Q23" s="1078"/>
      <c r="R23" s="1078"/>
      <c r="S23" s="970">
        <f t="shared" si="2"/>
        <v>0</v>
      </c>
      <c r="T23" s="913">
        <f t="shared" si="3"/>
        <v>0</v>
      </c>
      <c r="U23" s="913">
        <f t="shared" si="4"/>
        <v>0</v>
      </c>
      <c r="V23" s="1080"/>
    </row>
    <row r="24" customHeight="1" spans="1:22">
      <c r="A24" s="1084" t="s">
        <v>140</v>
      </c>
      <c r="B24" s="1079">
        <f t="shared" ref="B24:S24" si="5">SUM(B12:B23)</f>
        <v>0</v>
      </c>
      <c r="C24" s="1079">
        <f t="shared" si="5"/>
        <v>0</v>
      </c>
      <c r="D24" s="1079">
        <f t="shared" si="5"/>
        <v>0</v>
      </c>
      <c r="E24" s="1079">
        <f t="shared" si="5"/>
        <v>0</v>
      </c>
      <c r="F24" s="1079">
        <f t="shared" si="5"/>
        <v>0</v>
      </c>
      <c r="G24" s="1079">
        <f t="shared" si="5"/>
        <v>0</v>
      </c>
      <c r="H24" s="1079">
        <f t="shared" si="5"/>
        <v>0</v>
      </c>
      <c r="I24" s="1079">
        <f t="shared" si="5"/>
        <v>0</v>
      </c>
      <c r="J24" s="1079">
        <f t="shared" si="5"/>
        <v>0</v>
      </c>
      <c r="K24" s="1079">
        <f t="shared" si="5"/>
        <v>0</v>
      </c>
      <c r="L24" s="1079">
        <f t="shared" si="5"/>
        <v>0</v>
      </c>
      <c r="M24" s="1079">
        <f t="shared" si="5"/>
        <v>0</v>
      </c>
      <c r="N24" s="1079">
        <f t="shared" si="5"/>
        <v>0</v>
      </c>
      <c r="O24" s="1079">
        <f t="shared" si="5"/>
        <v>0</v>
      </c>
      <c r="P24" s="1079">
        <f t="shared" si="5"/>
        <v>0</v>
      </c>
      <c r="Q24" s="1079">
        <f t="shared" si="5"/>
        <v>0</v>
      </c>
      <c r="R24" s="1079">
        <f t="shared" si="5"/>
        <v>0</v>
      </c>
      <c r="S24" s="1079">
        <f t="shared" si="5"/>
        <v>0</v>
      </c>
      <c r="T24" s="1085">
        <f t="shared" si="3"/>
        <v>0</v>
      </c>
      <c r="U24" s="1085">
        <f t="shared" si="4"/>
        <v>0</v>
      </c>
      <c r="V24" s="1086"/>
    </row>
    <row r="25" customHeight="1" spans="1:22">
      <c r="A25" s="1087" t="s">
        <v>277</v>
      </c>
      <c r="B25" s="1085">
        <f t="shared" ref="B25:N25" si="6">IF($N$24=0,0,B24/$N$24)</f>
        <v>0</v>
      </c>
      <c r="C25" s="1085">
        <f t="shared" si="6"/>
        <v>0</v>
      </c>
      <c r="D25" s="1085">
        <f t="shared" si="6"/>
        <v>0</v>
      </c>
      <c r="E25" s="1085">
        <f t="shared" si="6"/>
        <v>0</v>
      </c>
      <c r="F25" s="1085">
        <f t="shared" si="6"/>
        <v>0</v>
      </c>
      <c r="G25" s="1085">
        <f t="shared" si="6"/>
        <v>0</v>
      </c>
      <c r="H25" s="1085">
        <f t="shared" si="6"/>
        <v>0</v>
      </c>
      <c r="I25" s="1085">
        <f t="shared" si="6"/>
        <v>0</v>
      </c>
      <c r="J25" s="1085">
        <f t="shared" si="6"/>
        <v>0</v>
      </c>
      <c r="K25" s="1085">
        <f t="shared" si="6"/>
        <v>0</v>
      </c>
      <c r="L25" s="1085">
        <f t="shared" si="6"/>
        <v>0</v>
      </c>
      <c r="M25" s="1085">
        <f t="shared" si="6"/>
        <v>0</v>
      </c>
      <c r="N25" s="1085">
        <f t="shared" si="6"/>
        <v>0</v>
      </c>
      <c r="O25" s="1088"/>
      <c r="P25" s="1088"/>
      <c r="Q25" s="1088"/>
      <c r="R25" s="1088"/>
      <c r="S25" s="1088"/>
      <c r="T25" s="1088"/>
      <c r="U25" s="1088"/>
      <c r="V25" s="1089"/>
    </row>
    <row r="26" s="1" customFormat="1" customHeight="1" spans="1:22">
      <c r="A26" s="55" t="s">
        <v>278</v>
      </c>
      <c r="B26" s="1090"/>
      <c r="C26" s="1090"/>
      <c r="D26" s="1090"/>
      <c r="E26" s="1090"/>
      <c r="F26" s="1090"/>
      <c r="G26" s="1090"/>
      <c r="H26" s="1090"/>
      <c r="I26" s="1090"/>
      <c r="J26" s="1090"/>
      <c r="K26" s="1090"/>
      <c r="L26" s="1090"/>
      <c r="M26" s="1090"/>
      <c r="N26" s="1090"/>
      <c r="O26" s="1090"/>
      <c r="P26" s="1090"/>
      <c r="Q26" s="1090"/>
      <c r="R26" s="1090"/>
      <c r="S26" s="1090"/>
      <c r="T26" s="1090"/>
      <c r="U26" s="1090"/>
      <c r="V26" s="1090"/>
    </row>
    <row r="27" s="1" customFormat="1" customHeight="1" spans="1:22">
      <c r="A27" s="1091" t="s">
        <v>279</v>
      </c>
    </row>
    <row r="28" s="1" customFormat="1" customHeight="1"/>
    <row r="29" s="1" customFormat="1" customHeight="1"/>
    <row r="30" s="1" customFormat="1" customHeight="1" spans="1:22">
      <c r="A30" s="1092" t="s">
        <v>280</v>
      </c>
    </row>
    <row r="31" s="1" customFormat="1" customHeight="1"/>
    <row r="32" customHeight="1" spans="1:22">
      <c r="A32" s="1093" t="s">
        <v>281</v>
      </c>
    </row>
  </sheetData>
  <mergeCells count="2">
    <mergeCell ref="A1:V1"/>
    <mergeCell ref="A2:V2"/>
  </mergeCells>
  <hyperlinks>
    <hyperlink ref="V3" location="底稿目录!Print_Area" display="D4-2"/>
  </hyperlinks>
  <pageMargins left="0.708333333333333" right="0.708333333333333" top="0.747916666666667" bottom="0.747916666666667" header="0.314583333333333" footer="0.314583333333333"/>
  <pageSetup paperSize="9" scale="56" orientation="landscape" blackAndWhite="1" horizontalDpi="1200" verticalDpi="1200"/>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view="pageBreakPreview" zoomScaleNormal="115" topLeftCell="A10" workbookViewId="0">
      <selection activeCell="B22" sqref="B22"/>
    </sheetView>
  </sheetViews>
  <sheetFormatPr defaultColWidth="9.81818181818182" defaultRowHeight="20.1" customHeight="1"/>
  <cols>
    <col min="1" max="1" width="30.1090909090909" style="1033" customWidth="1"/>
    <col min="2" max="2" width="14.1818181818182" style="1033" customWidth="1"/>
    <col min="3" max="3" width="12.6545454545455" style="1033" customWidth="1"/>
    <col min="4" max="4" width="12.7636363636364" style="1033" customWidth="1"/>
    <col min="5" max="5" width="12.2181818181818" style="1033" customWidth="1"/>
    <col min="6" max="6" width="10.3636363636364" style="1033" customWidth="1"/>
    <col min="7" max="7" width="11.6727272727273" style="1033" customWidth="1"/>
    <col min="8" max="8" width="12.2181818181818" style="1033" customWidth="1"/>
    <col min="9" max="9" width="11.5636363636364" style="1033" customWidth="1"/>
    <col min="10" max="10" width="14.7272727272727" style="1033" customWidth="1"/>
    <col min="11" max="11" width="10.5818181818182" style="1033" customWidth="1"/>
    <col min="12" max="12" width="14.7272727272727" style="1033" customWidth="1"/>
    <col min="13" max="13" width="10.3636363636364" style="1033" customWidth="1"/>
    <col min="14" max="14" width="11.5636363636364" style="1033" customWidth="1"/>
    <col min="15" max="16384" width="9.81818181818182" style="1033"/>
  </cols>
  <sheetData>
    <row r="1" s="1030" customFormat="1" customHeight="1" spans="1:14">
      <c r="A1" s="1034" t="s">
        <v>27</v>
      </c>
      <c r="B1" s="1034"/>
      <c r="C1" s="1034"/>
      <c r="D1" s="1034"/>
      <c r="E1" s="1034"/>
      <c r="F1" s="1034"/>
      <c r="G1" s="1034"/>
      <c r="H1" s="1034"/>
      <c r="I1" s="1034"/>
      <c r="J1" s="1034"/>
      <c r="K1" s="1034"/>
      <c r="L1" s="1034"/>
      <c r="M1" s="1034"/>
      <c r="N1" s="1034"/>
    </row>
    <row r="2" s="1030" customFormat="1" customHeight="1" spans="1:14">
      <c r="A2" s="1034" t="s">
        <v>19</v>
      </c>
      <c r="B2" s="1034"/>
      <c r="C2" s="1034"/>
      <c r="D2" s="1034"/>
      <c r="E2" s="1034"/>
      <c r="F2" s="1034"/>
      <c r="G2" s="1034"/>
      <c r="H2" s="1034"/>
      <c r="I2" s="1034"/>
      <c r="J2" s="1034"/>
      <c r="K2" s="1034"/>
      <c r="L2" s="1034"/>
      <c r="M2" s="1034"/>
      <c r="N2" s="1034"/>
    </row>
    <row r="3" customHeight="1" spans="1:14">
      <c r="A3" s="1017" t="str">
        <f>[5]底稿目录!A2</f>
        <v>被审计单位：</v>
      </c>
      <c r="E3" s="1017" t="str">
        <f>[5]底稿目录!A4</f>
        <v>编制人：</v>
      </c>
      <c r="I3" s="1033" t="str">
        <f>[5]底稿目录!A5</f>
        <v>编制日期：</v>
      </c>
      <c r="M3" s="1033" t="s">
        <v>29</v>
      </c>
      <c r="N3" s="1018" t="s">
        <v>20</v>
      </c>
    </row>
    <row r="4" customHeight="1" spans="1:14">
      <c r="A4" s="1017" t="str">
        <f>[5]底稿目录!A3</f>
        <v>会计期间：202X年度</v>
      </c>
      <c r="E4" s="1017" t="str">
        <f>[5]底稿目录!A6</f>
        <v>复核人：</v>
      </c>
      <c r="I4" s="1033" t="str">
        <f>[5]底稿目录!A7</f>
        <v>复核日期：</v>
      </c>
      <c r="M4" s="1033" t="s">
        <v>129</v>
      </c>
      <c r="N4" s="1018"/>
    </row>
    <row r="5" s="1031" customFormat="1" customHeight="1" spans="1:14">
      <c r="A5" s="1035" t="s">
        <v>282</v>
      </c>
      <c r="B5" s="1035"/>
      <c r="C5" s="1035"/>
      <c r="D5" s="1035"/>
    </row>
    <row r="6" s="1031" customFormat="1" customHeight="1" spans="1:14">
      <c r="A6" s="1036" t="s">
        <v>283</v>
      </c>
      <c r="B6" s="1037"/>
      <c r="C6" s="1037"/>
      <c r="D6" s="1037"/>
    </row>
    <row r="7" s="1031" customFormat="1" customHeight="1" spans="1:14">
      <c r="A7" s="1038" t="s">
        <v>284</v>
      </c>
      <c r="B7" s="1035"/>
      <c r="C7" s="1035"/>
      <c r="D7" s="1035"/>
    </row>
    <row r="8" s="1031" customFormat="1" customHeight="1" spans="1:14">
      <c r="A8" s="1039" t="s">
        <v>255</v>
      </c>
      <c r="B8" s="1037"/>
      <c r="C8" s="1037"/>
      <c r="D8" s="1037"/>
    </row>
    <row r="9" s="1031" customFormat="1" customHeight="1" spans="1:14">
      <c r="A9" s="1036"/>
      <c r="B9" s="1037"/>
      <c r="C9" s="1037"/>
      <c r="D9" s="1037"/>
    </row>
    <row r="10" s="1031" customFormat="1" customHeight="1" spans="1:14">
      <c r="A10" s="1036"/>
      <c r="B10" s="1037"/>
      <c r="C10" s="1037"/>
      <c r="D10" s="1037"/>
    </row>
    <row r="11" s="1032" customFormat="1" customHeight="1" spans="1:14">
      <c r="A11" s="1040" t="s">
        <v>130</v>
      </c>
      <c r="B11" s="1041" t="s">
        <v>131</v>
      </c>
      <c r="C11" s="1042"/>
      <c r="D11" s="1042"/>
      <c r="E11" s="1043"/>
      <c r="F11" s="1044"/>
      <c r="G11" s="1041" t="s">
        <v>132</v>
      </c>
      <c r="H11" s="1042"/>
      <c r="I11" s="1042"/>
      <c r="J11" s="1042"/>
      <c r="K11" s="1043"/>
      <c r="L11" s="1044" t="s">
        <v>285</v>
      </c>
      <c r="M11" s="1044"/>
      <c r="N11" s="1045" t="s">
        <v>276</v>
      </c>
    </row>
    <row r="12" s="1032" customFormat="1" customHeight="1" spans="1:14">
      <c r="A12" s="1040"/>
      <c r="B12" s="1040" t="s">
        <v>286</v>
      </c>
      <c r="C12" s="1040" t="s">
        <v>134</v>
      </c>
      <c r="D12" s="1040" t="s">
        <v>135</v>
      </c>
      <c r="E12" s="1040" t="s">
        <v>270</v>
      </c>
      <c r="F12" s="1040" t="s">
        <v>287</v>
      </c>
      <c r="G12" s="1040" t="s">
        <v>271</v>
      </c>
      <c r="H12" s="1040" t="s">
        <v>134</v>
      </c>
      <c r="I12" s="1040" t="s">
        <v>135</v>
      </c>
      <c r="J12" s="1040" t="s">
        <v>288</v>
      </c>
      <c r="K12" s="1040" t="s">
        <v>287</v>
      </c>
      <c r="L12" s="1040" t="s">
        <v>289</v>
      </c>
      <c r="M12" s="1040" t="s">
        <v>290</v>
      </c>
      <c r="N12" s="1046"/>
    </row>
    <row r="13" customHeight="1" spans="1:14">
      <c r="A13" s="1047" t="s">
        <v>157</v>
      </c>
      <c r="B13" s="1048"/>
      <c r="C13" s="1048"/>
      <c r="D13" s="1048"/>
      <c r="E13" s="1049">
        <f t="shared" ref="E13:E19" si="0">B13+C13+D13</f>
        <v>0</v>
      </c>
      <c r="F13" s="1050">
        <f t="shared" ref="F13:F20" si="1">IF(E13=0,0,E13/$E$20)</f>
        <v>0</v>
      </c>
      <c r="G13" s="1048"/>
      <c r="H13" s="1048"/>
      <c r="I13" s="1048"/>
      <c r="J13" s="1049">
        <f t="shared" ref="J13:J19" si="2">G13+H13+I13</f>
        <v>0</v>
      </c>
      <c r="K13" s="1051">
        <f t="shared" ref="K13:K20" si="3">IF(J13=0,0,J13/$J$20)</f>
        <v>0</v>
      </c>
      <c r="L13" s="1049">
        <f t="shared" ref="L13:L20" si="4">E13-J13</f>
        <v>0</v>
      </c>
      <c r="M13" s="1050">
        <f t="shared" ref="M13:M20" si="5">IF(AND(J13=0,L13=0),0,IF(AND(J13=0,L13&gt;0),1,L13/J13))</f>
        <v>0</v>
      </c>
      <c r="N13" s="1052"/>
    </row>
    <row r="14" customHeight="1" spans="1:14">
      <c r="A14" s="1047" t="s">
        <v>158</v>
      </c>
      <c r="B14" s="1048"/>
      <c r="C14" s="1048"/>
      <c r="D14" s="1048"/>
      <c r="E14" s="1049">
        <f t="shared" si="0"/>
        <v>0</v>
      </c>
      <c r="F14" s="1050">
        <f t="shared" si="1"/>
        <v>0</v>
      </c>
      <c r="G14" s="1048"/>
      <c r="H14" s="1048"/>
      <c r="I14" s="1048"/>
      <c r="J14" s="1049">
        <f t="shared" si="2"/>
        <v>0</v>
      </c>
      <c r="K14" s="1051">
        <f t="shared" si="3"/>
        <v>0</v>
      </c>
      <c r="L14" s="1049">
        <f t="shared" si="4"/>
        <v>0</v>
      </c>
      <c r="M14" s="1050">
        <f t="shared" si="5"/>
        <v>0</v>
      </c>
      <c r="N14" s="1052"/>
    </row>
    <row r="15" customHeight="1" spans="1:14">
      <c r="A15" s="1047" t="s">
        <v>159</v>
      </c>
      <c r="B15" s="1048"/>
      <c r="C15" s="1048"/>
      <c r="D15" s="1048"/>
      <c r="E15" s="1049">
        <f t="shared" si="0"/>
        <v>0</v>
      </c>
      <c r="F15" s="1050">
        <f t="shared" si="1"/>
        <v>0</v>
      </c>
      <c r="G15" s="1053"/>
      <c r="H15" s="1053"/>
      <c r="I15" s="1053"/>
      <c r="J15" s="1049">
        <f t="shared" si="2"/>
        <v>0</v>
      </c>
      <c r="K15" s="1051">
        <f t="shared" si="3"/>
        <v>0</v>
      </c>
      <c r="L15" s="1049">
        <f t="shared" si="4"/>
        <v>0</v>
      </c>
      <c r="M15" s="1050">
        <f t="shared" si="5"/>
        <v>0</v>
      </c>
      <c r="N15" s="1052"/>
    </row>
    <row r="16" customHeight="1" spans="1:14">
      <c r="A16" s="1047" t="s">
        <v>160</v>
      </c>
      <c r="B16" s="1048"/>
      <c r="C16" s="1048"/>
      <c r="D16" s="1048"/>
      <c r="E16" s="1049">
        <f t="shared" si="0"/>
        <v>0</v>
      </c>
      <c r="F16" s="1050">
        <f t="shared" si="1"/>
        <v>0</v>
      </c>
      <c r="G16" s="1053"/>
      <c r="H16" s="1053"/>
      <c r="I16" s="1053"/>
      <c r="J16" s="1049">
        <f t="shared" si="2"/>
        <v>0</v>
      </c>
      <c r="K16" s="1051">
        <f t="shared" si="3"/>
        <v>0</v>
      </c>
      <c r="L16" s="1049">
        <f t="shared" si="4"/>
        <v>0</v>
      </c>
      <c r="M16" s="1050">
        <f t="shared" si="5"/>
        <v>0</v>
      </c>
      <c r="N16" s="1052"/>
    </row>
    <row r="17" customHeight="1" spans="1:14">
      <c r="A17" s="1047" t="s">
        <v>161</v>
      </c>
      <c r="B17" s="1048"/>
      <c r="C17" s="1048"/>
      <c r="D17" s="1048"/>
      <c r="E17" s="1049">
        <f t="shared" si="0"/>
        <v>0</v>
      </c>
      <c r="F17" s="1050">
        <f t="shared" si="1"/>
        <v>0</v>
      </c>
      <c r="G17" s="1053"/>
      <c r="H17" s="1053"/>
      <c r="I17" s="1053"/>
      <c r="J17" s="1049">
        <f t="shared" si="2"/>
        <v>0</v>
      </c>
      <c r="K17" s="1051">
        <f t="shared" si="3"/>
        <v>0</v>
      </c>
      <c r="L17" s="1049">
        <f t="shared" si="4"/>
        <v>0</v>
      </c>
      <c r="M17" s="1050">
        <f t="shared" si="5"/>
        <v>0</v>
      </c>
      <c r="N17" s="1052"/>
    </row>
    <row r="18" customHeight="1" spans="1:14">
      <c r="A18" s="1047" t="s">
        <v>163</v>
      </c>
      <c r="B18" s="1048"/>
      <c r="C18" s="1048"/>
      <c r="D18" s="1048"/>
      <c r="E18" s="1049">
        <f t="shared" si="0"/>
        <v>0</v>
      </c>
      <c r="F18" s="1050">
        <f t="shared" si="1"/>
        <v>0</v>
      </c>
      <c r="G18" s="1053"/>
      <c r="H18" s="1053"/>
      <c r="I18" s="1053"/>
      <c r="J18" s="1049">
        <f t="shared" si="2"/>
        <v>0</v>
      </c>
      <c r="K18" s="1051">
        <f t="shared" si="3"/>
        <v>0</v>
      </c>
      <c r="L18" s="1049">
        <f t="shared" si="4"/>
        <v>0</v>
      </c>
      <c r="M18" s="1050">
        <f t="shared" si="5"/>
        <v>0</v>
      </c>
      <c r="N18" s="1052"/>
    </row>
    <row r="19" customHeight="1" spans="1:14">
      <c r="A19" s="1054" t="s">
        <v>291</v>
      </c>
      <c r="B19" s="1048"/>
      <c r="C19" s="1048"/>
      <c r="D19" s="1048"/>
      <c r="E19" s="1049">
        <f t="shared" si="0"/>
        <v>0</v>
      </c>
      <c r="F19" s="1050">
        <f t="shared" si="1"/>
        <v>0</v>
      </c>
      <c r="G19" s="1053"/>
      <c r="H19" s="1053"/>
      <c r="I19" s="1053"/>
      <c r="J19" s="1049">
        <f t="shared" si="2"/>
        <v>0</v>
      </c>
      <c r="K19" s="1051">
        <f t="shared" si="3"/>
        <v>0</v>
      </c>
      <c r="L19" s="1049">
        <f t="shared" si="4"/>
        <v>0</v>
      </c>
      <c r="M19" s="1050">
        <f t="shared" si="5"/>
        <v>0</v>
      </c>
      <c r="N19" s="1052"/>
    </row>
    <row r="20" customHeight="1" spans="1:14">
      <c r="A20" s="1040" t="s">
        <v>140</v>
      </c>
      <c r="B20" s="1055">
        <f t="shared" ref="B20:J20" si="6">SUM(B13:B19)</f>
        <v>0</v>
      </c>
      <c r="C20" s="1055">
        <f t="shared" si="6"/>
        <v>0</v>
      </c>
      <c r="D20" s="1055">
        <f t="shared" si="6"/>
        <v>0</v>
      </c>
      <c r="E20" s="1055">
        <f t="shared" si="6"/>
        <v>0</v>
      </c>
      <c r="F20" s="1056">
        <f t="shared" si="1"/>
        <v>0</v>
      </c>
      <c r="G20" s="1055">
        <f t="shared" si="6"/>
        <v>0</v>
      </c>
      <c r="H20" s="1055">
        <f t="shared" si="6"/>
        <v>0</v>
      </c>
      <c r="I20" s="1055">
        <f t="shared" si="6"/>
        <v>0</v>
      </c>
      <c r="J20" s="1055">
        <f t="shared" si="6"/>
        <v>0</v>
      </c>
      <c r="K20" s="1057">
        <f t="shared" si="3"/>
        <v>0</v>
      </c>
      <c r="L20" s="1049">
        <f t="shared" si="4"/>
        <v>0</v>
      </c>
      <c r="M20" s="1056">
        <f t="shared" si="5"/>
        <v>0</v>
      </c>
      <c r="N20" s="1058"/>
    </row>
    <row r="21" s="1031" customFormat="1" customHeight="1" spans="1:14">
      <c r="A21" s="1059" t="s">
        <v>292</v>
      </c>
      <c r="B21" s="1059"/>
      <c r="C21" s="1059"/>
      <c r="D21" s="1059"/>
    </row>
    <row r="22" s="1031" customFormat="1" customHeight="1"/>
    <row r="23" s="1031" customFormat="1" customHeight="1"/>
    <row r="24" s="1031" customFormat="1" customHeight="1"/>
    <row r="25" s="1031" customFormat="1" customHeight="1" spans="1:14">
      <c r="A25" s="1059" t="s">
        <v>293</v>
      </c>
      <c r="B25" s="1059"/>
      <c r="C25" s="1059"/>
      <c r="D25" s="1059"/>
    </row>
    <row r="26" s="1031" customFormat="1" customHeight="1"/>
    <row r="27" s="1031" customFormat="1" customHeight="1"/>
    <row r="28" s="1031" customFormat="1" customHeight="1"/>
    <row r="29" customHeight="1" spans="1:14">
      <c r="A29" s="1060" t="s">
        <v>294</v>
      </c>
      <c r="B29" s="1061"/>
      <c r="C29" s="1061"/>
      <c r="D29" s="1061"/>
    </row>
    <row r="30" customHeight="1" spans="1:14">
      <c r="A30" s="1060" t="s">
        <v>295</v>
      </c>
      <c r="B30" s="1060"/>
      <c r="C30" s="1060"/>
      <c r="D30" s="1060"/>
    </row>
    <row r="31" customHeight="1" spans="1:14">
      <c r="A31" s="1060" t="s">
        <v>296</v>
      </c>
      <c r="B31" s="1060"/>
      <c r="C31" s="1060"/>
      <c r="D31" s="1060"/>
    </row>
    <row r="32" customHeight="1" spans="1:14">
      <c r="B32" s="1060"/>
      <c r="C32" s="1060"/>
      <c r="D32" s="1060"/>
    </row>
    <row r="33" customHeight="1" spans="1:4">
      <c r="A33" s="1060"/>
      <c r="B33" s="1060"/>
      <c r="C33" s="1060"/>
      <c r="D33" s="1060"/>
    </row>
    <row r="34" customHeight="1" spans="1:4">
      <c r="A34" s="1060"/>
      <c r="B34" s="1060"/>
      <c r="C34" s="1060"/>
      <c r="D34" s="1060"/>
    </row>
  </sheetData>
  <mergeCells count="6">
    <mergeCell ref="A1:N1"/>
    <mergeCell ref="A2:N2"/>
    <mergeCell ref="B11:E11"/>
    <mergeCell ref="G11:K11"/>
    <mergeCell ref="A11:A12"/>
    <mergeCell ref="N11:N12"/>
  </mergeCells>
  <hyperlinks>
    <hyperlink ref="N3" location="底稿目录!A1" display="D4-3"/>
  </hyperlinks>
  <pageMargins left="0.708333333333333" right="0.708333333333333" top="0.747916666666667" bottom="0.747916666666667" header="0.314583333333333" footer="0.314583333333333"/>
  <pageSetup paperSize="9" scale="70" orientation="landscape" blackAndWhite="1" horizontalDpi="1200" verticalDpi="1200"/>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view="pageBreakPreview" zoomScaleNormal="100" workbookViewId="0">
      <selection activeCell="C9" sqref="C9"/>
    </sheetView>
  </sheetViews>
  <sheetFormatPr defaultColWidth="9.81818181818182" defaultRowHeight="20.1" customHeight="1"/>
  <cols>
    <col min="1" max="1" width="17.4545454545455" style="1017" customWidth="1"/>
    <col min="2" max="2" width="11.6727272727273" style="1017" customWidth="1"/>
    <col min="3" max="3" width="9.81818181818182" style="1017"/>
    <col min="4" max="4" width="10.2545454545455" style="1017" customWidth="1"/>
    <col min="5" max="16384" width="9.81818181818182" style="1017"/>
  </cols>
  <sheetData>
    <row r="1" customHeight="1" spans="1:10">
      <c r="A1" s="745" t="s">
        <v>27</v>
      </c>
      <c r="B1" s="745"/>
      <c r="C1" s="745"/>
      <c r="D1" s="745"/>
      <c r="E1" s="745"/>
      <c r="F1" s="745"/>
      <c r="G1" s="745"/>
      <c r="H1" s="745"/>
      <c r="I1" s="745"/>
      <c r="J1" s="745"/>
    </row>
    <row r="2" customHeight="1" spans="1:10">
      <c r="A2" s="746" t="s">
        <v>297</v>
      </c>
      <c r="B2" s="746"/>
      <c r="C2" s="746"/>
      <c r="D2" s="746"/>
      <c r="E2" s="746"/>
      <c r="F2" s="746"/>
      <c r="G2" s="746"/>
      <c r="H2" s="746"/>
      <c r="I2" s="746"/>
      <c r="J2" s="746"/>
    </row>
    <row r="3" customHeight="1" spans="1:10">
      <c r="A3" s="583" t="str">
        <f>[5]底稿目录!A2</f>
        <v>被审计单位：</v>
      </c>
      <c r="B3" s="583"/>
      <c r="C3" s="583"/>
      <c r="D3" s="583" t="str">
        <f>[5]底稿目录!A4</f>
        <v>编制人：</v>
      </c>
      <c r="E3" s="583"/>
      <c r="F3" s="584"/>
      <c r="G3" s="583" t="str">
        <f>[5]底稿目录!A5</f>
        <v>编制日期：</v>
      </c>
      <c r="H3" s="583"/>
      <c r="I3" s="585" t="s">
        <v>29</v>
      </c>
      <c r="J3" s="1018" t="s">
        <v>23</v>
      </c>
    </row>
    <row r="4" customHeight="1" spans="1:10">
      <c r="A4" s="583" t="str">
        <f>[5]底稿目录!A3</f>
        <v>会计期间：202X年度</v>
      </c>
      <c r="B4" s="583"/>
      <c r="C4" s="583"/>
      <c r="D4" s="583" t="str">
        <f>[5]底稿目录!A6</f>
        <v>复核人：</v>
      </c>
      <c r="E4" s="583"/>
      <c r="F4" s="584"/>
      <c r="G4" s="583" t="str">
        <f>[5]底稿目录!A7</f>
        <v>复核日期：</v>
      </c>
      <c r="H4" s="583"/>
      <c r="I4" s="585" t="s">
        <v>129</v>
      </c>
    </row>
    <row r="5" ht="45.75" customHeight="1" spans="1:10">
      <c r="A5" s="1019" t="s">
        <v>298</v>
      </c>
      <c r="B5" s="1020" t="s">
        <v>299</v>
      </c>
      <c r="C5" s="1021" t="s">
        <v>300</v>
      </c>
      <c r="D5" s="1022" t="s">
        <v>301</v>
      </c>
      <c r="E5" s="1022" t="s">
        <v>302</v>
      </c>
      <c r="F5" s="1023" t="s">
        <v>291</v>
      </c>
      <c r="G5" s="1022" t="s">
        <v>303</v>
      </c>
      <c r="H5" s="1022" t="s">
        <v>304</v>
      </c>
      <c r="I5" s="1022" t="s">
        <v>305</v>
      </c>
      <c r="J5" s="1022" t="s">
        <v>276</v>
      </c>
    </row>
    <row r="6" customHeight="1" spans="1:10">
      <c r="A6" s="1024"/>
      <c r="B6" s="1024"/>
      <c r="C6" s="1024"/>
      <c r="D6" s="1024"/>
      <c r="E6" s="1024"/>
      <c r="F6" s="1024"/>
      <c r="G6" s="1025"/>
      <c r="H6" s="1025"/>
      <c r="I6" s="1026"/>
      <c r="J6" s="1024"/>
    </row>
    <row r="7" customHeight="1" spans="1:10">
      <c r="A7" s="1024"/>
      <c r="B7" s="1024"/>
      <c r="C7" s="1024"/>
      <c r="D7" s="1024"/>
      <c r="E7" s="1024"/>
      <c r="F7" s="1024"/>
      <c r="G7" s="1025"/>
      <c r="H7" s="1025"/>
      <c r="I7" s="1026"/>
      <c r="J7" s="1024"/>
    </row>
    <row r="8" customHeight="1" spans="1:10">
      <c r="A8" s="1024"/>
      <c r="B8" s="1024"/>
      <c r="C8" s="1024"/>
      <c r="D8" s="1024"/>
      <c r="E8" s="1024"/>
      <c r="F8" s="1024"/>
      <c r="G8" s="1025"/>
      <c r="H8" s="1025"/>
      <c r="I8" s="1026"/>
      <c r="J8" s="1024"/>
    </row>
    <row r="9" customHeight="1" spans="1:10">
      <c r="A9" s="1024"/>
      <c r="B9" s="1024"/>
      <c r="C9" s="1024"/>
      <c r="D9" s="1024"/>
      <c r="E9" s="1024"/>
      <c r="F9" s="1024"/>
      <c r="G9" s="1025"/>
      <c r="H9" s="1025"/>
      <c r="I9" s="1026"/>
      <c r="J9" s="1024"/>
    </row>
    <row r="10" customHeight="1" spans="1:10">
      <c r="A10" s="1024"/>
      <c r="B10" s="1024"/>
      <c r="C10" s="1024"/>
      <c r="D10" s="1024"/>
      <c r="E10" s="1024"/>
      <c r="F10" s="1024"/>
      <c r="G10" s="1025"/>
      <c r="H10" s="1025"/>
      <c r="I10" s="1026"/>
      <c r="J10" s="1024"/>
    </row>
    <row r="11" customHeight="1" spans="1:10">
      <c r="A11" s="1024"/>
      <c r="B11" s="1024"/>
      <c r="C11" s="1024"/>
      <c r="D11" s="1024"/>
      <c r="E11" s="1024"/>
      <c r="F11" s="1024"/>
      <c r="G11" s="1025"/>
      <c r="H11" s="1025"/>
      <c r="I11" s="1026"/>
      <c r="J11" s="1024"/>
    </row>
    <row r="12" customHeight="1" spans="1:10">
      <c r="A12" s="1024"/>
      <c r="B12" s="1024"/>
      <c r="C12" s="1024"/>
      <c r="D12" s="1024"/>
      <c r="E12" s="1024"/>
      <c r="F12" s="1024"/>
      <c r="G12" s="1025"/>
      <c r="H12" s="1025"/>
      <c r="I12" s="1026"/>
      <c r="J12" s="1024"/>
    </row>
    <row r="13" customHeight="1" spans="1:10">
      <c r="A13" s="1024"/>
      <c r="B13" s="1024"/>
      <c r="C13" s="1024"/>
      <c r="D13" s="1024"/>
      <c r="E13" s="1024"/>
      <c r="F13" s="1024"/>
      <c r="G13" s="1025"/>
      <c r="H13" s="1025"/>
      <c r="I13" s="1026"/>
      <c r="J13" s="1024"/>
    </row>
    <row r="14" customHeight="1" spans="1:10">
      <c r="A14" s="1024"/>
      <c r="B14" s="1024"/>
      <c r="C14" s="1024"/>
      <c r="D14" s="1024"/>
      <c r="E14" s="1024"/>
      <c r="F14" s="1024"/>
      <c r="G14" s="1025"/>
      <c r="H14" s="1025"/>
      <c r="I14" s="1026"/>
      <c r="J14" s="1024"/>
    </row>
    <row r="15" customHeight="1" spans="1:10">
      <c r="A15" s="1024"/>
      <c r="B15" s="1024"/>
      <c r="C15" s="1024"/>
      <c r="D15" s="1024"/>
      <c r="E15" s="1024"/>
      <c r="F15" s="1024"/>
      <c r="G15" s="1025"/>
      <c r="H15" s="1025"/>
      <c r="I15" s="1026"/>
      <c r="J15" s="1024"/>
    </row>
    <row r="16" customHeight="1" spans="1:10">
      <c r="A16" s="1024"/>
      <c r="B16" s="1024"/>
      <c r="C16" s="1024"/>
      <c r="D16" s="1024"/>
      <c r="E16" s="1024"/>
      <c r="F16" s="1024"/>
      <c r="G16" s="1025"/>
      <c r="H16" s="1025"/>
      <c r="I16" s="1026"/>
      <c r="J16" s="1024"/>
    </row>
    <row r="17" customHeight="1" spans="1:10">
      <c r="A17" s="1024"/>
      <c r="B17" s="1024"/>
      <c r="C17" s="1024"/>
      <c r="D17" s="1024"/>
      <c r="E17" s="1024"/>
      <c r="F17" s="1024"/>
      <c r="G17" s="1025"/>
      <c r="H17" s="1025"/>
      <c r="I17" s="1026"/>
      <c r="J17" s="1024"/>
    </row>
    <row r="18" customHeight="1" spans="1:10">
      <c r="A18" s="1024"/>
      <c r="B18" s="1024"/>
      <c r="C18" s="1024"/>
      <c r="D18" s="1024"/>
      <c r="E18" s="1024"/>
      <c r="F18" s="1024"/>
      <c r="G18" s="1025"/>
      <c r="H18" s="1025"/>
      <c r="I18" s="1026"/>
      <c r="J18" s="1024"/>
    </row>
    <row r="19" customHeight="1" spans="1:10">
      <c r="A19" s="1024"/>
      <c r="B19" s="1024"/>
      <c r="C19" s="1024"/>
      <c r="D19" s="1024"/>
      <c r="E19" s="1024"/>
      <c r="F19" s="1024"/>
      <c r="G19" s="1025"/>
      <c r="H19" s="1025"/>
      <c r="I19" s="1026"/>
      <c r="J19" s="1024"/>
    </row>
    <row r="20" customHeight="1" spans="1:10">
      <c r="A20" s="1024"/>
      <c r="B20" s="1024"/>
      <c r="C20" s="1024"/>
      <c r="D20" s="1024"/>
      <c r="E20" s="1024"/>
      <c r="F20" s="1024"/>
      <c r="G20" s="1025"/>
      <c r="H20" s="1025"/>
      <c r="I20" s="1026"/>
      <c r="J20" s="1024"/>
    </row>
    <row r="21" ht="34.5" customHeight="1" spans="1:10">
      <c r="A21" s="1027" t="s">
        <v>306</v>
      </c>
      <c r="B21" s="1028"/>
      <c r="C21" s="1028"/>
      <c r="D21" s="1028"/>
      <c r="E21" s="1028"/>
      <c r="F21" s="1028"/>
      <c r="G21" s="1028"/>
      <c r="H21" s="1028"/>
      <c r="I21" s="1028"/>
      <c r="J21" s="1028"/>
    </row>
    <row r="22" customHeight="1" spans="1:10">
      <c r="A22" s="1029"/>
      <c r="B22" s="1029"/>
      <c r="C22" s="1029"/>
      <c r="D22" s="1029"/>
      <c r="E22" s="1029"/>
      <c r="F22" s="1029"/>
      <c r="G22" s="1029"/>
      <c r="H22" s="1029"/>
      <c r="I22" s="1029"/>
      <c r="J22" s="1029"/>
    </row>
    <row r="23" customHeight="1" spans="1:10">
      <c r="A23" s="1029"/>
      <c r="B23" s="1029"/>
      <c r="C23" s="1029"/>
      <c r="D23" s="1029"/>
      <c r="E23" s="1029"/>
      <c r="F23" s="1029"/>
      <c r="G23" s="1029"/>
      <c r="H23" s="1029"/>
      <c r="I23" s="1029"/>
      <c r="J23" s="1029"/>
    </row>
  </sheetData>
  <mergeCells count="2">
    <mergeCell ref="A1:J1"/>
    <mergeCell ref="A2:J2"/>
  </mergeCells>
  <dataValidations count="1">
    <dataValidation type="list" allowBlank="1" showInputMessage="1" showErrorMessage="1" sqref="B6:B20">
      <formula1>"账项调整,报表调整,其他"</formula1>
    </dataValidation>
  </dataValidations>
  <hyperlinks>
    <hyperlink ref="J3" location="底稿目录!Print_Area" display="D4-4"/>
  </hyperlinks>
  <pageMargins left="0.708333333333333" right="0.708333333333333" top="0.747916666666667" bottom="0.747916666666667" header="0.314583333333333" footer="0.314583333333333"/>
  <pageSetup paperSize="9" scale="80" orientation="portrait" blackAndWhite="1" horizontalDpi="1200" verticalDpi="1200"/>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9"/>
  <sheetViews>
    <sheetView view="pageBreakPreview" zoomScaleNormal="130" workbookViewId="0">
      <selection activeCell="A1" sqref="A1:E1"/>
    </sheetView>
  </sheetViews>
  <sheetFormatPr defaultColWidth="9.81818181818182" defaultRowHeight="20.1" customHeight="1" outlineLevelCol="4"/>
  <cols>
    <col min="1" max="1" width="26.9090909090909" style="217" customWidth="1"/>
    <col min="2" max="3" width="26.6636363636364" style="217" customWidth="1"/>
    <col min="4" max="4" width="13.4545454545455" style="217" customWidth="1"/>
    <col min="5" max="5" width="22.5454545454545" style="217" customWidth="1"/>
    <col min="6" max="16384" width="9.81818181818182" style="217"/>
  </cols>
  <sheetData>
    <row r="1" customHeight="1" spans="1:5">
      <c r="A1" s="998" t="s">
        <v>27</v>
      </c>
      <c r="B1" s="998"/>
      <c r="C1" s="998"/>
      <c r="D1" s="998"/>
      <c r="E1" s="998"/>
    </row>
    <row r="2" customHeight="1" spans="1:5">
      <c r="A2" s="999" t="s">
        <v>307</v>
      </c>
      <c r="B2" s="999"/>
      <c r="C2" s="999"/>
      <c r="D2" s="999"/>
      <c r="E2" s="999"/>
    </row>
    <row r="3" customHeight="1" spans="1:5">
      <c r="A3" s="771" t="str">
        <f>[8]底稿目录!$A$2</f>
        <v>被审计单位：</v>
      </c>
      <c r="B3" s="771" t="str">
        <f>[8]底稿目录!$A$4</f>
        <v>编制人：</v>
      </c>
      <c r="C3" s="771" t="str">
        <f>[8]底稿目录!$A$5</f>
        <v>编制日期：</v>
      </c>
      <c r="D3" s="1000" t="s">
        <v>29</v>
      </c>
      <c r="E3" s="1001" t="s">
        <v>77</v>
      </c>
    </row>
    <row r="4" customHeight="1" spans="1:5">
      <c r="A4" s="771" t="str">
        <f>[8]底稿目录!$A$3</f>
        <v>会计期间：202X年度</v>
      </c>
      <c r="B4" s="771" t="str">
        <f>[8]底稿目录!$A$6</f>
        <v>复核人：</v>
      </c>
      <c r="C4" s="771" t="str">
        <f>[8]底稿目录!$A$7</f>
        <v>复核日期：</v>
      </c>
      <c r="D4" s="1000" t="s">
        <v>129</v>
      </c>
    </row>
    <row r="5" customHeight="1" spans="1:5">
      <c r="A5" s="1002" t="s">
        <v>252</v>
      </c>
      <c r="B5" s="1002"/>
      <c r="C5" s="1002"/>
      <c r="D5" s="1002"/>
      <c r="E5" s="1003"/>
    </row>
    <row r="6" customHeight="1" spans="1:5">
      <c r="A6" s="1004" t="s">
        <v>308</v>
      </c>
      <c r="B6" s="1004"/>
      <c r="C6" s="1004"/>
      <c r="D6" s="1004"/>
      <c r="E6" s="1003"/>
    </row>
    <row r="7" customHeight="1" spans="1:5">
      <c r="A7" s="1002" t="s">
        <v>254</v>
      </c>
      <c r="B7" s="1002"/>
      <c r="C7" s="1002"/>
      <c r="D7" s="1002"/>
      <c r="E7" s="1003"/>
    </row>
    <row r="8" customHeight="1" spans="1:5">
      <c r="A8" s="1005" t="s">
        <v>309</v>
      </c>
      <c r="B8" s="1006"/>
      <c r="C8" s="1007"/>
      <c r="D8" s="1007"/>
      <c r="E8" s="1003"/>
    </row>
    <row r="9" customHeight="1" spans="1:5">
      <c r="A9" s="1005" t="s">
        <v>310</v>
      </c>
      <c r="B9" s="1008"/>
      <c r="C9" s="1008"/>
      <c r="D9" s="1008"/>
      <c r="E9" s="1003"/>
    </row>
    <row r="10" customHeight="1" spans="1:5">
      <c r="A10" s="1009" t="s">
        <v>311</v>
      </c>
      <c r="B10" s="1008"/>
      <c r="C10" s="1008"/>
      <c r="D10" s="1008"/>
      <c r="E10" s="1003"/>
    </row>
    <row r="11" customHeight="1" spans="1:5">
      <c r="A11" s="1005" t="s">
        <v>312</v>
      </c>
      <c r="B11" s="1008"/>
      <c r="C11" s="1008"/>
      <c r="D11" s="1008"/>
      <c r="E11" s="1003"/>
    </row>
    <row r="12" customHeight="1" spans="1:5">
      <c r="A12" s="1005" t="s">
        <v>313</v>
      </c>
      <c r="B12" s="1008"/>
      <c r="C12" s="1008"/>
      <c r="D12" s="1008"/>
      <c r="E12" s="1003"/>
    </row>
    <row r="13" customHeight="1" spans="1:5">
      <c r="A13" s="1005" t="s">
        <v>314</v>
      </c>
      <c r="B13" s="1008"/>
      <c r="C13" s="1008"/>
      <c r="D13" s="1008"/>
      <c r="E13" s="1003"/>
    </row>
    <row r="14" customHeight="1" spans="1:5">
      <c r="A14" s="1005" t="s">
        <v>315</v>
      </c>
      <c r="B14" s="1008"/>
      <c r="C14" s="1008"/>
      <c r="D14" s="1008"/>
      <c r="E14" s="1003"/>
    </row>
    <row r="15" customHeight="1" spans="1:5">
      <c r="A15" s="1005" t="s">
        <v>316</v>
      </c>
      <c r="B15" s="1008"/>
      <c r="C15" s="1008"/>
      <c r="D15" s="1008"/>
      <c r="E15" s="1003"/>
    </row>
    <row r="16" customHeight="1" spans="1:5">
      <c r="A16" s="1005" t="s">
        <v>317</v>
      </c>
      <c r="B16" s="1008"/>
      <c r="C16" s="1008"/>
      <c r="D16" s="1008"/>
      <c r="E16" s="1003"/>
    </row>
    <row r="17" customHeight="1" spans="1:5">
      <c r="A17" s="1009" t="s">
        <v>318</v>
      </c>
      <c r="B17" s="1010"/>
      <c r="C17" s="1010"/>
      <c r="D17" s="1010"/>
      <c r="E17" s="1003"/>
    </row>
    <row r="18" customHeight="1" spans="1:5">
      <c r="A18" s="1009" t="s">
        <v>319</v>
      </c>
      <c r="B18" s="1010"/>
      <c r="C18" s="1010"/>
      <c r="D18" s="1010"/>
      <c r="E18" s="1003"/>
    </row>
    <row r="19" customHeight="1" spans="1:5">
      <c r="A19" s="1008" t="s">
        <v>320</v>
      </c>
      <c r="B19" s="1010"/>
      <c r="C19" s="1010"/>
      <c r="D19" s="1010"/>
      <c r="E19" s="1003"/>
    </row>
    <row r="20" customHeight="1" spans="1:5">
      <c r="A20" s="1011"/>
      <c r="B20" s="1011"/>
      <c r="C20" s="1011"/>
      <c r="D20" s="1011"/>
      <c r="E20" s="1003"/>
    </row>
    <row r="21" customHeight="1" spans="1:5">
      <c r="A21" s="1011"/>
      <c r="B21" s="1011"/>
      <c r="C21" s="1011"/>
      <c r="D21" s="1011"/>
      <c r="E21" s="1003"/>
    </row>
    <row r="22" customHeight="1" spans="1:5">
      <c r="A22" s="1011"/>
      <c r="B22" s="1011"/>
      <c r="C22" s="1011"/>
      <c r="D22" s="1011"/>
      <c r="E22" s="1003"/>
    </row>
    <row r="23" customHeight="1" spans="1:5">
      <c r="A23" s="1008" t="s">
        <v>321</v>
      </c>
      <c r="B23" s="1008"/>
      <c r="C23" s="1008"/>
      <c r="D23" s="1008"/>
      <c r="E23" s="1003"/>
    </row>
    <row r="24" customHeight="1" spans="1:5">
      <c r="A24" s="1008"/>
      <c r="B24" s="1008"/>
      <c r="C24" s="1008"/>
      <c r="D24" s="1008"/>
      <c r="E24" s="1003"/>
    </row>
    <row r="25" customHeight="1" spans="1:5">
      <c r="A25" s="1011"/>
      <c r="B25" s="1011"/>
      <c r="C25" s="1011"/>
      <c r="D25" s="1011"/>
      <c r="E25" s="1003"/>
    </row>
    <row r="26" customHeight="1" spans="1:5">
      <c r="A26" s="1011"/>
      <c r="B26" s="1011"/>
      <c r="C26" s="1011"/>
      <c r="D26" s="1011"/>
      <c r="E26" s="1003"/>
    </row>
    <row r="27" customHeight="1" spans="1:5">
      <c r="A27" s="1010" t="s">
        <v>322</v>
      </c>
      <c r="B27" s="1010"/>
      <c r="C27" s="1010"/>
      <c r="D27" s="1010"/>
      <c r="E27" s="1003"/>
    </row>
    <row r="28" customHeight="1" spans="1:5">
      <c r="A28" s="1012" t="s">
        <v>323</v>
      </c>
      <c r="B28" s="1010"/>
      <c r="C28" s="1010"/>
      <c r="D28" s="1010"/>
      <c r="E28" s="1003"/>
    </row>
    <row r="29" customHeight="1" spans="1:5">
      <c r="A29" s="1012" t="s">
        <v>324</v>
      </c>
      <c r="B29" s="1010"/>
      <c r="C29" s="1010"/>
      <c r="D29" s="1010"/>
      <c r="E29" s="1003"/>
    </row>
    <row r="30" customHeight="1" spans="1:5">
      <c r="A30" s="1010"/>
      <c r="B30" s="1010"/>
      <c r="C30" s="1010"/>
      <c r="D30" s="1010"/>
      <c r="E30" s="1003"/>
    </row>
    <row r="31" customHeight="1" spans="1:5">
      <c r="A31" s="1013" t="s">
        <v>325</v>
      </c>
      <c r="B31" s="1010"/>
      <c r="C31" s="1010"/>
      <c r="D31" s="1010"/>
      <c r="E31" s="1003"/>
    </row>
    <row r="32" customHeight="1" spans="1:5">
      <c r="A32" s="1010" t="s">
        <v>326</v>
      </c>
      <c r="B32" s="1010"/>
      <c r="C32" s="1010"/>
      <c r="D32" s="1010"/>
      <c r="E32" s="1003"/>
    </row>
    <row r="33" customHeight="1" spans="1:5">
      <c r="A33" s="1010"/>
      <c r="B33" s="1010"/>
      <c r="C33" s="1010"/>
      <c r="D33" s="1010"/>
      <c r="E33" s="1003"/>
    </row>
    <row r="34" customHeight="1" spans="1:5">
      <c r="A34" s="1010"/>
      <c r="B34" s="1010"/>
      <c r="C34" s="1010"/>
      <c r="D34" s="1010"/>
      <c r="E34" s="1003"/>
    </row>
    <row r="35" customHeight="1" spans="1:5">
      <c r="A35" s="1010"/>
      <c r="B35" s="1010"/>
      <c r="C35" s="1010"/>
      <c r="D35" s="1010"/>
      <c r="E35" s="1003"/>
    </row>
    <row r="36" customHeight="1" spans="1:5">
      <c r="A36" s="1008" t="s">
        <v>321</v>
      </c>
      <c r="B36" s="1010"/>
      <c r="C36" s="1010"/>
      <c r="D36" s="1010"/>
      <c r="E36" s="1003"/>
    </row>
    <row r="37" customHeight="1" spans="1:5">
      <c r="A37" s="1008"/>
      <c r="B37" s="1010"/>
      <c r="C37" s="1010"/>
      <c r="D37" s="1010"/>
      <c r="E37" s="1003"/>
    </row>
    <row r="38" customHeight="1" spans="1:5">
      <c r="A38" s="1008"/>
      <c r="B38" s="1010"/>
      <c r="C38" s="1010"/>
      <c r="D38" s="1010"/>
      <c r="E38" s="1003"/>
    </row>
    <row r="39" customHeight="1" spans="1:5">
      <c r="A39" s="1010"/>
      <c r="B39" s="1010"/>
      <c r="C39" s="1010"/>
      <c r="D39" s="1010"/>
      <c r="E39" s="1003"/>
    </row>
    <row r="40" customHeight="1" spans="1:5">
      <c r="A40" s="1010" t="s">
        <v>322</v>
      </c>
      <c r="B40" s="1010"/>
      <c r="C40" s="1010"/>
      <c r="D40" s="1010"/>
      <c r="E40" s="1003"/>
    </row>
    <row r="41" customHeight="1" spans="1:5">
      <c r="A41" s="1012" t="s">
        <v>327</v>
      </c>
      <c r="B41" s="1010"/>
      <c r="C41" s="1010"/>
      <c r="D41" s="1010"/>
      <c r="E41" s="1003"/>
    </row>
    <row r="42" customHeight="1" spans="1:5">
      <c r="A42" s="1012" t="s">
        <v>324</v>
      </c>
      <c r="B42" s="1010"/>
      <c r="C42" s="1010"/>
      <c r="D42" s="1010"/>
      <c r="E42" s="1003"/>
    </row>
    <row r="43" customHeight="1" spans="1:5">
      <c r="A43" s="1012"/>
      <c r="B43" s="1010"/>
      <c r="C43" s="1010"/>
      <c r="D43" s="1010"/>
      <c r="E43" s="1003"/>
    </row>
    <row r="44" customHeight="1" spans="1:5">
      <c r="A44" s="1012"/>
      <c r="B44" s="1010"/>
      <c r="C44" s="1010"/>
      <c r="D44" s="1010"/>
      <c r="E44" s="1003"/>
    </row>
    <row r="45" customHeight="1" spans="1:5">
      <c r="A45" s="1012" t="s">
        <v>328</v>
      </c>
      <c r="B45" s="1010"/>
      <c r="C45" s="1010"/>
      <c r="D45" s="1010"/>
      <c r="E45" s="1003"/>
    </row>
    <row r="46" customHeight="1" spans="1:5">
      <c r="A46" s="1012"/>
      <c r="B46" s="1010"/>
      <c r="C46" s="1010"/>
      <c r="D46" s="1010"/>
      <c r="E46" s="1003"/>
    </row>
    <row r="47" customHeight="1" spans="1:5">
      <c r="A47" s="1013" t="s">
        <v>329</v>
      </c>
      <c r="B47" s="1010"/>
      <c r="C47" s="1010"/>
      <c r="D47" s="1010"/>
      <c r="E47" s="1003"/>
    </row>
    <row r="48" customHeight="1" spans="1:5">
      <c r="A48" s="1013"/>
      <c r="B48" s="1010"/>
      <c r="C48" s="1010"/>
      <c r="D48" s="1010"/>
      <c r="E48" s="1003"/>
    </row>
    <row r="49" customHeight="1" spans="1:5">
      <c r="A49" s="1013"/>
      <c r="B49" s="1010"/>
      <c r="C49" s="1010"/>
      <c r="D49" s="1010"/>
      <c r="E49" s="1003"/>
    </row>
    <row r="50" customHeight="1" spans="1:5">
      <c r="A50" s="1013"/>
      <c r="B50" s="1010"/>
      <c r="C50" s="1010"/>
      <c r="D50" s="1010"/>
      <c r="E50" s="1003"/>
    </row>
    <row r="51" customHeight="1" spans="1:5">
      <c r="A51" s="1014" t="s">
        <v>278</v>
      </c>
      <c r="B51" s="1014"/>
      <c r="C51" s="1014"/>
      <c r="D51" s="1014"/>
      <c r="E51" s="1003"/>
    </row>
    <row r="52" customHeight="1" spans="1:5">
      <c r="A52" s="1014"/>
      <c r="B52" s="1014"/>
      <c r="C52" s="1014"/>
      <c r="D52" s="1014"/>
      <c r="E52" s="1003"/>
    </row>
    <row r="53" customHeight="1" spans="1:5">
      <c r="A53" s="1004"/>
      <c r="B53" s="1004"/>
      <c r="C53" s="1004"/>
      <c r="D53" s="1004"/>
      <c r="E53" s="1003"/>
    </row>
    <row r="54" customHeight="1" spans="1:5">
      <c r="A54" s="1015"/>
      <c r="B54" s="1015"/>
      <c r="C54" s="1015"/>
      <c r="D54" s="1006"/>
      <c r="E54" s="1003"/>
    </row>
    <row r="55" customHeight="1" spans="1:5">
      <c r="A55" s="1014" t="s">
        <v>280</v>
      </c>
      <c r="B55" s="1014"/>
      <c r="C55" s="1014"/>
      <c r="D55" s="1014"/>
      <c r="E55" s="1003"/>
    </row>
    <row r="56" customHeight="1" spans="1:5">
      <c r="A56" s="1005" t="s">
        <v>330</v>
      </c>
      <c r="B56" s="1011"/>
      <c r="C56" s="1011"/>
      <c r="D56" s="1011"/>
      <c r="E56" s="1003"/>
    </row>
    <row r="57" customHeight="1" spans="1:5">
      <c r="A57" s="1005" t="s">
        <v>331</v>
      </c>
      <c r="B57" s="1011"/>
      <c r="C57" s="1011"/>
      <c r="D57" s="1011"/>
      <c r="E57" s="1003"/>
    </row>
    <row r="58" s="997" customFormat="1" ht="48.75" customHeight="1" spans="1:5">
      <c r="A58" s="1016" t="s">
        <v>332</v>
      </c>
      <c r="B58" s="1016"/>
      <c r="C58" s="1016"/>
      <c r="D58" s="1016"/>
      <c r="E58" s="1016"/>
    </row>
    <row r="59" s="997" customFormat="1" ht="185.25" customHeight="1" spans="1:5">
      <c r="A59" s="1016" t="s">
        <v>333</v>
      </c>
      <c r="B59" s="1016"/>
      <c r="C59" s="1016"/>
      <c r="D59" s="1016"/>
      <c r="E59" s="1016"/>
    </row>
  </sheetData>
  <mergeCells count="7">
    <mergeCell ref="A1:E1"/>
    <mergeCell ref="A2:E2"/>
    <mergeCell ref="A6:D6"/>
    <mergeCell ref="A51:D51"/>
    <mergeCell ref="A55:D55"/>
    <mergeCell ref="A58:E58"/>
    <mergeCell ref="A59:E59"/>
  </mergeCells>
  <printOptions horizontalCentered="1"/>
  <pageMargins left="0.708333333333333" right="0.708333333333333" top="0.747916666666667" bottom="0.747916666666667" header="0.314583333333333" footer="0.314583333333333"/>
  <pageSetup paperSize="9" scale="80" fitToHeight="0" orientation="portrait" blackAndWhite="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workbookViewId="0">
      <selection activeCell="A1" sqref="A1"/>
    </sheetView>
  </sheetViews>
  <sheetFormatPr defaultColWidth="9.81818181818182" defaultRowHeight="17.1" customHeight="1" outlineLevelCol="6"/>
  <cols>
    <col min="1" max="1" width="102.063636363636" style="797" customWidth="1"/>
    <col min="2" max="2" width="3.02727272727273" style="797" customWidth="1"/>
    <col min="3" max="3" width="2.66363636363636" style="797" customWidth="1"/>
    <col min="4" max="4" width="5.20909090909091" style="797" customWidth="1"/>
    <col min="5" max="5" width="27.0272727272727" style="797" customWidth="1"/>
    <col min="6" max="6" width="10.9090909090909" style="797" customWidth="1"/>
    <col min="7" max="16384" width="9.81818181818182" style="797"/>
  </cols>
  <sheetData>
    <row r="1" ht="19.95" customHeight="1" spans="1:7">
      <c r="A1" s="974" t="s">
        <v>334</v>
      </c>
      <c r="B1" s="975"/>
      <c r="C1" s="975"/>
      <c r="D1" s="975"/>
      <c r="E1" s="975"/>
      <c r="F1" s="975"/>
      <c r="G1" s="975"/>
    </row>
    <row r="2" ht="19.95" customHeight="1" spans="1:7">
      <c r="A2" s="976" t="s">
        <v>335</v>
      </c>
      <c r="B2" s="977"/>
      <c r="C2" s="977"/>
      <c r="D2" s="978" t="s">
        <v>2</v>
      </c>
      <c r="E2" s="978" t="s">
        <v>3</v>
      </c>
      <c r="F2" s="978" t="s">
        <v>4</v>
      </c>
      <c r="G2" s="977"/>
    </row>
    <row r="3" ht="19.95" customHeight="1" spans="1:7">
      <c r="A3" s="157" t="s">
        <v>5</v>
      </c>
      <c r="B3" s="977"/>
      <c r="C3" s="977"/>
      <c r="D3" s="979">
        <v>1</v>
      </c>
      <c r="E3" s="980" t="s">
        <v>336</v>
      </c>
      <c r="F3" s="981" t="s">
        <v>337</v>
      </c>
      <c r="G3" s="982"/>
    </row>
    <row r="4" ht="19.95" customHeight="1" spans="1:7">
      <c r="A4" s="976" t="s">
        <v>8</v>
      </c>
      <c r="B4" s="983"/>
      <c r="C4" s="983"/>
      <c r="D4" s="979">
        <v>2</v>
      </c>
      <c r="E4" s="980" t="s">
        <v>338</v>
      </c>
      <c r="F4" s="981" t="s">
        <v>339</v>
      </c>
      <c r="G4" s="983"/>
    </row>
    <row r="5" ht="19.95" customHeight="1" spans="1:7">
      <c r="A5" s="976" t="s">
        <v>11</v>
      </c>
      <c r="B5" s="983"/>
      <c r="C5" s="983"/>
      <c r="D5" s="979">
        <v>3</v>
      </c>
      <c r="E5" s="980" t="s">
        <v>340</v>
      </c>
      <c r="F5" s="981" t="s">
        <v>341</v>
      </c>
      <c r="G5" s="983"/>
    </row>
    <row r="6" ht="19.95" customHeight="1" spans="1:7">
      <c r="A6" s="984" t="s">
        <v>14</v>
      </c>
      <c r="B6" s="983"/>
      <c r="C6" s="983"/>
      <c r="D6" s="979">
        <v>4</v>
      </c>
      <c r="E6" s="980" t="s">
        <v>342</v>
      </c>
      <c r="F6" s="981" t="s">
        <v>343</v>
      </c>
      <c r="G6" s="983"/>
    </row>
    <row r="7" ht="19.95" customHeight="1" spans="1:7">
      <c r="A7" s="984" t="s">
        <v>16</v>
      </c>
      <c r="B7" s="983"/>
      <c r="C7" s="983"/>
      <c r="D7" s="979">
        <v>5</v>
      </c>
      <c r="E7" s="980" t="s">
        <v>344</v>
      </c>
      <c r="F7" s="981" t="s">
        <v>345</v>
      </c>
      <c r="G7" s="983"/>
    </row>
    <row r="8" ht="19.95" customHeight="1" spans="1:7">
      <c r="A8" s="985"/>
      <c r="B8" s="983"/>
      <c r="C8" s="983"/>
      <c r="D8" s="979">
        <v>6</v>
      </c>
      <c r="E8" s="980" t="s">
        <v>346</v>
      </c>
      <c r="F8" s="981" t="s">
        <v>347</v>
      </c>
      <c r="G8" s="983"/>
    </row>
    <row r="9" ht="19.95" customHeight="1" spans="1:7">
      <c r="A9" s="986" t="s">
        <v>21</v>
      </c>
      <c r="B9" s="983"/>
      <c r="C9" s="983"/>
      <c r="D9" s="987"/>
      <c r="E9" s="988"/>
      <c r="F9" s="989"/>
      <c r="G9" s="983"/>
    </row>
    <row r="10" ht="19.95" customHeight="1" spans="1:7">
      <c r="A10" s="990" t="s">
        <v>348</v>
      </c>
      <c r="B10" s="983"/>
      <c r="C10" s="983"/>
      <c r="D10" s="991"/>
      <c r="E10" s="992"/>
      <c r="F10" s="993"/>
      <c r="G10" s="983"/>
    </row>
    <row r="11" ht="19.95" customHeight="1" spans="1:7">
      <c r="A11" s="990"/>
      <c r="B11" s="983"/>
      <c r="C11" s="983"/>
      <c r="D11" s="991"/>
      <c r="E11" s="992"/>
      <c r="F11" s="993"/>
      <c r="G11" s="983"/>
    </row>
    <row r="12" ht="19.95" customHeight="1" spans="1:7">
      <c r="A12" s="990"/>
      <c r="B12" s="983"/>
      <c r="C12" s="983"/>
      <c r="D12" s="991"/>
      <c r="E12" s="992"/>
      <c r="F12" s="993"/>
      <c r="G12" s="982"/>
    </row>
    <row r="13" ht="19.95" customHeight="1" spans="1:7">
      <c r="A13" s="990"/>
      <c r="B13" s="983"/>
      <c r="C13" s="983"/>
      <c r="D13" s="991"/>
      <c r="E13" s="992"/>
      <c r="F13" s="993"/>
      <c r="G13" s="982"/>
    </row>
    <row r="14" ht="19.95" customHeight="1" spans="1:7">
      <c r="A14" s="990" t="s">
        <v>349</v>
      </c>
      <c r="B14" s="983"/>
      <c r="C14" s="983"/>
      <c r="D14" s="994"/>
      <c r="E14" s="994"/>
      <c r="F14" s="994"/>
    </row>
    <row r="15" ht="19.95" customHeight="1" spans="1:7">
      <c r="A15" s="990"/>
      <c r="B15" s="983"/>
      <c r="C15" s="983"/>
      <c r="D15" s="994"/>
      <c r="E15" s="994"/>
      <c r="F15" s="994"/>
    </row>
    <row r="16" ht="19.95" customHeight="1" spans="1:7">
      <c r="A16" s="990"/>
      <c r="B16" s="983"/>
      <c r="C16" s="983"/>
      <c r="D16" s="994"/>
      <c r="E16" s="994"/>
      <c r="F16" s="994"/>
    </row>
    <row r="17" ht="19.95" customHeight="1" spans="1:6">
      <c r="A17" s="995" t="s">
        <v>350</v>
      </c>
      <c r="B17" s="983"/>
      <c r="C17" s="983"/>
      <c r="D17" s="994"/>
      <c r="E17" s="994"/>
      <c r="F17" s="994"/>
    </row>
    <row r="18" ht="19.95" customHeight="1" spans="1:6">
      <c r="A18" s="995"/>
      <c r="B18" s="983"/>
      <c r="C18" s="983"/>
      <c r="D18" s="994"/>
      <c r="E18" s="994"/>
      <c r="F18" s="994"/>
    </row>
    <row r="19" ht="19.95" customHeight="1" spans="1:6">
      <c r="A19" s="995"/>
      <c r="B19" s="983"/>
      <c r="C19" s="983"/>
      <c r="D19" s="994"/>
      <c r="E19" s="994"/>
      <c r="F19" s="994"/>
    </row>
    <row r="20" ht="19.95" customHeight="1" spans="1:6">
      <c r="A20" s="983"/>
      <c r="B20" s="983"/>
      <c r="C20" s="983"/>
      <c r="D20" s="994"/>
      <c r="E20" s="994"/>
      <c r="F20" s="994"/>
    </row>
    <row r="21" ht="19.95" customHeight="1" spans="1:6">
      <c r="A21" s="983"/>
      <c r="B21" s="983"/>
      <c r="C21" s="983"/>
      <c r="D21" s="994"/>
      <c r="E21" s="994"/>
      <c r="F21" s="994"/>
    </row>
    <row r="22" ht="19.95" customHeight="1" spans="1:6">
      <c r="A22" s="983"/>
      <c r="B22" s="983"/>
      <c r="C22" s="983"/>
      <c r="D22" s="996"/>
      <c r="E22" s="994"/>
      <c r="F22" s="994"/>
    </row>
    <row r="23" ht="19.95" customHeight="1" spans="1:6">
      <c r="A23" s="983"/>
      <c r="B23" s="983"/>
      <c r="C23" s="983"/>
    </row>
  </sheetData>
  <mergeCells count="3">
    <mergeCell ref="A10:A13"/>
    <mergeCell ref="A14:A16"/>
    <mergeCell ref="A17:A19"/>
  </mergeCells>
  <hyperlinks>
    <hyperlink ref="E3" location="'重要指标分析D4-6'!A1" display="重要指标分析"/>
    <hyperlink ref="E4" location="'毛利率分析表D4-7'!A1" display="毛利率分析表"/>
    <hyperlink ref="E5" location="'重要产品毛利分析D4-8'!A1" display="重要产品毛利分析"/>
    <hyperlink ref="E6" location="'重要客户结构分析D4-9'!A1" display="重要客户结构分析"/>
    <hyperlink ref="E7" location="'重要客户销售价格分析D4-10'!A1" display="重要客户销售价格分析"/>
    <hyperlink ref="E8" location="'产品销售价格分析D4-11'!A1" display="产品销售价格分析"/>
  </hyperlinks>
  <pageMargins left="0.708661417322835" right="0.708661417322835" top="0.748031496062992" bottom="0.748031496062992" header="0.31496062992126" footer="0.31496062992126"/>
  <pageSetup paperSize="9" scale="75" orientation="portrait" blackAndWhite="1"/>
  <headerFooter>
    <oddFooter>&amp;C&amp;P/&amp;N</oddFooter>
  </headerFooter>
  <colBreaks count="1" manualBreakCount="1">
    <brk id="6" max="14" man="1"/>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view="pageBreakPreview" zoomScaleNormal="100" workbookViewId="0">
      <selection activeCell="A1" sqref="A1:H1"/>
    </sheetView>
  </sheetViews>
  <sheetFormatPr defaultColWidth="9.81818181818182" defaultRowHeight="20.1" customHeight="1"/>
  <cols>
    <col min="1" max="1" width="54.9090909090909" style="881" customWidth="1"/>
    <col min="2" max="2" width="12.2363636363636" style="881" customWidth="1"/>
    <col min="3" max="3" width="12.4818181818182" style="881" customWidth="1"/>
    <col min="4" max="4" width="12.8454545454545" style="881" customWidth="1"/>
    <col min="5" max="5" width="11.2727272727273" style="881" customWidth="1"/>
    <col min="6" max="6" width="11.3909090909091" style="881" customWidth="1"/>
    <col min="7" max="7" width="13.4545454545455" style="881" customWidth="1"/>
    <col min="8" max="8" width="15.0272727272727" style="881" customWidth="1"/>
    <col min="9" max="16384" width="9.81818181818182" style="881"/>
  </cols>
  <sheetData>
    <row r="1" s="879" customFormat="1" customHeight="1" spans="1:10">
      <c r="A1" s="882" t="s">
        <v>27</v>
      </c>
      <c r="B1" s="882"/>
      <c r="C1" s="882"/>
      <c r="D1" s="882"/>
      <c r="E1" s="882"/>
      <c r="F1" s="882"/>
      <c r="G1" s="882"/>
      <c r="H1" s="882"/>
    </row>
    <row r="2" s="879" customFormat="1" customHeight="1" spans="1:10">
      <c r="A2" s="883" t="s">
        <v>351</v>
      </c>
      <c r="B2" s="883"/>
      <c r="C2" s="883"/>
      <c r="D2" s="883"/>
      <c r="E2" s="883"/>
      <c r="F2" s="883"/>
      <c r="G2" s="883"/>
      <c r="H2" s="883"/>
    </row>
    <row r="3" customHeight="1" spans="1:10">
      <c r="A3" s="881" t="str">
        <f>[9]底稿目录!A2</f>
        <v>被审计单位名称：</v>
      </c>
      <c r="B3" s="881" t="str">
        <f>[9]底稿目录!A4</f>
        <v>编制人：</v>
      </c>
      <c r="C3" s="884"/>
      <c r="E3" s="881" t="str">
        <f>[9]底稿目录!A5</f>
        <v>编制日期：</v>
      </c>
      <c r="G3" s="885" t="s">
        <v>29</v>
      </c>
      <c r="H3" s="962" t="str">
        <f>[9]底稿目录!F3</f>
        <v>D4-6</v>
      </c>
    </row>
    <row r="4" customHeight="1" spans="1:10">
      <c r="A4" s="881" t="str">
        <f>[9]底稿目录!A3</f>
        <v>会计期间：202X年度</v>
      </c>
      <c r="B4" s="881" t="str">
        <f>[9]底稿目录!A6</f>
        <v>复核人：</v>
      </c>
      <c r="C4" s="884"/>
      <c r="E4" s="881" t="str">
        <f>[9]底稿目录!A7</f>
        <v>复核日期：</v>
      </c>
      <c r="G4" s="885" t="s">
        <v>129</v>
      </c>
    </row>
    <row r="5" customHeight="1" spans="1:10">
      <c r="A5" s="415" t="s">
        <v>252</v>
      </c>
      <c r="B5" s="416"/>
      <c r="C5" s="417"/>
      <c r="D5" s="418"/>
      <c r="E5" s="418"/>
      <c r="F5" s="418"/>
      <c r="G5" s="419"/>
      <c r="H5" s="419"/>
    </row>
    <row r="6" customHeight="1" spans="1:10">
      <c r="A6" s="418" t="s">
        <v>352</v>
      </c>
      <c r="B6" s="420"/>
      <c r="C6" s="417"/>
      <c r="D6" s="418"/>
      <c r="E6" s="418"/>
      <c r="F6" s="418"/>
      <c r="G6" s="418"/>
      <c r="H6" s="419"/>
    </row>
    <row r="7" customHeight="1" spans="1:10">
      <c r="A7" s="418" t="s">
        <v>353</v>
      </c>
      <c r="B7" s="420"/>
      <c r="C7" s="417"/>
      <c r="D7" s="418"/>
      <c r="E7" s="418"/>
      <c r="F7" s="418"/>
      <c r="G7" s="418"/>
      <c r="H7" s="419"/>
    </row>
    <row r="8" customHeight="1" spans="1:10">
      <c r="A8" s="421" t="s">
        <v>254</v>
      </c>
      <c r="B8" s="418"/>
      <c r="C8" s="417"/>
      <c r="D8" s="418"/>
      <c r="E8" s="418"/>
      <c r="F8" s="418"/>
      <c r="G8" s="418"/>
      <c r="H8" s="419"/>
    </row>
    <row r="9" customHeight="1" spans="1:10">
      <c r="A9" s="422" t="s">
        <v>255</v>
      </c>
      <c r="B9" s="418"/>
      <c r="C9" s="417"/>
      <c r="D9" s="418"/>
      <c r="E9" s="418"/>
      <c r="F9" s="418"/>
      <c r="G9" s="418"/>
      <c r="H9" s="419"/>
    </row>
    <row r="10" customHeight="1" spans="1:10">
      <c r="A10" s="963"/>
      <c r="B10" s="418"/>
      <c r="C10" s="417"/>
      <c r="D10" s="418"/>
      <c r="E10" s="418"/>
      <c r="F10" s="418"/>
      <c r="G10" s="418"/>
      <c r="H10" s="419"/>
    </row>
    <row r="11" s="961" customFormat="1" ht="31.5" customHeight="1" spans="1:10">
      <c r="A11" s="964" t="s">
        <v>354</v>
      </c>
      <c r="B11" s="894" t="s">
        <v>355</v>
      </c>
      <c r="C11" s="894" t="s">
        <v>356</v>
      </c>
      <c r="D11" s="894" t="s">
        <v>357</v>
      </c>
      <c r="E11" s="965" t="s">
        <v>358</v>
      </c>
      <c r="F11" s="965" t="s">
        <v>359</v>
      </c>
      <c r="G11" s="894" t="s">
        <v>360</v>
      </c>
      <c r="H11" s="965" t="s">
        <v>361</v>
      </c>
      <c r="J11" s="966"/>
    </row>
    <row r="12" s="961" customFormat="1" ht="31.95" customHeight="1" spans="1:10">
      <c r="A12" s="967"/>
      <c r="B12" s="1291" t="s">
        <v>362</v>
      </c>
      <c r="C12" s="1291" t="s">
        <v>363</v>
      </c>
      <c r="D12" s="1291" t="s">
        <v>364</v>
      </c>
      <c r="E12" s="1291" t="s">
        <v>365</v>
      </c>
      <c r="F12" s="1291" t="s">
        <v>366</v>
      </c>
      <c r="G12" s="1291" t="s">
        <v>367</v>
      </c>
      <c r="H12" s="1291" t="s">
        <v>368</v>
      </c>
      <c r="J12" s="966"/>
    </row>
    <row r="13" customHeight="1" spans="1:10">
      <c r="A13" s="968" t="s">
        <v>369</v>
      </c>
      <c r="B13" s="969"/>
      <c r="C13" s="969"/>
      <c r="D13" s="970">
        <f t="shared" ref="D13:D24" si="0">IF(C13=0,0,(B13-C13)/C13)</f>
        <v>0</v>
      </c>
      <c r="E13" s="969"/>
      <c r="F13" s="969"/>
      <c r="G13" s="970">
        <f t="shared" ref="G13:G24" si="1">IF(F13=0,0,(B13-F13)/F13)</f>
        <v>0</v>
      </c>
      <c r="H13" s="971"/>
    </row>
    <row r="14" customHeight="1" spans="1:10">
      <c r="A14" s="972" t="s">
        <v>370</v>
      </c>
      <c r="B14" s="969"/>
      <c r="C14" s="969"/>
      <c r="D14" s="970">
        <f t="shared" si="0"/>
        <v>0</v>
      </c>
      <c r="E14" s="969"/>
      <c r="F14" s="969"/>
      <c r="G14" s="970">
        <f t="shared" si="1"/>
        <v>0</v>
      </c>
      <c r="H14" s="971"/>
    </row>
    <row r="15" customHeight="1" spans="1:10">
      <c r="A15" s="972" t="s">
        <v>371</v>
      </c>
      <c r="B15" s="969"/>
      <c r="C15" s="969"/>
      <c r="D15" s="970">
        <f t="shared" si="0"/>
        <v>0</v>
      </c>
      <c r="E15" s="969"/>
      <c r="F15" s="969"/>
      <c r="G15" s="970">
        <f t="shared" si="1"/>
        <v>0</v>
      </c>
      <c r="H15" s="971"/>
    </row>
    <row r="16" customHeight="1" spans="1:10">
      <c r="A16" s="972" t="s">
        <v>372</v>
      </c>
      <c r="B16" s="969"/>
      <c r="C16" s="969"/>
      <c r="D16" s="970">
        <f t="shared" si="0"/>
        <v>0</v>
      </c>
      <c r="E16" s="969"/>
      <c r="F16" s="969"/>
      <c r="G16" s="970">
        <f t="shared" si="1"/>
        <v>0</v>
      </c>
      <c r="H16" s="971"/>
    </row>
    <row r="17" customHeight="1" spans="1:8">
      <c r="A17" s="972" t="s">
        <v>373</v>
      </c>
      <c r="B17" s="969"/>
      <c r="C17" s="969"/>
      <c r="D17" s="970">
        <f t="shared" si="0"/>
        <v>0</v>
      </c>
      <c r="E17" s="969"/>
      <c r="F17" s="969"/>
      <c r="G17" s="970">
        <f t="shared" si="1"/>
        <v>0</v>
      </c>
      <c r="H17" s="971"/>
    </row>
    <row r="18" customHeight="1" spans="1:8">
      <c r="A18" s="972" t="s">
        <v>374</v>
      </c>
      <c r="B18" s="969"/>
      <c r="C18" s="969"/>
      <c r="D18" s="970">
        <f t="shared" si="0"/>
        <v>0</v>
      </c>
      <c r="E18" s="969"/>
      <c r="F18" s="969"/>
      <c r="G18" s="970">
        <f t="shared" si="1"/>
        <v>0</v>
      </c>
      <c r="H18" s="971"/>
    </row>
    <row r="19" customHeight="1" spans="1:8">
      <c r="A19" s="972" t="s">
        <v>375</v>
      </c>
      <c r="B19" s="969"/>
      <c r="C19" s="969"/>
      <c r="D19" s="970">
        <f t="shared" si="0"/>
        <v>0</v>
      </c>
      <c r="E19" s="969"/>
      <c r="F19" s="969"/>
      <c r="G19" s="970">
        <f t="shared" si="1"/>
        <v>0</v>
      </c>
      <c r="H19" s="971"/>
    </row>
    <row r="20" customHeight="1" spans="1:8">
      <c r="A20" s="972" t="s">
        <v>376</v>
      </c>
      <c r="B20" s="969"/>
      <c r="C20" s="969"/>
      <c r="D20" s="970">
        <f t="shared" si="0"/>
        <v>0</v>
      </c>
      <c r="E20" s="969"/>
      <c r="F20" s="969"/>
      <c r="G20" s="970">
        <f t="shared" si="1"/>
        <v>0</v>
      </c>
      <c r="H20" s="971"/>
    </row>
    <row r="21" customHeight="1" spans="1:8">
      <c r="A21" s="973" t="s">
        <v>377</v>
      </c>
      <c r="B21" s="969"/>
      <c r="C21" s="969"/>
      <c r="D21" s="970">
        <f t="shared" si="0"/>
        <v>0</v>
      </c>
      <c r="E21" s="969"/>
      <c r="F21" s="969"/>
      <c r="G21" s="970">
        <f t="shared" si="1"/>
        <v>0</v>
      </c>
      <c r="H21" s="971"/>
    </row>
    <row r="22" customHeight="1" spans="1:8">
      <c r="A22" s="973" t="s">
        <v>378</v>
      </c>
      <c r="B22" s="969"/>
      <c r="C22" s="969"/>
      <c r="D22" s="970">
        <f t="shared" si="0"/>
        <v>0</v>
      </c>
      <c r="E22" s="969"/>
      <c r="F22" s="969"/>
      <c r="G22" s="970">
        <f t="shared" si="1"/>
        <v>0</v>
      </c>
      <c r="H22" s="971"/>
    </row>
    <row r="23" customHeight="1" spans="1:8">
      <c r="A23" s="973" t="s">
        <v>379</v>
      </c>
      <c r="B23" s="969"/>
      <c r="C23" s="969"/>
      <c r="D23" s="970">
        <f t="shared" si="0"/>
        <v>0</v>
      </c>
      <c r="E23" s="969"/>
      <c r="F23" s="969"/>
      <c r="G23" s="970">
        <f t="shared" si="1"/>
        <v>0</v>
      </c>
      <c r="H23" s="971"/>
    </row>
    <row r="24" customHeight="1" spans="1:8">
      <c r="A24" s="973" t="s">
        <v>380</v>
      </c>
      <c r="B24" s="969"/>
      <c r="C24" s="969"/>
      <c r="D24" s="970">
        <f t="shared" si="0"/>
        <v>0</v>
      </c>
      <c r="E24" s="969"/>
      <c r="F24" s="969"/>
      <c r="G24" s="970">
        <f t="shared" si="1"/>
        <v>0</v>
      </c>
      <c r="H24" s="971"/>
    </row>
    <row r="25" customHeight="1" spans="1:8">
      <c r="A25" s="888" t="s">
        <v>278</v>
      </c>
      <c r="B25" s="418"/>
      <c r="C25" s="418"/>
      <c r="D25" s="418"/>
      <c r="E25" s="418"/>
      <c r="F25" s="418"/>
      <c r="G25" s="418"/>
      <c r="H25" s="418"/>
    </row>
    <row r="26" customHeight="1" spans="1:8">
      <c r="A26" s="418"/>
      <c r="B26" s="418"/>
      <c r="C26" s="418"/>
      <c r="D26" s="418"/>
      <c r="E26" s="418"/>
      <c r="F26" s="418"/>
      <c r="G26" s="418"/>
      <c r="H26" s="418"/>
    </row>
    <row r="27" customHeight="1" spans="1:8">
      <c r="A27" s="418"/>
      <c r="B27" s="418"/>
      <c r="C27" s="418"/>
      <c r="D27" s="418"/>
      <c r="E27" s="418"/>
      <c r="F27" s="418"/>
      <c r="G27" s="418"/>
      <c r="H27" s="418"/>
    </row>
    <row r="28" customHeight="1" spans="1:8">
      <c r="A28" s="888" t="s">
        <v>280</v>
      </c>
      <c r="B28" s="418"/>
      <c r="C28" s="418"/>
      <c r="D28" s="418"/>
      <c r="E28" s="418"/>
      <c r="F28" s="418"/>
      <c r="G28" s="418"/>
      <c r="H28" s="418"/>
    </row>
    <row r="29" customHeight="1" spans="1:8">
      <c r="A29" s="888"/>
      <c r="B29" s="418"/>
      <c r="C29" s="418"/>
      <c r="D29" s="418"/>
      <c r="E29" s="418"/>
      <c r="F29" s="418"/>
      <c r="G29" s="418"/>
      <c r="H29" s="418"/>
    </row>
  </sheetData>
  <mergeCells count="3">
    <mergeCell ref="A1:H1"/>
    <mergeCell ref="A2:H2"/>
    <mergeCell ref="A11:A12"/>
  </mergeCells>
  <hyperlinks>
    <hyperlink ref="H3" location="底稿目录!A1" display="='D:\GT_plan\backend\wp_templates\D\[D4-6至D4-11营业收入 - 分析程序（Leap应对措施-分析程序）.xlsx]底稿目录'!F3"/>
  </hyperlinks>
  <pageMargins left="0.708333333333333" right="0.708333333333333" top="0.747916666666667" bottom="0.747916666666667" header="0.314583333333333" footer="0.314583333333333"/>
  <pageSetup paperSize="9" scale="64" orientation="portrait" blackAndWhite="1"/>
  <headerFoot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2"/>
  <sheetViews>
    <sheetView showZeros="0" view="pageBreakPreview" zoomScaleNormal="100" topLeftCell="A13" workbookViewId="0">
      <selection activeCell="V23" sqref="V23"/>
    </sheetView>
  </sheetViews>
  <sheetFormatPr defaultColWidth="9.81818181818182" defaultRowHeight="20.1" customHeight="1"/>
  <cols>
    <col min="1" max="1" width="17.2090909090909" style="796" customWidth="1"/>
    <col min="2" max="16" width="10.0545454545455" style="796" customWidth="1"/>
    <col min="17" max="17" width="9.09090909090909" style="796" customWidth="1"/>
    <col min="18" max="18" width="9.45454545454546" style="796" customWidth="1"/>
    <col min="19" max="19" width="12.2363636363636" style="796" customWidth="1"/>
    <col min="20" max="20" width="14.0545454545455" style="796" customWidth="1"/>
    <col min="21" max="21" width="13.5727272727273" style="796" customWidth="1"/>
    <col min="22" max="22" width="8.72727272727273" style="796" customWidth="1"/>
    <col min="23" max="23" width="8.11818181818182" style="796" customWidth="1"/>
    <col min="24" max="16384" width="9.81818181818182" style="796"/>
  </cols>
  <sheetData>
    <row r="1" s="924" customFormat="1" customHeight="1" spans="1:23">
      <c r="A1" s="134" t="s">
        <v>27</v>
      </c>
      <c r="B1" s="134"/>
      <c r="C1" s="134"/>
      <c r="D1" s="134"/>
      <c r="E1" s="134"/>
      <c r="F1" s="134"/>
      <c r="G1" s="134"/>
      <c r="H1" s="134"/>
      <c r="I1" s="134"/>
      <c r="J1" s="134"/>
      <c r="K1" s="134"/>
      <c r="L1" s="134"/>
      <c r="M1" s="134"/>
      <c r="N1" s="134"/>
      <c r="O1" s="134"/>
      <c r="P1" s="134"/>
      <c r="Q1" s="134"/>
      <c r="R1" s="134"/>
      <c r="S1" s="134"/>
      <c r="T1" s="134"/>
      <c r="U1" s="134"/>
      <c r="V1" s="134"/>
      <c r="W1" s="134"/>
    </row>
    <row r="2" s="924" customFormat="1" customHeight="1" spans="1:23">
      <c r="A2" s="135" t="s">
        <v>381</v>
      </c>
      <c r="B2" s="135"/>
      <c r="C2" s="135"/>
      <c r="D2" s="135"/>
      <c r="E2" s="135"/>
      <c r="F2" s="135"/>
      <c r="G2" s="135"/>
      <c r="H2" s="135"/>
      <c r="I2" s="135"/>
      <c r="J2" s="135"/>
      <c r="K2" s="135"/>
      <c r="L2" s="135"/>
      <c r="M2" s="135"/>
      <c r="N2" s="135"/>
      <c r="O2" s="135"/>
      <c r="P2" s="135"/>
      <c r="Q2" s="135"/>
      <c r="R2" s="135"/>
      <c r="S2" s="135"/>
      <c r="T2" s="135"/>
      <c r="U2" s="135"/>
      <c r="V2" s="135"/>
      <c r="W2" s="135"/>
    </row>
    <row r="3" customHeight="1" spans="1:23">
      <c r="A3" s="796" t="str">
        <f>[9]底稿目录!A2</f>
        <v>被审计单位名称：</v>
      </c>
      <c r="I3" s="796" t="str">
        <f>[9]底稿目录!A4</f>
        <v>编制人：</v>
      </c>
      <c r="Q3" s="796" t="str">
        <f>[9]底稿目录!A5</f>
        <v>编制日期：</v>
      </c>
      <c r="V3" s="927" t="s">
        <v>29</v>
      </c>
      <c r="W3" s="174" t="str">
        <f>[9]底稿目录!F4</f>
        <v>D4-7</v>
      </c>
    </row>
    <row r="4" customHeight="1" spans="1:23">
      <c r="A4" s="796" t="str">
        <f>[9]底稿目录!A3</f>
        <v>会计期间：202X年度</v>
      </c>
      <c r="I4" s="796" t="str">
        <f>[9]底稿目录!A6</f>
        <v>复核人：</v>
      </c>
      <c r="Q4" s="796" t="str">
        <f>[9]底稿目录!A7</f>
        <v>复核日期：</v>
      </c>
      <c r="V4" s="927" t="s">
        <v>129</v>
      </c>
    </row>
    <row r="5" customHeight="1" spans="1:23">
      <c r="A5" s="802" t="s">
        <v>282</v>
      </c>
      <c r="B5" s="802"/>
      <c r="C5" s="802"/>
      <c r="V5" s="927"/>
    </row>
    <row r="6" customHeight="1" spans="1:23">
      <c r="A6" s="796" t="s">
        <v>382</v>
      </c>
      <c r="V6" s="927"/>
    </row>
    <row r="7" customHeight="1" spans="1:23">
      <c r="A7" s="853" t="s">
        <v>254</v>
      </c>
      <c r="B7" s="853"/>
      <c r="C7" s="853"/>
      <c r="V7" s="927"/>
    </row>
    <row r="8" customHeight="1" spans="1:23">
      <c r="A8" s="928" t="s">
        <v>383</v>
      </c>
      <c r="B8" s="929"/>
      <c r="C8" s="929"/>
      <c r="I8" s="930"/>
      <c r="J8" s="930"/>
      <c r="K8" s="930"/>
      <c r="V8" s="927"/>
    </row>
    <row r="9" customHeight="1" spans="1:23">
      <c r="A9" s="928"/>
      <c r="B9" s="929"/>
      <c r="C9" s="929"/>
      <c r="I9" s="930"/>
      <c r="J9" s="930"/>
      <c r="K9" s="930"/>
      <c r="V9" s="927"/>
    </row>
    <row r="10" customHeight="1" spans="1:23">
      <c r="A10" s="931" t="s">
        <v>384</v>
      </c>
      <c r="B10" s="929"/>
      <c r="C10" s="929"/>
      <c r="I10" s="930"/>
      <c r="J10" s="930"/>
      <c r="K10" s="930"/>
      <c r="V10" s="927"/>
    </row>
    <row r="11" customHeight="1" spans="1:23">
      <c r="A11" s="932" t="s">
        <v>385</v>
      </c>
      <c r="B11" s="933" t="s">
        <v>256</v>
      </c>
      <c r="C11" s="933" t="s">
        <v>386</v>
      </c>
      <c r="D11" s="933" t="s">
        <v>387</v>
      </c>
      <c r="E11" s="933" t="s">
        <v>388</v>
      </c>
      <c r="F11" s="933" t="s">
        <v>389</v>
      </c>
      <c r="G11" s="933" t="s">
        <v>390</v>
      </c>
      <c r="H11" s="933" t="s">
        <v>391</v>
      </c>
      <c r="I11" s="933" t="s">
        <v>392</v>
      </c>
      <c r="J11" s="933" t="s">
        <v>393</v>
      </c>
      <c r="K11" s="933" t="s">
        <v>394</v>
      </c>
      <c r="L11" s="933" t="s">
        <v>395</v>
      </c>
      <c r="M11" s="933" t="s">
        <v>396</v>
      </c>
      <c r="N11" s="933" t="s">
        <v>397</v>
      </c>
      <c r="O11" s="933" t="s">
        <v>398</v>
      </c>
      <c r="P11" s="933" t="s">
        <v>399</v>
      </c>
      <c r="V11" s="927"/>
    </row>
    <row r="12" customHeight="1" spans="1:23">
      <c r="A12" s="934" t="s">
        <v>197</v>
      </c>
      <c r="B12" s="935"/>
      <c r="C12" s="935"/>
      <c r="D12" s="936"/>
      <c r="E12" s="936"/>
      <c r="F12" s="936"/>
      <c r="G12" s="936"/>
      <c r="H12" s="936"/>
      <c r="I12" s="937"/>
      <c r="J12" s="937"/>
      <c r="K12" s="937"/>
      <c r="L12" s="936"/>
      <c r="M12" s="936"/>
      <c r="N12" s="938">
        <f>SUM(B12:M12)</f>
        <v>0</v>
      </c>
      <c r="O12" s="936"/>
      <c r="P12" s="939" t="e">
        <f t="shared" ref="P12:P14" si="0">(N12-O12)/O12</f>
        <v>#DIV/0!</v>
      </c>
      <c r="V12" s="927"/>
    </row>
    <row r="13" customHeight="1" spans="1:23">
      <c r="A13" s="934" t="s">
        <v>198</v>
      </c>
      <c r="B13" s="935"/>
      <c r="C13" s="935"/>
      <c r="D13" s="936"/>
      <c r="E13" s="936"/>
      <c r="F13" s="936"/>
      <c r="G13" s="936"/>
      <c r="H13" s="936"/>
      <c r="I13" s="937"/>
      <c r="J13" s="937"/>
      <c r="K13" s="937"/>
      <c r="L13" s="936"/>
      <c r="M13" s="936"/>
      <c r="N13" s="938">
        <f>SUM(B13:M13)</f>
        <v>0</v>
      </c>
      <c r="O13" s="936"/>
      <c r="P13" s="939" t="e">
        <f t="shared" si="0"/>
        <v>#DIV/0!</v>
      </c>
      <c r="V13" s="927"/>
    </row>
    <row r="14" customHeight="1" spans="1:23">
      <c r="A14" s="934" t="s">
        <v>400</v>
      </c>
      <c r="B14" s="938">
        <f t="shared" ref="B14:O14" si="1">B12-B13</f>
        <v>0</v>
      </c>
      <c r="C14" s="938">
        <f t="shared" si="1"/>
        <v>0</v>
      </c>
      <c r="D14" s="938">
        <f t="shared" si="1"/>
        <v>0</v>
      </c>
      <c r="E14" s="938">
        <f t="shared" si="1"/>
        <v>0</v>
      </c>
      <c r="F14" s="938">
        <f t="shared" si="1"/>
        <v>0</v>
      </c>
      <c r="G14" s="938">
        <f t="shared" si="1"/>
        <v>0</v>
      </c>
      <c r="H14" s="938">
        <f t="shared" si="1"/>
        <v>0</v>
      </c>
      <c r="I14" s="938">
        <f t="shared" si="1"/>
        <v>0</v>
      </c>
      <c r="J14" s="938">
        <f t="shared" si="1"/>
        <v>0</v>
      </c>
      <c r="K14" s="938">
        <f t="shared" si="1"/>
        <v>0</v>
      </c>
      <c r="L14" s="938">
        <f t="shared" si="1"/>
        <v>0</v>
      </c>
      <c r="M14" s="938">
        <f t="shared" si="1"/>
        <v>0</v>
      </c>
      <c r="N14" s="938">
        <f t="shared" si="1"/>
        <v>0</v>
      </c>
      <c r="O14" s="938">
        <f t="shared" si="1"/>
        <v>0</v>
      </c>
      <c r="P14" s="939" t="e">
        <f t="shared" si="0"/>
        <v>#DIV/0!</v>
      </c>
      <c r="V14" s="927"/>
    </row>
    <row r="15" customHeight="1" spans="1:23">
      <c r="A15" s="934" t="s">
        <v>401</v>
      </c>
      <c r="B15" s="940" t="e">
        <f t="shared" ref="B15:O15" si="2">B14/B12</f>
        <v>#DIV/0!</v>
      </c>
      <c r="C15" s="938" t="e">
        <f t="shared" si="2"/>
        <v>#DIV/0!</v>
      </c>
      <c r="D15" s="938" t="e">
        <f t="shared" si="2"/>
        <v>#DIV/0!</v>
      </c>
      <c r="E15" s="938" t="e">
        <f t="shared" si="2"/>
        <v>#DIV/0!</v>
      </c>
      <c r="F15" s="938" t="e">
        <f t="shared" si="2"/>
        <v>#DIV/0!</v>
      </c>
      <c r="G15" s="938" t="e">
        <f t="shared" si="2"/>
        <v>#DIV/0!</v>
      </c>
      <c r="H15" s="938" t="e">
        <f t="shared" si="2"/>
        <v>#DIV/0!</v>
      </c>
      <c r="I15" s="938" t="e">
        <f t="shared" si="2"/>
        <v>#DIV/0!</v>
      </c>
      <c r="J15" s="938" t="e">
        <f t="shared" si="2"/>
        <v>#DIV/0!</v>
      </c>
      <c r="K15" s="938" t="e">
        <f t="shared" si="2"/>
        <v>#DIV/0!</v>
      </c>
      <c r="L15" s="938" t="e">
        <f t="shared" si="2"/>
        <v>#DIV/0!</v>
      </c>
      <c r="M15" s="938" t="e">
        <f t="shared" si="2"/>
        <v>#DIV/0!</v>
      </c>
      <c r="N15" s="938" t="e">
        <f t="shared" si="2"/>
        <v>#DIV/0!</v>
      </c>
      <c r="O15" s="940" t="e">
        <f t="shared" si="2"/>
        <v>#DIV/0!</v>
      </c>
      <c r="P15" s="938"/>
      <c r="V15" s="927"/>
    </row>
    <row r="16" customHeight="1" spans="1:23">
      <c r="A16" s="928"/>
      <c r="B16" s="929"/>
      <c r="C16" s="929"/>
      <c r="I16" s="930"/>
      <c r="J16" s="930"/>
      <c r="K16" s="930"/>
      <c r="V16" s="927"/>
    </row>
    <row r="17" s="925" customFormat="1" customHeight="1" spans="1:23">
      <c r="A17" s="796" t="s">
        <v>402</v>
      </c>
    </row>
    <row r="18" s="926" customFormat="1" customHeight="1" spans="1:23">
      <c r="A18" s="31" t="s">
        <v>403</v>
      </c>
      <c r="B18" s="941" t="s">
        <v>355</v>
      </c>
      <c r="C18" s="942"/>
      <c r="D18" s="942"/>
      <c r="E18" s="942"/>
      <c r="F18" s="942"/>
      <c r="G18" s="942"/>
      <c r="H18" s="942"/>
      <c r="I18" s="943"/>
      <c r="J18" s="941" t="s">
        <v>356</v>
      </c>
      <c r="K18" s="942"/>
      <c r="L18" s="942"/>
      <c r="M18" s="942"/>
      <c r="N18" s="942"/>
      <c r="O18" s="942"/>
      <c r="P18" s="942"/>
      <c r="Q18" s="943"/>
      <c r="R18" s="941" t="s">
        <v>404</v>
      </c>
      <c r="S18" s="942"/>
      <c r="T18" s="942"/>
      <c r="U18" s="942"/>
      <c r="V18" s="943"/>
      <c r="W18" s="44" t="s">
        <v>276</v>
      </c>
    </row>
    <row r="19" s="926" customFormat="1" ht="28.05" customHeight="1" spans="1:23">
      <c r="A19" s="932"/>
      <c r="B19" s="932" t="s">
        <v>405</v>
      </c>
      <c r="C19" s="932" t="s">
        <v>406</v>
      </c>
      <c r="D19" s="44" t="s">
        <v>197</v>
      </c>
      <c r="E19" s="944" t="s">
        <v>287</v>
      </c>
      <c r="F19" s="44" t="s">
        <v>407</v>
      </c>
      <c r="G19" s="44" t="s">
        <v>198</v>
      </c>
      <c r="H19" s="44" t="s">
        <v>400</v>
      </c>
      <c r="I19" s="44" t="s">
        <v>401</v>
      </c>
      <c r="J19" s="932" t="s">
        <v>405</v>
      </c>
      <c r="K19" s="932" t="s">
        <v>406</v>
      </c>
      <c r="L19" s="44" t="s">
        <v>197</v>
      </c>
      <c r="M19" s="944" t="s">
        <v>287</v>
      </c>
      <c r="N19" s="44" t="s">
        <v>407</v>
      </c>
      <c r="O19" s="44" t="s">
        <v>198</v>
      </c>
      <c r="P19" s="44" t="s">
        <v>400</v>
      </c>
      <c r="Q19" s="44" t="s">
        <v>401</v>
      </c>
      <c r="R19" s="932" t="s">
        <v>406</v>
      </c>
      <c r="S19" s="44" t="s">
        <v>407</v>
      </c>
      <c r="T19" s="44" t="s">
        <v>197</v>
      </c>
      <c r="U19" s="44" t="s">
        <v>198</v>
      </c>
      <c r="V19" s="44" t="s">
        <v>401</v>
      </c>
      <c r="W19" s="44"/>
    </row>
    <row r="20" customHeight="1" spans="1:23">
      <c r="A20" s="945"/>
      <c r="B20" s="946"/>
      <c r="C20" s="947" t="e">
        <f t="shared" ref="C20:C26" si="3">D20/B20</f>
        <v>#DIV/0!</v>
      </c>
      <c r="D20" s="948"/>
      <c r="E20" s="949" t="e">
        <f t="shared" ref="E20:E26" si="4">D20/$D$26</f>
        <v>#DIV/0!</v>
      </c>
      <c r="F20" s="950" t="e">
        <f t="shared" ref="F20:F26" si="5">G20/B20</f>
        <v>#DIV/0!</v>
      </c>
      <c r="G20" s="948"/>
      <c r="H20" s="950">
        <f t="shared" ref="H20:H25" si="6">D20-G20</f>
        <v>0</v>
      </c>
      <c r="I20" s="910">
        <f t="shared" ref="I20:I26" si="7">IF(D20=0,0,H20/D20)</f>
        <v>0</v>
      </c>
      <c r="J20" s="948"/>
      <c r="K20" s="947" t="e">
        <f t="shared" ref="K20:K26" si="8">L20/J20</f>
        <v>#DIV/0!</v>
      </c>
      <c r="L20" s="948"/>
      <c r="M20" s="949" t="e">
        <f t="shared" ref="M20:M26" si="9">L20/$L$26</f>
        <v>#DIV/0!</v>
      </c>
      <c r="N20" s="950" t="e">
        <f t="shared" ref="N20:N26" si="10">O20/J20</f>
        <v>#DIV/0!</v>
      </c>
      <c r="O20" s="948"/>
      <c r="P20" s="950">
        <f t="shared" ref="P20:P25" si="11">L20-O20</f>
        <v>0</v>
      </c>
      <c r="Q20" s="910">
        <f t="shared" ref="Q20:Q26" si="12">IF(L20=0,0,P20/L20)</f>
        <v>0</v>
      </c>
      <c r="R20" s="939" t="e">
        <f t="shared" ref="R20:R26" si="13">(C20-K20)/K20</f>
        <v>#DIV/0!</v>
      </c>
      <c r="S20" s="939" t="e">
        <f t="shared" ref="S20:S26" si="14">(F20-N20)/N20</f>
        <v>#DIV/0!</v>
      </c>
      <c r="T20" s="939" t="e">
        <f t="shared" ref="T20:T26" si="15">(D20-L20)/L20</f>
        <v>#DIV/0!</v>
      </c>
      <c r="U20" s="939" t="e">
        <f t="shared" ref="U20:U26" si="16">(G20-O20)/O20</f>
        <v>#DIV/0!</v>
      </c>
      <c r="V20" s="910">
        <f t="shared" ref="V20:V26" si="17">I20-Q20</f>
        <v>0</v>
      </c>
      <c r="W20" s="951"/>
    </row>
    <row r="21" customHeight="1" spans="1:23">
      <c r="A21" s="945"/>
      <c r="B21" s="946"/>
      <c r="C21" s="947" t="e">
        <f t="shared" si="3"/>
        <v>#DIV/0!</v>
      </c>
      <c r="D21" s="948"/>
      <c r="E21" s="949" t="e">
        <f t="shared" si="4"/>
        <v>#DIV/0!</v>
      </c>
      <c r="F21" s="950" t="e">
        <f t="shared" si="5"/>
        <v>#DIV/0!</v>
      </c>
      <c r="G21" s="948"/>
      <c r="H21" s="950">
        <f t="shared" si="6"/>
        <v>0</v>
      </c>
      <c r="I21" s="910">
        <f t="shared" si="7"/>
        <v>0</v>
      </c>
      <c r="J21" s="948"/>
      <c r="K21" s="947" t="e">
        <f t="shared" si="8"/>
        <v>#DIV/0!</v>
      </c>
      <c r="L21" s="948"/>
      <c r="M21" s="949" t="e">
        <f t="shared" si="9"/>
        <v>#DIV/0!</v>
      </c>
      <c r="N21" s="950" t="e">
        <f t="shared" si="10"/>
        <v>#DIV/0!</v>
      </c>
      <c r="O21" s="948"/>
      <c r="P21" s="950">
        <f t="shared" si="11"/>
        <v>0</v>
      </c>
      <c r="Q21" s="910">
        <f t="shared" si="12"/>
        <v>0</v>
      </c>
      <c r="R21" s="939" t="e">
        <f t="shared" si="13"/>
        <v>#DIV/0!</v>
      </c>
      <c r="S21" s="939" t="e">
        <f t="shared" si="14"/>
        <v>#DIV/0!</v>
      </c>
      <c r="T21" s="939" t="e">
        <f t="shared" si="15"/>
        <v>#DIV/0!</v>
      </c>
      <c r="U21" s="939" t="e">
        <f t="shared" si="16"/>
        <v>#DIV/0!</v>
      </c>
      <c r="V21" s="910">
        <f t="shared" si="17"/>
        <v>0</v>
      </c>
      <c r="W21" s="951"/>
    </row>
    <row r="22" customHeight="1" spans="1:23">
      <c r="A22" s="945"/>
      <c r="B22" s="946"/>
      <c r="C22" s="947" t="e">
        <f t="shared" si="3"/>
        <v>#DIV/0!</v>
      </c>
      <c r="D22" s="948"/>
      <c r="E22" s="949" t="e">
        <f t="shared" si="4"/>
        <v>#DIV/0!</v>
      </c>
      <c r="F22" s="950" t="e">
        <f t="shared" si="5"/>
        <v>#DIV/0!</v>
      </c>
      <c r="G22" s="948"/>
      <c r="H22" s="950">
        <f t="shared" si="6"/>
        <v>0</v>
      </c>
      <c r="I22" s="910">
        <f t="shared" si="7"/>
        <v>0</v>
      </c>
      <c r="J22" s="948"/>
      <c r="K22" s="947" t="e">
        <f t="shared" si="8"/>
        <v>#DIV/0!</v>
      </c>
      <c r="L22" s="948"/>
      <c r="M22" s="949" t="e">
        <f t="shared" si="9"/>
        <v>#DIV/0!</v>
      </c>
      <c r="N22" s="950" t="e">
        <f t="shared" si="10"/>
        <v>#DIV/0!</v>
      </c>
      <c r="O22" s="948"/>
      <c r="P22" s="950">
        <f t="shared" si="11"/>
        <v>0</v>
      </c>
      <c r="Q22" s="910">
        <f t="shared" si="12"/>
        <v>0</v>
      </c>
      <c r="R22" s="939" t="e">
        <f t="shared" si="13"/>
        <v>#DIV/0!</v>
      </c>
      <c r="S22" s="939" t="e">
        <f t="shared" si="14"/>
        <v>#DIV/0!</v>
      </c>
      <c r="T22" s="939" t="e">
        <f t="shared" si="15"/>
        <v>#DIV/0!</v>
      </c>
      <c r="U22" s="939" t="e">
        <f t="shared" si="16"/>
        <v>#DIV/0!</v>
      </c>
      <c r="V22" s="910">
        <f t="shared" si="17"/>
        <v>0</v>
      </c>
      <c r="W22" s="951"/>
    </row>
    <row r="23" customHeight="1" spans="1:23">
      <c r="A23" s="952"/>
      <c r="B23" s="946"/>
      <c r="C23" s="947" t="e">
        <f t="shared" si="3"/>
        <v>#DIV/0!</v>
      </c>
      <c r="D23" s="948"/>
      <c r="E23" s="949" t="e">
        <f t="shared" si="4"/>
        <v>#DIV/0!</v>
      </c>
      <c r="F23" s="950" t="e">
        <f t="shared" si="5"/>
        <v>#DIV/0!</v>
      </c>
      <c r="G23" s="948"/>
      <c r="H23" s="950">
        <f t="shared" si="6"/>
        <v>0</v>
      </c>
      <c r="I23" s="910">
        <f t="shared" si="7"/>
        <v>0</v>
      </c>
      <c r="J23" s="948"/>
      <c r="K23" s="947" t="e">
        <f t="shared" si="8"/>
        <v>#DIV/0!</v>
      </c>
      <c r="L23" s="948"/>
      <c r="M23" s="949" t="e">
        <f t="shared" si="9"/>
        <v>#DIV/0!</v>
      </c>
      <c r="N23" s="950" t="e">
        <f t="shared" si="10"/>
        <v>#DIV/0!</v>
      </c>
      <c r="O23" s="948"/>
      <c r="P23" s="950">
        <f t="shared" si="11"/>
        <v>0</v>
      </c>
      <c r="Q23" s="910">
        <f t="shared" si="12"/>
        <v>0</v>
      </c>
      <c r="R23" s="939" t="e">
        <f t="shared" si="13"/>
        <v>#DIV/0!</v>
      </c>
      <c r="S23" s="939" t="e">
        <f t="shared" si="14"/>
        <v>#DIV/0!</v>
      </c>
      <c r="T23" s="939" t="e">
        <f t="shared" si="15"/>
        <v>#DIV/0!</v>
      </c>
      <c r="U23" s="939" t="e">
        <f t="shared" si="16"/>
        <v>#DIV/0!</v>
      </c>
      <c r="V23" s="910">
        <f t="shared" si="17"/>
        <v>0</v>
      </c>
      <c r="W23" s="951"/>
    </row>
    <row r="24" customHeight="1" spans="1:23">
      <c r="A24" s="952"/>
      <c r="B24" s="946"/>
      <c r="C24" s="947" t="e">
        <f t="shared" si="3"/>
        <v>#DIV/0!</v>
      </c>
      <c r="D24" s="948"/>
      <c r="E24" s="949" t="e">
        <f t="shared" si="4"/>
        <v>#DIV/0!</v>
      </c>
      <c r="F24" s="950" t="e">
        <f t="shared" si="5"/>
        <v>#DIV/0!</v>
      </c>
      <c r="G24" s="948"/>
      <c r="H24" s="950">
        <f t="shared" si="6"/>
        <v>0</v>
      </c>
      <c r="I24" s="910">
        <f t="shared" si="7"/>
        <v>0</v>
      </c>
      <c r="J24" s="948"/>
      <c r="K24" s="947" t="e">
        <f t="shared" si="8"/>
        <v>#DIV/0!</v>
      </c>
      <c r="L24" s="948"/>
      <c r="M24" s="949" t="e">
        <f t="shared" si="9"/>
        <v>#DIV/0!</v>
      </c>
      <c r="N24" s="950" t="e">
        <f t="shared" si="10"/>
        <v>#DIV/0!</v>
      </c>
      <c r="O24" s="948"/>
      <c r="P24" s="950">
        <f t="shared" si="11"/>
        <v>0</v>
      </c>
      <c r="Q24" s="910">
        <f t="shared" si="12"/>
        <v>0</v>
      </c>
      <c r="R24" s="939" t="e">
        <f t="shared" si="13"/>
        <v>#DIV/0!</v>
      </c>
      <c r="S24" s="939" t="e">
        <f t="shared" si="14"/>
        <v>#DIV/0!</v>
      </c>
      <c r="T24" s="939" t="e">
        <f t="shared" si="15"/>
        <v>#DIV/0!</v>
      </c>
      <c r="U24" s="939" t="e">
        <f t="shared" si="16"/>
        <v>#DIV/0!</v>
      </c>
      <c r="V24" s="910">
        <f t="shared" si="17"/>
        <v>0</v>
      </c>
      <c r="W24" s="951"/>
    </row>
    <row r="25" customHeight="1" spans="1:23">
      <c r="A25" s="953"/>
      <c r="B25" s="946"/>
      <c r="C25" s="947" t="e">
        <f t="shared" si="3"/>
        <v>#DIV/0!</v>
      </c>
      <c r="D25" s="948"/>
      <c r="E25" s="949" t="e">
        <f t="shared" si="4"/>
        <v>#DIV/0!</v>
      </c>
      <c r="F25" s="950" t="e">
        <f t="shared" si="5"/>
        <v>#DIV/0!</v>
      </c>
      <c r="G25" s="948"/>
      <c r="H25" s="950">
        <f t="shared" si="6"/>
        <v>0</v>
      </c>
      <c r="I25" s="910">
        <f t="shared" si="7"/>
        <v>0</v>
      </c>
      <c r="J25" s="948"/>
      <c r="K25" s="947" t="e">
        <f t="shared" si="8"/>
        <v>#DIV/0!</v>
      </c>
      <c r="L25" s="948"/>
      <c r="M25" s="949" t="e">
        <f t="shared" si="9"/>
        <v>#DIV/0!</v>
      </c>
      <c r="N25" s="950" t="e">
        <f t="shared" si="10"/>
        <v>#DIV/0!</v>
      </c>
      <c r="O25" s="948"/>
      <c r="P25" s="950">
        <f t="shared" si="11"/>
        <v>0</v>
      </c>
      <c r="Q25" s="910">
        <f t="shared" si="12"/>
        <v>0</v>
      </c>
      <c r="R25" s="939" t="e">
        <f t="shared" si="13"/>
        <v>#DIV/0!</v>
      </c>
      <c r="S25" s="939" t="e">
        <f t="shared" si="14"/>
        <v>#DIV/0!</v>
      </c>
      <c r="T25" s="939" t="e">
        <f t="shared" si="15"/>
        <v>#DIV/0!</v>
      </c>
      <c r="U25" s="939" t="e">
        <f t="shared" si="16"/>
        <v>#DIV/0!</v>
      </c>
      <c r="V25" s="910">
        <f t="shared" si="17"/>
        <v>0</v>
      </c>
      <c r="W25" s="951"/>
    </row>
    <row r="26" s="926" customFormat="1" customHeight="1" spans="1:23">
      <c r="A26" s="44" t="s">
        <v>140</v>
      </c>
      <c r="B26" s="954">
        <f t="shared" ref="B26:H26" si="18">SUM(B20:B25)</f>
        <v>0</v>
      </c>
      <c r="C26" s="955" t="e">
        <f t="shared" si="3"/>
        <v>#DIV/0!</v>
      </c>
      <c r="D26" s="954">
        <f t="shared" si="18"/>
        <v>0</v>
      </c>
      <c r="E26" s="956" t="e">
        <f t="shared" si="4"/>
        <v>#DIV/0!</v>
      </c>
      <c r="F26" s="954" t="e">
        <f t="shared" si="5"/>
        <v>#DIV/0!</v>
      </c>
      <c r="G26" s="954">
        <f t="shared" si="18"/>
        <v>0</v>
      </c>
      <c r="H26" s="954">
        <f t="shared" si="18"/>
        <v>0</v>
      </c>
      <c r="I26" s="917">
        <f t="shared" si="7"/>
        <v>0</v>
      </c>
      <c r="J26" s="954">
        <f t="shared" ref="J26:P26" si="19">SUM(J20:J25)</f>
        <v>0</v>
      </c>
      <c r="K26" s="955" t="e">
        <f t="shared" si="8"/>
        <v>#DIV/0!</v>
      </c>
      <c r="L26" s="954">
        <f t="shared" si="19"/>
        <v>0</v>
      </c>
      <c r="M26" s="956" t="e">
        <f t="shared" si="9"/>
        <v>#DIV/0!</v>
      </c>
      <c r="N26" s="954" t="e">
        <f t="shared" si="10"/>
        <v>#DIV/0!</v>
      </c>
      <c r="O26" s="954">
        <f t="shared" si="19"/>
        <v>0</v>
      </c>
      <c r="P26" s="954">
        <f t="shared" si="19"/>
        <v>0</v>
      </c>
      <c r="Q26" s="917">
        <f t="shared" si="12"/>
        <v>0</v>
      </c>
      <c r="R26" s="957" t="e">
        <f t="shared" si="13"/>
        <v>#DIV/0!</v>
      </c>
      <c r="S26" s="957" t="e">
        <f t="shared" si="14"/>
        <v>#DIV/0!</v>
      </c>
      <c r="T26" s="957" t="e">
        <f t="shared" si="15"/>
        <v>#DIV/0!</v>
      </c>
      <c r="U26" s="957" t="e">
        <f t="shared" si="16"/>
        <v>#DIV/0!</v>
      </c>
      <c r="V26" s="917">
        <f t="shared" si="17"/>
        <v>0</v>
      </c>
      <c r="W26" s="958"/>
    </row>
    <row r="27" customHeight="1" spans="1:23">
      <c r="A27" s="802" t="s">
        <v>278</v>
      </c>
      <c r="B27" s="926"/>
      <c r="C27" s="926"/>
    </row>
    <row r="28" customHeight="1" spans="1:23">
      <c r="A28" s="925" t="s">
        <v>408</v>
      </c>
    </row>
    <row r="29" customHeight="1" spans="1:23">
      <c r="A29" s="925" t="s">
        <v>409</v>
      </c>
    </row>
    <row r="30" customHeight="1" spans="1:23">
      <c r="A30" s="926" t="s">
        <v>280</v>
      </c>
    </row>
    <row r="32" customHeight="1" spans="1:23">
      <c r="A32" s="959" t="s">
        <v>410</v>
      </c>
      <c r="B32" s="960"/>
      <c r="C32" s="929"/>
      <c r="V32" s="927"/>
    </row>
  </sheetData>
  <mergeCells count="7">
    <mergeCell ref="A1:W1"/>
    <mergeCell ref="A2:W2"/>
    <mergeCell ref="B18:I18"/>
    <mergeCell ref="J18:Q18"/>
    <mergeCell ref="R18:V18"/>
    <mergeCell ref="A18:A19"/>
    <mergeCell ref="W18:W19"/>
  </mergeCells>
  <hyperlinks>
    <hyperlink ref="W3" location="底稿目录!A1" display="='D:\GT_plan\backend\wp_templates\D\[D4-6至D4-11营业收入 - 分析程序（Leap应对措施-分析程序）.xlsx]底稿目录'!F4"/>
  </hyperlinks>
  <pageMargins left="0.708333333333333" right="0.708333333333333" top="0.747916666666667" bottom="0.747916666666667" header="0.314583333333333" footer="0.314583333333333"/>
  <pageSetup paperSize="9" scale="54" orientation="landscape" blackAndWhite="1"/>
  <headerFooter>
    <oddFooter>&amp;C&amp;P/&amp;N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
  <sheetViews>
    <sheetView showZeros="0" view="pageBreakPreview" zoomScale="90" zoomScaleNormal="100" workbookViewId="0">
      <selection activeCell="A1" sqref="A1:X1"/>
    </sheetView>
  </sheetViews>
  <sheetFormatPr defaultColWidth="9.81818181818182" defaultRowHeight="20.1" customHeight="1"/>
  <cols>
    <col min="1" max="1" width="6.66363636363636" style="881" customWidth="1"/>
    <col min="2" max="2" width="9.57272727272727" style="881" customWidth="1"/>
    <col min="3" max="3" width="10.6636363636364" style="881" customWidth="1"/>
    <col min="4" max="4" width="10.9090909090909" style="881" customWidth="1"/>
    <col min="5" max="5" width="10.0545454545455" style="881" customWidth="1"/>
    <col min="6" max="6" width="10.1818181818182" style="881" customWidth="1"/>
    <col min="7" max="8" width="10.6636363636364" style="881" customWidth="1"/>
    <col min="9" max="9" width="8.36363636363636" style="881" customWidth="1"/>
    <col min="10" max="10" width="9.81818181818182" style="881" customWidth="1"/>
    <col min="11" max="16" width="9.81818181818182" style="881"/>
    <col min="17" max="17" width="7.75454545454545" style="881" customWidth="1"/>
    <col min="18" max="22" width="9.81818181818182" style="881"/>
    <col min="23" max="23" width="7.50909090909091" style="881" customWidth="1"/>
    <col min="24" max="16384" width="9.81818181818182" style="881"/>
  </cols>
  <sheetData>
    <row r="1" s="879" customFormat="1" customHeight="1" spans="1:24">
      <c r="A1" s="882" t="s">
        <v>27</v>
      </c>
      <c r="B1" s="882"/>
      <c r="C1" s="882"/>
      <c r="D1" s="882"/>
      <c r="E1" s="882"/>
      <c r="F1" s="882"/>
      <c r="G1" s="882"/>
      <c r="H1" s="882"/>
      <c r="I1" s="882"/>
      <c r="J1" s="882"/>
      <c r="K1" s="882"/>
      <c r="L1" s="882"/>
      <c r="M1" s="882"/>
      <c r="N1" s="882"/>
      <c r="O1" s="882"/>
      <c r="P1" s="882"/>
      <c r="Q1" s="882"/>
      <c r="R1" s="882"/>
      <c r="S1" s="882"/>
      <c r="T1" s="882"/>
      <c r="U1" s="882"/>
      <c r="V1" s="882"/>
      <c r="W1" s="882"/>
      <c r="X1" s="882"/>
    </row>
    <row r="2" s="880" customFormat="1" customHeight="1" spans="1:24">
      <c r="A2" s="883" t="s">
        <v>411</v>
      </c>
      <c r="B2" s="883"/>
      <c r="C2" s="883"/>
      <c r="D2" s="883"/>
      <c r="E2" s="883"/>
      <c r="F2" s="883"/>
      <c r="G2" s="883"/>
      <c r="H2" s="883"/>
      <c r="I2" s="883"/>
      <c r="J2" s="883"/>
      <c r="K2" s="883"/>
      <c r="L2" s="883"/>
      <c r="M2" s="883"/>
      <c r="N2" s="883"/>
      <c r="O2" s="883"/>
      <c r="P2" s="883"/>
      <c r="Q2" s="883"/>
      <c r="R2" s="883"/>
      <c r="S2" s="883"/>
      <c r="T2" s="883"/>
      <c r="U2" s="883"/>
      <c r="V2" s="883"/>
      <c r="W2" s="883"/>
      <c r="X2" s="883"/>
    </row>
    <row r="3" customHeight="1" spans="1:24">
      <c r="A3" s="881" t="str">
        <f>[9]底稿目录!A2</f>
        <v>被审计单位名称：</v>
      </c>
      <c r="H3" s="881" t="str">
        <f>[9]底稿目录!A4</f>
        <v>编制人：</v>
      </c>
      <c r="N3" s="881" t="str">
        <f>[9]底稿目录!A5</f>
        <v>编制日期：</v>
      </c>
      <c r="O3" s="884"/>
      <c r="W3" s="885" t="s">
        <v>29</v>
      </c>
      <c r="X3" s="827" t="str">
        <f>[9]底稿目录!F5</f>
        <v>D4-8</v>
      </c>
    </row>
    <row r="4" customHeight="1" spans="1:24">
      <c r="A4" s="881" t="str">
        <f>[9]底稿目录!A3</f>
        <v>会计期间：202X年度</v>
      </c>
      <c r="H4" s="881" t="str">
        <f>[9]底稿目录!A6</f>
        <v>复核人：</v>
      </c>
      <c r="N4" s="881" t="str">
        <f>[9]底稿目录!A7</f>
        <v>复核日期：</v>
      </c>
      <c r="O4" s="884"/>
      <c r="W4" s="885" t="s">
        <v>129</v>
      </c>
    </row>
    <row r="5" s="418" customFormat="1" customHeight="1" spans="1:24">
      <c r="A5" s="415" t="s">
        <v>252</v>
      </c>
      <c r="C5" s="415"/>
      <c r="G5" s="417"/>
    </row>
    <row r="6" s="418" customFormat="1" customHeight="1" spans="1:24">
      <c r="A6" s="416" t="s">
        <v>352</v>
      </c>
      <c r="B6" s="416"/>
      <c r="C6" s="415"/>
      <c r="G6" s="417"/>
    </row>
    <row r="7" s="418" customFormat="1" customHeight="1" spans="1:24">
      <c r="A7" s="416" t="s">
        <v>353</v>
      </c>
      <c r="B7" s="416"/>
      <c r="C7" s="415"/>
      <c r="G7" s="417"/>
    </row>
    <row r="8" s="418" customFormat="1" customHeight="1" spans="1:24">
      <c r="A8" s="421" t="s">
        <v>254</v>
      </c>
      <c r="B8" s="420"/>
      <c r="C8" s="421"/>
      <c r="G8" s="417"/>
    </row>
    <row r="9" s="418" customFormat="1" customHeight="1" spans="1:24">
      <c r="A9" s="886" t="s">
        <v>255</v>
      </c>
      <c r="B9" s="887"/>
      <c r="C9" s="887"/>
      <c r="G9" s="417"/>
    </row>
    <row r="10" s="418" customFormat="1" customHeight="1" spans="1:24">
      <c r="A10" s="887"/>
      <c r="B10" s="887"/>
      <c r="C10" s="887"/>
      <c r="G10" s="417"/>
    </row>
    <row r="11" s="418" customFormat="1" customHeight="1" spans="1:24">
      <c r="G11" s="417"/>
    </row>
    <row r="12" s="418" customFormat="1" customHeight="1" spans="1:24">
      <c r="A12" s="888" t="s">
        <v>412</v>
      </c>
      <c r="B12" s="888"/>
      <c r="C12" s="888"/>
      <c r="G12" s="417"/>
    </row>
    <row r="13" customHeight="1" spans="1:24">
      <c r="A13" s="889" t="s">
        <v>385</v>
      </c>
      <c r="B13" s="889" t="s">
        <v>131</v>
      </c>
      <c r="C13" s="889"/>
      <c r="D13" s="889"/>
      <c r="E13" s="889"/>
      <c r="F13" s="889"/>
      <c r="G13" s="889"/>
      <c r="H13" s="889"/>
      <c r="I13" s="889"/>
      <c r="J13" s="889" t="s">
        <v>132</v>
      </c>
      <c r="K13" s="889"/>
      <c r="L13" s="889"/>
      <c r="M13" s="889"/>
      <c r="N13" s="889"/>
      <c r="O13" s="889"/>
      <c r="P13" s="889"/>
      <c r="Q13" s="889"/>
      <c r="R13" s="890" t="s">
        <v>413</v>
      </c>
      <c r="S13" s="891"/>
      <c r="T13" s="891"/>
      <c r="U13" s="891"/>
      <c r="V13" s="891"/>
      <c r="W13" s="892"/>
      <c r="X13" s="893" t="s">
        <v>276</v>
      </c>
    </row>
    <row r="14" customHeight="1" spans="1:24">
      <c r="A14" s="889"/>
      <c r="B14" s="894" t="s">
        <v>414</v>
      </c>
      <c r="C14" s="894"/>
      <c r="D14" s="894"/>
      <c r="E14" s="894" t="s">
        <v>415</v>
      </c>
      <c r="F14" s="894"/>
      <c r="G14" s="894"/>
      <c r="H14" s="895" t="s">
        <v>400</v>
      </c>
      <c r="I14" s="895" t="s">
        <v>401</v>
      </c>
      <c r="J14" s="894" t="s">
        <v>414</v>
      </c>
      <c r="K14" s="894"/>
      <c r="L14" s="894"/>
      <c r="M14" s="894" t="s">
        <v>415</v>
      </c>
      <c r="N14" s="894"/>
      <c r="O14" s="894"/>
      <c r="P14" s="895" t="s">
        <v>400</v>
      </c>
      <c r="Q14" s="895" t="s">
        <v>401</v>
      </c>
      <c r="R14" s="896" t="s">
        <v>406</v>
      </c>
      <c r="S14" s="897" t="s">
        <v>407</v>
      </c>
      <c r="T14" s="898" t="s">
        <v>197</v>
      </c>
      <c r="U14" s="898" t="s">
        <v>198</v>
      </c>
      <c r="V14" s="899" t="s">
        <v>400</v>
      </c>
      <c r="W14" s="898" t="s">
        <v>401</v>
      </c>
      <c r="X14" s="900"/>
    </row>
    <row r="15" ht="36" customHeight="1" spans="1:24">
      <c r="A15" s="889"/>
      <c r="B15" s="894" t="s">
        <v>416</v>
      </c>
      <c r="C15" s="895" t="s">
        <v>406</v>
      </c>
      <c r="D15" s="895" t="s">
        <v>417</v>
      </c>
      <c r="E15" s="894" t="s">
        <v>416</v>
      </c>
      <c r="F15" s="895" t="s">
        <v>418</v>
      </c>
      <c r="G15" s="895" t="s">
        <v>417</v>
      </c>
      <c r="H15" s="895"/>
      <c r="I15" s="895"/>
      <c r="J15" s="894" t="s">
        <v>416</v>
      </c>
      <c r="K15" s="895" t="s">
        <v>406</v>
      </c>
      <c r="L15" s="895" t="s">
        <v>417</v>
      </c>
      <c r="M15" s="894" t="s">
        <v>416</v>
      </c>
      <c r="N15" s="895" t="s">
        <v>418</v>
      </c>
      <c r="O15" s="895" t="s">
        <v>417</v>
      </c>
      <c r="P15" s="895"/>
      <c r="Q15" s="895"/>
      <c r="R15" s="901"/>
      <c r="S15" s="902"/>
      <c r="T15" s="903"/>
      <c r="U15" s="903"/>
      <c r="V15" s="904"/>
      <c r="W15" s="903"/>
      <c r="X15" s="905"/>
    </row>
    <row r="16" customHeight="1" spans="1:24">
      <c r="A16" s="906">
        <v>1</v>
      </c>
      <c r="B16" s="907"/>
      <c r="C16" s="907"/>
      <c r="D16" s="908"/>
      <c r="E16" s="907"/>
      <c r="F16" s="907"/>
      <c r="G16" s="908"/>
      <c r="H16" s="909">
        <f t="shared" ref="H16:H27" si="0">D16-G16</f>
        <v>0</v>
      </c>
      <c r="I16" s="910">
        <f t="shared" ref="I16:I31" si="1">IF(D16=0,0,H16/D16)</f>
        <v>0</v>
      </c>
      <c r="J16" s="907"/>
      <c r="K16" s="907"/>
      <c r="L16" s="908"/>
      <c r="M16" s="907"/>
      <c r="N16" s="907"/>
      <c r="O16" s="908"/>
      <c r="P16" s="909">
        <f t="shared" ref="P16:P27" si="2">L16-O16</f>
        <v>0</v>
      </c>
      <c r="Q16" s="910">
        <f t="shared" ref="Q16:Q31" si="3">IF(L16=0,0,P16/L16)</f>
        <v>0</v>
      </c>
      <c r="R16" s="911" t="e">
        <f t="shared" ref="R16:R31" si="4">(C16-K16)/K16</f>
        <v>#DIV/0!</v>
      </c>
      <c r="S16" s="911" t="e">
        <f t="shared" ref="S16:S31" si="5">(F16-N16)/N16</f>
        <v>#DIV/0!</v>
      </c>
      <c r="T16" s="912" t="e">
        <f t="shared" ref="T16:T31" si="6">(D16-L16)/L16</f>
        <v>#DIV/0!</v>
      </c>
      <c r="U16" s="912" t="e">
        <f t="shared" ref="U16:U31" si="7">(G16-O16)/O16</f>
        <v>#DIV/0!</v>
      </c>
      <c r="V16" s="912" t="e">
        <f t="shared" ref="V16:V31" si="8">(H16-P16)/P16</f>
        <v>#DIV/0!</v>
      </c>
      <c r="W16" s="913">
        <f t="shared" ref="W16:W31" si="9">I16-Q16</f>
        <v>0</v>
      </c>
      <c r="X16" s="914"/>
    </row>
    <row r="17" customHeight="1" spans="1:24">
      <c r="A17" s="906">
        <v>2</v>
      </c>
      <c r="B17" s="907"/>
      <c r="C17" s="907"/>
      <c r="D17" s="908"/>
      <c r="E17" s="907"/>
      <c r="F17" s="908"/>
      <c r="G17" s="908"/>
      <c r="H17" s="909">
        <f t="shared" si="0"/>
        <v>0</v>
      </c>
      <c r="I17" s="910">
        <f t="shared" si="1"/>
        <v>0</v>
      </c>
      <c r="J17" s="907"/>
      <c r="K17" s="907"/>
      <c r="L17" s="908"/>
      <c r="M17" s="907"/>
      <c r="N17" s="908"/>
      <c r="O17" s="908"/>
      <c r="P17" s="909">
        <f t="shared" si="2"/>
        <v>0</v>
      </c>
      <c r="Q17" s="910">
        <f t="shared" si="3"/>
        <v>0</v>
      </c>
      <c r="R17" s="911" t="e">
        <f t="shared" si="4"/>
        <v>#DIV/0!</v>
      </c>
      <c r="S17" s="911" t="e">
        <f t="shared" si="5"/>
        <v>#DIV/0!</v>
      </c>
      <c r="T17" s="912" t="e">
        <f t="shared" si="6"/>
        <v>#DIV/0!</v>
      </c>
      <c r="U17" s="912" t="e">
        <f t="shared" si="7"/>
        <v>#DIV/0!</v>
      </c>
      <c r="V17" s="912" t="e">
        <f t="shared" si="8"/>
        <v>#DIV/0!</v>
      </c>
      <c r="W17" s="913">
        <f t="shared" si="9"/>
        <v>0</v>
      </c>
      <c r="X17" s="914"/>
    </row>
    <row r="18" customHeight="1" spans="1:24">
      <c r="A18" s="906">
        <v>3</v>
      </c>
      <c r="B18" s="907"/>
      <c r="C18" s="907"/>
      <c r="D18" s="908"/>
      <c r="E18" s="907"/>
      <c r="F18" s="908"/>
      <c r="G18" s="908"/>
      <c r="H18" s="909">
        <f t="shared" si="0"/>
        <v>0</v>
      </c>
      <c r="I18" s="910">
        <f t="shared" si="1"/>
        <v>0</v>
      </c>
      <c r="J18" s="907"/>
      <c r="K18" s="907"/>
      <c r="L18" s="908"/>
      <c r="M18" s="907"/>
      <c r="N18" s="908"/>
      <c r="O18" s="908"/>
      <c r="P18" s="909">
        <f t="shared" si="2"/>
        <v>0</v>
      </c>
      <c r="Q18" s="910">
        <f t="shared" si="3"/>
        <v>0</v>
      </c>
      <c r="R18" s="911" t="e">
        <f t="shared" si="4"/>
        <v>#DIV/0!</v>
      </c>
      <c r="S18" s="911" t="e">
        <f t="shared" si="5"/>
        <v>#DIV/0!</v>
      </c>
      <c r="T18" s="912" t="e">
        <f t="shared" si="6"/>
        <v>#DIV/0!</v>
      </c>
      <c r="U18" s="912" t="e">
        <f t="shared" si="7"/>
        <v>#DIV/0!</v>
      </c>
      <c r="V18" s="912" t="e">
        <f t="shared" si="8"/>
        <v>#DIV/0!</v>
      </c>
      <c r="W18" s="913">
        <f t="shared" si="9"/>
        <v>0</v>
      </c>
      <c r="X18" s="914"/>
    </row>
    <row r="19" customHeight="1" spans="1:24">
      <c r="A19" s="906">
        <v>4</v>
      </c>
      <c r="B19" s="907"/>
      <c r="C19" s="907"/>
      <c r="D19" s="908"/>
      <c r="E19" s="907"/>
      <c r="F19" s="908"/>
      <c r="G19" s="908"/>
      <c r="H19" s="909">
        <f t="shared" si="0"/>
        <v>0</v>
      </c>
      <c r="I19" s="910">
        <f t="shared" si="1"/>
        <v>0</v>
      </c>
      <c r="J19" s="907"/>
      <c r="K19" s="907"/>
      <c r="L19" s="908"/>
      <c r="M19" s="907"/>
      <c r="N19" s="908"/>
      <c r="O19" s="908"/>
      <c r="P19" s="909">
        <f t="shared" si="2"/>
        <v>0</v>
      </c>
      <c r="Q19" s="910">
        <f t="shared" si="3"/>
        <v>0</v>
      </c>
      <c r="R19" s="911" t="e">
        <f t="shared" si="4"/>
        <v>#DIV/0!</v>
      </c>
      <c r="S19" s="911" t="e">
        <f t="shared" si="5"/>
        <v>#DIV/0!</v>
      </c>
      <c r="T19" s="912" t="e">
        <f t="shared" si="6"/>
        <v>#DIV/0!</v>
      </c>
      <c r="U19" s="912" t="e">
        <f t="shared" si="7"/>
        <v>#DIV/0!</v>
      </c>
      <c r="V19" s="912" t="e">
        <f t="shared" si="8"/>
        <v>#DIV/0!</v>
      </c>
      <c r="W19" s="913">
        <f t="shared" si="9"/>
        <v>0</v>
      </c>
      <c r="X19" s="914"/>
    </row>
    <row r="20" customHeight="1" spans="1:24">
      <c r="A20" s="906">
        <v>5</v>
      </c>
      <c r="B20" s="907"/>
      <c r="C20" s="907"/>
      <c r="D20" s="908"/>
      <c r="E20" s="907"/>
      <c r="F20" s="908"/>
      <c r="G20" s="908"/>
      <c r="H20" s="909">
        <f t="shared" si="0"/>
        <v>0</v>
      </c>
      <c r="I20" s="910">
        <f t="shared" si="1"/>
        <v>0</v>
      </c>
      <c r="J20" s="907"/>
      <c r="K20" s="907"/>
      <c r="L20" s="908"/>
      <c r="M20" s="907"/>
      <c r="N20" s="908"/>
      <c r="O20" s="908"/>
      <c r="P20" s="909">
        <f t="shared" si="2"/>
        <v>0</v>
      </c>
      <c r="Q20" s="910">
        <f t="shared" si="3"/>
        <v>0</v>
      </c>
      <c r="R20" s="911" t="e">
        <f t="shared" si="4"/>
        <v>#DIV/0!</v>
      </c>
      <c r="S20" s="911" t="e">
        <f t="shared" si="5"/>
        <v>#DIV/0!</v>
      </c>
      <c r="T20" s="912" t="e">
        <f t="shared" si="6"/>
        <v>#DIV/0!</v>
      </c>
      <c r="U20" s="912" t="e">
        <f t="shared" si="7"/>
        <v>#DIV/0!</v>
      </c>
      <c r="V20" s="912" t="e">
        <f t="shared" si="8"/>
        <v>#DIV/0!</v>
      </c>
      <c r="W20" s="913">
        <f t="shared" si="9"/>
        <v>0</v>
      </c>
      <c r="X20" s="914"/>
    </row>
    <row r="21" customHeight="1" spans="1:24">
      <c r="A21" s="906">
        <v>6</v>
      </c>
      <c r="B21" s="907"/>
      <c r="C21" s="907"/>
      <c r="D21" s="908"/>
      <c r="E21" s="907"/>
      <c r="F21" s="908"/>
      <c r="G21" s="908"/>
      <c r="H21" s="909">
        <f t="shared" si="0"/>
        <v>0</v>
      </c>
      <c r="I21" s="910">
        <f t="shared" si="1"/>
        <v>0</v>
      </c>
      <c r="J21" s="907"/>
      <c r="K21" s="907"/>
      <c r="L21" s="908"/>
      <c r="M21" s="907"/>
      <c r="N21" s="908"/>
      <c r="O21" s="908"/>
      <c r="P21" s="909">
        <f t="shared" si="2"/>
        <v>0</v>
      </c>
      <c r="Q21" s="910">
        <f t="shared" si="3"/>
        <v>0</v>
      </c>
      <c r="R21" s="911" t="e">
        <f t="shared" si="4"/>
        <v>#DIV/0!</v>
      </c>
      <c r="S21" s="911" t="e">
        <f t="shared" si="5"/>
        <v>#DIV/0!</v>
      </c>
      <c r="T21" s="912" t="e">
        <f t="shared" si="6"/>
        <v>#DIV/0!</v>
      </c>
      <c r="U21" s="912" t="e">
        <f t="shared" si="7"/>
        <v>#DIV/0!</v>
      </c>
      <c r="V21" s="912" t="e">
        <f t="shared" si="8"/>
        <v>#DIV/0!</v>
      </c>
      <c r="W21" s="913">
        <f t="shared" si="9"/>
        <v>0</v>
      </c>
      <c r="X21" s="914"/>
    </row>
    <row r="22" customHeight="1" spans="1:24">
      <c r="A22" s="906">
        <v>7</v>
      </c>
      <c r="B22" s="907"/>
      <c r="C22" s="907"/>
      <c r="D22" s="908"/>
      <c r="E22" s="907"/>
      <c r="F22" s="908"/>
      <c r="G22" s="908"/>
      <c r="H22" s="909">
        <f t="shared" si="0"/>
        <v>0</v>
      </c>
      <c r="I22" s="910">
        <f t="shared" si="1"/>
        <v>0</v>
      </c>
      <c r="J22" s="907"/>
      <c r="K22" s="907"/>
      <c r="L22" s="908"/>
      <c r="M22" s="907"/>
      <c r="N22" s="908"/>
      <c r="O22" s="908"/>
      <c r="P22" s="909">
        <f t="shared" si="2"/>
        <v>0</v>
      </c>
      <c r="Q22" s="910">
        <f t="shared" si="3"/>
        <v>0</v>
      </c>
      <c r="R22" s="911" t="e">
        <f t="shared" si="4"/>
        <v>#DIV/0!</v>
      </c>
      <c r="S22" s="911" t="e">
        <f t="shared" si="5"/>
        <v>#DIV/0!</v>
      </c>
      <c r="T22" s="912" t="e">
        <f t="shared" si="6"/>
        <v>#DIV/0!</v>
      </c>
      <c r="U22" s="912" t="e">
        <f t="shared" si="7"/>
        <v>#DIV/0!</v>
      </c>
      <c r="V22" s="912" t="e">
        <f t="shared" si="8"/>
        <v>#DIV/0!</v>
      </c>
      <c r="W22" s="913">
        <f t="shared" si="9"/>
        <v>0</v>
      </c>
      <c r="X22" s="914"/>
    </row>
    <row r="23" customHeight="1" spans="1:24">
      <c r="A23" s="906">
        <v>8</v>
      </c>
      <c r="B23" s="907"/>
      <c r="C23" s="907"/>
      <c r="D23" s="908"/>
      <c r="E23" s="907"/>
      <c r="F23" s="908"/>
      <c r="G23" s="908"/>
      <c r="H23" s="909">
        <f t="shared" si="0"/>
        <v>0</v>
      </c>
      <c r="I23" s="910">
        <f t="shared" si="1"/>
        <v>0</v>
      </c>
      <c r="J23" s="907"/>
      <c r="K23" s="907"/>
      <c r="L23" s="908"/>
      <c r="M23" s="907"/>
      <c r="N23" s="908"/>
      <c r="O23" s="908"/>
      <c r="P23" s="909">
        <f t="shared" si="2"/>
        <v>0</v>
      </c>
      <c r="Q23" s="910">
        <f t="shared" si="3"/>
        <v>0</v>
      </c>
      <c r="R23" s="911" t="e">
        <f t="shared" si="4"/>
        <v>#DIV/0!</v>
      </c>
      <c r="S23" s="911" t="e">
        <f t="shared" si="5"/>
        <v>#DIV/0!</v>
      </c>
      <c r="T23" s="912" t="e">
        <f t="shared" si="6"/>
        <v>#DIV/0!</v>
      </c>
      <c r="U23" s="912" t="e">
        <f t="shared" si="7"/>
        <v>#DIV/0!</v>
      </c>
      <c r="V23" s="912" t="e">
        <f t="shared" si="8"/>
        <v>#DIV/0!</v>
      </c>
      <c r="W23" s="913">
        <f t="shared" si="9"/>
        <v>0</v>
      </c>
      <c r="X23" s="914"/>
    </row>
    <row r="24" customHeight="1" spans="1:24">
      <c r="A24" s="906">
        <v>9</v>
      </c>
      <c r="B24" s="907"/>
      <c r="C24" s="907"/>
      <c r="D24" s="908"/>
      <c r="E24" s="907"/>
      <c r="F24" s="908"/>
      <c r="G24" s="908"/>
      <c r="H24" s="909">
        <f t="shared" si="0"/>
        <v>0</v>
      </c>
      <c r="I24" s="910">
        <f t="shared" si="1"/>
        <v>0</v>
      </c>
      <c r="J24" s="907"/>
      <c r="K24" s="907"/>
      <c r="L24" s="908"/>
      <c r="M24" s="907"/>
      <c r="N24" s="908"/>
      <c r="O24" s="908"/>
      <c r="P24" s="909">
        <f t="shared" si="2"/>
        <v>0</v>
      </c>
      <c r="Q24" s="910">
        <f t="shared" si="3"/>
        <v>0</v>
      </c>
      <c r="R24" s="911" t="e">
        <f t="shared" si="4"/>
        <v>#DIV/0!</v>
      </c>
      <c r="S24" s="911" t="e">
        <f t="shared" si="5"/>
        <v>#DIV/0!</v>
      </c>
      <c r="T24" s="912" t="e">
        <f t="shared" si="6"/>
        <v>#DIV/0!</v>
      </c>
      <c r="U24" s="912" t="e">
        <f t="shared" si="7"/>
        <v>#DIV/0!</v>
      </c>
      <c r="V24" s="912" t="e">
        <f t="shared" si="8"/>
        <v>#DIV/0!</v>
      </c>
      <c r="W24" s="913">
        <f t="shared" si="9"/>
        <v>0</v>
      </c>
      <c r="X24" s="914"/>
    </row>
    <row r="25" customHeight="1" spans="1:24">
      <c r="A25" s="906">
        <v>10</v>
      </c>
      <c r="B25" s="907"/>
      <c r="C25" s="907"/>
      <c r="D25" s="908"/>
      <c r="E25" s="907"/>
      <c r="F25" s="908"/>
      <c r="G25" s="908"/>
      <c r="H25" s="909">
        <f t="shared" si="0"/>
        <v>0</v>
      </c>
      <c r="I25" s="910">
        <f t="shared" si="1"/>
        <v>0</v>
      </c>
      <c r="J25" s="907"/>
      <c r="K25" s="907"/>
      <c r="L25" s="908"/>
      <c r="M25" s="907"/>
      <c r="N25" s="908"/>
      <c r="O25" s="908"/>
      <c r="P25" s="909">
        <f t="shared" si="2"/>
        <v>0</v>
      </c>
      <c r="Q25" s="910">
        <f t="shared" si="3"/>
        <v>0</v>
      </c>
      <c r="R25" s="911" t="e">
        <f t="shared" si="4"/>
        <v>#DIV/0!</v>
      </c>
      <c r="S25" s="911" t="e">
        <f t="shared" si="5"/>
        <v>#DIV/0!</v>
      </c>
      <c r="T25" s="912" t="e">
        <f t="shared" si="6"/>
        <v>#DIV/0!</v>
      </c>
      <c r="U25" s="912" t="e">
        <f t="shared" si="7"/>
        <v>#DIV/0!</v>
      </c>
      <c r="V25" s="912" t="e">
        <f t="shared" si="8"/>
        <v>#DIV/0!</v>
      </c>
      <c r="W25" s="913">
        <f t="shared" si="9"/>
        <v>0</v>
      </c>
      <c r="X25" s="914"/>
    </row>
    <row r="26" customHeight="1" spans="1:24">
      <c r="A26" s="906">
        <v>11</v>
      </c>
      <c r="B26" s="907"/>
      <c r="C26" s="907"/>
      <c r="D26" s="908"/>
      <c r="E26" s="907"/>
      <c r="F26" s="908"/>
      <c r="G26" s="908"/>
      <c r="H26" s="909">
        <f t="shared" si="0"/>
        <v>0</v>
      </c>
      <c r="I26" s="910">
        <f t="shared" si="1"/>
        <v>0</v>
      </c>
      <c r="J26" s="907"/>
      <c r="K26" s="907"/>
      <c r="L26" s="908"/>
      <c r="M26" s="907"/>
      <c r="N26" s="908"/>
      <c r="O26" s="908"/>
      <c r="P26" s="909">
        <f t="shared" si="2"/>
        <v>0</v>
      </c>
      <c r="Q26" s="910">
        <f t="shared" si="3"/>
        <v>0</v>
      </c>
      <c r="R26" s="911" t="e">
        <f t="shared" si="4"/>
        <v>#DIV/0!</v>
      </c>
      <c r="S26" s="911" t="e">
        <f t="shared" si="5"/>
        <v>#DIV/0!</v>
      </c>
      <c r="T26" s="912" t="e">
        <f t="shared" si="6"/>
        <v>#DIV/0!</v>
      </c>
      <c r="U26" s="912" t="e">
        <f t="shared" si="7"/>
        <v>#DIV/0!</v>
      </c>
      <c r="V26" s="912" t="e">
        <f t="shared" si="8"/>
        <v>#DIV/0!</v>
      </c>
      <c r="W26" s="913">
        <f t="shared" si="9"/>
        <v>0</v>
      </c>
      <c r="X26" s="914"/>
    </row>
    <row r="27" customHeight="1" spans="1:24">
      <c r="A27" s="906">
        <v>12</v>
      </c>
      <c r="B27" s="907"/>
      <c r="C27" s="907"/>
      <c r="D27" s="908"/>
      <c r="E27" s="907"/>
      <c r="F27" s="908"/>
      <c r="G27" s="908"/>
      <c r="H27" s="909">
        <f t="shared" si="0"/>
        <v>0</v>
      </c>
      <c r="I27" s="910">
        <f t="shared" si="1"/>
        <v>0</v>
      </c>
      <c r="J27" s="907"/>
      <c r="K27" s="907"/>
      <c r="L27" s="908"/>
      <c r="M27" s="907"/>
      <c r="N27" s="908"/>
      <c r="O27" s="908"/>
      <c r="P27" s="909">
        <f t="shared" si="2"/>
        <v>0</v>
      </c>
      <c r="Q27" s="910">
        <f t="shared" si="3"/>
        <v>0</v>
      </c>
      <c r="R27" s="911" t="e">
        <f t="shared" si="4"/>
        <v>#DIV/0!</v>
      </c>
      <c r="S27" s="911" t="e">
        <f t="shared" si="5"/>
        <v>#DIV/0!</v>
      </c>
      <c r="T27" s="912" t="e">
        <f t="shared" si="6"/>
        <v>#DIV/0!</v>
      </c>
      <c r="U27" s="912" t="e">
        <f t="shared" si="7"/>
        <v>#DIV/0!</v>
      </c>
      <c r="V27" s="912" t="e">
        <f t="shared" si="8"/>
        <v>#DIV/0!</v>
      </c>
      <c r="W27" s="913">
        <f t="shared" si="9"/>
        <v>0</v>
      </c>
      <c r="X27" s="915"/>
    </row>
    <row r="28" customHeight="1" spans="1:24">
      <c r="A28" s="895" t="s">
        <v>140</v>
      </c>
      <c r="B28" s="916">
        <f t="shared" ref="B28:H28" si="10">SUM(B16:B27)</f>
        <v>0</v>
      </c>
      <c r="C28" s="916">
        <f>IF(B28&lt;&gt;0,D28/B28,0)</f>
        <v>0</v>
      </c>
      <c r="D28" s="916">
        <f t="shared" si="10"/>
        <v>0</v>
      </c>
      <c r="E28" s="916">
        <f t="shared" si="10"/>
        <v>0</v>
      </c>
      <c r="F28" s="916">
        <f>IF(E28&lt;&gt;0,G28/E28,0)</f>
        <v>0</v>
      </c>
      <c r="G28" s="916">
        <f t="shared" si="10"/>
        <v>0</v>
      </c>
      <c r="H28" s="916">
        <f t="shared" si="10"/>
        <v>0</v>
      </c>
      <c r="I28" s="917">
        <f t="shared" si="1"/>
        <v>0</v>
      </c>
      <c r="J28" s="916">
        <f t="shared" ref="J28:M28" si="11">SUM(J16:J27)</f>
        <v>0</v>
      </c>
      <c r="K28" s="916">
        <f>IF(J28&lt;&gt;0,L28/J28,0)</f>
        <v>0</v>
      </c>
      <c r="L28" s="916">
        <f t="shared" si="11"/>
        <v>0</v>
      </c>
      <c r="M28" s="916">
        <f t="shared" si="11"/>
        <v>0</v>
      </c>
      <c r="N28" s="916">
        <f>IF(M28&lt;&gt;0,O28/M28,0)</f>
        <v>0</v>
      </c>
      <c r="O28" s="916">
        <f>SUM(O16:O27)</f>
        <v>0</v>
      </c>
      <c r="P28" s="916">
        <f>SUM(P16:P27)</f>
        <v>0</v>
      </c>
      <c r="Q28" s="917">
        <f t="shared" si="3"/>
        <v>0</v>
      </c>
      <c r="R28" s="911" t="e">
        <f t="shared" si="4"/>
        <v>#DIV/0!</v>
      </c>
      <c r="S28" s="911" t="e">
        <f t="shared" si="5"/>
        <v>#DIV/0!</v>
      </c>
      <c r="T28" s="912" t="e">
        <f t="shared" si="6"/>
        <v>#DIV/0!</v>
      </c>
      <c r="U28" s="912" t="e">
        <f t="shared" si="7"/>
        <v>#DIV/0!</v>
      </c>
      <c r="V28" s="912" t="e">
        <f t="shared" si="8"/>
        <v>#DIV/0!</v>
      </c>
      <c r="W28" s="913">
        <f t="shared" si="9"/>
        <v>0</v>
      </c>
      <c r="X28" s="918"/>
    </row>
    <row r="29" ht="27" customHeight="1" spans="1:24">
      <c r="A29" s="919" t="s">
        <v>419</v>
      </c>
      <c r="B29" s="920"/>
      <c r="C29" s="920"/>
      <c r="D29" s="921"/>
      <c r="E29" s="921"/>
      <c r="F29" s="921"/>
      <c r="G29" s="921"/>
      <c r="H29" s="909">
        <f t="shared" ref="H29:H31" si="12">D29-G29</f>
        <v>0</v>
      </c>
      <c r="I29" s="910">
        <f t="shared" si="1"/>
        <v>0</v>
      </c>
      <c r="J29" s="920"/>
      <c r="K29" s="920"/>
      <c r="L29" s="921"/>
      <c r="M29" s="921"/>
      <c r="N29" s="921"/>
      <c r="O29" s="921"/>
      <c r="P29" s="909">
        <f t="shared" ref="P29:P31" si="13">L29-O29</f>
        <v>0</v>
      </c>
      <c r="Q29" s="910">
        <f t="shared" si="3"/>
        <v>0</v>
      </c>
      <c r="R29" s="911" t="e">
        <f t="shared" si="4"/>
        <v>#DIV/0!</v>
      </c>
      <c r="S29" s="911" t="e">
        <f t="shared" si="5"/>
        <v>#DIV/0!</v>
      </c>
      <c r="T29" s="912" t="e">
        <f t="shared" si="6"/>
        <v>#DIV/0!</v>
      </c>
      <c r="U29" s="912" t="e">
        <f t="shared" si="7"/>
        <v>#DIV/0!</v>
      </c>
      <c r="V29" s="912" t="e">
        <f t="shared" si="8"/>
        <v>#DIV/0!</v>
      </c>
      <c r="W29" s="913">
        <f t="shared" si="9"/>
        <v>0</v>
      </c>
      <c r="X29" s="918"/>
    </row>
    <row r="30" ht="28.5" customHeight="1" spans="1:24">
      <c r="A30" s="919" t="s">
        <v>420</v>
      </c>
      <c r="B30" s="920"/>
      <c r="C30" s="920"/>
      <c r="D30" s="921"/>
      <c r="E30" s="921"/>
      <c r="F30" s="921"/>
      <c r="G30" s="921"/>
      <c r="H30" s="909">
        <f t="shared" si="12"/>
        <v>0</v>
      </c>
      <c r="I30" s="910">
        <f t="shared" si="1"/>
        <v>0</v>
      </c>
      <c r="J30" s="920"/>
      <c r="K30" s="920"/>
      <c r="L30" s="921"/>
      <c r="M30" s="921"/>
      <c r="N30" s="921"/>
      <c r="O30" s="921"/>
      <c r="P30" s="909">
        <f t="shared" si="13"/>
        <v>0</v>
      </c>
      <c r="Q30" s="910">
        <f t="shared" si="3"/>
        <v>0</v>
      </c>
      <c r="R30" s="911" t="e">
        <f t="shared" si="4"/>
        <v>#DIV/0!</v>
      </c>
      <c r="S30" s="911" t="e">
        <f t="shared" si="5"/>
        <v>#DIV/0!</v>
      </c>
      <c r="T30" s="912" t="e">
        <f t="shared" si="6"/>
        <v>#DIV/0!</v>
      </c>
      <c r="U30" s="912" t="e">
        <f t="shared" si="7"/>
        <v>#DIV/0!</v>
      </c>
      <c r="V30" s="912" t="e">
        <f t="shared" si="8"/>
        <v>#DIV/0!</v>
      </c>
      <c r="W30" s="913">
        <f t="shared" si="9"/>
        <v>0</v>
      </c>
      <c r="X30" s="918"/>
    </row>
    <row r="31" customHeight="1" spans="1:24">
      <c r="A31" s="919" t="s">
        <v>421</v>
      </c>
      <c r="B31" s="922"/>
      <c r="C31" s="922"/>
      <c r="D31" s="921"/>
      <c r="E31" s="921"/>
      <c r="F31" s="921"/>
      <c r="G31" s="921"/>
      <c r="H31" s="909">
        <f t="shared" si="12"/>
        <v>0</v>
      </c>
      <c r="I31" s="910">
        <f t="shared" si="1"/>
        <v>0</v>
      </c>
      <c r="J31" s="922"/>
      <c r="K31" s="922"/>
      <c r="L31" s="921"/>
      <c r="M31" s="921"/>
      <c r="N31" s="921"/>
      <c r="O31" s="921"/>
      <c r="P31" s="909">
        <f t="shared" si="13"/>
        <v>0</v>
      </c>
      <c r="Q31" s="910">
        <f t="shared" si="3"/>
        <v>0</v>
      </c>
      <c r="R31" s="911" t="e">
        <f t="shared" si="4"/>
        <v>#DIV/0!</v>
      </c>
      <c r="S31" s="911" t="e">
        <f t="shared" si="5"/>
        <v>#DIV/0!</v>
      </c>
      <c r="T31" s="912" t="e">
        <f t="shared" si="6"/>
        <v>#DIV/0!</v>
      </c>
      <c r="U31" s="912" t="e">
        <f t="shared" si="7"/>
        <v>#DIV/0!</v>
      </c>
      <c r="V31" s="912" t="e">
        <f t="shared" si="8"/>
        <v>#DIV/0!</v>
      </c>
      <c r="W31" s="913">
        <f t="shared" si="9"/>
        <v>0</v>
      </c>
      <c r="X31" s="918"/>
    </row>
    <row r="32" s="418" customFormat="1" customHeight="1" spans="1:24">
      <c r="A32" s="923" t="s">
        <v>422</v>
      </c>
      <c r="B32" s="888"/>
      <c r="C32" s="888"/>
      <c r="G32" s="417"/>
    </row>
    <row r="33" s="418" customFormat="1" customHeight="1" spans="1:7">
      <c r="A33" s="888"/>
      <c r="B33" s="888"/>
      <c r="C33" s="888"/>
      <c r="G33" s="417"/>
    </row>
    <row r="34" s="418" customFormat="1" customHeight="1" spans="1:7">
      <c r="A34" s="888"/>
      <c r="B34" s="888"/>
      <c r="C34" s="888"/>
      <c r="G34" s="417"/>
    </row>
    <row r="35" s="418" customFormat="1" customHeight="1" spans="1:7">
      <c r="A35" s="888" t="s">
        <v>278</v>
      </c>
      <c r="B35" s="888"/>
      <c r="C35" s="888"/>
    </row>
    <row r="36" s="418" customFormat="1" customHeight="1"/>
    <row r="37" s="418" customFormat="1" customHeight="1"/>
    <row r="38" s="418" customFormat="1" customHeight="1" spans="1:7">
      <c r="A38" s="421" t="s">
        <v>280</v>
      </c>
      <c r="B38" s="888"/>
      <c r="C38" s="888"/>
    </row>
    <row r="39" s="418" customFormat="1" customHeight="1" spans="1:7">
      <c r="A39" s="888"/>
      <c r="B39" s="888"/>
      <c r="C39" s="888"/>
    </row>
    <row r="40" customHeight="1" spans="1:7">
      <c r="A40" s="796"/>
    </row>
  </sheetData>
  <mergeCells count="21">
    <mergeCell ref="A1:X1"/>
    <mergeCell ref="A2:X2"/>
    <mergeCell ref="B13:I13"/>
    <mergeCell ref="J13:Q13"/>
    <mergeCell ref="R13:W13"/>
    <mergeCell ref="B14:D14"/>
    <mergeCell ref="E14:G14"/>
    <mergeCell ref="J14:L14"/>
    <mergeCell ref="M14:O14"/>
    <mergeCell ref="A13:A15"/>
    <mergeCell ref="H14:H15"/>
    <mergeCell ref="I14:I15"/>
    <mergeCell ref="P14:P15"/>
    <mergeCell ref="Q14:Q15"/>
    <mergeCell ref="R14:R15"/>
    <mergeCell ref="S14:S15"/>
    <mergeCell ref="T14:T15"/>
    <mergeCell ref="U14:U15"/>
    <mergeCell ref="V14:V15"/>
    <mergeCell ref="W14:W15"/>
    <mergeCell ref="X13:X15"/>
  </mergeCells>
  <hyperlinks>
    <hyperlink ref="X3" location="底稿目录!A1" display="='D:\GT_plan\backend\wp_templates\D\[D4-6至D4-11营业收入 - 分析程序（Leap应对措施-分析程序）.xlsx]底稿目录'!F5"/>
  </hyperlinks>
  <pageMargins left="0.708333333333333" right="0.708333333333333" top="0.747916666666667" bottom="0.747916666666667" header="0.314583333333333" footer="0.314583333333333"/>
  <pageSetup paperSize="9" scale="60" orientation="landscape" blackAndWhite="1"/>
  <headerFooter>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2"/>
  <sheetViews>
    <sheetView view="pageBreakPreview" zoomScaleNormal="100" workbookViewId="0">
      <selection activeCell="A1" sqref="A1:G1"/>
    </sheetView>
  </sheetViews>
  <sheetFormatPr defaultColWidth="9.81818181818182" defaultRowHeight="20.1" customHeight="1"/>
  <cols>
    <col min="1" max="1" width="9.20909090909091" style="795" customWidth="1"/>
    <col min="2" max="2" width="14.6636363636364" style="795" customWidth="1"/>
    <col min="3" max="3" width="13.0909090909091" style="795" customWidth="1"/>
    <col min="4" max="4" width="12.8454545454545" style="795" customWidth="1"/>
    <col min="5" max="5" width="12.4818181818182" style="795" customWidth="1"/>
    <col min="6" max="7" width="12.8454545454545" style="795" customWidth="1"/>
    <col min="8" max="16384" width="9.81818181818182" style="795"/>
  </cols>
  <sheetData>
    <row r="1" s="794" customFormat="1" customHeight="1" spans="1:8">
      <c r="A1" s="798" t="s">
        <v>27</v>
      </c>
      <c r="B1" s="798"/>
      <c r="C1" s="798"/>
      <c r="D1" s="798"/>
      <c r="E1" s="798"/>
      <c r="F1" s="798"/>
      <c r="G1" s="798"/>
    </row>
    <row r="2" s="794" customFormat="1" customHeight="1" spans="1:8">
      <c r="A2" s="799" t="s">
        <v>423</v>
      </c>
      <c r="B2" s="799"/>
      <c r="C2" s="799"/>
      <c r="D2" s="799"/>
      <c r="E2" s="799"/>
      <c r="F2" s="799"/>
      <c r="G2" s="799"/>
    </row>
    <row r="3" customHeight="1" spans="1:8">
      <c r="A3" s="796" t="str">
        <f>[9]底稿目录!A2</f>
        <v>被审计单位名称：</v>
      </c>
      <c r="C3" s="796" t="str">
        <f>[9]底稿目录!A4</f>
        <v>编制人：</v>
      </c>
      <c r="E3" s="796" t="str">
        <f>[9]底稿目录!A5</f>
        <v>编制日期：</v>
      </c>
      <c r="F3" s="800" t="s">
        <v>29</v>
      </c>
      <c r="G3" s="801" t="str">
        <f>[9]底稿目录!F6</f>
        <v>D4-9</v>
      </c>
    </row>
    <row r="4" customHeight="1" spans="1:8">
      <c r="A4" s="796" t="str">
        <f>[9]底稿目录!A3</f>
        <v>会计期间：202X年度</v>
      </c>
      <c r="C4" s="796" t="str">
        <f>[9]底稿目录!A6</f>
        <v>复核人：</v>
      </c>
      <c r="E4" s="796" t="str">
        <f>[9]底稿目录!A7</f>
        <v>复核日期：</v>
      </c>
      <c r="F4" s="800" t="s">
        <v>129</v>
      </c>
    </row>
    <row r="5" s="796" customFormat="1" customHeight="1" spans="1:8">
      <c r="A5" s="802" t="s">
        <v>252</v>
      </c>
      <c r="B5" s="803"/>
      <c r="C5" s="803"/>
      <c r="D5" s="803"/>
      <c r="E5" s="803"/>
      <c r="F5" s="803"/>
      <c r="G5" s="803"/>
      <c r="H5" s="803"/>
    </row>
    <row r="6" s="796" customFormat="1" customHeight="1" spans="1:8">
      <c r="A6" s="796" t="s">
        <v>382</v>
      </c>
      <c r="C6" s="803"/>
      <c r="D6" s="803"/>
      <c r="E6" s="803"/>
      <c r="F6" s="803"/>
      <c r="G6" s="803"/>
      <c r="H6" s="803"/>
    </row>
    <row r="7" s="796" customFormat="1" customHeight="1" spans="1:8">
      <c r="A7" s="802" t="s">
        <v>254</v>
      </c>
      <c r="B7" s="803"/>
      <c r="C7" s="803"/>
      <c r="D7" s="803"/>
      <c r="E7" s="803"/>
      <c r="F7" s="803"/>
      <c r="G7" s="803"/>
      <c r="H7" s="803"/>
    </row>
    <row r="8" s="796" customFormat="1" customHeight="1" spans="1:8">
      <c r="A8" s="804" t="s">
        <v>255</v>
      </c>
      <c r="B8" s="803"/>
      <c r="C8" s="803"/>
      <c r="D8" s="803"/>
      <c r="E8" s="803"/>
      <c r="F8" s="803"/>
      <c r="G8" s="803"/>
      <c r="H8" s="803"/>
    </row>
    <row r="9" s="796" customFormat="1" customHeight="1" spans="1:8">
      <c r="A9" s="804"/>
      <c r="B9" s="803"/>
      <c r="C9" s="803"/>
      <c r="D9" s="803"/>
      <c r="E9" s="803"/>
      <c r="F9" s="803"/>
      <c r="G9" s="803"/>
      <c r="H9" s="803"/>
    </row>
    <row r="10" s="796" customFormat="1" customHeight="1" spans="1:8">
      <c r="A10" s="804"/>
      <c r="B10" s="803"/>
      <c r="C10" s="803"/>
      <c r="D10" s="803"/>
      <c r="E10" s="803"/>
      <c r="F10" s="803"/>
      <c r="G10" s="803"/>
      <c r="H10" s="803"/>
    </row>
    <row r="11" s="796" customFormat="1" customHeight="1" spans="1:8">
      <c r="A11" s="853" t="s">
        <v>424</v>
      </c>
      <c r="B11" s="803"/>
      <c r="C11" s="803"/>
      <c r="D11" s="803"/>
      <c r="E11" s="803"/>
      <c r="F11" s="803"/>
      <c r="G11" s="803"/>
      <c r="H11" s="803"/>
    </row>
    <row r="12" s="796" customFormat="1" customHeight="1" spans="1:8">
      <c r="A12" s="854" t="s">
        <v>2</v>
      </c>
      <c r="B12" s="855" t="s">
        <v>425</v>
      </c>
      <c r="C12" s="854" t="s">
        <v>426</v>
      </c>
      <c r="D12" s="854" t="s">
        <v>427</v>
      </c>
      <c r="E12" s="854" t="s">
        <v>428</v>
      </c>
      <c r="F12" s="854" t="s">
        <v>429</v>
      </c>
      <c r="G12" s="854" t="s">
        <v>430</v>
      </c>
      <c r="H12" s="803"/>
    </row>
    <row r="13" s="796" customFormat="1" customHeight="1" spans="1:8">
      <c r="A13" s="856">
        <v>1</v>
      </c>
      <c r="B13" s="857"/>
      <c r="C13" s="858"/>
      <c r="D13" s="836">
        <f t="shared" ref="D13:D23" si="0">IF(C13=0,0,C13/$C$24)</f>
        <v>0</v>
      </c>
      <c r="E13" s="858"/>
      <c r="F13" s="836">
        <f t="shared" ref="F13:F23" si="1">IF(E13=0,0,E13/$E$24)</f>
        <v>0</v>
      </c>
      <c r="G13" s="859"/>
      <c r="H13" s="803"/>
    </row>
    <row r="14" s="796" customFormat="1" customHeight="1" spans="1:8">
      <c r="A14" s="856">
        <v>2</v>
      </c>
      <c r="B14" s="857"/>
      <c r="C14" s="858"/>
      <c r="D14" s="836">
        <f t="shared" si="0"/>
        <v>0</v>
      </c>
      <c r="E14" s="858"/>
      <c r="F14" s="836">
        <f t="shared" si="1"/>
        <v>0</v>
      </c>
      <c r="G14" s="859"/>
      <c r="H14" s="803"/>
    </row>
    <row r="15" s="796" customFormat="1" customHeight="1" spans="1:8">
      <c r="A15" s="856">
        <v>3</v>
      </c>
      <c r="B15" s="857"/>
      <c r="C15" s="858"/>
      <c r="D15" s="836">
        <f t="shared" si="0"/>
        <v>0</v>
      </c>
      <c r="E15" s="858"/>
      <c r="F15" s="836">
        <f t="shared" si="1"/>
        <v>0</v>
      </c>
      <c r="G15" s="859"/>
      <c r="H15" s="803"/>
    </row>
    <row r="16" s="796" customFormat="1" customHeight="1" spans="1:8">
      <c r="A16" s="856">
        <v>4</v>
      </c>
      <c r="B16" s="857"/>
      <c r="C16" s="858"/>
      <c r="D16" s="836">
        <f t="shared" si="0"/>
        <v>0</v>
      </c>
      <c r="E16" s="858"/>
      <c r="F16" s="836">
        <f t="shared" si="1"/>
        <v>0</v>
      </c>
      <c r="G16" s="859"/>
      <c r="H16" s="803"/>
    </row>
    <row r="17" s="796" customFormat="1" customHeight="1" spans="1:8">
      <c r="A17" s="856">
        <v>5</v>
      </c>
      <c r="B17" s="857"/>
      <c r="C17" s="858"/>
      <c r="D17" s="836">
        <f t="shared" si="0"/>
        <v>0</v>
      </c>
      <c r="E17" s="858"/>
      <c r="F17" s="836">
        <f t="shared" si="1"/>
        <v>0</v>
      </c>
      <c r="G17" s="859"/>
      <c r="H17" s="803"/>
    </row>
    <row r="18" s="796" customFormat="1" customHeight="1" spans="1:8">
      <c r="A18" s="856">
        <v>6</v>
      </c>
      <c r="B18" s="857"/>
      <c r="C18" s="858"/>
      <c r="D18" s="836">
        <f t="shared" si="0"/>
        <v>0</v>
      </c>
      <c r="E18" s="858"/>
      <c r="F18" s="836">
        <f t="shared" si="1"/>
        <v>0</v>
      </c>
      <c r="G18" s="859"/>
      <c r="H18" s="803"/>
    </row>
    <row r="19" s="796" customFormat="1" customHeight="1" spans="1:8">
      <c r="A19" s="856">
        <v>7</v>
      </c>
      <c r="B19" s="857"/>
      <c r="C19" s="858"/>
      <c r="D19" s="836">
        <f t="shared" si="0"/>
        <v>0</v>
      </c>
      <c r="E19" s="858"/>
      <c r="F19" s="836">
        <f t="shared" si="1"/>
        <v>0</v>
      </c>
      <c r="G19" s="859"/>
      <c r="H19" s="803"/>
    </row>
    <row r="20" s="796" customFormat="1" customHeight="1" spans="1:8">
      <c r="A20" s="856">
        <v>8</v>
      </c>
      <c r="B20" s="857"/>
      <c r="C20" s="858"/>
      <c r="D20" s="836">
        <f t="shared" si="0"/>
        <v>0</v>
      </c>
      <c r="E20" s="858"/>
      <c r="F20" s="836">
        <f t="shared" si="1"/>
        <v>0</v>
      </c>
      <c r="G20" s="859"/>
      <c r="H20" s="803"/>
    </row>
    <row r="21" s="796" customFormat="1" customHeight="1" spans="1:8">
      <c r="A21" s="856">
        <v>9</v>
      </c>
      <c r="B21" s="857"/>
      <c r="C21" s="858"/>
      <c r="D21" s="836">
        <f t="shared" si="0"/>
        <v>0</v>
      </c>
      <c r="E21" s="858"/>
      <c r="F21" s="836">
        <f t="shared" si="1"/>
        <v>0</v>
      </c>
      <c r="G21" s="859"/>
      <c r="H21" s="803"/>
    </row>
    <row r="22" s="796" customFormat="1" customHeight="1" spans="1:8">
      <c r="A22" s="856">
        <v>10</v>
      </c>
      <c r="B22" s="857"/>
      <c r="C22" s="858"/>
      <c r="D22" s="836">
        <f t="shared" si="0"/>
        <v>0</v>
      </c>
      <c r="E22" s="858"/>
      <c r="F22" s="836">
        <f t="shared" si="1"/>
        <v>0</v>
      </c>
      <c r="G22" s="859"/>
      <c r="H22" s="803"/>
    </row>
    <row r="23" s="796" customFormat="1" customHeight="1" spans="1:8">
      <c r="A23" s="854" t="s">
        <v>140</v>
      </c>
      <c r="B23" s="854"/>
      <c r="C23" s="860">
        <f>SUM(C13:C22)</f>
        <v>0</v>
      </c>
      <c r="D23" s="861">
        <f t="shared" si="0"/>
        <v>0</v>
      </c>
      <c r="E23" s="862">
        <f>SUM(E13:E22)</f>
        <v>0</v>
      </c>
      <c r="F23" s="861">
        <f t="shared" si="1"/>
        <v>0</v>
      </c>
      <c r="G23" s="863"/>
      <c r="H23" s="803"/>
    </row>
    <row r="24" s="796" customFormat="1" customHeight="1" spans="1:8">
      <c r="A24" s="864" t="s">
        <v>431</v>
      </c>
      <c r="B24" s="864"/>
      <c r="C24" s="865">
        <f>'[9]毛利率分析表D4-7'!D26</f>
        <v>0</v>
      </c>
      <c r="D24" s="866"/>
      <c r="E24" s="867">
        <f>'[9]毛利率分析表D4-7'!B26</f>
        <v>0</v>
      </c>
      <c r="F24" s="866"/>
      <c r="G24" s="868"/>
      <c r="H24" s="803"/>
    </row>
    <row r="25" s="796" customFormat="1" customHeight="1" spans="1:8">
      <c r="A25" s="853" t="s">
        <v>432</v>
      </c>
      <c r="B25" s="803"/>
      <c r="C25" s="803"/>
      <c r="D25" s="803"/>
      <c r="E25" s="803"/>
      <c r="F25" s="803"/>
      <c r="G25" s="803"/>
      <c r="H25" s="803"/>
    </row>
    <row r="26" s="796" customFormat="1" customHeight="1" spans="1:8">
      <c r="A26" s="854" t="s">
        <v>2</v>
      </c>
      <c r="B26" s="855" t="s">
        <v>425</v>
      </c>
      <c r="C26" s="854" t="s">
        <v>426</v>
      </c>
      <c r="D26" s="854" t="s">
        <v>427</v>
      </c>
      <c r="E26" s="854" t="s">
        <v>428</v>
      </c>
      <c r="F26" s="854" t="s">
        <v>429</v>
      </c>
      <c r="G26" s="854" t="s">
        <v>430</v>
      </c>
      <c r="H26" s="803"/>
    </row>
    <row r="27" s="796" customFormat="1" customHeight="1" spans="1:8">
      <c r="A27" s="869">
        <v>1</v>
      </c>
      <c r="B27" s="857"/>
      <c r="C27" s="870"/>
      <c r="D27" s="836">
        <f t="shared" ref="D27:D37" si="2">IF(C27=0,0,C27/$C$38)</f>
        <v>0</v>
      </c>
      <c r="E27" s="870"/>
      <c r="F27" s="871">
        <f t="shared" ref="F27:F37" si="3">IF(E27=0,0,E27/$E$38)</f>
        <v>0</v>
      </c>
      <c r="G27" s="857"/>
      <c r="H27" s="803"/>
    </row>
    <row r="28" s="796" customFormat="1" customHeight="1" spans="1:8">
      <c r="A28" s="869">
        <v>2</v>
      </c>
      <c r="B28" s="857"/>
      <c r="C28" s="870"/>
      <c r="D28" s="836">
        <f t="shared" si="2"/>
        <v>0</v>
      </c>
      <c r="E28" s="870"/>
      <c r="F28" s="871">
        <f t="shared" si="3"/>
        <v>0</v>
      </c>
      <c r="G28" s="857"/>
      <c r="H28" s="803"/>
    </row>
    <row r="29" s="796" customFormat="1" customHeight="1" spans="1:8">
      <c r="A29" s="869">
        <v>3</v>
      </c>
      <c r="B29" s="857"/>
      <c r="C29" s="870"/>
      <c r="D29" s="836">
        <f t="shared" si="2"/>
        <v>0</v>
      </c>
      <c r="E29" s="870"/>
      <c r="F29" s="871">
        <f t="shared" si="3"/>
        <v>0</v>
      </c>
      <c r="G29" s="857"/>
      <c r="H29" s="803"/>
    </row>
    <row r="30" s="796" customFormat="1" customHeight="1" spans="1:8">
      <c r="A30" s="869">
        <v>4</v>
      </c>
      <c r="B30" s="857"/>
      <c r="C30" s="870"/>
      <c r="D30" s="836">
        <f t="shared" si="2"/>
        <v>0</v>
      </c>
      <c r="E30" s="870"/>
      <c r="F30" s="871">
        <f t="shared" si="3"/>
        <v>0</v>
      </c>
      <c r="G30" s="857"/>
      <c r="H30" s="803"/>
    </row>
    <row r="31" s="796" customFormat="1" customHeight="1" spans="1:8">
      <c r="A31" s="869">
        <v>5</v>
      </c>
      <c r="B31" s="857"/>
      <c r="C31" s="870"/>
      <c r="D31" s="836">
        <f t="shared" si="2"/>
        <v>0</v>
      </c>
      <c r="E31" s="870"/>
      <c r="F31" s="871">
        <f t="shared" si="3"/>
        <v>0</v>
      </c>
      <c r="G31" s="857"/>
      <c r="H31" s="803"/>
    </row>
    <row r="32" s="796" customFormat="1" customHeight="1" spans="1:8">
      <c r="A32" s="869">
        <v>6</v>
      </c>
      <c r="B32" s="857"/>
      <c r="C32" s="870"/>
      <c r="D32" s="836">
        <f t="shared" si="2"/>
        <v>0</v>
      </c>
      <c r="E32" s="870"/>
      <c r="F32" s="871">
        <f t="shared" si="3"/>
        <v>0</v>
      </c>
      <c r="G32" s="857"/>
      <c r="H32" s="803"/>
    </row>
    <row r="33" s="796" customFormat="1" customHeight="1" spans="1:8">
      <c r="A33" s="869">
        <v>7</v>
      </c>
      <c r="B33" s="857"/>
      <c r="C33" s="870"/>
      <c r="D33" s="836">
        <f t="shared" si="2"/>
        <v>0</v>
      </c>
      <c r="E33" s="870"/>
      <c r="F33" s="871">
        <f t="shared" si="3"/>
        <v>0</v>
      </c>
      <c r="G33" s="857"/>
      <c r="H33" s="803"/>
    </row>
    <row r="34" s="796" customFormat="1" customHeight="1" spans="1:8">
      <c r="A34" s="869">
        <v>8</v>
      </c>
      <c r="B34" s="857"/>
      <c r="C34" s="870"/>
      <c r="D34" s="836">
        <f t="shared" si="2"/>
        <v>0</v>
      </c>
      <c r="E34" s="870"/>
      <c r="F34" s="871">
        <f t="shared" si="3"/>
        <v>0</v>
      </c>
      <c r="G34" s="857"/>
      <c r="H34" s="803"/>
    </row>
    <row r="35" s="796" customFormat="1" customHeight="1" spans="1:8">
      <c r="A35" s="869">
        <v>9</v>
      </c>
      <c r="B35" s="857"/>
      <c r="C35" s="870"/>
      <c r="D35" s="836">
        <f t="shared" si="2"/>
        <v>0</v>
      </c>
      <c r="E35" s="870"/>
      <c r="F35" s="871">
        <f t="shared" si="3"/>
        <v>0</v>
      </c>
      <c r="G35" s="857"/>
      <c r="H35" s="803"/>
    </row>
    <row r="36" s="796" customFormat="1" customHeight="1" spans="1:8">
      <c r="A36" s="869">
        <v>10</v>
      </c>
      <c r="B36" s="857"/>
      <c r="C36" s="870"/>
      <c r="D36" s="836">
        <f t="shared" si="2"/>
        <v>0</v>
      </c>
      <c r="E36" s="870"/>
      <c r="F36" s="871">
        <f t="shared" si="3"/>
        <v>0</v>
      </c>
      <c r="G36" s="857"/>
      <c r="H36" s="803"/>
    </row>
    <row r="37" s="796" customFormat="1" customHeight="1" spans="1:8">
      <c r="A37" s="854" t="s">
        <v>140</v>
      </c>
      <c r="B37" s="854"/>
      <c r="C37" s="860">
        <f>SUM(C27:C36)</f>
        <v>0</v>
      </c>
      <c r="D37" s="861">
        <f t="shared" si="2"/>
        <v>0</v>
      </c>
      <c r="E37" s="862">
        <f>SUM(E27:E36)</f>
        <v>0</v>
      </c>
      <c r="F37" s="861">
        <f t="shared" si="3"/>
        <v>0</v>
      </c>
      <c r="G37" s="872"/>
      <c r="H37" s="803"/>
    </row>
    <row r="38" s="796" customFormat="1" customHeight="1" spans="1:8">
      <c r="A38" s="873" t="s">
        <v>431</v>
      </c>
      <c r="B38" s="873"/>
      <c r="C38" s="874">
        <f>'[9]毛利率分析表D4-7'!L26</f>
        <v>0</v>
      </c>
      <c r="D38" s="875"/>
      <c r="E38" s="874">
        <f>'[9]毛利率分析表D4-7'!J26</f>
        <v>0</v>
      </c>
      <c r="F38" s="875"/>
      <c r="G38" s="857"/>
      <c r="H38" s="803"/>
    </row>
    <row r="39" s="796" customFormat="1" customHeight="1" spans="1:8">
      <c r="A39" s="802" t="s">
        <v>278</v>
      </c>
      <c r="B39" s="803"/>
      <c r="C39" s="803"/>
      <c r="D39" s="803"/>
      <c r="E39" s="803"/>
      <c r="F39" s="803"/>
      <c r="G39" s="803"/>
      <c r="H39" s="803"/>
    </row>
    <row r="40" s="796" customFormat="1" customHeight="1" spans="1:8">
      <c r="A40" s="803" t="s">
        <v>433</v>
      </c>
      <c r="C40" s="803"/>
      <c r="D40" s="803"/>
      <c r="E40" s="803"/>
      <c r="F40" s="803"/>
      <c r="G40" s="803"/>
      <c r="H40" s="803"/>
    </row>
    <row r="41" s="796" customFormat="1" customHeight="1" spans="1:8">
      <c r="A41" s="804" t="s">
        <v>434</v>
      </c>
      <c r="C41" s="803"/>
      <c r="D41" s="803"/>
      <c r="E41" s="803"/>
      <c r="F41" s="803"/>
      <c r="G41" s="803"/>
      <c r="H41" s="803"/>
    </row>
    <row r="42" s="796" customFormat="1" customHeight="1" spans="1:8">
      <c r="A42" s="803" t="s">
        <v>435</v>
      </c>
      <c r="C42" s="803"/>
      <c r="D42" s="803"/>
      <c r="E42" s="803"/>
      <c r="F42" s="803"/>
      <c r="G42" s="803"/>
      <c r="H42" s="803"/>
    </row>
    <row r="43" s="796" customFormat="1" customHeight="1" spans="1:8">
      <c r="A43" s="804" t="s">
        <v>434</v>
      </c>
      <c r="C43" s="803"/>
      <c r="D43" s="803"/>
      <c r="E43" s="803"/>
      <c r="F43" s="803"/>
      <c r="G43" s="803"/>
      <c r="H43" s="803"/>
    </row>
    <row r="44" s="796" customFormat="1" customHeight="1" spans="1:8">
      <c r="A44" s="802" t="s">
        <v>280</v>
      </c>
      <c r="B44" s="803"/>
      <c r="C44" s="803"/>
      <c r="D44" s="803"/>
      <c r="E44" s="803"/>
      <c r="F44" s="803"/>
      <c r="G44" s="803"/>
      <c r="H44" s="803"/>
    </row>
    <row r="45" s="796" customFormat="1" customHeight="1" spans="1:8">
      <c r="A45" s="802"/>
      <c r="B45" s="803"/>
      <c r="C45" s="803"/>
      <c r="D45" s="803"/>
      <c r="E45" s="803"/>
      <c r="F45" s="803"/>
      <c r="G45" s="803"/>
      <c r="H45" s="803"/>
    </row>
    <row r="46" customHeight="1" spans="1:8">
      <c r="A46" s="876" t="s">
        <v>436</v>
      </c>
      <c r="B46" s="877"/>
      <c r="C46" s="878"/>
      <c r="D46" s="175"/>
      <c r="E46" s="878"/>
      <c r="F46" s="175"/>
      <c r="G46" s="175"/>
    </row>
    <row r="47" customHeight="1" spans="1:8">
      <c r="A47" s="876" t="s">
        <v>437</v>
      </c>
      <c r="B47" s="877"/>
      <c r="C47" s="175"/>
      <c r="D47" s="175"/>
      <c r="E47" s="175"/>
      <c r="F47" s="175"/>
      <c r="G47" s="175"/>
    </row>
    <row r="48" customHeight="1" spans="1:8">
      <c r="A48" s="876" t="s">
        <v>438</v>
      </c>
    </row>
    <row r="49" customHeight="1" spans="1:19">
      <c r="A49" s="876" t="s">
        <v>439</v>
      </c>
    </row>
    <row r="50" customHeight="1" spans="1:19">
      <c r="A50" s="876" t="s">
        <v>440</v>
      </c>
    </row>
    <row r="51" customHeight="1" spans="1:19">
      <c r="A51" s="831"/>
    </row>
    <row r="52" customHeight="1" spans="1:19">
      <c r="A52" s="831"/>
    </row>
    <row r="53" customHeight="1" spans="1:19">
      <c r="B53" s="831"/>
      <c r="C53" s="831"/>
      <c r="D53" s="831"/>
      <c r="E53" s="831"/>
      <c r="F53" s="824"/>
      <c r="G53" s="831"/>
      <c r="H53" s="824"/>
      <c r="I53" s="824"/>
      <c r="J53" s="824"/>
      <c r="K53" s="824"/>
      <c r="L53" s="824"/>
      <c r="M53" s="824"/>
      <c r="N53" s="824"/>
      <c r="O53" s="824"/>
      <c r="P53" s="824"/>
      <c r="Q53" s="824"/>
      <c r="R53" s="824"/>
      <c r="S53" s="824"/>
    </row>
    <row r="54" customHeight="1" spans="1:19">
      <c r="B54" s="831"/>
      <c r="C54" s="831"/>
      <c r="D54" s="831"/>
      <c r="E54" s="831"/>
      <c r="G54" s="831"/>
      <c r="H54" s="824"/>
      <c r="I54" s="824"/>
      <c r="J54" s="824"/>
      <c r="K54" s="824"/>
      <c r="L54" s="824"/>
      <c r="M54" s="824"/>
      <c r="N54" s="824"/>
      <c r="O54" s="824"/>
      <c r="P54" s="824"/>
      <c r="Q54" s="824"/>
      <c r="R54" s="824"/>
      <c r="S54" s="824"/>
    </row>
    <row r="55" customHeight="1" spans="1:19">
      <c r="B55" s="831"/>
      <c r="C55" s="831"/>
      <c r="D55" s="831"/>
      <c r="E55" s="831"/>
      <c r="G55" s="831"/>
      <c r="H55" s="824"/>
      <c r="I55" s="824"/>
      <c r="J55" s="824"/>
      <c r="K55" s="824"/>
      <c r="L55" s="824"/>
      <c r="M55" s="824"/>
      <c r="N55" s="824"/>
      <c r="O55" s="824"/>
      <c r="P55" s="824"/>
      <c r="Q55" s="824"/>
      <c r="R55" s="824"/>
      <c r="S55" s="824"/>
    </row>
    <row r="56" customHeight="1" spans="1:19">
      <c r="B56" s="831"/>
      <c r="C56" s="831"/>
      <c r="D56" s="831"/>
      <c r="E56" s="831"/>
      <c r="F56" s="831"/>
      <c r="G56" s="831"/>
      <c r="H56" s="824"/>
      <c r="I56" s="824"/>
      <c r="J56" s="824"/>
      <c r="K56" s="824"/>
      <c r="L56" s="824"/>
      <c r="M56" s="824"/>
      <c r="N56" s="824"/>
      <c r="O56" s="824"/>
      <c r="P56" s="824"/>
      <c r="Q56" s="824"/>
      <c r="R56" s="824"/>
      <c r="S56" s="824"/>
    </row>
    <row r="57" customHeight="1" spans="1:19">
      <c r="B57" s="824"/>
      <c r="C57" s="824"/>
      <c r="D57" s="824"/>
      <c r="E57" s="824"/>
      <c r="F57" s="824"/>
      <c r="G57" s="824"/>
      <c r="H57" s="824"/>
      <c r="I57" s="824"/>
      <c r="J57" s="824"/>
      <c r="K57" s="824"/>
      <c r="L57" s="824"/>
      <c r="M57" s="824"/>
      <c r="N57" s="824"/>
      <c r="O57" s="824"/>
      <c r="P57" s="824"/>
      <c r="Q57" s="824"/>
      <c r="R57" s="824"/>
      <c r="S57" s="824"/>
    </row>
    <row r="58" customHeight="1" spans="1:19">
      <c r="A58" s="850"/>
      <c r="B58" s="851"/>
    </row>
    <row r="59" customHeight="1" spans="1:19">
      <c r="A59" s="850"/>
      <c r="B59" s="851"/>
    </row>
    <row r="60" customHeight="1" spans="1:19">
      <c r="A60" s="850"/>
      <c r="B60" s="851"/>
    </row>
    <row r="61" customHeight="1" spans="1:19">
      <c r="A61" s="850"/>
      <c r="B61" s="851"/>
    </row>
    <row r="62" customHeight="1" spans="1:19">
      <c r="A62" s="824"/>
      <c r="B62" s="824"/>
    </row>
  </sheetData>
  <mergeCells count="6">
    <mergeCell ref="A1:G1"/>
    <mergeCell ref="A2:G2"/>
    <mergeCell ref="A23:B23"/>
    <mergeCell ref="A24:B24"/>
    <mergeCell ref="A37:B37"/>
    <mergeCell ref="A38:B38"/>
  </mergeCells>
  <hyperlinks>
    <hyperlink ref="G3" location="底稿目录!A1" display="='D:\GT_plan\backend\wp_templates\D\[D4-6至D4-11营业收入 - 分析程序（Leap应对措施-分析程序）.xlsx]底稿目录'!F6"/>
  </hyperlinks>
  <pageMargins left="0.708333333333333" right="0.708333333333333" top="0.747916666666667" bottom="0.747916666666667" header="0.314583333333333" footer="0.314583333333333"/>
  <pageSetup paperSize="9" orientation="portrait" blackAndWhite="1"/>
  <headerFooter>
    <oddFooter>&amp;C&amp;P/&amp;N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9"/>
  <sheetViews>
    <sheetView view="pageBreakPreview" zoomScaleNormal="100" workbookViewId="0">
      <selection activeCell="A1" sqref="A1:N1"/>
    </sheetView>
  </sheetViews>
  <sheetFormatPr defaultColWidth="9.81818181818182" defaultRowHeight="20.1" customHeight="1"/>
  <cols>
    <col min="1" max="1" width="9.81818181818182" style="824"/>
    <col min="2" max="2" width="11.3909090909091" style="824" customWidth="1"/>
    <col min="3" max="6" width="9.81818181818182" style="824"/>
    <col min="7" max="7" width="13.3272727272727" style="824" customWidth="1"/>
    <col min="8" max="8" width="11.0272727272727" style="824" customWidth="1"/>
    <col min="9" max="9" width="13.0909090909091" style="824" customWidth="1"/>
    <col min="10" max="16384" width="9.81818181818182" style="824"/>
  </cols>
  <sheetData>
    <row r="1" customHeight="1" spans="1:20">
      <c r="A1" s="412" t="s">
        <v>27</v>
      </c>
      <c r="B1" s="412"/>
      <c r="C1" s="412"/>
      <c r="D1" s="412"/>
      <c r="E1" s="412"/>
      <c r="F1" s="412"/>
      <c r="G1" s="412"/>
      <c r="H1" s="412"/>
      <c r="I1" s="412"/>
      <c r="J1" s="412"/>
      <c r="K1" s="412"/>
      <c r="L1" s="412"/>
      <c r="M1" s="412"/>
      <c r="N1" s="412"/>
    </row>
    <row r="2" customHeight="1" spans="1:20">
      <c r="A2" s="413" t="s">
        <v>344</v>
      </c>
      <c r="B2" s="413"/>
      <c r="C2" s="413"/>
      <c r="D2" s="413"/>
      <c r="E2" s="413"/>
      <c r="F2" s="413"/>
      <c r="G2" s="413"/>
      <c r="H2" s="413"/>
      <c r="I2" s="413"/>
      <c r="J2" s="413"/>
      <c r="K2" s="413"/>
      <c r="L2" s="413"/>
      <c r="M2" s="413"/>
      <c r="N2" s="413"/>
    </row>
    <row r="3" customHeight="1" spans="1:20">
      <c r="A3" s="377" t="s">
        <v>335</v>
      </c>
      <c r="B3" s="825"/>
      <c r="C3" s="825"/>
      <c r="F3" s="377" t="s">
        <v>8</v>
      </c>
      <c r="G3" s="825"/>
      <c r="H3" s="825"/>
      <c r="I3" s="377" t="s">
        <v>11</v>
      </c>
      <c r="L3" s="826"/>
      <c r="M3" s="414" t="s">
        <v>29</v>
      </c>
      <c r="N3" s="827" t="str">
        <f>[9]底稿目录!F7</f>
        <v>D4-10</v>
      </c>
    </row>
    <row r="4" customHeight="1" spans="1:20">
      <c r="A4" s="377" t="s">
        <v>441</v>
      </c>
      <c r="B4" s="825"/>
      <c r="C4" s="825"/>
      <c r="F4" s="377" t="s">
        <v>14</v>
      </c>
      <c r="G4" s="825"/>
      <c r="H4" s="825"/>
      <c r="I4" s="377" t="s">
        <v>16</v>
      </c>
      <c r="L4" s="825"/>
      <c r="M4" s="414" t="s">
        <v>129</v>
      </c>
      <c r="N4" s="825"/>
    </row>
    <row r="5" s="823" customFormat="1" customHeight="1" spans="1:20">
      <c r="A5" s="415" t="s">
        <v>282</v>
      </c>
      <c r="B5" s="416"/>
      <c r="C5" s="416"/>
      <c r="D5" s="416"/>
      <c r="E5" s="416"/>
      <c r="F5" s="416"/>
      <c r="G5" s="416"/>
      <c r="H5" s="416"/>
      <c r="I5" s="416"/>
      <c r="J5" s="416"/>
      <c r="K5" s="416"/>
      <c r="L5" s="416"/>
      <c r="M5" s="416"/>
      <c r="N5" s="416"/>
    </row>
    <row r="6" s="823" customFormat="1" customHeight="1" spans="1:20">
      <c r="A6" s="416" t="s">
        <v>442</v>
      </c>
      <c r="B6" s="416"/>
      <c r="C6" s="416"/>
      <c r="D6" s="416"/>
      <c r="E6" s="416"/>
      <c r="F6" s="416"/>
      <c r="G6" s="416"/>
      <c r="H6" s="416"/>
      <c r="I6" s="416"/>
      <c r="J6" s="416"/>
      <c r="K6" s="416"/>
      <c r="L6" s="416"/>
      <c r="M6" s="416"/>
      <c r="N6" s="416"/>
    </row>
    <row r="7" s="823" customFormat="1" customHeight="1" spans="1:20">
      <c r="A7" s="415" t="s">
        <v>254</v>
      </c>
      <c r="B7" s="416"/>
      <c r="C7" s="416"/>
      <c r="D7" s="416"/>
      <c r="E7" s="416"/>
      <c r="F7" s="416"/>
      <c r="G7" s="416"/>
      <c r="H7" s="416"/>
      <c r="I7" s="416"/>
      <c r="J7" s="416"/>
      <c r="K7" s="416"/>
      <c r="L7" s="416"/>
      <c r="M7" s="416"/>
      <c r="N7" s="416"/>
    </row>
    <row r="8" s="823" customFormat="1" customHeight="1" spans="1:20">
      <c r="A8" s="828" t="s">
        <v>255</v>
      </c>
      <c r="B8" s="418"/>
      <c r="C8" s="416"/>
      <c r="D8" s="416"/>
      <c r="E8" s="416"/>
      <c r="F8" s="416"/>
      <c r="G8" s="416"/>
      <c r="H8" s="416"/>
      <c r="I8" s="416"/>
      <c r="J8" s="416"/>
      <c r="K8" s="416"/>
      <c r="L8" s="416"/>
      <c r="M8" s="416"/>
      <c r="N8" s="416"/>
    </row>
    <row r="9" s="823" customFormat="1" customHeight="1" spans="1:20">
      <c r="A9" s="828"/>
      <c r="B9" s="416"/>
      <c r="C9" s="416"/>
      <c r="D9" s="416"/>
      <c r="E9" s="416"/>
      <c r="F9" s="416"/>
      <c r="G9" s="416"/>
      <c r="H9" s="416"/>
      <c r="I9" s="416"/>
      <c r="J9" s="416"/>
      <c r="K9" s="416"/>
      <c r="L9" s="416"/>
      <c r="M9" s="416"/>
      <c r="N9" s="416"/>
    </row>
    <row r="10" s="823" customFormat="1" customHeight="1" spans="1:20">
      <c r="A10" s="416"/>
      <c r="B10" s="416"/>
      <c r="C10" s="416"/>
      <c r="D10" s="416"/>
      <c r="E10" s="416"/>
      <c r="F10" s="416"/>
      <c r="G10" s="416"/>
      <c r="H10" s="416"/>
      <c r="I10" s="416"/>
      <c r="J10" s="416"/>
      <c r="K10" s="416"/>
      <c r="L10" s="416"/>
      <c r="M10" s="416"/>
      <c r="N10" s="416"/>
    </row>
    <row r="11" customHeight="1" spans="1:20">
      <c r="A11" s="806" t="s">
        <v>2</v>
      </c>
      <c r="B11" s="807" t="s">
        <v>425</v>
      </c>
      <c r="C11" s="806" t="s">
        <v>443</v>
      </c>
      <c r="D11" s="806" t="s">
        <v>444</v>
      </c>
      <c r="E11" s="829"/>
      <c r="F11" s="829"/>
      <c r="G11" s="829"/>
      <c r="H11" s="806" t="s">
        <v>445</v>
      </c>
      <c r="I11" s="806"/>
      <c r="J11" s="806"/>
      <c r="K11" s="806"/>
      <c r="L11" s="806"/>
      <c r="M11" s="806"/>
      <c r="N11" s="806"/>
    </row>
    <row r="12" ht="27" customHeight="1" spans="1:20">
      <c r="A12" s="806"/>
      <c r="B12" s="830"/>
      <c r="C12" s="806"/>
      <c r="D12" s="829" t="s">
        <v>446</v>
      </c>
      <c r="E12" s="829" t="s">
        <v>447</v>
      </c>
      <c r="F12" s="829" t="s">
        <v>448</v>
      </c>
      <c r="G12" s="829" t="s">
        <v>447</v>
      </c>
      <c r="H12" s="829" t="s">
        <v>449</v>
      </c>
      <c r="I12" s="807" t="s">
        <v>450</v>
      </c>
      <c r="J12" s="829" t="s">
        <v>451</v>
      </c>
      <c r="K12" s="806" t="s">
        <v>452</v>
      </c>
      <c r="L12" s="806" t="s">
        <v>453</v>
      </c>
      <c r="M12" s="829" t="s">
        <v>451</v>
      </c>
      <c r="N12" s="806" t="s">
        <v>452</v>
      </c>
      <c r="R12" s="831"/>
      <c r="S12" s="831"/>
      <c r="T12" s="831"/>
    </row>
    <row r="13" customHeight="1" spans="1:20">
      <c r="A13" s="832">
        <v>1</v>
      </c>
      <c r="B13" s="833" t="s">
        <v>454</v>
      </c>
      <c r="C13" s="834" t="s">
        <v>455</v>
      </c>
      <c r="D13" s="835"/>
      <c r="E13" s="836">
        <f t="shared" ref="E13:E33" si="0">IF(D13=0,0,D13/$D$34)</f>
        <v>0</v>
      </c>
      <c r="F13" s="837"/>
      <c r="G13" s="836">
        <f t="shared" ref="G13:G33" si="1">IF(F13=0,0,F13/$F$34)</f>
        <v>0</v>
      </c>
      <c r="H13" s="838">
        <v>0</v>
      </c>
      <c r="I13" s="839"/>
      <c r="J13" s="840">
        <f t="shared" ref="J13:J33" si="2">IF(AND(I13=0,H13=0),0,IF(AND(I13=0,H13&gt;0),1,(H13-I13)/I13))</f>
        <v>0</v>
      </c>
      <c r="K13" s="841"/>
      <c r="L13" s="841"/>
      <c r="M13" s="840">
        <f t="shared" ref="M13:M33" si="3">IF(AND(L13=0,H13=0),0,IF(AND(L13=0,H13&gt;0),1,(H13-L13)/L13))</f>
        <v>0</v>
      </c>
      <c r="N13" s="841"/>
      <c r="R13" s="831"/>
      <c r="S13" s="831"/>
      <c r="T13" s="831"/>
    </row>
    <row r="14" customHeight="1" spans="1:20">
      <c r="A14" s="832"/>
      <c r="B14" s="842"/>
      <c r="C14" s="834" t="s">
        <v>456</v>
      </c>
      <c r="D14" s="835"/>
      <c r="E14" s="836">
        <f t="shared" si="0"/>
        <v>0</v>
      </c>
      <c r="F14" s="837"/>
      <c r="G14" s="836">
        <f t="shared" si="1"/>
        <v>0</v>
      </c>
      <c r="H14" s="838">
        <v>0</v>
      </c>
      <c r="I14" s="839"/>
      <c r="J14" s="840">
        <f t="shared" si="2"/>
        <v>0</v>
      </c>
      <c r="K14" s="841"/>
      <c r="L14" s="841"/>
      <c r="M14" s="840">
        <f t="shared" si="3"/>
        <v>0</v>
      </c>
      <c r="N14" s="841"/>
      <c r="R14" s="831"/>
      <c r="S14" s="831"/>
      <c r="T14" s="831"/>
    </row>
    <row r="15" customHeight="1" spans="1:20">
      <c r="A15" s="832"/>
      <c r="B15" s="842"/>
      <c r="C15" s="834" t="s">
        <v>457</v>
      </c>
      <c r="D15" s="835"/>
      <c r="E15" s="836">
        <f t="shared" si="0"/>
        <v>0</v>
      </c>
      <c r="F15" s="837"/>
      <c r="G15" s="836">
        <f t="shared" si="1"/>
        <v>0</v>
      </c>
      <c r="H15" s="838">
        <v>0</v>
      </c>
      <c r="I15" s="839"/>
      <c r="J15" s="840">
        <f t="shared" si="2"/>
        <v>0</v>
      </c>
      <c r="K15" s="841"/>
      <c r="L15" s="841"/>
      <c r="M15" s="840">
        <f t="shared" si="3"/>
        <v>0</v>
      </c>
      <c r="N15" s="841"/>
      <c r="R15" s="831"/>
      <c r="S15" s="831"/>
      <c r="T15" s="831"/>
    </row>
    <row r="16" customHeight="1" spans="1:20">
      <c r="A16" s="832">
        <v>2</v>
      </c>
      <c r="B16" s="833" t="s">
        <v>458</v>
      </c>
      <c r="C16" s="834" t="s">
        <v>455</v>
      </c>
      <c r="D16" s="835"/>
      <c r="E16" s="836">
        <f t="shared" si="0"/>
        <v>0</v>
      </c>
      <c r="F16" s="837"/>
      <c r="G16" s="836">
        <f t="shared" si="1"/>
        <v>0</v>
      </c>
      <c r="H16" s="838">
        <v>0</v>
      </c>
      <c r="I16" s="839"/>
      <c r="J16" s="840">
        <f t="shared" si="2"/>
        <v>0</v>
      </c>
      <c r="K16" s="841"/>
      <c r="L16" s="841"/>
      <c r="M16" s="840">
        <f t="shared" si="3"/>
        <v>0</v>
      </c>
      <c r="N16" s="841"/>
    </row>
    <row r="17" customHeight="1" spans="1:14">
      <c r="A17" s="832"/>
      <c r="B17" s="842"/>
      <c r="C17" s="834" t="s">
        <v>456</v>
      </c>
      <c r="D17" s="835"/>
      <c r="E17" s="836">
        <f t="shared" si="0"/>
        <v>0</v>
      </c>
      <c r="F17" s="837"/>
      <c r="G17" s="836">
        <f t="shared" si="1"/>
        <v>0</v>
      </c>
      <c r="H17" s="838">
        <v>0</v>
      </c>
      <c r="I17" s="839"/>
      <c r="J17" s="840">
        <f t="shared" si="2"/>
        <v>0</v>
      </c>
      <c r="K17" s="841"/>
      <c r="L17" s="841"/>
      <c r="M17" s="840">
        <f t="shared" si="3"/>
        <v>0</v>
      </c>
      <c r="N17" s="841"/>
    </row>
    <row r="18" customHeight="1" spans="1:14">
      <c r="A18" s="832"/>
      <c r="B18" s="842"/>
      <c r="C18" s="834" t="s">
        <v>457</v>
      </c>
      <c r="D18" s="835"/>
      <c r="E18" s="836">
        <f t="shared" si="0"/>
        <v>0</v>
      </c>
      <c r="F18" s="837"/>
      <c r="G18" s="836">
        <f t="shared" si="1"/>
        <v>0</v>
      </c>
      <c r="H18" s="838">
        <v>0</v>
      </c>
      <c r="I18" s="839"/>
      <c r="J18" s="840">
        <f t="shared" si="2"/>
        <v>0</v>
      </c>
      <c r="K18" s="841"/>
      <c r="L18" s="841"/>
      <c r="M18" s="840">
        <f t="shared" si="3"/>
        <v>0</v>
      </c>
      <c r="N18" s="841"/>
    </row>
    <row r="19" customHeight="1" spans="1:14">
      <c r="A19" s="832">
        <v>3</v>
      </c>
      <c r="B19" s="833" t="s">
        <v>459</v>
      </c>
      <c r="C19" s="834" t="s">
        <v>455</v>
      </c>
      <c r="D19" s="835"/>
      <c r="E19" s="836">
        <f t="shared" si="0"/>
        <v>0</v>
      </c>
      <c r="F19" s="837"/>
      <c r="G19" s="836">
        <f t="shared" si="1"/>
        <v>0</v>
      </c>
      <c r="H19" s="838">
        <v>0</v>
      </c>
      <c r="I19" s="839"/>
      <c r="J19" s="840">
        <f t="shared" si="2"/>
        <v>0</v>
      </c>
      <c r="K19" s="841"/>
      <c r="L19" s="841"/>
      <c r="M19" s="840">
        <f t="shared" si="3"/>
        <v>0</v>
      </c>
      <c r="N19" s="841"/>
    </row>
    <row r="20" customHeight="1" spans="1:14">
      <c r="A20" s="832"/>
      <c r="B20" s="842"/>
      <c r="C20" s="834" t="s">
        <v>456</v>
      </c>
      <c r="D20" s="835"/>
      <c r="E20" s="836">
        <f t="shared" si="0"/>
        <v>0</v>
      </c>
      <c r="F20" s="837"/>
      <c r="G20" s="836">
        <f t="shared" si="1"/>
        <v>0</v>
      </c>
      <c r="H20" s="838">
        <v>0</v>
      </c>
      <c r="I20" s="839"/>
      <c r="J20" s="840">
        <f t="shared" si="2"/>
        <v>0</v>
      </c>
      <c r="K20" s="841"/>
      <c r="L20" s="841"/>
      <c r="M20" s="840">
        <f t="shared" si="3"/>
        <v>0</v>
      </c>
      <c r="N20" s="841"/>
    </row>
    <row r="21" customHeight="1" spans="1:14">
      <c r="A21" s="832"/>
      <c r="B21" s="842"/>
      <c r="C21" s="834" t="s">
        <v>457</v>
      </c>
      <c r="D21" s="835"/>
      <c r="E21" s="836">
        <f t="shared" si="0"/>
        <v>0</v>
      </c>
      <c r="F21" s="837"/>
      <c r="G21" s="836">
        <f t="shared" si="1"/>
        <v>0</v>
      </c>
      <c r="H21" s="838">
        <v>0</v>
      </c>
      <c r="I21" s="839"/>
      <c r="J21" s="840">
        <f t="shared" si="2"/>
        <v>0</v>
      </c>
      <c r="K21" s="841"/>
      <c r="L21" s="841"/>
      <c r="M21" s="840">
        <f t="shared" si="3"/>
        <v>0</v>
      </c>
      <c r="N21" s="841"/>
    </row>
    <row r="22" customHeight="1" spans="1:14">
      <c r="A22" s="832">
        <v>4</v>
      </c>
      <c r="B22" s="833" t="s">
        <v>460</v>
      </c>
      <c r="C22" s="834" t="s">
        <v>455</v>
      </c>
      <c r="D22" s="835"/>
      <c r="E22" s="836">
        <f t="shared" si="0"/>
        <v>0</v>
      </c>
      <c r="F22" s="837"/>
      <c r="G22" s="836">
        <f t="shared" si="1"/>
        <v>0</v>
      </c>
      <c r="H22" s="838">
        <v>0</v>
      </c>
      <c r="I22" s="839"/>
      <c r="J22" s="840">
        <f t="shared" si="2"/>
        <v>0</v>
      </c>
      <c r="K22" s="841"/>
      <c r="L22" s="841"/>
      <c r="M22" s="840">
        <f t="shared" si="3"/>
        <v>0</v>
      </c>
      <c r="N22" s="841"/>
    </row>
    <row r="23" customHeight="1" spans="1:14">
      <c r="A23" s="832"/>
      <c r="B23" s="842"/>
      <c r="C23" s="834" t="s">
        <v>456</v>
      </c>
      <c r="D23" s="835"/>
      <c r="E23" s="836">
        <f t="shared" si="0"/>
        <v>0</v>
      </c>
      <c r="F23" s="837"/>
      <c r="G23" s="836">
        <f t="shared" si="1"/>
        <v>0</v>
      </c>
      <c r="H23" s="838">
        <v>0</v>
      </c>
      <c r="I23" s="839"/>
      <c r="J23" s="840">
        <f t="shared" si="2"/>
        <v>0</v>
      </c>
      <c r="K23" s="841"/>
      <c r="L23" s="841"/>
      <c r="M23" s="840">
        <f t="shared" si="3"/>
        <v>0</v>
      </c>
      <c r="N23" s="841"/>
    </row>
    <row r="24" customHeight="1" spans="1:14">
      <c r="A24" s="832"/>
      <c r="B24" s="842"/>
      <c r="C24" s="834" t="s">
        <v>457</v>
      </c>
      <c r="D24" s="835"/>
      <c r="E24" s="836">
        <f t="shared" si="0"/>
        <v>0</v>
      </c>
      <c r="F24" s="837"/>
      <c r="G24" s="836">
        <f t="shared" si="1"/>
        <v>0</v>
      </c>
      <c r="H24" s="838">
        <v>0</v>
      </c>
      <c r="I24" s="839"/>
      <c r="J24" s="840">
        <f t="shared" si="2"/>
        <v>0</v>
      </c>
      <c r="K24" s="841"/>
      <c r="L24" s="841"/>
      <c r="M24" s="840">
        <f t="shared" si="3"/>
        <v>0</v>
      </c>
      <c r="N24" s="841"/>
    </row>
    <row r="25" customHeight="1" spans="1:14">
      <c r="A25" s="832">
        <v>5</v>
      </c>
      <c r="B25" s="833" t="s">
        <v>461</v>
      </c>
      <c r="C25" s="834" t="s">
        <v>455</v>
      </c>
      <c r="D25" s="835"/>
      <c r="E25" s="836">
        <f t="shared" si="0"/>
        <v>0</v>
      </c>
      <c r="F25" s="837"/>
      <c r="G25" s="836">
        <f t="shared" si="1"/>
        <v>0</v>
      </c>
      <c r="H25" s="838">
        <v>0</v>
      </c>
      <c r="I25" s="839"/>
      <c r="J25" s="840">
        <f t="shared" si="2"/>
        <v>0</v>
      </c>
      <c r="K25" s="841"/>
      <c r="L25" s="841"/>
      <c r="M25" s="840">
        <f t="shared" si="3"/>
        <v>0</v>
      </c>
      <c r="N25" s="841"/>
    </row>
    <row r="26" customHeight="1" spans="1:14">
      <c r="A26" s="832"/>
      <c r="B26" s="842"/>
      <c r="C26" s="834" t="s">
        <v>456</v>
      </c>
      <c r="D26" s="835"/>
      <c r="E26" s="836">
        <f t="shared" si="0"/>
        <v>0</v>
      </c>
      <c r="F26" s="837"/>
      <c r="G26" s="836">
        <f t="shared" si="1"/>
        <v>0</v>
      </c>
      <c r="H26" s="838">
        <v>0</v>
      </c>
      <c r="I26" s="839"/>
      <c r="J26" s="840">
        <f t="shared" si="2"/>
        <v>0</v>
      </c>
      <c r="K26" s="841"/>
      <c r="L26" s="841"/>
      <c r="M26" s="840">
        <f t="shared" si="3"/>
        <v>0</v>
      </c>
      <c r="N26" s="841"/>
    </row>
    <row r="27" customHeight="1" spans="1:14">
      <c r="A27" s="832"/>
      <c r="B27" s="842"/>
      <c r="C27" s="834" t="s">
        <v>457</v>
      </c>
      <c r="D27" s="835"/>
      <c r="E27" s="836">
        <f t="shared" si="0"/>
        <v>0</v>
      </c>
      <c r="F27" s="837"/>
      <c r="G27" s="836">
        <f t="shared" si="1"/>
        <v>0</v>
      </c>
      <c r="H27" s="838">
        <v>0</v>
      </c>
      <c r="I27" s="839"/>
      <c r="J27" s="840">
        <f t="shared" si="2"/>
        <v>0</v>
      </c>
      <c r="K27" s="841"/>
      <c r="L27" s="841"/>
      <c r="M27" s="840">
        <f t="shared" si="3"/>
        <v>0</v>
      </c>
      <c r="N27" s="841"/>
    </row>
    <row r="28" customHeight="1" spans="1:14">
      <c r="A28" s="832">
        <v>6</v>
      </c>
      <c r="B28" s="842" t="s">
        <v>462</v>
      </c>
      <c r="C28" s="834" t="s">
        <v>455</v>
      </c>
      <c r="D28" s="835"/>
      <c r="E28" s="836">
        <f t="shared" si="0"/>
        <v>0</v>
      </c>
      <c r="F28" s="837"/>
      <c r="G28" s="836">
        <f t="shared" si="1"/>
        <v>0</v>
      </c>
      <c r="H28" s="838">
        <v>0</v>
      </c>
      <c r="I28" s="839"/>
      <c r="J28" s="840">
        <f t="shared" si="2"/>
        <v>0</v>
      </c>
      <c r="K28" s="841"/>
      <c r="L28" s="841"/>
      <c r="M28" s="840">
        <f t="shared" si="3"/>
        <v>0</v>
      </c>
      <c r="N28" s="841"/>
    </row>
    <row r="29" customHeight="1" spans="1:14">
      <c r="A29" s="832"/>
      <c r="B29" s="842"/>
      <c r="C29" s="834" t="s">
        <v>456</v>
      </c>
      <c r="D29" s="835"/>
      <c r="E29" s="836">
        <f t="shared" si="0"/>
        <v>0</v>
      </c>
      <c r="F29" s="837"/>
      <c r="G29" s="836">
        <f t="shared" si="1"/>
        <v>0</v>
      </c>
      <c r="H29" s="838">
        <v>0</v>
      </c>
      <c r="I29" s="839"/>
      <c r="J29" s="840">
        <f t="shared" si="2"/>
        <v>0</v>
      </c>
      <c r="K29" s="841"/>
      <c r="L29" s="841"/>
      <c r="M29" s="840">
        <f t="shared" si="3"/>
        <v>0</v>
      </c>
      <c r="N29" s="841"/>
    </row>
    <row r="30" customHeight="1" spans="1:14">
      <c r="A30" s="832"/>
      <c r="B30" s="842"/>
      <c r="C30" s="834" t="s">
        <v>457</v>
      </c>
      <c r="D30" s="835"/>
      <c r="E30" s="836">
        <f t="shared" si="0"/>
        <v>0</v>
      </c>
      <c r="F30" s="837"/>
      <c r="G30" s="836">
        <f t="shared" si="1"/>
        <v>0</v>
      </c>
      <c r="H30" s="838">
        <v>0</v>
      </c>
      <c r="I30" s="839"/>
      <c r="J30" s="840">
        <f t="shared" si="2"/>
        <v>0</v>
      </c>
      <c r="K30" s="841"/>
      <c r="L30" s="841"/>
      <c r="M30" s="840">
        <f t="shared" si="3"/>
        <v>0</v>
      </c>
      <c r="N30" s="841"/>
    </row>
    <row r="31" customHeight="1" spans="1:14">
      <c r="A31" s="832">
        <v>7</v>
      </c>
      <c r="B31" s="842" t="s">
        <v>463</v>
      </c>
      <c r="C31" s="834" t="s">
        <v>455</v>
      </c>
      <c r="D31" s="835"/>
      <c r="E31" s="836">
        <f t="shared" si="0"/>
        <v>0</v>
      </c>
      <c r="F31" s="837"/>
      <c r="G31" s="836">
        <f t="shared" si="1"/>
        <v>0</v>
      </c>
      <c r="H31" s="838">
        <v>0</v>
      </c>
      <c r="I31" s="839"/>
      <c r="J31" s="840">
        <f t="shared" si="2"/>
        <v>0</v>
      </c>
      <c r="K31" s="841"/>
      <c r="L31" s="841"/>
      <c r="M31" s="840">
        <f t="shared" si="3"/>
        <v>0</v>
      </c>
      <c r="N31" s="841"/>
    </row>
    <row r="32" customHeight="1" spans="1:14">
      <c r="A32" s="832"/>
      <c r="B32" s="842"/>
      <c r="C32" s="834" t="s">
        <v>456</v>
      </c>
      <c r="D32" s="835"/>
      <c r="E32" s="836">
        <f t="shared" si="0"/>
        <v>0</v>
      </c>
      <c r="F32" s="837"/>
      <c r="G32" s="836">
        <f t="shared" si="1"/>
        <v>0</v>
      </c>
      <c r="H32" s="838">
        <v>0</v>
      </c>
      <c r="I32" s="839"/>
      <c r="J32" s="840">
        <f t="shared" si="2"/>
        <v>0</v>
      </c>
      <c r="K32" s="841"/>
      <c r="L32" s="841"/>
      <c r="M32" s="840">
        <f t="shared" si="3"/>
        <v>0</v>
      </c>
      <c r="N32" s="841"/>
    </row>
    <row r="33" customHeight="1" spans="1:14">
      <c r="A33" s="832"/>
      <c r="B33" s="834"/>
      <c r="C33" s="834" t="s">
        <v>457</v>
      </c>
      <c r="D33" s="835"/>
      <c r="E33" s="836">
        <f t="shared" si="0"/>
        <v>0</v>
      </c>
      <c r="F33" s="837"/>
      <c r="G33" s="836">
        <f t="shared" si="1"/>
        <v>0</v>
      </c>
      <c r="H33" s="838">
        <v>0</v>
      </c>
      <c r="I33" s="839"/>
      <c r="J33" s="840">
        <f t="shared" si="2"/>
        <v>0</v>
      </c>
      <c r="K33" s="841"/>
      <c r="L33" s="841"/>
      <c r="M33" s="840">
        <f t="shared" si="3"/>
        <v>0</v>
      </c>
      <c r="N33" s="841"/>
    </row>
    <row r="34" customHeight="1" spans="1:14">
      <c r="A34" s="843" t="s">
        <v>464</v>
      </c>
      <c r="B34" s="843"/>
      <c r="C34" s="843"/>
      <c r="D34" s="1292" t="s">
        <v>465</v>
      </c>
      <c r="E34" s="844"/>
      <c r="F34" s="1292" t="s">
        <v>465</v>
      </c>
      <c r="G34" s="844"/>
      <c r="H34" s="844"/>
      <c r="I34" s="844"/>
      <c r="J34" s="844"/>
      <c r="K34" s="841"/>
      <c r="L34" s="841"/>
      <c r="M34" s="841"/>
      <c r="N34" s="841"/>
    </row>
    <row r="35" s="823" customFormat="1" customHeight="1" spans="1:14">
      <c r="A35" s="415" t="s">
        <v>278</v>
      </c>
      <c r="B35" s="820"/>
      <c r="C35" s="820"/>
      <c r="D35" s="845"/>
      <c r="E35" s="845"/>
      <c r="F35" s="845"/>
      <c r="G35" s="845"/>
      <c r="H35" s="845"/>
      <c r="I35" s="845"/>
      <c r="J35" s="845"/>
      <c r="K35" s="846"/>
      <c r="L35" s="846"/>
      <c r="M35" s="846"/>
      <c r="N35" s="846"/>
    </row>
    <row r="36" s="823" customFormat="1" customHeight="1" spans="1:14">
      <c r="A36" s="820"/>
      <c r="B36" s="820"/>
      <c r="C36" s="820"/>
      <c r="D36" s="845"/>
      <c r="E36" s="845"/>
      <c r="F36" s="845"/>
      <c r="G36" s="845"/>
      <c r="H36" s="845"/>
      <c r="I36" s="845"/>
      <c r="J36" s="845"/>
      <c r="K36" s="846"/>
      <c r="L36" s="846"/>
      <c r="M36" s="846"/>
      <c r="N36" s="846"/>
    </row>
    <row r="37" s="823" customFormat="1" customHeight="1" spans="1:14">
      <c r="A37" s="821"/>
      <c r="B37" s="418"/>
      <c r="C37" s="418"/>
      <c r="D37" s="416"/>
      <c r="E37" s="416"/>
      <c r="F37" s="416"/>
      <c r="G37" s="416"/>
      <c r="H37" s="416"/>
      <c r="I37" s="416"/>
      <c r="J37" s="416"/>
      <c r="K37" s="416"/>
      <c r="L37" s="416"/>
      <c r="M37" s="416"/>
      <c r="N37" s="416"/>
    </row>
    <row r="38" s="823" customFormat="1" customHeight="1" spans="1:14">
      <c r="A38" s="415" t="s">
        <v>280</v>
      </c>
      <c r="B38" s="418"/>
      <c r="C38" s="418"/>
      <c r="D38" s="416"/>
      <c r="E38" s="416"/>
      <c r="F38" s="416"/>
      <c r="G38" s="416"/>
      <c r="H38" s="416"/>
      <c r="I38" s="416"/>
      <c r="J38" s="416"/>
      <c r="K38" s="416"/>
      <c r="L38" s="416"/>
      <c r="M38" s="416"/>
      <c r="N38" s="416"/>
    </row>
    <row r="39" s="823" customFormat="1" customHeight="1" spans="1:14">
      <c r="A39" s="821"/>
      <c r="B39" s="847"/>
      <c r="C39" s="416"/>
      <c r="D39" s="416"/>
      <c r="E39" s="416"/>
      <c r="F39" s="416"/>
      <c r="G39" s="416"/>
      <c r="H39" s="416"/>
      <c r="I39" s="416"/>
      <c r="J39" s="416"/>
      <c r="K39" s="416"/>
      <c r="L39" s="416"/>
      <c r="M39" s="416"/>
      <c r="N39" s="416"/>
    </row>
    <row r="40" customHeight="1" spans="1:14">
      <c r="A40" s="848" t="s">
        <v>466</v>
      </c>
    </row>
    <row r="41" customHeight="1" spans="1:14">
      <c r="A41" s="848" t="s">
        <v>467</v>
      </c>
    </row>
    <row r="42" customHeight="1" spans="1:14">
      <c r="A42" s="848" t="s">
        <v>468</v>
      </c>
    </row>
    <row r="44" customHeight="1" spans="1:14">
      <c r="A44" s="849"/>
      <c r="B44" s="850"/>
      <c r="C44" s="851"/>
      <c r="D44" s="851"/>
      <c r="E44" s="851"/>
      <c r="F44" s="851"/>
      <c r="G44" s="851"/>
      <c r="H44" s="851"/>
      <c r="I44" s="851"/>
      <c r="J44" s="851"/>
      <c r="K44" s="851"/>
      <c r="L44" s="851"/>
      <c r="M44" s="851"/>
      <c r="N44" s="851"/>
    </row>
    <row r="45" customHeight="1" spans="1:14">
      <c r="A45" s="852"/>
      <c r="B45" s="851"/>
      <c r="C45" s="851"/>
      <c r="D45" s="851"/>
      <c r="E45" s="851"/>
      <c r="F45" s="851"/>
      <c r="G45" s="851"/>
      <c r="H45" s="851"/>
      <c r="I45" s="851"/>
      <c r="J45" s="851"/>
      <c r="K45" s="851"/>
      <c r="L45" s="851"/>
      <c r="M45" s="851"/>
      <c r="N45" s="851"/>
    </row>
    <row r="46" customHeight="1" spans="1:14">
      <c r="C46" s="851"/>
      <c r="D46" s="851"/>
      <c r="E46" s="851"/>
      <c r="F46" s="851"/>
      <c r="G46" s="851"/>
      <c r="H46" s="851"/>
      <c r="I46" s="851"/>
      <c r="J46" s="851"/>
      <c r="K46" s="851"/>
      <c r="L46" s="851"/>
      <c r="M46" s="851"/>
      <c r="N46" s="851"/>
    </row>
    <row r="47" customHeight="1" spans="1:14">
      <c r="C47" s="377"/>
      <c r="D47" s="377"/>
      <c r="E47" s="377"/>
      <c r="F47" s="377"/>
      <c r="G47" s="377"/>
      <c r="H47" s="377"/>
      <c r="I47" s="377"/>
      <c r="J47" s="377"/>
      <c r="K47" s="377"/>
      <c r="L47" s="377"/>
      <c r="M47" s="377"/>
      <c r="N47" s="377"/>
    </row>
    <row r="48" customHeight="1" spans="1:14">
      <c r="C48" s="825"/>
      <c r="D48" s="825"/>
      <c r="E48" s="825"/>
      <c r="F48" s="825"/>
      <c r="G48" s="825"/>
      <c r="H48" s="825"/>
      <c r="I48" s="825"/>
      <c r="J48" s="825"/>
      <c r="K48" s="825"/>
      <c r="L48" s="825"/>
      <c r="M48" s="825"/>
      <c r="N48" s="825"/>
    </row>
    <row r="49" customHeight="1" spans="3:14">
      <c r="C49" s="825"/>
      <c r="D49" s="825"/>
      <c r="E49" s="825"/>
      <c r="F49" s="825"/>
      <c r="G49" s="825"/>
      <c r="H49" s="825"/>
      <c r="I49" s="825"/>
      <c r="J49" s="825"/>
      <c r="K49" s="825"/>
      <c r="L49" s="825"/>
      <c r="M49" s="825"/>
      <c r="N49" s="825"/>
    </row>
  </sheetData>
  <mergeCells count="8">
    <mergeCell ref="A1:N1"/>
    <mergeCell ref="A2:N2"/>
    <mergeCell ref="D11:G11"/>
    <mergeCell ref="H11:N11"/>
    <mergeCell ref="A34:C34"/>
    <mergeCell ref="A11:A12"/>
    <mergeCell ref="B11:B12"/>
    <mergeCell ref="C11:C12"/>
  </mergeCells>
  <hyperlinks>
    <hyperlink ref="N3" location="底稿目录!A1" display="='D:\GT_plan\backend\wp_templates\D\[D4-6至D4-11营业收入 - 分析程序（Leap应对措施-分析程序）.xlsx]底稿目录'!F7"/>
  </hyperlinks>
  <pageMargins left="0.708333333333333" right="0.708333333333333" top="0.747916666666667" bottom="0.747916666666667" header="0.314583333333333" footer="0.314583333333333"/>
  <pageSetup paperSize="9" scale="63" orientation="portrait" blackAndWhite="1"/>
  <headerFooter>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
  <sheetViews>
    <sheetView view="pageBreakPreview" zoomScaleNormal="100" workbookViewId="0">
      <selection activeCell="A1" sqref="A1:O1"/>
    </sheetView>
  </sheetViews>
  <sheetFormatPr defaultColWidth="9.81818181818182" defaultRowHeight="20.1" customHeight="1"/>
  <cols>
    <col min="1" max="13" width="9.81818181818182" style="797"/>
    <col min="14" max="14" width="11.7545454545455" style="797" customWidth="1"/>
    <col min="15" max="16384" width="9.81818181818182" style="797"/>
  </cols>
  <sheetData>
    <row r="1" s="794" customFormat="1" customHeight="1" spans="1:15">
      <c r="A1" s="798" t="s">
        <v>27</v>
      </c>
      <c r="B1" s="798"/>
      <c r="C1" s="798"/>
      <c r="D1" s="798"/>
      <c r="E1" s="798"/>
      <c r="F1" s="798"/>
      <c r="G1" s="798"/>
      <c r="H1" s="798"/>
      <c r="I1" s="798"/>
      <c r="J1" s="798"/>
      <c r="K1" s="798"/>
      <c r="L1" s="798"/>
      <c r="M1" s="798"/>
      <c r="N1" s="798"/>
      <c r="O1" s="798"/>
    </row>
    <row r="2" s="794" customFormat="1" customHeight="1" spans="1:15">
      <c r="A2" s="799" t="s">
        <v>346</v>
      </c>
      <c r="B2" s="799"/>
      <c r="C2" s="799"/>
      <c r="D2" s="799"/>
      <c r="E2" s="799"/>
      <c r="F2" s="799"/>
      <c r="G2" s="799"/>
      <c r="H2" s="799"/>
      <c r="I2" s="799"/>
      <c r="J2" s="799"/>
      <c r="K2" s="799"/>
      <c r="L2" s="799"/>
      <c r="M2" s="799"/>
      <c r="N2" s="799"/>
      <c r="O2" s="799"/>
    </row>
    <row r="3" s="795" customFormat="1" customHeight="1" spans="1:15">
      <c r="A3" s="796" t="str">
        <f>[9]底稿目录!A2</f>
        <v>被审计单位名称：</v>
      </c>
      <c r="F3" s="796" t="str">
        <f>[9]底稿目录!A4</f>
        <v>编制人：</v>
      </c>
      <c r="J3" s="796" t="str">
        <f>[9]底稿目录!A5</f>
        <v>编制日期：</v>
      </c>
      <c r="N3" s="800" t="s">
        <v>29</v>
      </c>
      <c r="O3" s="801" t="str">
        <f>[9]底稿目录!F8</f>
        <v>D4-11</v>
      </c>
    </row>
    <row r="4" s="795" customFormat="1" customHeight="1" spans="1:15">
      <c r="A4" s="796" t="str">
        <f>[9]底稿目录!A3</f>
        <v>会计期间：202X年度</v>
      </c>
      <c r="F4" s="796" t="str">
        <f>[9]底稿目录!A6</f>
        <v>复核人：</v>
      </c>
      <c r="J4" s="796" t="str">
        <f>[9]底稿目录!A7</f>
        <v>复核日期：</v>
      </c>
      <c r="N4" s="800" t="s">
        <v>129</v>
      </c>
    </row>
    <row r="5" s="796" customFormat="1" customHeight="1" spans="1:15">
      <c r="A5" s="802" t="s">
        <v>252</v>
      </c>
      <c r="B5" s="803"/>
      <c r="C5" s="803"/>
      <c r="D5" s="803"/>
      <c r="E5" s="803"/>
      <c r="F5" s="803"/>
      <c r="G5" s="803"/>
      <c r="H5" s="803"/>
    </row>
    <row r="6" s="796" customFormat="1" customHeight="1" spans="1:15">
      <c r="A6" s="796" t="s">
        <v>382</v>
      </c>
      <c r="C6" s="803"/>
      <c r="D6" s="803"/>
      <c r="E6" s="803"/>
      <c r="F6" s="803"/>
      <c r="G6" s="803"/>
      <c r="H6" s="803"/>
    </row>
    <row r="7" s="796" customFormat="1" customHeight="1" spans="1:15">
      <c r="A7" s="802" t="s">
        <v>254</v>
      </c>
      <c r="B7" s="803"/>
      <c r="C7" s="803"/>
      <c r="D7" s="803"/>
      <c r="E7" s="803"/>
      <c r="F7" s="803"/>
      <c r="G7" s="803"/>
      <c r="H7" s="803"/>
    </row>
    <row r="8" s="796" customFormat="1" customHeight="1" spans="1:15">
      <c r="A8" s="804" t="s">
        <v>255</v>
      </c>
      <c r="B8" s="803"/>
      <c r="C8" s="803"/>
      <c r="D8" s="803"/>
      <c r="E8" s="803"/>
      <c r="F8" s="803"/>
      <c r="G8" s="803"/>
      <c r="H8" s="803"/>
    </row>
    <row r="9" customHeight="1" spans="1:15">
      <c r="A9" s="805"/>
      <c r="C9" s="805"/>
      <c r="D9" s="805"/>
      <c r="E9" s="805"/>
    </row>
    <row r="10" customHeight="1" spans="1:15">
      <c r="A10" s="805"/>
      <c r="C10" s="805"/>
      <c r="D10" s="805"/>
      <c r="E10" s="805"/>
    </row>
    <row r="11" ht="51" customHeight="1" spans="1:15">
      <c r="A11" s="806" t="s">
        <v>2</v>
      </c>
      <c r="B11" s="806" t="s">
        <v>425</v>
      </c>
      <c r="C11" s="806" t="s">
        <v>469</v>
      </c>
      <c r="D11" s="806" t="s">
        <v>470</v>
      </c>
      <c r="E11" s="806" t="s">
        <v>428</v>
      </c>
      <c r="F11" s="806" t="s">
        <v>471</v>
      </c>
      <c r="G11" s="807" t="s">
        <v>472</v>
      </c>
      <c r="H11" s="806" t="s">
        <v>473</v>
      </c>
      <c r="I11" s="807" t="s">
        <v>474</v>
      </c>
      <c r="J11" s="807" t="s">
        <v>475</v>
      </c>
      <c r="K11" s="807" t="s">
        <v>476</v>
      </c>
      <c r="L11" s="807" t="s">
        <v>477</v>
      </c>
      <c r="M11" s="807" t="s">
        <v>478</v>
      </c>
      <c r="N11" s="807" t="s">
        <v>479</v>
      </c>
      <c r="O11" s="806" t="s">
        <v>276</v>
      </c>
    </row>
    <row r="12" customHeight="1" spans="1:15">
      <c r="A12" s="808">
        <v>1</v>
      </c>
      <c r="B12" s="809"/>
      <c r="C12" s="810"/>
      <c r="D12" s="811"/>
      <c r="E12" s="812"/>
      <c r="F12" s="813"/>
      <c r="G12" s="810"/>
      <c r="H12" s="813"/>
      <c r="I12" s="812"/>
      <c r="J12" s="814">
        <v>0</v>
      </c>
      <c r="K12" s="812"/>
      <c r="L12" s="814">
        <v>0</v>
      </c>
      <c r="M12" s="815"/>
      <c r="N12" s="815"/>
      <c r="O12" s="816"/>
    </row>
    <row r="13" customHeight="1" spans="1:15">
      <c r="A13" s="808">
        <v>2</v>
      </c>
      <c r="B13" s="809"/>
      <c r="C13" s="810"/>
      <c r="D13" s="811"/>
      <c r="E13" s="812"/>
      <c r="F13" s="813"/>
      <c r="G13" s="810"/>
      <c r="H13" s="813"/>
      <c r="I13" s="812"/>
      <c r="J13" s="814">
        <v>0</v>
      </c>
      <c r="K13" s="812"/>
      <c r="L13" s="814">
        <v>0</v>
      </c>
      <c r="M13" s="815"/>
      <c r="N13" s="815"/>
      <c r="O13" s="816"/>
    </row>
    <row r="14" customHeight="1" spans="1:15">
      <c r="A14" s="808">
        <v>3</v>
      </c>
      <c r="B14" s="809"/>
      <c r="C14" s="810"/>
      <c r="D14" s="811"/>
      <c r="E14" s="812"/>
      <c r="F14" s="813"/>
      <c r="G14" s="810"/>
      <c r="H14" s="813"/>
      <c r="I14" s="812"/>
      <c r="J14" s="814">
        <v>0</v>
      </c>
      <c r="K14" s="812"/>
      <c r="L14" s="814">
        <v>0</v>
      </c>
      <c r="M14" s="815"/>
      <c r="N14" s="815"/>
      <c r="O14" s="816"/>
    </row>
    <row r="15" customHeight="1" spans="1:15">
      <c r="A15" s="808">
        <v>4</v>
      </c>
      <c r="B15" s="809"/>
      <c r="C15" s="810"/>
      <c r="D15" s="811"/>
      <c r="E15" s="812"/>
      <c r="F15" s="813"/>
      <c r="G15" s="810"/>
      <c r="H15" s="813"/>
      <c r="I15" s="812"/>
      <c r="J15" s="814">
        <v>0</v>
      </c>
      <c r="K15" s="812"/>
      <c r="L15" s="814">
        <v>0</v>
      </c>
      <c r="M15" s="815"/>
      <c r="N15" s="815"/>
      <c r="O15" s="816"/>
    </row>
    <row r="16" customHeight="1" spans="1:15">
      <c r="A16" s="808">
        <v>5</v>
      </c>
      <c r="B16" s="809"/>
      <c r="C16" s="810"/>
      <c r="D16" s="811"/>
      <c r="E16" s="812"/>
      <c r="F16" s="813"/>
      <c r="G16" s="810"/>
      <c r="H16" s="813"/>
      <c r="I16" s="812"/>
      <c r="J16" s="814">
        <v>0</v>
      </c>
      <c r="K16" s="812"/>
      <c r="L16" s="814">
        <v>0</v>
      </c>
      <c r="M16" s="815"/>
      <c r="N16" s="815"/>
      <c r="O16" s="816"/>
    </row>
    <row r="17" customHeight="1" spans="1:15">
      <c r="A17" s="808">
        <v>6</v>
      </c>
      <c r="B17" s="809"/>
      <c r="C17" s="810"/>
      <c r="D17" s="811"/>
      <c r="E17" s="812"/>
      <c r="F17" s="813"/>
      <c r="G17" s="810"/>
      <c r="H17" s="813"/>
      <c r="I17" s="812"/>
      <c r="J17" s="814">
        <v>0</v>
      </c>
      <c r="K17" s="812"/>
      <c r="L17" s="814">
        <v>0</v>
      </c>
      <c r="M17" s="815"/>
      <c r="N17" s="815"/>
      <c r="O17" s="816"/>
    </row>
    <row r="18" customHeight="1" spans="1:15">
      <c r="A18" s="808">
        <v>7</v>
      </c>
      <c r="B18" s="809"/>
      <c r="C18" s="810"/>
      <c r="D18" s="811"/>
      <c r="E18" s="812"/>
      <c r="F18" s="813"/>
      <c r="G18" s="810"/>
      <c r="H18" s="813"/>
      <c r="I18" s="812"/>
      <c r="J18" s="814">
        <v>0</v>
      </c>
      <c r="K18" s="812"/>
      <c r="L18" s="814">
        <v>0</v>
      </c>
      <c r="M18" s="815"/>
      <c r="N18" s="815"/>
      <c r="O18" s="816"/>
    </row>
    <row r="19" customHeight="1" spans="1:15">
      <c r="A19" s="808">
        <v>8</v>
      </c>
      <c r="B19" s="809"/>
      <c r="C19" s="810"/>
      <c r="D19" s="811"/>
      <c r="E19" s="812"/>
      <c r="F19" s="813"/>
      <c r="G19" s="810"/>
      <c r="H19" s="813"/>
      <c r="I19" s="812"/>
      <c r="J19" s="814">
        <v>0</v>
      </c>
      <c r="K19" s="812"/>
      <c r="L19" s="814">
        <v>0</v>
      </c>
      <c r="M19" s="815"/>
      <c r="N19" s="815"/>
      <c r="O19" s="816"/>
    </row>
    <row r="20" customHeight="1" spans="1:15">
      <c r="A20" s="808">
        <v>9</v>
      </c>
      <c r="B20" s="809"/>
      <c r="C20" s="810"/>
      <c r="D20" s="811"/>
      <c r="E20" s="812"/>
      <c r="F20" s="813"/>
      <c r="G20" s="810"/>
      <c r="H20" s="813"/>
      <c r="I20" s="812"/>
      <c r="J20" s="814">
        <v>0</v>
      </c>
      <c r="K20" s="812"/>
      <c r="L20" s="814">
        <v>0</v>
      </c>
      <c r="M20" s="815"/>
      <c r="N20" s="815"/>
      <c r="O20" s="816"/>
    </row>
    <row r="21" customHeight="1" spans="1:15">
      <c r="A21" s="808">
        <v>10</v>
      </c>
      <c r="B21" s="809"/>
      <c r="C21" s="810"/>
      <c r="D21" s="811"/>
      <c r="E21" s="812"/>
      <c r="F21" s="813"/>
      <c r="G21" s="810"/>
      <c r="H21" s="813"/>
      <c r="I21" s="812"/>
      <c r="J21" s="814">
        <v>0</v>
      </c>
      <c r="K21" s="812"/>
      <c r="L21" s="814">
        <v>0</v>
      </c>
      <c r="M21" s="815"/>
      <c r="N21" s="815"/>
      <c r="O21" s="816"/>
    </row>
    <row r="22" s="669" customFormat="1" customHeight="1" spans="1:15">
      <c r="A22" s="415" t="s">
        <v>278</v>
      </c>
      <c r="B22" s="817"/>
      <c r="C22" s="818"/>
      <c r="D22" s="818"/>
      <c r="E22" s="818"/>
      <c r="F22" s="818"/>
      <c r="G22" s="818"/>
      <c r="H22" s="818"/>
      <c r="I22" s="818"/>
      <c r="J22" s="818"/>
      <c r="K22" s="818"/>
      <c r="L22" s="818"/>
      <c r="M22" s="818"/>
      <c r="N22" s="818"/>
      <c r="O22" s="819"/>
    </row>
    <row r="23" s="669" customFormat="1" customHeight="1" spans="1:15">
      <c r="A23" s="820"/>
      <c r="B23" s="817"/>
      <c r="C23" s="818"/>
      <c r="D23" s="818"/>
      <c r="E23" s="818"/>
      <c r="F23" s="818"/>
      <c r="G23" s="818"/>
      <c r="H23" s="818"/>
      <c r="I23" s="818"/>
      <c r="J23" s="818"/>
      <c r="K23" s="818"/>
      <c r="L23" s="818"/>
      <c r="M23" s="818"/>
      <c r="N23" s="818"/>
      <c r="O23" s="819"/>
    </row>
    <row r="24" s="669" customFormat="1" customHeight="1" spans="1:15">
      <c r="A24" s="821"/>
    </row>
    <row r="25" s="669" customFormat="1" customHeight="1" spans="1:15">
      <c r="A25" s="415" t="s">
        <v>280</v>
      </c>
    </row>
    <row r="26" s="669" customFormat="1" customHeight="1"/>
    <row r="27" customHeight="1" spans="1:15">
      <c r="A27" s="822"/>
    </row>
  </sheetData>
  <mergeCells count="2">
    <mergeCell ref="A1:O1"/>
    <mergeCell ref="A2:O2"/>
  </mergeCells>
  <hyperlinks>
    <hyperlink ref="O3" location="底稿目录!A1" display="='D:\GT_plan\backend\wp_templates\D\[D4-6至D4-11营业收入 - 分析程序（Leap应对措施-分析程序）.xlsx]底稿目录'!F8"/>
  </hyperlinks>
  <pageMargins left="0.708333333333333" right="0.708333333333333" top="0.747916666666667" bottom="0.747916666666667" header="0.314583333333333" footer="0.314583333333333"/>
  <pageSetup paperSize="9" scale="62" orientation="portrait" blackAndWhite="1"/>
  <headerFooter>
    <oddFooter>&amp;C&amp;P/&amp;N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7"/>
  <sheetViews>
    <sheetView view="pageBreakPreview" zoomScaleNormal="100" workbookViewId="0">
      <selection activeCell="A1" sqref="A1:K1"/>
    </sheetView>
  </sheetViews>
  <sheetFormatPr defaultColWidth="9.81818181818182" defaultRowHeight="20.1" customHeight="1"/>
  <cols>
    <col min="1" max="1" width="23.2727272727273" style="766" customWidth="1"/>
    <col min="2" max="4" width="13.5727272727273" style="767" customWidth="1"/>
    <col min="5" max="5" width="13.5727272727273" style="768" customWidth="1"/>
    <col min="6" max="6" width="13.5727272727273" style="767" customWidth="1"/>
    <col min="7" max="8" width="15.1454545454545" style="767" customWidth="1"/>
    <col min="9" max="9" width="13.8181818181818" style="767" customWidth="1"/>
    <col min="10" max="10" width="15.1454545454545" style="767" customWidth="1"/>
    <col min="11" max="11" width="12.2363636363636" style="767" customWidth="1"/>
    <col min="12" max="16384" width="9.81818181818182" style="767"/>
  </cols>
  <sheetData>
    <row r="1" s="762" customFormat="1" customHeight="1" spans="1:11">
      <c r="A1" s="769" t="s">
        <v>27</v>
      </c>
      <c r="B1" s="769"/>
      <c r="C1" s="769"/>
      <c r="D1" s="769"/>
      <c r="E1" s="769"/>
      <c r="F1" s="769"/>
      <c r="G1" s="769"/>
      <c r="H1" s="769"/>
      <c r="I1" s="769"/>
      <c r="J1" s="769"/>
      <c r="K1" s="769"/>
    </row>
    <row r="2" customHeight="1" spans="1:11">
      <c r="A2" s="770" t="s">
        <v>480</v>
      </c>
      <c r="B2" s="770"/>
      <c r="C2" s="770"/>
      <c r="D2" s="770"/>
      <c r="E2" s="770"/>
      <c r="F2" s="770"/>
      <c r="G2" s="770"/>
      <c r="H2" s="770"/>
      <c r="I2" s="770"/>
      <c r="J2" s="770"/>
      <c r="K2" s="770"/>
    </row>
    <row r="3" s="763" customFormat="1" customHeight="1" spans="1:11">
      <c r="A3" s="771" t="str">
        <f>[11]底稿目录!$A$2</f>
        <v>被审计单位：</v>
      </c>
      <c r="B3" s="263"/>
      <c r="D3" s="771" t="str">
        <f>[11]底稿目录!$A$4</f>
        <v>编制人：</v>
      </c>
      <c r="G3" s="771" t="str">
        <f>[11]底稿目录!$A$5</f>
        <v>编制日期：</v>
      </c>
      <c r="H3" s="772"/>
      <c r="I3" s="772"/>
      <c r="J3" s="773" t="s">
        <v>29</v>
      </c>
      <c r="K3" s="774" t="s">
        <v>86</v>
      </c>
    </row>
    <row r="4" s="763" customFormat="1" customHeight="1" spans="1:11">
      <c r="A4" s="771" t="str">
        <f>[11]底稿目录!$A$3</f>
        <v>会计期间：202X年度</v>
      </c>
      <c r="B4" s="645"/>
      <c r="D4" s="771" t="str">
        <f>[11]底稿目录!$A$6</f>
        <v>复核人：</v>
      </c>
      <c r="G4" s="771" t="str">
        <f>[11]底稿目录!$A$7</f>
        <v>复核日期：</v>
      </c>
      <c r="J4" s="773" t="s">
        <v>129</v>
      </c>
    </row>
    <row r="5" s="764" customFormat="1" customHeight="1" spans="1:11">
      <c r="A5" s="20" t="s">
        <v>252</v>
      </c>
      <c r="B5" s="171"/>
      <c r="C5" s="172"/>
      <c r="E5" s="171"/>
    </row>
    <row r="6" s="764" customFormat="1" customHeight="1" spans="1:11">
      <c r="A6" s="494" t="s">
        <v>481</v>
      </c>
      <c r="B6" s="775"/>
      <c r="C6" s="775"/>
      <c r="D6" s="775"/>
      <c r="E6" s="775"/>
      <c r="F6" s="775"/>
      <c r="G6" s="775"/>
      <c r="H6" s="775"/>
      <c r="I6" s="775"/>
      <c r="J6" s="775"/>
      <c r="K6" s="775"/>
    </row>
    <row r="7" s="764" customFormat="1" customHeight="1" spans="1:11">
      <c r="A7" s="20" t="s">
        <v>254</v>
      </c>
      <c r="B7" s="171"/>
      <c r="C7" s="172"/>
      <c r="E7" s="171"/>
    </row>
    <row r="8" s="764" customFormat="1" customHeight="1" spans="1:11">
      <c r="A8" s="776" t="s">
        <v>255</v>
      </c>
      <c r="B8" s="171"/>
      <c r="C8" s="172"/>
      <c r="E8" s="171"/>
    </row>
    <row r="9" s="764" customFormat="1" customHeight="1" spans="1:11">
      <c r="A9" s="777"/>
      <c r="B9" s="171"/>
      <c r="C9" s="172"/>
      <c r="E9" s="171"/>
    </row>
    <row r="10" customHeight="1" spans="1:11">
      <c r="A10" s="778" t="s">
        <v>4</v>
      </c>
      <c r="B10" s="779" t="s">
        <v>482</v>
      </c>
      <c r="C10" s="779" t="s">
        <v>483</v>
      </c>
      <c r="D10" s="779" t="s">
        <v>484</v>
      </c>
      <c r="E10" s="779" t="s">
        <v>485</v>
      </c>
      <c r="F10" s="779" t="s">
        <v>486</v>
      </c>
      <c r="G10" s="779" t="s">
        <v>487</v>
      </c>
      <c r="H10" s="779" t="s">
        <v>488</v>
      </c>
      <c r="I10" s="779" t="s">
        <v>489</v>
      </c>
      <c r="J10" s="779" t="s">
        <v>490</v>
      </c>
      <c r="K10" s="779" t="s">
        <v>491</v>
      </c>
    </row>
    <row r="11" customHeight="1" spans="1:11">
      <c r="A11" s="778" t="s">
        <v>492</v>
      </c>
      <c r="B11" s="780"/>
      <c r="C11" s="780"/>
      <c r="D11" s="780"/>
      <c r="E11" s="780"/>
      <c r="F11" s="780"/>
      <c r="G11" s="780"/>
      <c r="H11" s="780"/>
      <c r="I11" s="780"/>
      <c r="J11" s="780"/>
      <c r="K11" s="780"/>
    </row>
    <row r="12" customHeight="1" spans="1:11">
      <c r="A12" s="778" t="s">
        <v>493</v>
      </c>
      <c r="B12" s="781"/>
      <c r="C12" s="781"/>
      <c r="D12" s="781"/>
      <c r="E12" s="781"/>
      <c r="F12" s="781"/>
      <c r="G12" s="781"/>
      <c r="H12" s="781"/>
      <c r="I12" s="781"/>
      <c r="J12" s="781"/>
      <c r="K12" s="781"/>
    </row>
    <row r="13" customHeight="1" spans="1:11">
      <c r="A13" s="778" t="s">
        <v>494</v>
      </c>
      <c r="B13" s="782"/>
      <c r="C13" s="782"/>
      <c r="D13" s="782"/>
      <c r="E13" s="782"/>
      <c r="F13" s="782"/>
      <c r="G13" s="782"/>
      <c r="H13" s="782"/>
      <c r="I13" s="782"/>
      <c r="J13" s="782"/>
      <c r="K13" s="782"/>
    </row>
    <row r="14" ht="19.5" customHeight="1" spans="1:11">
      <c r="A14" s="778" t="s">
        <v>495</v>
      </c>
      <c r="B14" s="781"/>
      <c r="C14" s="781"/>
      <c r="D14" s="781"/>
      <c r="E14" s="781"/>
      <c r="F14" s="781"/>
      <c r="G14" s="781"/>
      <c r="H14" s="781"/>
      <c r="I14" s="781"/>
      <c r="J14" s="781"/>
      <c r="K14" s="781"/>
    </row>
    <row r="15" customHeight="1" spans="1:11">
      <c r="A15" s="778" t="s">
        <v>496</v>
      </c>
      <c r="B15" s="783"/>
      <c r="C15" s="783"/>
      <c r="D15" s="783"/>
      <c r="E15" s="783"/>
      <c r="F15" s="784"/>
      <c r="G15" s="783"/>
      <c r="H15" s="783"/>
      <c r="I15" s="783"/>
      <c r="J15" s="783"/>
      <c r="K15" s="783"/>
    </row>
    <row r="16" customHeight="1" spans="1:11">
      <c r="A16" s="778" t="s">
        <v>497</v>
      </c>
      <c r="B16" s="781"/>
      <c r="C16" s="781"/>
      <c r="D16" s="781"/>
      <c r="E16" s="781"/>
      <c r="F16" s="781"/>
      <c r="G16" s="781"/>
      <c r="H16" s="781"/>
      <c r="I16" s="781"/>
      <c r="J16" s="781"/>
      <c r="K16" s="781"/>
    </row>
    <row r="17" customHeight="1" spans="1:11">
      <c r="A17" s="778" t="s">
        <v>498</v>
      </c>
      <c r="B17" s="781"/>
      <c r="C17" s="781"/>
      <c r="D17" s="781"/>
      <c r="E17" s="781"/>
      <c r="F17" s="781"/>
      <c r="G17" s="781"/>
      <c r="H17" s="781"/>
      <c r="I17" s="781"/>
      <c r="J17" s="781"/>
      <c r="K17" s="781"/>
    </row>
    <row r="18" customHeight="1" spans="1:11">
      <c r="A18" s="778" t="s">
        <v>499</v>
      </c>
      <c r="B18" s="781"/>
      <c r="C18" s="781"/>
      <c r="D18" s="781"/>
      <c r="E18" s="781"/>
      <c r="F18" s="781"/>
      <c r="G18" s="781"/>
      <c r="H18" s="781"/>
      <c r="I18" s="781"/>
      <c r="J18" s="781"/>
      <c r="K18" s="781"/>
    </row>
    <row r="19" customHeight="1" spans="1:11">
      <c r="A19" s="778" t="s">
        <v>500</v>
      </c>
      <c r="B19" s="780"/>
      <c r="C19" s="780"/>
      <c r="D19" s="780"/>
      <c r="E19" s="780"/>
      <c r="F19" s="780"/>
      <c r="G19" s="780"/>
      <c r="H19" s="780"/>
      <c r="I19" s="780"/>
      <c r="J19" s="780"/>
      <c r="K19" s="780"/>
    </row>
    <row r="20" ht="19.5" customHeight="1" spans="1:11">
      <c r="A20" s="778" t="s">
        <v>501</v>
      </c>
      <c r="B20" s="781"/>
      <c r="C20" s="781"/>
      <c r="D20" s="781"/>
      <c r="E20" s="781"/>
      <c r="F20" s="781"/>
      <c r="G20" s="781"/>
      <c r="H20" s="781"/>
      <c r="I20" s="781"/>
      <c r="J20" s="781"/>
      <c r="K20" s="781"/>
    </row>
    <row r="21" ht="19.5" customHeight="1" spans="1:11">
      <c r="A21" s="778" t="s">
        <v>502</v>
      </c>
      <c r="B21" s="781"/>
      <c r="C21" s="781"/>
      <c r="D21" s="781"/>
      <c r="E21" s="781"/>
      <c r="F21" s="781"/>
      <c r="G21" s="781"/>
      <c r="H21" s="781"/>
      <c r="I21" s="781"/>
      <c r="J21" s="781"/>
      <c r="K21" s="781"/>
    </row>
    <row r="22" ht="19.5" customHeight="1" spans="1:11">
      <c r="A22" s="778" t="s">
        <v>503</v>
      </c>
      <c r="B22" s="781"/>
      <c r="C22" s="781"/>
      <c r="D22" s="781"/>
      <c r="E22" s="781"/>
      <c r="F22" s="781"/>
      <c r="G22" s="781"/>
      <c r="H22" s="781"/>
      <c r="I22" s="781"/>
      <c r="J22" s="781"/>
      <c r="K22" s="781"/>
    </row>
    <row r="23" ht="65" spans="1:11">
      <c r="A23" s="778" t="s">
        <v>504</v>
      </c>
      <c r="B23" s="781"/>
      <c r="C23" s="781"/>
      <c r="D23" s="781"/>
      <c r="E23" s="781"/>
      <c r="F23" s="781"/>
      <c r="G23" s="781"/>
      <c r="H23" s="781"/>
      <c r="I23" s="781"/>
      <c r="J23" s="781"/>
      <c r="K23" s="781"/>
    </row>
    <row r="24" customHeight="1" spans="1:11">
      <c r="A24" s="778" t="s">
        <v>505</v>
      </c>
      <c r="B24" s="781"/>
      <c r="C24" s="781"/>
      <c r="D24" s="781"/>
      <c r="E24" s="781"/>
      <c r="F24" s="781"/>
      <c r="G24" s="781"/>
      <c r="H24" s="781"/>
      <c r="I24" s="781"/>
      <c r="J24" s="781"/>
      <c r="K24" s="781"/>
    </row>
    <row r="25" customHeight="1" spans="1:11">
      <c r="A25" s="778" t="s">
        <v>506</v>
      </c>
      <c r="B25" s="781"/>
      <c r="C25" s="781"/>
      <c r="D25" s="781"/>
      <c r="E25" s="781"/>
      <c r="F25" s="781"/>
      <c r="G25" s="781"/>
      <c r="H25" s="781"/>
      <c r="I25" s="781"/>
      <c r="J25" s="781"/>
      <c r="K25" s="781"/>
    </row>
    <row r="26" customHeight="1" spans="1:11">
      <c r="A26" s="778" t="s">
        <v>507</v>
      </c>
      <c r="B26" s="781"/>
      <c r="C26" s="781"/>
      <c r="D26" s="781"/>
      <c r="E26" s="781"/>
      <c r="F26" s="781"/>
      <c r="G26" s="781"/>
      <c r="H26" s="781"/>
      <c r="I26" s="781"/>
      <c r="J26" s="781"/>
      <c r="K26" s="781"/>
    </row>
    <row r="27" customHeight="1" spans="1:11">
      <c r="A27" s="778" t="s">
        <v>508</v>
      </c>
      <c r="B27" s="781"/>
      <c r="C27" s="781"/>
      <c r="D27" s="781"/>
      <c r="E27" s="781"/>
      <c r="F27" s="781"/>
      <c r="G27" s="781"/>
      <c r="H27" s="781"/>
      <c r="I27" s="781"/>
      <c r="J27" s="781"/>
      <c r="K27" s="781"/>
    </row>
    <row r="28" customHeight="1" spans="1:11">
      <c r="A28" s="778" t="s">
        <v>509</v>
      </c>
      <c r="B28" s="782"/>
      <c r="C28" s="782"/>
      <c r="D28" s="782"/>
      <c r="E28" s="782"/>
      <c r="F28" s="782"/>
      <c r="G28" s="782"/>
      <c r="H28" s="782"/>
      <c r="I28" s="782"/>
      <c r="J28" s="782"/>
      <c r="K28" s="782"/>
    </row>
    <row r="29" ht="29.25" customHeight="1" spans="1:11">
      <c r="A29" s="778" t="s">
        <v>510</v>
      </c>
      <c r="B29" s="781"/>
      <c r="C29" s="781"/>
      <c r="D29" s="781"/>
      <c r="E29" s="781"/>
      <c r="F29" s="781"/>
      <c r="G29" s="781"/>
      <c r="H29" s="781"/>
      <c r="I29" s="781"/>
      <c r="J29" s="781"/>
      <c r="K29" s="781"/>
    </row>
    <row r="30" ht="106.5" customHeight="1" spans="1:11">
      <c r="A30" s="778" t="s">
        <v>511</v>
      </c>
      <c r="B30" s="781"/>
      <c r="C30" s="781"/>
      <c r="D30" s="781"/>
      <c r="E30" s="781"/>
      <c r="F30" s="781"/>
      <c r="G30" s="781"/>
      <c r="H30" s="781"/>
      <c r="I30" s="781"/>
      <c r="J30" s="781"/>
      <c r="K30" s="781"/>
    </row>
    <row r="31" ht="39" spans="1:11">
      <c r="A31" s="778" t="s">
        <v>512</v>
      </c>
      <c r="B31" s="781"/>
      <c r="C31" s="781"/>
      <c r="D31" s="781"/>
      <c r="E31" s="781"/>
      <c r="F31" s="781"/>
      <c r="G31" s="781"/>
      <c r="H31" s="781"/>
      <c r="I31" s="781"/>
      <c r="J31" s="781"/>
      <c r="K31" s="781"/>
    </row>
    <row r="32" s="765" customFormat="1" customHeight="1" spans="1:11">
      <c r="A32" s="785" t="s">
        <v>278</v>
      </c>
      <c r="B32" s="786"/>
      <c r="C32" s="786"/>
      <c r="D32" s="786"/>
      <c r="E32" s="787"/>
      <c r="F32" s="787"/>
      <c r="G32" s="787"/>
      <c r="H32" s="787"/>
      <c r="I32" s="787"/>
      <c r="J32" s="787"/>
      <c r="K32" s="787"/>
    </row>
    <row r="33" s="765" customFormat="1" customHeight="1" spans="1:11">
      <c r="A33" s="785"/>
      <c r="B33" s="786"/>
      <c r="C33" s="786"/>
      <c r="D33" s="786"/>
      <c r="E33" s="787"/>
      <c r="F33" s="787"/>
      <c r="G33" s="787"/>
      <c r="H33" s="787"/>
      <c r="I33" s="787"/>
      <c r="J33" s="787"/>
      <c r="K33" s="787"/>
    </row>
    <row r="34" s="765" customFormat="1" customHeight="1" spans="1:11">
      <c r="A34" s="785"/>
      <c r="B34" s="786"/>
      <c r="C34" s="786"/>
      <c r="D34" s="786"/>
      <c r="E34" s="787"/>
      <c r="F34" s="787"/>
      <c r="G34" s="787"/>
      <c r="H34" s="787"/>
      <c r="I34" s="787"/>
      <c r="J34" s="787"/>
      <c r="K34" s="787"/>
    </row>
    <row r="35" s="765" customFormat="1" customHeight="1" spans="1:11">
      <c r="A35" s="788"/>
      <c r="B35" s="786"/>
      <c r="C35" s="786"/>
      <c r="D35" s="786"/>
      <c r="E35" s="787"/>
      <c r="F35" s="787"/>
      <c r="G35" s="787"/>
      <c r="H35" s="787"/>
      <c r="I35" s="787"/>
      <c r="J35" s="787"/>
      <c r="K35" s="787"/>
    </row>
    <row r="36" s="765" customFormat="1" customHeight="1" spans="1:11">
      <c r="A36" s="785" t="s">
        <v>280</v>
      </c>
      <c r="B36" s="786"/>
      <c r="C36" s="786"/>
      <c r="D36" s="786"/>
      <c r="E36" s="787"/>
      <c r="F36" s="787"/>
      <c r="G36" s="787"/>
      <c r="H36" s="787"/>
      <c r="I36" s="787"/>
      <c r="J36" s="787"/>
      <c r="K36" s="787"/>
    </row>
    <row r="37" s="765" customFormat="1" customHeight="1" spans="1:11">
      <c r="A37" s="788"/>
      <c r="B37" s="786"/>
      <c r="C37" s="786"/>
      <c r="D37" s="786"/>
      <c r="E37" s="787"/>
      <c r="F37" s="787"/>
      <c r="G37" s="787"/>
      <c r="H37" s="787"/>
      <c r="I37" s="787"/>
      <c r="J37" s="787"/>
      <c r="K37" s="787"/>
    </row>
    <row r="38" customHeight="1" spans="1:11">
      <c r="A38" s="789" t="s">
        <v>513</v>
      </c>
    </row>
    <row r="39" customHeight="1" spans="1:11">
      <c r="A39" s="789" t="s">
        <v>514</v>
      </c>
    </row>
    <row r="40" customHeight="1" spans="1:11">
      <c r="A40" s="789" t="s">
        <v>515</v>
      </c>
    </row>
    <row r="41" customHeight="1" spans="1:11">
      <c r="A41" s="789" t="s">
        <v>516</v>
      </c>
    </row>
    <row r="42" customHeight="1" spans="1:11">
      <c r="A42" s="789" t="s">
        <v>517</v>
      </c>
    </row>
    <row r="43" customHeight="1" spans="1:11">
      <c r="A43" s="789" t="s">
        <v>518</v>
      </c>
    </row>
    <row r="44" customHeight="1" spans="1:11">
      <c r="A44" s="789" t="s">
        <v>519</v>
      </c>
    </row>
    <row r="45" customHeight="1" spans="1:11">
      <c r="A45" s="789" t="s">
        <v>520</v>
      </c>
    </row>
    <row r="46" customHeight="1" spans="1:11">
      <c r="A46" s="789" t="s">
        <v>521</v>
      </c>
    </row>
    <row r="47" customHeight="1" spans="1:11">
      <c r="A47" s="789" t="s">
        <v>522</v>
      </c>
    </row>
    <row r="48" customHeight="1" spans="1:11">
      <c r="A48" s="789" t="s">
        <v>523</v>
      </c>
    </row>
    <row r="49" customHeight="1" spans="1:11">
      <c r="A49" s="789" t="s">
        <v>524</v>
      </c>
    </row>
    <row r="50" customHeight="1" spans="1:11">
      <c r="A50" s="789" t="s">
        <v>525</v>
      </c>
    </row>
    <row r="51" customHeight="1" spans="1:11">
      <c r="A51" s="789" t="s">
        <v>526</v>
      </c>
      <c r="B51" s="790"/>
      <c r="C51" s="791"/>
      <c r="D51" s="791"/>
      <c r="E51" s="792"/>
      <c r="F51" s="793"/>
      <c r="G51" s="793"/>
      <c r="H51" s="793"/>
      <c r="I51" s="793"/>
      <c r="J51" s="793"/>
      <c r="K51" s="793"/>
    </row>
    <row r="52" customHeight="1" spans="1:11">
      <c r="A52" s="789" t="s">
        <v>527</v>
      </c>
      <c r="B52" s="790"/>
      <c r="C52" s="791"/>
      <c r="D52" s="791"/>
      <c r="E52" s="792"/>
      <c r="F52" s="793"/>
      <c r="G52" s="793"/>
      <c r="H52" s="793"/>
      <c r="I52" s="793"/>
      <c r="J52" s="793"/>
      <c r="K52" s="793"/>
    </row>
    <row r="53" customHeight="1" spans="1:11">
      <c r="A53" s="789" t="s">
        <v>528</v>
      </c>
      <c r="B53" s="790"/>
      <c r="C53" s="791"/>
      <c r="D53" s="791"/>
      <c r="E53" s="792"/>
      <c r="F53" s="793"/>
      <c r="G53" s="793"/>
      <c r="H53" s="793"/>
      <c r="I53" s="793"/>
      <c r="J53" s="793"/>
      <c r="K53" s="793"/>
    </row>
    <row r="54" customHeight="1" spans="1:11">
      <c r="A54" s="789" t="s">
        <v>529</v>
      </c>
      <c r="B54" s="790"/>
      <c r="C54" s="791"/>
      <c r="D54" s="791"/>
      <c r="E54" s="792"/>
      <c r="F54" s="793"/>
      <c r="G54" s="793"/>
      <c r="H54" s="793"/>
      <c r="I54" s="793"/>
      <c r="J54" s="793"/>
      <c r="K54" s="793"/>
    </row>
    <row r="55" customHeight="1" spans="1:11">
      <c r="A55" s="789" t="s">
        <v>530</v>
      </c>
      <c r="B55" s="790"/>
      <c r="C55" s="791"/>
      <c r="D55" s="791"/>
      <c r="E55" s="792"/>
      <c r="F55" s="793"/>
      <c r="G55" s="793"/>
      <c r="H55" s="793"/>
      <c r="I55" s="793"/>
      <c r="J55" s="793"/>
      <c r="K55" s="793"/>
    </row>
    <row r="56" customHeight="1" spans="1:11">
      <c r="A56" s="789" t="s">
        <v>531</v>
      </c>
      <c r="B56" s="790"/>
      <c r="C56" s="791"/>
      <c r="D56" s="791"/>
      <c r="E56" s="792"/>
      <c r="F56" s="793"/>
      <c r="G56" s="793"/>
      <c r="H56" s="793"/>
      <c r="I56" s="793"/>
      <c r="J56" s="793"/>
      <c r="K56" s="793"/>
    </row>
    <row r="57" customHeight="1" spans="1:11">
      <c r="A57" s="789" t="s">
        <v>532</v>
      </c>
      <c r="B57" s="790"/>
      <c r="C57" s="791"/>
      <c r="D57" s="791"/>
      <c r="E57" s="792"/>
      <c r="F57" s="793"/>
      <c r="G57" s="793"/>
      <c r="H57" s="793"/>
      <c r="I57" s="793"/>
      <c r="J57" s="793"/>
      <c r="K57" s="793"/>
    </row>
  </sheetData>
  <mergeCells count="2">
    <mergeCell ref="A1:K1"/>
    <mergeCell ref="A2:K2"/>
  </mergeCells>
  <printOptions horizontalCentered="1"/>
  <pageMargins left="0.708333333333333" right="0.708333333333333" top="0.747916666666667" bottom="0.747916666666667" header="0.314583333333333" footer="0.314583333333333"/>
  <pageSetup paperSize="9" scale="80" fitToHeight="0" orientation="landscape" blackAndWhite="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E14" sqref="E14"/>
    </sheetView>
  </sheetViews>
  <sheetFormatPr defaultColWidth="9.81818181818182" defaultRowHeight="20.1" customHeight="1" outlineLevelCol="6"/>
  <cols>
    <col min="1" max="1" width="96.4818181818182" style="237" customWidth="1"/>
    <col min="2" max="2" width="4.36363636363636" style="237" customWidth="1"/>
    <col min="3" max="3" width="5.20909090909091" style="237" customWidth="1"/>
    <col min="4" max="4" width="6.78181818181818" style="237" customWidth="1"/>
    <col min="5" max="5" width="36.8454545454545" style="237" customWidth="1"/>
    <col min="6" max="16384" width="9.81818181818182" style="237"/>
  </cols>
  <sheetData>
    <row r="1" ht="19.95" customHeight="1" spans="1:6">
      <c r="A1" s="750" t="s">
        <v>0</v>
      </c>
      <c r="B1" s="751"/>
      <c r="C1" s="751"/>
      <c r="D1" s="751"/>
      <c r="E1" s="751"/>
      <c r="F1" s="751"/>
    </row>
    <row r="2" ht="19.95" customHeight="1" spans="1:6">
      <c r="A2" s="752" t="s">
        <v>1</v>
      </c>
      <c r="B2" s="753"/>
      <c r="C2" s="753"/>
      <c r="D2" s="754" t="s">
        <v>2</v>
      </c>
      <c r="E2" s="754" t="s">
        <v>3</v>
      </c>
      <c r="F2" s="754" t="s">
        <v>4</v>
      </c>
    </row>
    <row r="3" ht="19.95" customHeight="1" spans="1:6">
      <c r="A3" s="482" t="s">
        <v>5</v>
      </c>
      <c r="B3" s="753"/>
      <c r="C3" s="753"/>
      <c r="D3" s="755">
        <v>1</v>
      </c>
      <c r="E3" s="756" t="s">
        <v>533</v>
      </c>
      <c r="F3" s="757" t="s">
        <v>62</v>
      </c>
    </row>
    <row r="4" ht="19.95" customHeight="1" spans="1:6">
      <c r="A4" s="752" t="s">
        <v>8</v>
      </c>
      <c r="B4" s="758"/>
      <c r="C4" s="758"/>
      <c r="D4" s="755">
        <v>2</v>
      </c>
      <c r="E4" s="756" t="s">
        <v>534</v>
      </c>
      <c r="F4" s="757" t="s">
        <v>90</v>
      </c>
    </row>
    <row r="5" ht="19.95" customHeight="1" spans="1:6">
      <c r="A5" s="752" t="s">
        <v>11</v>
      </c>
      <c r="B5" s="758"/>
      <c r="C5" s="758"/>
      <c r="D5" s="755">
        <v>3</v>
      </c>
      <c r="E5" s="756" t="s">
        <v>535</v>
      </c>
      <c r="F5" s="757" t="s">
        <v>536</v>
      </c>
    </row>
    <row r="6" ht="19.95" customHeight="1" spans="1:6">
      <c r="A6" s="759" t="s">
        <v>14</v>
      </c>
      <c r="B6" s="758"/>
      <c r="C6" s="758"/>
      <c r="D6" s="755">
        <v>4</v>
      </c>
      <c r="E6" s="756" t="s">
        <v>537</v>
      </c>
      <c r="F6" s="757" t="s">
        <v>538</v>
      </c>
    </row>
    <row r="7" ht="19.95" customHeight="1" spans="1:6">
      <c r="A7" s="759" t="s">
        <v>16</v>
      </c>
      <c r="B7" s="758"/>
      <c r="C7" s="758"/>
      <c r="D7" s="755">
        <v>5</v>
      </c>
      <c r="E7" s="760" t="s">
        <v>539</v>
      </c>
      <c r="F7" s="757" t="s">
        <v>540</v>
      </c>
    </row>
    <row r="8" ht="19.95" customHeight="1" spans="1:6">
      <c r="A8" s="761"/>
      <c r="B8" s="758"/>
      <c r="C8" s="758"/>
      <c r="D8" s="755">
        <v>6</v>
      </c>
      <c r="E8" s="760" t="s">
        <v>541</v>
      </c>
      <c r="F8" s="757" t="s">
        <v>542</v>
      </c>
    </row>
    <row r="9" ht="19.95" customHeight="1" spans="1:6">
      <c r="A9" s="489" t="s">
        <v>21</v>
      </c>
      <c r="B9" s="758"/>
      <c r="C9" s="758"/>
      <c r="D9" s="755">
        <v>7</v>
      </c>
      <c r="E9" s="756" t="s">
        <v>543</v>
      </c>
      <c r="F9" s="757" t="s">
        <v>103</v>
      </c>
    </row>
    <row r="10" ht="19.95" customHeight="1" spans="1:6">
      <c r="A10" s="490" t="s">
        <v>348</v>
      </c>
      <c r="B10" s="758"/>
      <c r="C10" s="758"/>
      <c r="D10" s="755">
        <v>8</v>
      </c>
      <c r="E10" s="756" t="s">
        <v>544</v>
      </c>
      <c r="F10" s="757" t="s">
        <v>106</v>
      </c>
    </row>
    <row r="11" s="235" customFormat="1" ht="19.95" customHeight="1" spans="1:6">
      <c r="A11" s="490"/>
      <c r="B11" s="751"/>
      <c r="C11" s="751"/>
    </row>
    <row r="12" s="235" customFormat="1" ht="19.95" customHeight="1" spans="1:6">
      <c r="A12" s="490"/>
      <c r="B12" s="751"/>
      <c r="C12" s="751"/>
    </row>
    <row r="13" s="235" customFormat="1" ht="19.95" customHeight="1" spans="1:6">
      <c r="A13" s="490"/>
      <c r="B13" s="751"/>
      <c r="C13" s="751"/>
    </row>
    <row r="14" s="235" customFormat="1" ht="19.95" customHeight="1" spans="1:6">
      <c r="A14" s="490" t="s">
        <v>349</v>
      </c>
      <c r="B14" s="751"/>
      <c r="C14" s="751"/>
    </row>
    <row r="15" s="235" customFormat="1" ht="19.95" customHeight="1" spans="1:6">
      <c r="A15" s="490"/>
      <c r="B15" s="751"/>
      <c r="C15" s="751"/>
    </row>
    <row r="16" s="235" customFormat="1" ht="19.95" customHeight="1" spans="1:6">
      <c r="A16" s="490"/>
      <c r="B16" s="751"/>
      <c r="C16" s="751"/>
    </row>
    <row r="17" s="235" customFormat="1" ht="19.95" customHeight="1" spans="1:7">
      <c r="A17" s="491" t="s">
        <v>350</v>
      </c>
      <c r="B17" s="751"/>
      <c r="C17" s="751"/>
    </row>
    <row r="18" s="235" customFormat="1" ht="19.95" customHeight="1" spans="1:7">
      <c r="A18" s="491"/>
      <c r="B18" s="751"/>
      <c r="C18" s="751"/>
    </row>
    <row r="19" s="235" customFormat="1" ht="19.95" customHeight="1" spans="1:7">
      <c r="A19" s="491"/>
      <c r="B19" s="751"/>
      <c r="C19" s="751"/>
    </row>
    <row r="20" ht="19.95" customHeight="1"/>
    <row r="26" customHeight="1" spans="1:7">
      <c r="G26" s="758"/>
    </row>
    <row r="27" customHeight="1" spans="1:7">
      <c r="G27" s="758"/>
    </row>
  </sheetData>
  <mergeCells count="3">
    <mergeCell ref="A10:A13"/>
    <mergeCell ref="A14:A16"/>
    <mergeCell ref="A17:A19"/>
  </mergeCells>
  <hyperlinks>
    <hyperlink ref="E9" location="'销售折扣与折让检查D4-19'!A1" display="销售折扣与折让检查"/>
    <hyperlink ref="E4" location="'营业收入发生检查表D4-14'!A1" display="营业收入发生检查表"/>
    <hyperlink ref="E5" location="'营业收入完整性检查表D4-15'!A1" display="营业收入完整性检查表"/>
    <hyperlink ref="E7" location="'营业收入截止测试（账到单据）D4-17'!A1" display="营业收入截止测试（账到单据）"/>
    <hyperlink ref="E8" location="'营业收入截止测试（单据到账）D4-18'!A1" display="营业收入截止测试（单据到账）"/>
    <hyperlink ref="E10" location="'销售退货检查表 D4-20'!A1" display="销售退货检查"/>
    <hyperlink ref="E3" location="'营业收入账面金额与ERP系统核对记录D4-13'!A1" display="营业收入账面金额与ERP系统核对记录"/>
    <hyperlink ref="E6" location="'出口收入电子口岸系统核对D4-16'!A1" display="出口收入电子口岸系统核对"/>
  </hyperlinks>
  <pageMargins left="0.708333333333333" right="0.708333333333333" top="0.747916666666667" bottom="0.747916666666667" header="0.314583333333333" footer="0.314583333333333"/>
  <pageSetup paperSize="9" scale="74" orientation="portrait" blackAndWhite="1"/>
  <headerFooter>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view="pageBreakPreview" zoomScaleNormal="100" workbookViewId="0">
      <selection activeCell="A1" sqref="A1:E1"/>
    </sheetView>
  </sheetViews>
  <sheetFormatPr defaultColWidth="9.81818181818182" defaultRowHeight="20.1" customHeight="1" outlineLevelCol="4"/>
  <cols>
    <col min="1" max="1" width="33.9363636363636" style="744" customWidth="1"/>
    <col min="2" max="2" width="30.3" style="744" customWidth="1"/>
    <col min="3" max="3" width="31.0272727272727" style="744" customWidth="1"/>
    <col min="4" max="4" width="12.3636363636364" style="744" customWidth="1"/>
    <col min="5" max="16384" width="9.81818181818182" style="744"/>
  </cols>
  <sheetData>
    <row r="1" customHeight="1" spans="1:5">
      <c r="A1" s="745" t="s">
        <v>27</v>
      </c>
      <c r="B1" s="745"/>
      <c r="C1" s="745"/>
      <c r="D1" s="745"/>
      <c r="E1" s="745"/>
    </row>
    <row r="2" customHeight="1" spans="1:5">
      <c r="A2" s="746" t="s">
        <v>533</v>
      </c>
      <c r="B2" s="746"/>
      <c r="C2" s="746"/>
      <c r="D2" s="746"/>
      <c r="E2" s="746"/>
    </row>
    <row r="3" customHeight="1" spans="1:5">
      <c r="A3" s="583" t="str">
        <f>[13]底稿目录!A2</f>
        <v>被审计单位：</v>
      </c>
      <c r="B3" s="583" t="str">
        <f>[13]底稿目录!A4</f>
        <v>编制人：</v>
      </c>
      <c r="C3" s="583" t="str">
        <f>[13]底稿目录!A5</f>
        <v>编制日期：</v>
      </c>
      <c r="D3" s="585" t="s">
        <v>29</v>
      </c>
      <c r="E3" s="528" t="str">
        <f>[13]底稿目录!F3</f>
        <v>D4-13</v>
      </c>
    </row>
    <row r="4" customHeight="1" spans="1:5">
      <c r="A4" s="583" t="str">
        <f>[13]底稿目录!A3</f>
        <v>会计期间：202X年度</v>
      </c>
      <c r="B4" s="583" t="str">
        <f>[13]底稿目录!A6</f>
        <v>复核人：</v>
      </c>
      <c r="C4" s="583" t="str">
        <f>[13]底稿目录!A7</f>
        <v>复核日期：</v>
      </c>
      <c r="D4" s="585" t="s">
        <v>129</v>
      </c>
    </row>
    <row r="5" customHeight="1" spans="1:5">
      <c r="A5" s="747" t="s">
        <v>545</v>
      </c>
    </row>
    <row r="6" customHeight="1" spans="1:5">
      <c r="A6" s="530"/>
      <c r="B6" s="530"/>
      <c r="C6" s="530"/>
      <c r="D6" s="530"/>
      <c r="E6" s="530"/>
    </row>
    <row r="7" customHeight="1" spans="1:5">
      <c r="A7" s="530"/>
      <c r="B7" s="530"/>
      <c r="C7" s="530"/>
      <c r="D7" s="530"/>
      <c r="E7" s="530"/>
    </row>
    <row r="8" customHeight="1" spans="1:5">
      <c r="A8" s="530"/>
      <c r="B8" s="530"/>
      <c r="C8" s="530"/>
      <c r="D8" s="530"/>
      <c r="E8" s="530"/>
    </row>
    <row r="9" customHeight="1" spans="1:5">
      <c r="A9" s="530"/>
      <c r="B9" s="530"/>
      <c r="C9" s="530"/>
      <c r="D9" s="530"/>
      <c r="E9" s="530"/>
    </row>
    <row r="10" customHeight="1" spans="1:5">
      <c r="A10" s="530"/>
      <c r="B10" s="530"/>
      <c r="C10" s="530"/>
      <c r="D10" s="530"/>
      <c r="E10" s="530"/>
    </row>
    <row r="11" customHeight="1" spans="1:5">
      <c r="A11" s="530"/>
      <c r="B11" s="530"/>
      <c r="C11" s="530"/>
      <c r="D11" s="530"/>
      <c r="E11" s="530"/>
    </row>
    <row r="12" customHeight="1" spans="1:5">
      <c r="A12" s="530"/>
      <c r="B12" s="530"/>
      <c r="C12" s="530"/>
      <c r="D12" s="530"/>
      <c r="E12" s="530"/>
    </row>
    <row r="13" customHeight="1" spans="1:5">
      <c r="A13" s="530"/>
      <c r="B13" s="530"/>
      <c r="C13" s="530"/>
      <c r="D13" s="530"/>
      <c r="E13" s="530"/>
    </row>
    <row r="14" customHeight="1" spans="1:5">
      <c r="A14" s="530"/>
      <c r="B14" s="530"/>
      <c r="C14" s="530"/>
      <c r="D14" s="530"/>
      <c r="E14" s="530"/>
    </row>
    <row r="15" customHeight="1" spans="1:5">
      <c r="A15" s="748" t="s">
        <v>546</v>
      </c>
      <c r="B15" s="530"/>
      <c r="C15" s="530"/>
      <c r="D15" s="530"/>
      <c r="E15" s="530"/>
    </row>
    <row r="16" customHeight="1" spans="1:5">
      <c r="A16" s="530"/>
      <c r="B16" s="530"/>
      <c r="C16" s="530"/>
      <c r="D16" s="530"/>
      <c r="E16" s="530"/>
    </row>
    <row r="17" customHeight="1" spans="1:5">
      <c r="A17" s="530"/>
      <c r="B17" s="530"/>
      <c r="C17" s="530"/>
      <c r="D17" s="530"/>
      <c r="E17" s="530"/>
    </row>
    <row r="18" customHeight="1" spans="1:5">
      <c r="A18" s="530"/>
      <c r="B18" s="530"/>
      <c r="C18" s="530"/>
      <c r="D18" s="530"/>
      <c r="E18" s="530"/>
    </row>
    <row r="19" customHeight="1" spans="1:5">
      <c r="A19" s="749" t="s">
        <v>547</v>
      </c>
    </row>
  </sheetData>
  <mergeCells count="2">
    <mergeCell ref="A1:E1"/>
    <mergeCell ref="A2:E2"/>
  </mergeCells>
  <hyperlinks>
    <hyperlink ref="E3" location="底稿目录!A1" display="='D:\GT_plan\backend\wp_templates\D\[D4-13至D4-20主营业务收入-检查（Leap应对措施-检查）.xlsx]底稿目录'!F3"/>
  </hyperlinks>
  <pageMargins left="0.708333333333333" right="0.708333333333333" top="0.747916666666667" bottom="0.747916666666667" header="0.314583333333333" footer="0.314583333333333"/>
  <pageSetup paperSize="9" scale="68" orientation="portrait" blackAndWhite="1"/>
  <headerFooter>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2"/>
  <sheetViews>
    <sheetView view="pageBreakPreview" zoomScaleNormal="100" workbookViewId="0">
      <selection activeCell="A1" sqref="A1:T1"/>
    </sheetView>
  </sheetViews>
  <sheetFormatPr defaultColWidth="9.81818181818182" defaultRowHeight="20.1" customHeight="1"/>
  <cols>
    <col min="1" max="1" width="6.41818181818182" style="260" customWidth="1"/>
    <col min="2" max="2" width="14.7909090909091" style="260" customWidth="1"/>
    <col min="3" max="6" width="10.1818181818182" style="260" customWidth="1"/>
    <col min="7" max="7" width="10.7818181818182" style="260" customWidth="1"/>
    <col min="8" max="8" width="11.1454545454545" style="260" customWidth="1"/>
    <col min="9" max="9" width="11.7545454545455" style="260" customWidth="1"/>
    <col min="10" max="10" width="9.45454545454546" style="260" customWidth="1"/>
    <col min="11" max="12" width="11.0272727272727" style="260" customWidth="1"/>
    <col min="13" max="13" width="8.48181818181818" style="260" customWidth="1"/>
    <col min="14" max="14" width="8.24545454545455" style="260" customWidth="1"/>
    <col min="15" max="15" width="8.36363636363636" style="260" customWidth="1"/>
    <col min="16" max="16" width="11.0272727272727" style="260" customWidth="1"/>
    <col min="17" max="17" width="9.69090909090909" style="260" customWidth="1"/>
    <col min="18" max="23" width="11.0272727272727" style="260" customWidth="1"/>
    <col min="24" max="24" width="10.1818181818182" style="260" customWidth="1"/>
    <col min="25" max="25" width="11.0272727272727" style="260" customWidth="1"/>
    <col min="26" max="26" width="12.2363636363636" style="260" customWidth="1"/>
    <col min="27" max="27" width="19.6363636363636" style="260" customWidth="1"/>
    <col min="28" max="32" width="12.3636363636364" style="260" customWidth="1"/>
    <col min="33" max="34" width="8.96363636363636" style="260" customWidth="1"/>
    <col min="35" max="35" width="13.9363636363636" style="260" customWidth="1"/>
    <col min="36" max="36" width="9.93636363636364" style="260" customWidth="1"/>
    <col min="37" max="37" width="8.24545454545455" style="260" customWidth="1"/>
    <col min="38" max="16384" width="9.81818181818182" style="260"/>
  </cols>
  <sheetData>
    <row r="1" s="256" customFormat="1" customHeight="1" spans="1:37">
      <c r="A1" s="261" t="s">
        <v>27</v>
      </c>
      <c r="B1" s="261"/>
      <c r="C1" s="261"/>
      <c r="D1" s="261"/>
      <c r="E1" s="261"/>
      <c r="F1" s="261"/>
      <c r="G1" s="261"/>
      <c r="H1" s="261"/>
      <c r="I1" s="261"/>
      <c r="J1" s="261"/>
      <c r="K1" s="261"/>
      <c r="L1" s="261"/>
      <c r="M1" s="261"/>
      <c r="N1" s="261"/>
      <c r="O1" s="261"/>
      <c r="P1" s="261"/>
      <c r="Q1" s="261"/>
      <c r="R1" s="261"/>
      <c r="S1" s="261"/>
      <c r="T1" s="261"/>
      <c r="U1" s="261" t="s">
        <v>27</v>
      </c>
      <c r="V1" s="261"/>
      <c r="W1" s="261"/>
      <c r="X1" s="261"/>
      <c r="Y1" s="261"/>
      <c r="Z1" s="261"/>
      <c r="AA1" s="261"/>
      <c r="AB1" s="261"/>
      <c r="AC1" s="261"/>
      <c r="AD1" s="261"/>
      <c r="AE1" s="261"/>
      <c r="AF1" s="261"/>
      <c r="AG1" s="261"/>
      <c r="AH1" s="261"/>
      <c r="AI1" s="261"/>
      <c r="AJ1" s="261"/>
      <c r="AK1" s="261"/>
    </row>
    <row r="2" s="256" customFormat="1" customHeight="1" spans="1:37">
      <c r="A2" s="262" t="s">
        <v>534</v>
      </c>
      <c r="B2" s="262"/>
      <c r="C2" s="262"/>
      <c r="D2" s="262"/>
      <c r="E2" s="262"/>
      <c r="F2" s="262"/>
      <c r="G2" s="262"/>
      <c r="H2" s="262"/>
      <c r="I2" s="262"/>
      <c r="J2" s="262"/>
      <c r="K2" s="262"/>
      <c r="L2" s="262"/>
      <c r="M2" s="262"/>
      <c r="N2" s="262"/>
      <c r="O2" s="262"/>
      <c r="P2" s="262"/>
      <c r="Q2" s="262"/>
      <c r="R2" s="262"/>
      <c r="S2" s="262"/>
      <c r="T2" s="262"/>
      <c r="U2" s="262" t="s">
        <v>534</v>
      </c>
      <c r="V2" s="262"/>
      <c r="W2" s="262"/>
      <c r="X2" s="262"/>
      <c r="Y2" s="262"/>
      <c r="Z2" s="262"/>
      <c r="AA2" s="262"/>
      <c r="AB2" s="262"/>
      <c r="AC2" s="262"/>
      <c r="AD2" s="262"/>
      <c r="AE2" s="262"/>
      <c r="AF2" s="262"/>
      <c r="AG2" s="262"/>
      <c r="AH2" s="262"/>
      <c r="AI2" s="262"/>
      <c r="AJ2" s="262"/>
      <c r="AK2" s="262"/>
    </row>
    <row r="3" customHeight="1" spans="1:37">
      <c r="A3" s="583" t="str">
        <f>[13]底稿目录!A2</f>
        <v>被审计单位：</v>
      </c>
      <c r="B3" s="583"/>
      <c r="C3" s="583"/>
      <c r="H3" s="584" t="str">
        <f>[13]底稿目录!A4</f>
        <v>编制人：</v>
      </c>
      <c r="I3" s="584"/>
      <c r="J3" s="584"/>
      <c r="M3" s="260" t="str">
        <f>[13]底稿目录!A5</f>
        <v>编制日期：</v>
      </c>
      <c r="S3" s="695" t="s">
        <v>29</v>
      </c>
      <c r="T3" s="528" t="str">
        <f>[13]底稿目录!F4</f>
        <v>D4-14</v>
      </c>
      <c r="U3" s="260" t="str">
        <f>[13]底稿目录!A2</f>
        <v>被审计单位：</v>
      </c>
      <c r="Y3" s="260" t="str">
        <f>[13]底稿目录!A4</f>
        <v>编制人：</v>
      </c>
      <c r="AC3" s="260" t="str">
        <f>[13]底稿目录!A5</f>
        <v>编制日期：</v>
      </c>
      <c r="AJ3" s="695" t="s">
        <v>29</v>
      </c>
      <c r="AK3" s="528" t="str">
        <f>[13]底稿目录!F4</f>
        <v>D4-14</v>
      </c>
    </row>
    <row r="4" customHeight="1" spans="1:37">
      <c r="A4" s="583" t="str">
        <f>[13]底稿目录!A3</f>
        <v>会计期间：202X年度</v>
      </c>
      <c r="B4" s="583"/>
      <c r="C4" s="583"/>
      <c r="H4" s="584" t="str">
        <f>[13]底稿目录!A6</f>
        <v>复核人：</v>
      </c>
      <c r="I4" s="584"/>
      <c r="J4" s="671"/>
      <c r="M4" s="260" t="str">
        <f>[13]底稿目录!A7</f>
        <v>复核日期：</v>
      </c>
      <c r="O4" s="699"/>
      <c r="S4" s="695" t="s">
        <v>129</v>
      </c>
      <c r="U4" s="260" t="str">
        <f>[13]底稿目录!A3</f>
        <v>会计期间：202X年度</v>
      </c>
      <c r="Y4" s="260" t="str">
        <f>[13]底稿目录!A6</f>
        <v>复核人：</v>
      </c>
      <c r="AC4" s="260" t="str">
        <f>[13]底稿目录!A7</f>
        <v>复核日期：</v>
      </c>
      <c r="AJ4" s="695" t="s">
        <v>129</v>
      </c>
    </row>
    <row r="5" s="697" customFormat="1" customHeight="1" spans="1:37">
      <c r="A5" s="671" t="s">
        <v>282</v>
      </c>
      <c r="B5" s="671"/>
      <c r="C5" s="700"/>
      <c r="E5" s="700"/>
      <c r="F5" s="700"/>
      <c r="G5" s="700"/>
      <c r="H5" s="700"/>
      <c r="I5" s="700"/>
      <c r="J5" s="700"/>
      <c r="K5" s="700"/>
      <c r="L5" s="700"/>
      <c r="M5" s="700"/>
      <c r="N5" s="700"/>
      <c r="O5" s="700"/>
      <c r="P5" s="700"/>
      <c r="Q5" s="700"/>
      <c r="R5" s="700"/>
      <c r="S5" s="700"/>
      <c r="T5" s="700"/>
      <c r="U5" s="700"/>
      <c r="V5" s="700"/>
      <c r="W5" s="700"/>
      <c r="X5" s="700"/>
      <c r="Y5" s="700"/>
      <c r="Z5" s="700"/>
      <c r="AA5" s="700"/>
      <c r="AB5" s="700"/>
      <c r="AC5" s="700"/>
      <c r="AD5" s="700"/>
      <c r="AE5" s="700"/>
      <c r="AF5" s="700"/>
      <c r="AG5" s="700"/>
      <c r="AH5" s="700"/>
      <c r="AI5" s="700"/>
      <c r="AJ5" s="700"/>
      <c r="AK5" s="700"/>
    </row>
    <row r="6" s="697" customFormat="1" customHeight="1" spans="1:37">
      <c r="A6" s="433" t="s">
        <v>548</v>
      </c>
      <c r="B6" s="433"/>
      <c r="C6" s="700"/>
      <c r="D6" s="433"/>
      <c r="E6" s="700"/>
      <c r="F6" s="700"/>
      <c r="G6" s="700"/>
      <c r="H6" s="700"/>
      <c r="I6" s="700"/>
      <c r="J6" s="700"/>
      <c r="K6" s="700"/>
      <c r="L6" s="700"/>
      <c r="M6" s="700"/>
      <c r="N6" s="700"/>
      <c r="O6" s="700"/>
      <c r="P6" s="700"/>
      <c r="Q6" s="700"/>
      <c r="R6" s="700"/>
      <c r="S6" s="700"/>
      <c r="T6" s="700"/>
      <c r="U6" s="700"/>
      <c r="V6" s="700"/>
      <c r="W6" s="700"/>
      <c r="X6" s="700"/>
      <c r="Y6" s="700"/>
      <c r="Z6" s="700"/>
      <c r="AA6" s="700"/>
      <c r="AB6" s="700"/>
      <c r="AC6" s="700"/>
      <c r="AD6" s="700"/>
      <c r="AE6" s="700"/>
      <c r="AF6" s="700"/>
      <c r="AG6" s="700"/>
      <c r="AH6" s="700"/>
      <c r="AI6" s="700"/>
      <c r="AJ6" s="700"/>
      <c r="AK6" s="700"/>
    </row>
    <row r="7" s="697" customFormat="1" customHeight="1" spans="1:37">
      <c r="A7" s="701" t="s">
        <v>549</v>
      </c>
      <c r="B7" s="671"/>
    </row>
    <row r="8" s="433" customFormat="1" customHeight="1" spans="1:37">
      <c r="A8" s="702" t="s">
        <v>550</v>
      </c>
      <c r="B8" s="702"/>
      <c r="C8" s="703" t="s">
        <v>551</v>
      </c>
      <c r="D8" s="704"/>
      <c r="E8" s="704"/>
      <c r="F8" s="704"/>
      <c r="G8" s="702"/>
      <c r="H8" s="703"/>
      <c r="I8" s="704"/>
      <c r="J8" s="702" t="s">
        <v>552</v>
      </c>
      <c r="K8" s="703" t="s">
        <v>553</v>
      </c>
      <c r="L8" s="704"/>
      <c r="M8" s="704"/>
      <c r="N8" s="704"/>
      <c r="O8" s="704"/>
      <c r="P8" s="704"/>
      <c r="Q8" s="705"/>
      <c r="R8" s="705"/>
      <c r="S8" s="705"/>
      <c r="T8" s="705"/>
      <c r="U8" s="705"/>
      <c r="V8" s="705"/>
      <c r="W8" s="705"/>
      <c r="X8" s="705"/>
      <c r="Y8" s="705"/>
      <c r="Z8" s="705"/>
      <c r="AA8" s="705"/>
      <c r="AB8" s="705"/>
      <c r="AC8" s="705"/>
      <c r="AD8" s="705"/>
      <c r="AE8" s="705"/>
      <c r="AF8" s="705"/>
    </row>
    <row r="9" s="433" customFormat="1" customHeight="1" spans="1:37">
      <c r="A9" s="702" t="s">
        <v>554</v>
      </c>
      <c r="B9" s="702"/>
      <c r="C9" s="703" t="s">
        <v>555</v>
      </c>
      <c r="D9" s="704"/>
      <c r="E9" s="704"/>
      <c r="F9" s="704"/>
      <c r="G9" s="702"/>
      <c r="H9" s="703"/>
      <c r="I9" s="704"/>
      <c r="J9" s="702" t="s">
        <v>556</v>
      </c>
      <c r="K9" s="703"/>
      <c r="L9" s="703" t="s">
        <v>557</v>
      </c>
      <c r="M9" s="703" t="s">
        <v>558</v>
      </c>
      <c r="N9" s="704"/>
      <c r="O9" s="703"/>
      <c r="P9" s="703"/>
      <c r="Q9" s="705"/>
      <c r="R9" s="705"/>
      <c r="S9" s="705"/>
      <c r="T9" s="705"/>
      <c r="U9" s="705"/>
      <c r="V9" s="705"/>
      <c r="W9" s="705"/>
      <c r="X9" s="705"/>
      <c r="Y9" s="705"/>
      <c r="Z9" s="705"/>
      <c r="AA9" s="705"/>
      <c r="AB9" s="705"/>
      <c r="AC9" s="705"/>
      <c r="AD9" s="705"/>
      <c r="AE9" s="705"/>
      <c r="AF9" s="705"/>
    </row>
    <row r="10" s="433" customFormat="1" customHeight="1" spans="1:37">
      <c r="A10" s="702" t="s">
        <v>559</v>
      </c>
      <c r="B10" s="702"/>
      <c r="C10" s="73" t="s">
        <v>560</v>
      </c>
      <c r="D10" s="704"/>
      <c r="E10" s="704"/>
      <c r="F10" s="704"/>
      <c r="G10" s="702"/>
      <c r="H10" s="703"/>
      <c r="I10" s="704"/>
      <c r="J10" s="702" t="s">
        <v>561</v>
      </c>
      <c r="K10" s="703" t="s">
        <v>562</v>
      </c>
      <c r="L10" s="704"/>
      <c r="M10" s="704"/>
      <c r="N10" s="704"/>
      <c r="O10" s="702"/>
      <c r="P10" s="703"/>
      <c r="Q10" s="705"/>
      <c r="R10" s="705"/>
      <c r="S10" s="705"/>
      <c r="T10" s="705"/>
      <c r="U10" s="705"/>
      <c r="V10" s="705"/>
      <c r="W10" s="705"/>
      <c r="X10" s="705"/>
      <c r="Y10" s="705"/>
      <c r="Z10" s="705"/>
      <c r="AA10" s="705"/>
      <c r="AB10" s="705"/>
      <c r="AC10" s="705"/>
      <c r="AD10" s="705"/>
      <c r="AE10" s="705"/>
      <c r="AF10" s="705"/>
    </row>
    <row r="11" s="670" customFormat="1" customHeight="1" spans="1:37">
      <c r="A11" s="706" t="s">
        <v>563</v>
      </c>
      <c r="B11" s="707"/>
      <c r="C11" s="708" t="s">
        <v>564</v>
      </c>
      <c r="D11" s="709"/>
      <c r="E11" s="710"/>
      <c r="F11" s="711"/>
      <c r="J11" s="672"/>
      <c r="K11" s="672"/>
      <c r="L11" s="672"/>
      <c r="M11" s="672"/>
    </row>
    <row r="12" s="670" customFormat="1" customHeight="1" spans="1:37">
      <c r="A12" s="706"/>
      <c r="B12" s="707"/>
      <c r="C12" s="708" t="s">
        <v>565</v>
      </c>
      <c r="D12" s="709"/>
      <c r="E12" s="710"/>
      <c r="F12" s="711"/>
      <c r="J12" s="672"/>
      <c r="K12" s="672"/>
      <c r="L12" s="672"/>
      <c r="M12" s="672"/>
    </row>
    <row r="13" customHeight="1" spans="1:37">
      <c r="A13" s="362" t="s">
        <v>2</v>
      </c>
      <c r="B13" s="712" t="s">
        <v>566</v>
      </c>
      <c r="C13" s="713"/>
      <c r="D13" s="713"/>
      <c r="E13" s="713"/>
      <c r="F13" s="713"/>
      <c r="G13" s="714"/>
      <c r="H13" s="675" t="s">
        <v>567</v>
      </c>
      <c r="I13" s="675"/>
      <c r="J13" s="675" t="s">
        <v>568</v>
      </c>
      <c r="K13" s="675"/>
      <c r="L13" s="675"/>
      <c r="M13" s="675"/>
      <c r="N13" s="715" t="s">
        <v>569</v>
      </c>
      <c r="O13" s="715" t="s">
        <v>570</v>
      </c>
      <c r="P13" s="675" t="s">
        <v>571</v>
      </c>
      <c r="Q13" s="675"/>
      <c r="R13" s="675"/>
      <c r="S13" s="675"/>
      <c r="T13" s="675"/>
      <c r="U13" s="675" t="s">
        <v>572</v>
      </c>
      <c r="V13" s="675"/>
      <c r="W13" s="675"/>
      <c r="X13" s="675"/>
      <c r="Y13" s="675"/>
      <c r="Z13" s="675"/>
      <c r="AA13" s="675"/>
      <c r="AB13" s="675" t="s">
        <v>573</v>
      </c>
      <c r="AC13" s="675"/>
      <c r="AD13" s="675"/>
      <c r="AE13" s="675"/>
      <c r="AF13" s="675"/>
      <c r="AG13" s="675" t="s">
        <v>291</v>
      </c>
      <c r="AH13" s="675"/>
      <c r="AI13" s="362" t="s">
        <v>574</v>
      </c>
      <c r="AJ13" s="362" t="s">
        <v>4</v>
      </c>
      <c r="AK13" s="716" t="s">
        <v>575</v>
      </c>
    </row>
    <row r="14" ht="26" spans="1:37">
      <c r="A14" s="362"/>
      <c r="B14" s="362" t="s">
        <v>425</v>
      </c>
      <c r="C14" s="362" t="s">
        <v>576</v>
      </c>
      <c r="D14" s="362" t="s">
        <v>577</v>
      </c>
      <c r="E14" s="362" t="s">
        <v>578</v>
      </c>
      <c r="F14" s="362" t="s">
        <v>405</v>
      </c>
      <c r="G14" s="362" t="s">
        <v>417</v>
      </c>
      <c r="H14" s="675" t="s">
        <v>576</v>
      </c>
      <c r="I14" s="675" t="s">
        <v>579</v>
      </c>
      <c r="J14" s="675" t="s">
        <v>576</v>
      </c>
      <c r="K14" s="675" t="s">
        <v>577</v>
      </c>
      <c r="L14" s="675" t="s">
        <v>578</v>
      </c>
      <c r="M14" s="675" t="s">
        <v>405</v>
      </c>
      <c r="N14" s="717"/>
      <c r="O14" s="717"/>
      <c r="P14" s="675" t="s">
        <v>576</v>
      </c>
      <c r="Q14" s="675" t="s">
        <v>577</v>
      </c>
      <c r="R14" s="675" t="s">
        <v>580</v>
      </c>
      <c r="S14" s="675" t="s">
        <v>581</v>
      </c>
      <c r="T14" s="675" t="s">
        <v>582</v>
      </c>
      <c r="U14" s="675" t="s">
        <v>576</v>
      </c>
      <c r="V14" s="675" t="s">
        <v>578</v>
      </c>
      <c r="W14" s="675" t="s">
        <v>405</v>
      </c>
      <c r="X14" s="675" t="s">
        <v>417</v>
      </c>
      <c r="Y14" s="675" t="s">
        <v>583</v>
      </c>
      <c r="Z14" s="675" t="s">
        <v>584</v>
      </c>
      <c r="AA14" s="675" t="s">
        <v>585</v>
      </c>
      <c r="AB14" s="675" t="s">
        <v>576</v>
      </c>
      <c r="AC14" s="675" t="s">
        <v>577</v>
      </c>
      <c r="AD14" s="675" t="s">
        <v>578</v>
      </c>
      <c r="AE14" s="675" t="s">
        <v>405</v>
      </c>
      <c r="AF14" s="675" t="s">
        <v>417</v>
      </c>
      <c r="AG14" s="675" t="s">
        <v>291</v>
      </c>
      <c r="AH14" s="675" t="s">
        <v>291</v>
      </c>
      <c r="AI14" s="362"/>
      <c r="AJ14" s="362"/>
      <c r="AK14" s="716"/>
    </row>
    <row r="15" customHeight="1" spans="1:37">
      <c r="A15" s="718"/>
      <c r="B15" s="718"/>
      <c r="C15" s="677"/>
      <c r="D15" s="719"/>
      <c r="E15" s="720"/>
      <c r="F15" s="721"/>
      <c r="G15" s="721"/>
      <c r="H15" s="677"/>
      <c r="I15" s="718"/>
      <c r="J15" s="677"/>
      <c r="K15" s="722"/>
      <c r="L15" s="723"/>
      <c r="M15" s="721"/>
      <c r="N15" s="723"/>
      <c r="O15" s="723"/>
      <c r="P15" s="677"/>
      <c r="Q15" s="722"/>
      <c r="R15" s="722"/>
      <c r="S15" s="723"/>
      <c r="T15" s="723"/>
      <c r="U15" s="677"/>
      <c r="V15" s="723"/>
      <c r="W15" s="721"/>
      <c r="X15" s="721"/>
      <c r="Y15" s="723"/>
      <c r="Z15" s="723"/>
      <c r="AA15" s="723"/>
      <c r="AB15" s="677"/>
      <c r="AC15" s="722"/>
      <c r="AD15" s="722"/>
      <c r="AE15" s="722"/>
      <c r="AF15" s="722"/>
      <c r="AG15" s="723"/>
      <c r="AH15" s="724"/>
      <c r="AI15" s="724"/>
      <c r="AJ15" s="724"/>
      <c r="AK15" s="720"/>
    </row>
    <row r="16" customHeight="1" spans="1:37">
      <c r="A16" s="718"/>
      <c r="B16" s="718"/>
      <c r="C16" s="677"/>
      <c r="D16" s="719"/>
      <c r="E16" s="725"/>
      <c r="F16" s="721"/>
      <c r="G16" s="721"/>
      <c r="H16" s="677"/>
      <c r="I16" s="718"/>
      <c r="J16" s="677"/>
      <c r="K16" s="722"/>
      <c r="L16" s="723"/>
      <c r="M16" s="721"/>
      <c r="N16" s="723"/>
      <c r="O16" s="723"/>
      <c r="P16" s="677"/>
      <c r="Q16" s="722"/>
      <c r="R16" s="722"/>
      <c r="S16" s="723"/>
      <c r="T16" s="723"/>
      <c r="U16" s="677"/>
      <c r="V16" s="723"/>
      <c r="W16" s="721"/>
      <c r="X16" s="721"/>
      <c r="Y16" s="723"/>
      <c r="Z16" s="723"/>
      <c r="AA16" s="723"/>
      <c r="AB16" s="677"/>
      <c r="AC16" s="722"/>
      <c r="AD16" s="722"/>
      <c r="AE16" s="722"/>
      <c r="AF16" s="722"/>
      <c r="AG16" s="723"/>
      <c r="AH16" s="724"/>
      <c r="AI16" s="724"/>
      <c r="AJ16" s="724"/>
      <c r="AK16" s="720"/>
    </row>
    <row r="17" customHeight="1" spans="1:37">
      <c r="A17" s="718"/>
      <c r="B17" s="718"/>
      <c r="C17" s="677"/>
      <c r="D17" s="719"/>
      <c r="E17" s="725"/>
      <c r="F17" s="721"/>
      <c r="G17" s="721"/>
      <c r="H17" s="677"/>
      <c r="I17" s="718"/>
      <c r="J17" s="677"/>
      <c r="K17" s="722"/>
      <c r="L17" s="723"/>
      <c r="M17" s="721"/>
      <c r="N17" s="723"/>
      <c r="O17" s="723"/>
      <c r="P17" s="677"/>
      <c r="Q17" s="722"/>
      <c r="R17" s="722"/>
      <c r="S17" s="723"/>
      <c r="T17" s="723"/>
      <c r="U17" s="677"/>
      <c r="V17" s="723"/>
      <c r="W17" s="721"/>
      <c r="X17" s="721"/>
      <c r="Y17" s="723"/>
      <c r="Z17" s="723"/>
      <c r="AA17" s="723"/>
      <c r="AB17" s="677"/>
      <c r="AC17" s="722"/>
      <c r="AD17" s="722"/>
      <c r="AE17" s="722"/>
      <c r="AF17" s="722"/>
      <c r="AG17" s="723"/>
      <c r="AH17" s="724"/>
      <c r="AI17" s="724"/>
      <c r="AJ17" s="724"/>
      <c r="AK17" s="720"/>
    </row>
    <row r="18" customHeight="1" spans="1:37">
      <c r="A18" s="718"/>
      <c r="B18" s="718"/>
      <c r="C18" s="677"/>
      <c r="D18" s="719"/>
      <c r="E18" s="725"/>
      <c r="F18" s="721"/>
      <c r="G18" s="721"/>
      <c r="H18" s="677"/>
      <c r="I18" s="718"/>
      <c r="J18" s="677"/>
      <c r="K18" s="722"/>
      <c r="L18" s="723"/>
      <c r="M18" s="721"/>
      <c r="N18" s="723"/>
      <c r="O18" s="723"/>
      <c r="P18" s="677"/>
      <c r="Q18" s="722"/>
      <c r="R18" s="722"/>
      <c r="S18" s="723"/>
      <c r="T18" s="723"/>
      <c r="U18" s="677"/>
      <c r="V18" s="723"/>
      <c r="W18" s="721"/>
      <c r="X18" s="721"/>
      <c r="Y18" s="723"/>
      <c r="Z18" s="723"/>
      <c r="AA18" s="723"/>
      <c r="AB18" s="677"/>
      <c r="AC18" s="722"/>
      <c r="AD18" s="722"/>
      <c r="AE18" s="722"/>
      <c r="AF18" s="722"/>
      <c r="AG18" s="723"/>
      <c r="AH18" s="724"/>
      <c r="AI18" s="724"/>
      <c r="AJ18" s="724"/>
      <c r="AK18" s="720"/>
    </row>
    <row r="19" customHeight="1" spans="1:37">
      <c r="A19" s="718"/>
      <c r="B19" s="718"/>
      <c r="C19" s="677"/>
      <c r="D19" s="719"/>
      <c r="E19" s="725"/>
      <c r="F19" s="721"/>
      <c r="G19" s="721"/>
      <c r="H19" s="677"/>
      <c r="I19" s="718"/>
      <c r="J19" s="677"/>
      <c r="K19" s="722"/>
      <c r="L19" s="723"/>
      <c r="M19" s="721"/>
      <c r="N19" s="723"/>
      <c r="O19" s="723"/>
      <c r="P19" s="677"/>
      <c r="Q19" s="722"/>
      <c r="R19" s="722"/>
      <c r="S19" s="723"/>
      <c r="T19" s="723"/>
      <c r="U19" s="677"/>
      <c r="V19" s="723"/>
      <c r="W19" s="721"/>
      <c r="X19" s="721"/>
      <c r="Y19" s="723"/>
      <c r="Z19" s="723"/>
      <c r="AA19" s="723"/>
      <c r="AB19" s="677"/>
      <c r="AC19" s="722"/>
      <c r="AD19" s="722"/>
      <c r="AE19" s="722"/>
      <c r="AF19" s="722"/>
      <c r="AG19" s="723"/>
      <c r="AH19" s="724"/>
      <c r="AI19" s="724"/>
      <c r="AJ19" s="724"/>
      <c r="AK19" s="720"/>
    </row>
    <row r="20" customHeight="1" spans="1:37">
      <c r="A20" s="718"/>
      <c r="B20" s="718"/>
      <c r="C20" s="677"/>
      <c r="D20" s="719"/>
      <c r="E20" s="725"/>
      <c r="F20" s="721"/>
      <c r="G20" s="721"/>
      <c r="H20" s="677"/>
      <c r="I20" s="718"/>
      <c r="J20" s="677"/>
      <c r="K20" s="722"/>
      <c r="L20" s="723"/>
      <c r="M20" s="721"/>
      <c r="N20" s="723"/>
      <c r="O20" s="723"/>
      <c r="P20" s="677"/>
      <c r="Q20" s="722"/>
      <c r="R20" s="722"/>
      <c r="S20" s="723"/>
      <c r="T20" s="723"/>
      <c r="U20" s="677"/>
      <c r="V20" s="723"/>
      <c r="W20" s="721"/>
      <c r="X20" s="721"/>
      <c r="Y20" s="723"/>
      <c r="Z20" s="723"/>
      <c r="AA20" s="723"/>
      <c r="AB20" s="677"/>
      <c r="AC20" s="722"/>
      <c r="AD20" s="722"/>
      <c r="AE20" s="722"/>
      <c r="AF20" s="722"/>
      <c r="AG20" s="723"/>
      <c r="AH20" s="724"/>
      <c r="AI20" s="724"/>
      <c r="AJ20" s="724"/>
      <c r="AK20" s="720"/>
    </row>
    <row r="21" customHeight="1" spans="1:37">
      <c r="A21" s="718"/>
      <c r="B21" s="718"/>
      <c r="C21" s="677"/>
      <c r="D21" s="719"/>
      <c r="E21" s="725"/>
      <c r="F21" s="721"/>
      <c r="G21" s="721"/>
      <c r="H21" s="677"/>
      <c r="I21" s="718"/>
      <c r="J21" s="677"/>
      <c r="K21" s="722"/>
      <c r="L21" s="723"/>
      <c r="M21" s="721"/>
      <c r="N21" s="723"/>
      <c r="O21" s="723"/>
      <c r="P21" s="677"/>
      <c r="Q21" s="722"/>
      <c r="R21" s="722"/>
      <c r="S21" s="723"/>
      <c r="T21" s="723"/>
      <c r="U21" s="677"/>
      <c r="V21" s="723"/>
      <c r="W21" s="721"/>
      <c r="X21" s="721"/>
      <c r="Y21" s="723"/>
      <c r="Z21" s="723"/>
      <c r="AA21" s="723"/>
      <c r="AB21" s="677"/>
      <c r="AC21" s="722"/>
      <c r="AD21" s="722"/>
      <c r="AE21" s="722"/>
      <c r="AF21" s="722"/>
      <c r="AG21" s="723"/>
      <c r="AH21" s="724"/>
      <c r="AI21" s="724"/>
      <c r="AJ21" s="724"/>
      <c r="AK21" s="720"/>
    </row>
    <row r="22" customHeight="1" spans="1:37">
      <c r="A22" s="718"/>
      <c r="B22" s="718"/>
      <c r="C22" s="677"/>
      <c r="D22" s="719"/>
      <c r="E22" s="725"/>
      <c r="F22" s="721"/>
      <c r="G22" s="721"/>
      <c r="H22" s="677"/>
      <c r="I22" s="718"/>
      <c r="J22" s="677"/>
      <c r="K22" s="722"/>
      <c r="L22" s="723"/>
      <c r="M22" s="721"/>
      <c r="N22" s="723"/>
      <c r="O22" s="723"/>
      <c r="P22" s="677"/>
      <c r="Q22" s="722"/>
      <c r="R22" s="722"/>
      <c r="S22" s="723"/>
      <c r="T22" s="723"/>
      <c r="U22" s="677"/>
      <c r="V22" s="723"/>
      <c r="W22" s="721"/>
      <c r="X22" s="721"/>
      <c r="Y22" s="723"/>
      <c r="Z22" s="723"/>
      <c r="AA22" s="723"/>
      <c r="AB22" s="677"/>
      <c r="AC22" s="722"/>
      <c r="AD22" s="722"/>
      <c r="AE22" s="722"/>
      <c r="AF22" s="722"/>
      <c r="AG22" s="723"/>
      <c r="AH22" s="724"/>
      <c r="AI22" s="724"/>
      <c r="AJ22" s="724"/>
      <c r="AK22" s="720"/>
    </row>
    <row r="23" customHeight="1" spans="1:37">
      <c r="A23" s="718"/>
      <c r="B23" s="718"/>
      <c r="C23" s="677"/>
      <c r="D23" s="719"/>
      <c r="E23" s="725"/>
      <c r="F23" s="721"/>
      <c r="G23" s="721"/>
      <c r="H23" s="677"/>
      <c r="I23" s="718"/>
      <c r="J23" s="677"/>
      <c r="K23" s="722"/>
      <c r="L23" s="723"/>
      <c r="M23" s="721"/>
      <c r="N23" s="723"/>
      <c r="O23" s="723"/>
      <c r="P23" s="677"/>
      <c r="Q23" s="722"/>
      <c r="R23" s="722"/>
      <c r="S23" s="723"/>
      <c r="T23" s="723"/>
      <c r="U23" s="677"/>
      <c r="V23" s="723"/>
      <c r="W23" s="721"/>
      <c r="X23" s="721"/>
      <c r="Y23" s="723"/>
      <c r="Z23" s="723"/>
      <c r="AA23" s="723"/>
      <c r="AB23" s="677"/>
      <c r="AC23" s="722"/>
      <c r="AD23" s="722"/>
      <c r="AE23" s="722"/>
      <c r="AF23" s="722"/>
      <c r="AG23" s="723"/>
      <c r="AH23" s="724"/>
      <c r="AI23" s="724"/>
      <c r="AJ23" s="724"/>
      <c r="AK23" s="720"/>
    </row>
    <row r="24" customHeight="1" spans="1:37">
      <c r="A24" s="718"/>
      <c r="B24" s="718"/>
      <c r="C24" s="677"/>
      <c r="D24" s="719"/>
      <c r="E24" s="725"/>
      <c r="F24" s="721"/>
      <c r="G24" s="721"/>
      <c r="H24" s="677"/>
      <c r="I24" s="718"/>
      <c r="J24" s="677"/>
      <c r="K24" s="722"/>
      <c r="L24" s="723"/>
      <c r="M24" s="721"/>
      <c r="N24" s="723"/>
      <c r="O24" s="723"/>
      <c r="P24" s="677"/>
      <c r="Q24" s="722"/>
      <c r="R24" s="722"/>
      <c r="S24" s="723"/>
      <c r="T24" s="723"/>
      <c r="U24" s="677"/>
      <c r="V24" s="723"/>
      <c r="W24" s="721"/>
      <c r="X24" s="721"/>
      <c r="Y24" s="723"/>
      <c r="Z24" s="723"/>
      <c r="AA24" s="723"/>
      <c r="AB24" s="677"/>
      <c r="AC24" s="722"/>
      <c r="AD24" s="722"/>
      <c r="AE24" s="722"/>
      <c r="AF24" s="722"/>
      <c r="AG24" s="723"/>
      <c r="AH24" s="724"/>
      <c r="AI24" s="724"/>
      <c r="AJ24" s="724"/>
      <c r="AK24" s="720"/>
    </row>
    <row r="25" customHeight="1" spans="1:37">
      <c r="A25" s="718"/>
      <c r="B25" s="718"/>
      <c r="C25" s="677"/>
      <c r="D25" s="719"/>
      <c r="E25" s="725"/>
      <c r="F25" s="721"/>
      <c r="G25" s="721"/>
      <c r="H25" s="677"/>
      <c r="I25" s="718"/>
      <c r="J25" s="677"/>
      <c r="K25" s="722"/>
      <c r="L25" s="723"/>
      <c r="M25" s="721"/>
      <c r="N25" s="723"/>
      <c r="O25" s="723"/>
      <c r="P25" s="677"/>
      <c r="Q25" s="722"/>
      <c r="R25" s="722"/>
      <c r="S25" s="723"/>
      <c r="T25" s="723"/>
      <c r="U25" s="677"/>
      <c r="V25" s="723"/>
      <c r="W25" s="721"/>
      <c r="X25" s="721"/>
      <c r="Y25" s="723"/>
      <c r="Z25" s="723"/>
      <c r="AA25" s="723"/>
      <c r="AB25" s="677"/>
      <c r="AC25" s="722"/>
      <c r="AD25" s="722"/>
      <c r="AE25" s="722"/>
      <c r="AF25" s="722"/>
      <c r="AG25" s="723"/>
      <c r="AH25" s="724"/>
      <c r="AI25" s="724"/>
      <c r="AJ25" s="724"/>
      <c r="AK25" s="720"/>
    </row>
    <row r="26" customHeight="1" spans="1:37">
      <c r="A26" s="718"/>
      <c r="B26" s="718"/>
      <c r="C26" s="677"/>
      <c r="D26" s="719"/>
      <c r="E26" s="725"/>
      <c r="F26" s="721"/>
      <c r="G26" s="721"/>
      <c r="H26" s="677"/>
      <c r="I26" s="718"/>
      <c r="J26" s="677"/>
      <c r="K26" s="722"/>
      <c r="L26" s="723"/>
      <c r="M26" s="721"/>
      <c r="N26" s="723"/>
      <c r="O26" s="723"/>
      <c r="P26" s="677"/>
      <c r="Q26" s="722"/>
      <c r="R26" s="722"/>
      <c r="S26" s="723"/>
      <c r="T26" s="723"/>
      <c r="U26" s="677"/>
      <c r="V26" s="723"/>
      <c r="W26" s="721"/>
      <c r="X26" s="721"/>
      <c r="Y26" s="723"/>
      <c r="Z26" s="723"/>
      <c r="AA26" s="723"/>
      <c r="AB26" s="677"/>
      <c r="AC26" s="722"/>
      <c r="AD26" s="722"/>
      <c r="AE26" s="722"/>
      <c r="AF26" s="722"/>
      <c r="AG26" s="723"/>
      <c r="AH26" s="724"/>
      <c r="AI26" s="724"/>
      <c r="AJ26" s="724"/>
      <c r="AK26" s="720"/>
    </row>
    <row r="27" customHeight="1" spans="1:37">
      <c r="A27" s="718"/>
      <c r="B27" s="718"/>
      <c r="C27" s="677"/>
      <c r="D27" s="719"/>
      <c r="E27" s="725"/>
      <c r="F27" s="721"/>
      <c r="G27" s="721"/>
      <c r="H27" s="677"/>
      <c r="I27" s="718"/>
      <c r="J27" s="677"/>
      <c r="K27" s="722"/>
      <c r="L27" s="723"/>
      <c r="M27" s="721"/>
      <c r="N27" s="723"/>
      <c r="O27" s="723"/>
      <c r="P27" s="677"/>
      <c r="Q27" s="722"/>
      <c r="R27" s="722"/>
      <c r="S27" s="723"/>
      <c r="T27" s="723"/>
      <c r="U27" s="677"/>
      <c r="V27" s="723"/>
      <c r="W27" s="721"/>
      <c r="X27" s="721"/>
      <c r="Y27" s="723"/>
      <c r="Z27" s="723"/>
      <c r="AA27" s="723"/>
      <c r="AB27" s="677"/>
      <c r="AC27" s="722"/>
      <c r="AD27" s="722"/>
      <c r="AE27" s="722"/>
      <c r="AF27" s="722"/>
      <c r="AG27" s="723"/>
      <c r="AH27" s="724"/>
      <c r="AI27" s="724"/>
      <c r="AJ27" s="724"/>
      <c r="AK27" s="720"/>
    </row>
    <row r="28" customHeight="1" spans="1:37">
      <c r="A28" s="718"/>
      <c r="B28" s="718"/>
      <c r="C28" s="677"/>
      <c r="D28" s="719"/>
      <c r="E28" s="725"/>
      <c r="F28" s="721"/>
      <c r="G28" s="721"/>
      <c r="H28" s="677"/>
      <c r="I28" s="718"/>
      <c r="J28" s="677"/>
      <c r="K28" s="722"/>
      <c r="L28" s="723"/>
      <c r="M28" s="721"/>
      <c r="N28" s="723"/>
      <c r="O28" s="723"/>
      <c r="P28" s="677"/>
      <c r="Q28" s="722"/>
      <c r="R28" s="722"/>
      <c r="S28" s="723"/>
      <c r="T28" s="723"/>
      <c r="U28" s="677"/>
      <c r="V28" s="723"/>
      <c r="W28" s="721"/>
      <c r="X28" s="721"/>
      <c r="Y28" s="723"/>
      <c r="Z28" s="723"/>
      <c r="AA28" s="723"/>
      <c r="AB28" s="677"/>
      <c r="AC28" s="722"/>
      <c r="AD28" s="722"/>
      <c r="AE28" s="722"/>
      <c r="AF28" s="722"/>
      <c r="AG28" s="723"/>
      <c r="AH28" s="724"/>
      <c r="AI28" s="724"/>
      <c r="AJ28" s="724"/>
      <c r="AK28" s="720"/>
    </row>
    <row r="29" customHeight="1" spans="1:37">
      <c r="A29" s="718"/>
      <c r="B29" s="718"/>
      <c r="C29" s="677"/>
      <c r="D29" s="719"/>
      <c r="E29" s="725"/>
      <c r="F29" s="721"/>
      <c r="G29" s="721"/>
      <c r="H29" s="677"/>
      <c r="I29" s="718"/>
      <c r="J29" s="677"/>
      <c r="K29" s="722"/>
      <c r="L29" s="723"/>
      <c r="M29" s="721"/>
      <c r="N29" s="723"/>
      <c r="O29" s="723"/>
      <c r="P29" s="677"/>
      <c r="Q29" s="722"/>
      <c r="R29" s="722"/>
      <c r="S29" s="723"/>
      <c r="T29" s="723"/>
      <c r="U29" s="677"/>
      <c r="V29" s="723"/>
      <c r="W29" s="721"/>
      <c r="X29" s="721"/>
      <c r="Y29" s="723"/>
      <c r="Z29" s="723"/>
      <c r="AA29" s="723"/>
      <c r="AB29" s="677"/>
      <c r="AC29" s="722"/>
      <c r="AD29" s="722"/>
      <c r="AE29" s="722"/>
      <c r="AF29" s="722"/>
      <c r="AG29" s="723"/>
      <c r="AH29" s="724"/>
      <c r="AI29" s="724"/>
      <c r="AJ29" s="724"/>
      <c r="AK29" s="720"/>
    </row>
    <row r="30" customHeight="1" spans="1:37">
      <c r="A30" s="718"/>
      <c r="B30" s="718"/>
      <c r="C30" s="677"/>
      <c r="D30" s="719"/>
      <c r="E30" s="725"/>
      <c r="F30" s="721"/>
      <c r="G30" s="721"/>
      <c r="H30" s="677"/>
      <c r="I30" s="718"/>
      <c r="J30" s="677"/>
      <c r="K30" s="722"/>
      <c r="L30" s="723"/>
      <c r="M30" s="721"/>
      <c r="N30" s="723"/>
      <c r="O30" s="723"/>
      <c r="P30" s="677"/>
      <c r="Q30" s="722"/>
      <c r="R30" s="722"/>
      <c r="S30" s="723"/>
      <c r="T30" s="723"/>
      <c r="U30" s="677"/>
      <c r="V30" s="723"/>
      <c r="W30" s="721"/>
      <c r="X30" s="721"/>
      <c r="Y30" s="723"/>
      <c r="Z30" s="723"/>
      <c r="AA30" s="723"/>
      <c r="AB30" s="677"/>
      <c r="AC30" s="722"/>
      <c r="AD30" s="722"/>
      <c r="AE30" s="722"/>
      <c r="AF30" s="722"/>
      <c r="AG30" s="723"/>
      <c r="AH30" s="724"/>
      <c r="AI30" s="724"/>
      <c r="AJ30" s="724"/>
      <c r="AK30" s="720"/>
    </row>
    <row r="31" customHeight="1" spans="1:37">
      <c r="A31" s="718"/>
      <c r="B31" s="718"/>
      <c r="C31" s="677"/>
      <c r="D31" s="719"/>
      <c r="E31" s="725"/>
      <c r="F31" s="721"/>
      <c r="G31" s="721"/>
      <c r="H31" s="677"/>
      <c r="I31" s="718"/>
      <c r="J31" s="677"/>
      <c r="K31" s="722"/>
      <c r="L31" s="723"/>
      <c r="M31" s="721"/>
      <c r="N31" s="723"/>
      <c r="O31" s="723"/>
      <c r="P31" s="677"/>
      <c r="Q31" s="722"/>
      <c r="R31" s="722"/>
      <c r="S31" s="723"/>
      <c r="T31" s="723"/>
      <c r="U31" s="677"/>
      <c r="V31" s="723"/>
      <c r="W31" s="721"/>
      <c r="X31" s="721"/>
      <c r="Y31" s="723"/>
      <c r="Z31" s="723"/>
      <c r="AA31" s="723"/>
      <c r="AB31" s="677"/>
      <c r="AC31" s="722"/>
      <c r="AD31" s="722"/>
      <c r="AE31" s="722"/>
      <c r="AF31" s="722"/>
      <c r="AG31" s="723"/>
      <c r="AH31" s="724"/>
      <c r="AI31" s="724"/>
      <c r="AJ31" s="724"/>
      <c r="AK31" s="720"/>
    </row>
    <row r="32" customHeight="1" spans="1:37">
      <c r="A32" s="718"/>
      <c r="B32" s="718"/>
      <c r="C32" s="677"/>
      <c r="D32" s="719"/>
      <c r="E32" s="725"/>
      <c r="F32" s="721"/>
      <c r="G32" s="721"/>
      <c r="H32" s="677"/>
      <c r="I32" s="718"/>
      <c r="J32" s="677"/>
      <c r="K32" s="722"/>
      <c r="L32" s="723"/>
      <c r="M32" s="721"/>
      <c r="N32" s="723"/>
      <c r="O32" s="723"/>
      <c r="P32" s="677"/>
      <c r="Q32" s="722"/>
      <c r="R32" s="722"/>
      <c r="S32" s="723"/>
      <c r="T32" s="723"/>
      <c r="U32" s="677"/>
      <c r="V32" s="723"/>
      <c r="W32" s="721"/>
      <c r="X32" s="721"/>
      <c r="Y32" s="723"/>
      <c r="Z32" s="723"/>
      <c r="AA32" s="723"/>
      <c r="AB32" s="677"/>
      <c r="AC32" s="722"/>
      <c r="AD32" s="722"/>
      <c r="AE32" s="722"/>
      <c r="AF32" s="722"/>
      <c r="AG32" s="723"/>
      <c r="AH32" s="724"/>
      <c r="AI32" s="724"/>
      <c r="AJ32" s="724"/>
      <c r="AK32" s="720"/>
    </row>
    <row r="33" customHeight="1" spans="1:37">
      <c r="A33" s="718"/>
      <c r="B33" s="718"/>
      <c r="C33" s="677"/>
      <c r="D33" s="719"/>
      <c r="E33" s="725"/>
      <c r="F33" s="721"/>
      <c r="G33" s="721"/>
      <c r="H33" s="677"/>
      <c r="I33" s="718"/>
      <c r="J33" s="677"/>
      <c r="K33" s="722"/>
      <c r="L33" s="723"/>
      <c r="M33" s="721"/>
      <c r="N33" s="723"/>
      <c r="O33" s="723"/>
      <c r="P33" s="677"/>
      <c r="Q33" s="722"/>
      <c r="R33" s="722"/>
      <c r="S33" s="723"/>
      <c r="T33" s="723"/>
      <c r="U33" s="677"/>
      <c r="V33" s="723"/>
      <c r="W33" s="721"/>
      <c r="X33" s="721"/>
      <c r="Y33" s="723"/>
      <c r="Z33" s="723"/>
      <c r="AA33" s="723"/>
      <c r="AB33" s="677"/>
      <c r="AC33" s="722"/>
      <c r="AD33" s="722"/>
      <c r="AE33" s="722"/>
      <c r="AF33" s="722"/>
      <c r="AG33" s="723"/>
      <c r="AH33" s="724"/>
      <c r="AI33" s="724"/>
      <c r="AJ33" s="724"/>
      <c r="AK33" s="720"/>
    </row>
    <row r="34" customHeight="1" spans="1:37">
      <c r="A34" s="718"/>
      <c r="B34" s="718"/>
      <c r="C34" s="677"/>
      <c r="D34" s="719"/>
      <c r="E34" s="725"/>
      <c r="F34" s="721"/>
      <c r="G34" s="721"/>
      <c r="H34" s="677"/>
      <c r="I34" s="718"/>
      <c r="J34" s="677"/>
      <c r="K34" s="722"/>
      <c r="L34" s="723"/>
      <c r="M34" s="721"/>
      <c r="N34" s="723"/>
      <c r="O34" s="723"/>
      <c r="P34" s="677"/>
      <c r="Q34" s="722"/>
      <c r="R34" s="722"/>
      <c r="S34" s="723"/>
      <c r="T34" s="723"/>
      <c r="U34" s="677"/>
      <c r="V34" s="723"/>
      <c r="W34" s="721"/>
      <c r="X34" s="721"/>
      <c r="Y34" s="723"/>
      <c r="Z34" s="723"/>
      <c r="AA34" s="723"/>
      <c r="AB34" s="677"/>
      <c r="AC34" s="722"/>
      <c r="AD34" s="722"/>
      <c r="AE34" s="722"/>
      <c r="AF34" s="722"/>
      <c r="AG34" s="723"/>
      <c r="AH34" s="724"/>
      <c r="AI34" s="724"/>
      <c r="AJ34" s="724"/>
      <c r="AK34" s="720"/>
    </row>
    <row r="35" customHeight="1" spans="1:37">
      <c r="A35" s="718"/>
      <c r="B35" s="718"/>
      <c r="C35" s="677"/>
      <c r="D35" s="719"/>
      <c r="E35" s="725"/>
      <c r="F35" s="721"/>
      <c r="G35" s="721"/>
      <c r="H35" s="677"/>
      <c r="I35" s="718"/>
      <c r="J35" s="677"/>
      <c r="K35" s="722"/>
      <c r="L35" s="723"/>
      <c r="M35" s="721"/>
      <c r="N35" s="723"/>
      <c r="O35" s="723"/>
      <c r="P35" s="677"/>
      <c r="Q35" s="722"/>
      <c r="R35" s="722"/>
      <c r="S35" s="723"/>
      <c r="T35" s="723"/>
      <c r="U35" s="677"/>
      <c r="V35" s="723"/>
      <c r="W35" s="721"/>
      <c r="X35" s="721"/>
      <c r="Y35" s="723"/>
      <c r="Z35" s="723"/>
      <c r="AA35" s="723"/>
      <c r="AB35" s="677"/>
      <c r="AC35" s="722"/>
      <c r="AD35" s="722"/>
      <c r="AE35" s="722"/>
      <c r="AF35" s="722"/>
      <c r="AG35" s="723"/>
      <c r="AH35" s="724"/>
      <c r="AI35" s="724"/>
      <c r="AJ35" s="724"/>
      <c r="AK35" s="720"/>
    </row>
    <row r="36" customHeight="1" spans="1:37">
      <c r="A36" s="718"/>
      <c r="B36" s="718"/>
      <c r="C36" s="677"/>
      <c r="D36" s="719"/>
      <c r="E36" s="725"/>
      <c r="F36" s="721"/>
      <c r="G36" s="721"/>
      <c r="H36" s="677"/>
      <c r="I36" s="718"/>
      <c r="J36" s="677"/>
      <c r="K36" s="722"/>
      <c r="L36" s="723"/>
      <c r="M36" s="721"/>
      <c r="N36" s="723"/>
      <c r="O36" s="723"/>
      <c r="P36" s="677"/>
      <c r="Q36" s="722"/>
      <c r="R36" s="722"/>
      <c r="S36" s="723"/>
      <c r="T36" s="723"/>
      <c r="U36" s="677"/>
      <c r="V36" s="723"/>
      <c r="W36" s="721"/>
      <c r="X36" s="721"/>
      <c r="Y36" s="723"/>
      <c r="Z36" s="723"/>
      <c r="AA36" s="723"/>
      <c r="AB36" s="677"/>
      <c r="AC36" s="722"/>
      <c r="AD36" s="722"/>
      <c r="AE36" s="722"/>
      <c r="AF36" s="722"/>
      <c r="AG36" s="723"/>
      <c r="AH36" s="724"/>
      <c r="AI36" s="724"/>
      <c r="AJ36" s="724"/>
      <c r="AK36" s="720"/>
    </row>
    <row r="37" s="698" customFormat="1" customHeight="1" spans="1:37">
      <c r="A37" s="93" t="s">
        <v>140</v>
      </c>
      <c r="B37" s="93"/>
      <c r="C37" s="93"/>
      <c r="D37" s="93"/>
      <c r="E37" s="726"/>
      <c r="F37" s="727"/>
      <c r="G37" s="728">
        <f>SUM(G15:G36)</f>
        <v>0</v>
      </c>
      <c r="H37" s="729"/>
      <c r="I37" s="730"/>
      <c r="J37" s="729"/>
      <c r="K37" s="731"/>
      <c r="L37" s="732"/>
      <c r="M37" s="727"/>
      <c r="N37" s="732"/>
      <c r="O37" s="732"/>
      <c r="P37" s="729"/>
      <c r="Q37" s="731"/>
      <c r="R37" s="731"/>
      <c r="S37" s="732"/>
      <c r="T37" s="732"/>
      <c r="U37" s="729"/>
      <c r="V37" s="732"/>
      <c r="W37" s="727"/>
      <c r="X37" s="728">
        <f>SUM(X15:X36)</f>
        <v>0</v>
      </c>
      <c r="Y37" s="732"/>
      <c r="Z37" s="732"/>
      <c r="AA37" s="732"/>
      <c r="AB37" s="729"/>
      <c r="AC37" s="731"/>
      <c r="AD37" s="731"/>
      <c r="AE37" s="731"/>
      <c r="AF37" s="728">
        <f>SUM(AF15:AF36)</f>
        <v>0</v>
      </c>
      <c r="AG37" s="732"/>
      <c r="AH37" s="733"/>
      <c r="AI37" s="733"/>
      <c r="AJ37" s="733"/>
      <c r="AK37" s="734"/>
    </row>
    <row r="38" s="698" customFormat="1" customHeight="1" spans="1:37">
      <c r="A38" s="93" t="s">
        <v>171</v>
      </c>
      <c r="B38" s="93"/>
      <c r="C38" s="93"/>
      <c r="D38" s="93"/>
      <c r="E38" s="735"/>
      <c r="F38" s="736"/>
      <c r="G38" s="736"/>
      <c r="H38" s="737"/>
      <c r="I38" s="738"/>
      <c r="J38" s="729"/>
      <c r="K38" s="738"/>
      <c r="L38" s="735"/>
      <c r="M38" s="736"/>
      <c r="N38" s="735"/>
      <c r="O38" s="735"/>
      <c r="P38" s="729"/>
      <c r="Q38" s="738"/>
      <c r="R38" s="738"/>
      <c r="S38" s="735"/>
      <c r="T38" s="735"/>
      <c r="U38" s="729"/>
      <c r="V38" s="735"/>
      <c r="W38" s="736"/>
      <c r="X38" s="736"/>
      <c r="Y38" s="735"/>
      <c r="Z38" s="735"/>
      <c r="AA38" s="735"/>
      <c r="AB38" s="729"/>
      <c r="AC38" s="738"/>
      <c r="AD38" s="738"/>
      <c r="AE38" s="738"/>
      <c r="AF38" s="738"/>
      <c r="AG38" s="735"/>
      <c r="AH38" s="733"/>
      <c r="AI38" s="733"/>
      <c r="AJ38" s="733"/>
      <c r="AK38" s="734"/>
    </row>
    <row r="39" s="698" customFormat="1" customHeight="1" spans="1:37">
      <c r="A39" s="93" t="s">
        <v>586</v>
      </c>
      <c r="B39" s="93"/>
      <c r="C39" s="93"/>
      <c r="D39" s="93"/>
      <c r="E39" s="735"/>
      <c r="F39" s="736"/>
      <c r="G39" s="739" t="e">
        <f>G37/G38</f>
        <v>#DIV/0!</v>
      </c>
      <c r="H39" s="737"/>
      <c r="I39" s="738"/>
      <c r="J39" s="729"/>
      <c r="K39" s="738"/>
      <c r="L39" s="735"/>
      <c r="M39" s="736"/>
      <c r="N39" s="735"/>
      <c r="O39" s="735"/>
      <c r="P39" s="729"/>
      <c r="Q39" s="738"/>
      <c r="R39" s="738"/>
      <c r="S39" s="735"/>
      <c r="T39" s="735"/>
      <c r="U39" s="729"/>
      <c r="V39" s="735"/>
      <c r="W39" s="736"/>
      <c r="X39" s="736"/>
      <c r="Y39" s="735"/>
      <c r="Z39" s="735"/>
      <c r="AA39" s="735"/>
      <c r="AB39" s="729"/>
      <c r="AC39" s="738"/>
      <c r="AD39" s="738"/>
      <c r="AE39" s="738"/>
      <c r="AF39" s="738"/>
      <c r="AG39" s="735"/>
      <c r="AH39" s="733"/>
      <c r="AI39" s="733"/>
      <c r="AJ39" s="733"/>
      <c r="AK39" s="734"/>
    </row>
    <row r="40" s="168" customFormat="1" customHeight="1" spans="1:37">
      <c r="A40" s="740" t="s">
        <v>587</v>
      </c>
      <c r="B40" s="741"/>
      <c r="C40" s="691"/>
      <c r="D40" s="691"/>
      <c r="E40" s="691"/>
      <c r="F40" s="691"/>
      <c r="G40" s="691"/>
      <c r="H40" s="691"/>
      <c r="I40" s="691"/>
      <c r="J40" s="742"/>
      <c r="K40" s="14"/>
      <c r="L40" s="14"/>
      <c r="M40" s="14"/>
      <c r="N40" s="14"/>
      <c r="O40" s="14"/>
      <c r="P40" s="14"/>
      <c r="Q40" s="14"/>
      <c r="R40" s="14"/>
      <c r="S40" s="14"/>
      <c r="T40" s="14"/>
      <c r="U40" s="14"/>
      <c r="V40" s="14"/>
      <c r="W40" s="14"/>
      <c r="X40" s="14"/>
      <c r="Y40" s="14"/>
      <c r="Z40" s="14"/>
      <c r="AA40" s="14"/>
      <c r="AB40" s="14"/>
      <c r="AC40" s="14"/>
      <c r="AD40" s="14"/>
      <c r="AE40" s="14"/>
      <c r="AF40" s="14"/>
      <c r="AG40" s="741"/>
      <c r="AH40" s="741"/>
      <c r="AI40" s="741"/>
      <c r="AJ40" s="741"/>
      <c r="AK40" s="741"/>
    </row>
    <row r="41" s="168" customFormat="1" customHeight="1" spans="1:37">
      <c r="A41" s="743" t="s">
        <v>588</v>
      </c>
      <c r="B41" s="741"/>
      <c r="C41" s="691"/>
      <c r="D41" s="691"/>
      <c r="E41" s="691"/>
      <c r="F41" s="691"/>
      <c r="G41" s="691"/>
      <c r="H41" s="691"/>
      <c r="I41" s="691"/>
      <c r="J41" s="742"/>
      <c r="K41" s="14"/>
      <c r="L41" s="14"/>
      <c r="M41" s="14"/>
      <c r="N41" s="14"/>
      <c r="O41" s="14"/>
      <c r="P41" s="14"/>
      <c r="Q41" s="14"/>
      <c r="R41" s="14"/>
      <c r="S41" s="14"/>
      <c r="T41" s="14"/>
      <c r="U41" s="14"/>
      <c r="V41" s="14"/>
      <c r="W41" s="14"/>
      <c r="X41" s="14"/>
      <c r="Y41" s="14"/>
      <c r="Z41" s="14"/>
      <c r="AA41" s="14"/>
      <c r="AB41" s="14"/>
      <c r="AC41" s="14"/>
      <c r="AD41" s="14"/>
      <c r="AE41" s="14"/>
      <c r="AF41" s="14"/>
      <c r="AG41" s="741"/>
      <c r="AH41" s="741"/>
      <c r="AI41" s="741"/>
      <c r="AJ41" s="741"/>
      <c r="AK41" s="741"/>
    </row>
    <row r="42" s="168" customFormat="1" customHeight="1" spans="1:37">
      <c r="A42" s="741"/>
      <c r="B42" s="741"/>
      <c r="C42" s="691"/>
      <c r="D42" s="691"/>
      <c r="E42" s="691"/>
      <c r="F42" s="691"/>
      <c r="G42" s="691"/>
      <c r="H42" s="691"/>
      <c r="I42" s="691"/>
      <c r="J42" s="742"/>
      <c r="K42" s="14"/>
      <c r="L42" s="14"/>
      <c r="M42" s="14"/>
      <c r="N42" s="14"/>
      <c r="O42" s="14"/>
      <c r="P42" s="14"/>
      <c r="Q42" s="14"/>
      <c r="R42" s="14"/>
      <c r="S42" s="14"/>
      <c r="T42" s="14"/>
      <c r="U42" s="14"/>
      <c r="V42" s="14"/>
      <c r="W42" s="14"/>
      <c r="X42" s="14"/>
      <c r="Y42" s="14"/>
      <c r="Z42" s="14"/>
      <c r="AA42" s="14"/>
      <c r="AB42" s="14"/>
      <c r="AC42" s="14"/>
      <c r="AD42" s="14"/>
      <c r="AE42" s="14"/>
      <c r="AF42" s="14"/>
      <c r="AG42" s="741"/>
      <c r="AH42" s="741"/>
      <c r="AI42" s="741"/>
      <c r="AJ42" s="741"/>
      <c r="AK42" s="741"/>
    </row>
    <row r="43" s="168" customFormat="1" customHeight="1" spans="1:37">
      <c r="A43" s="691"/>
      <c r="B43" s="691"/>
      <c r="C43" s="691"/>
      <c r="D43" s="691"/>
      <c r="E43" s="691"/>
      <c r="F43" s="691"/>
      <c r="G43" s="691"/>
      <c r="H43" s="691"/>
      <c r="I43" s="691"/>
      <c r="J43" s="742"/>
      <c r="K43" s="14"/>
      <c r="L43" s="14"/>
      <c r="M43" s="14"/>
      <c r="N43" s="14"/>
      <c r="O43" s="14"/>
      <c r="P43" s="14"/>
      <c r="Q43" s="14"/>
      <c r="R43" s="14"/>
      <c r="S43" s="14"/>
      <c r="T43" s="14"/>
      <c r="U43" s="14"/>
      <c r="V43" s="14"/>
      <c r="W43" s="14"/>
      <c r="X43" s="14"/>
      <c r="Y43" s="14"/>
      <c r="Z43" s="14"/>
      <c r="AA43" s="14"/>
      <c r="AB43" s="14"/>
      <c r="AC43" s="14"/>
      <c r="AD43" s="14"/>
      <c r="AE43" s="14"/>
      <c r="AF43" s="14"/>
      <c r="AG43" s="741"/>
      <c r="AH43" s="741"/>
      <c r="AI43" s="741"/>
      <c r="AJ43" s="741"/>
      <c r="AK43" s="741"/>
    </row>
    <row r="44" s="168" customFormat="1" customHeight="1" spans="1:37">
      <c r="A44" s="285" t="s">
        <v>589</v>
      </c>
      <c r="B44" s="177"/>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row>
    <row r="45" s="168" customFormat="1" customHeight="1" spans="1:37">
      <c r="A45" s="177"/>
      <c r="B45" s="177"/>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row>
    <row r="46" s="168" customFormat="1" customHeight="1" spans="1:37">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row>
    <row r="47" s="168" customFormat="1" customHeight="1" spans="1:37">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row>
    <row r="48" customHeight="1" spans="1:37">
      <c r="A48" s="287" t="s">
        <v>590</v>
      </c>
      <c r="B48" s="287"/>
    </row>
    <row r="49" customHeight="1" spans="1:1">
      <c r="A49" s="287" t="s">
        <v>591</v>
      </c>
    </row>
    <row r="50" customHeight="1" spans="1:1">
      <c r="A50" s="287" t="s">
        <v>592</v>
      </c>
    </row>
    <row r="51" customHeight="1" spans="1:1">
      <c r="A51" s="287" t="s">
        <v>593</v>
      </c>
    </row>
    <row r="52" customHeight="1" spans="1:1">
      <c r="A52" s="287" t="s">
        <v>594</v>
      </c>
    </row>
  </sheetData>
  <mergeCells count="20">
    <mergeCell ref="A1:T1"/>
    <mergeCell ref="U1:AK1"/>
    <mergeCell ref="A2:T2"/>
    <mergeCell ref="U2:AK2"/>
    <mergeCell ref="B13:G13"/>
    <mergeCell ref="H13:I13"/>
    <mergeCell ref="J13:M13"/>
    <mergeCell ref="P13:T13"/>
    <mergeCell ref="U13:AA13"/>
    <mergeCell ref="AB13:AF13"/>
    <mergeCell ref="AG13:AH13"/>
    <mergeCell ref="A37:D37"/>
    <mergeCell ref="A38:D38"/>
    <mergeCell ref="A39:D39"/>
    <mergeCell ref="A13:A14"/>
    <mergeCell ref="N13:N14"/>
    <mergeCell ref="O13:O14"/>
    <mergeCell ref="AI13:AI14"/>
    <mergeCell ref="AJ13:AJ14"/>
    <mergeCell ref="AK13:AK14"/>
  </mergeCells>
  <hyperlinks>
    <hyperlink ref="T3" location="底稿目录!A1" display="='D:\GT_plan\backend\wp_templates\D\[D4-13至D4-20主营业务收入-检查（Leap应对措施-检查）.xlsx]底稿目录'!F4"/>
    <hyperlink ref="AK3" location="底稿目录!A1" display="='D:\GT_plan\backend\wp_templates\D\[D4-13至D4-20主营业务收入-检查（Leap应对措施-检查）.xlsx]底稿目录'!F4"/>
  </hyperlinks>
  <pageMargins left="0.708333333333333" right="0.708333333333333" top="0.747916666666667" bottom="0.747916666666667" header="0.314583333333333" footer="0.314583333333333"/>
  <pageSetup paperSize="9" scale="67" orientation="landscape" blackAndWhite="1"/>
  <headerFooter>
    <oddFooter>&amp;C&amp;P/&amp;N</oddFooter>
  </headerFooter>
  <colBreaks count="1" manualBreakCount="1">
    <brk id="20" max="44" man="1"/>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
  <sheetViews>
    <sheetView view="pageBreakPreview" zoomScaleNormal="100" workbookViewId="0">
      <selection activeCell="A1" sqref="A1:Q1"/>
    </sheetView>
  </sheetViews>
  <sheetFormatPr defaultColWidth="9.81818181818182" defaultRowHeight="20.1" customHeight="1"/>
  <cols>
    <col min="1" max="1" width="6.3" style="260" customWidth="1"/>
    <col min="2" max="2" width="9.81818181818182" style="260"/>
    <col min="3" max="3" width="9.09090909090909" style="260" customWidth="1"/>
    <col min="4" max="4" width="14.5454545454545" style="260" customWidth="1"/>
    <col min="5" max="6" width="8" style="260" customWidth="1"/>
    <col min="7" max="8" width="9.81818181818182" style="260" customWidth="1"/>
    <col min="9" max="9" width="12.4818181818182" style="260" customWidth="1"/>
    <col min="10" max="10" width="8.96363636363636" style="260" customWidth="1"/>
    <col min="11" max="11" width="8.84545454545455" style="260" customWidth="1"/>
    <col min="12" max="13" width="9.09090909090909" style="260" customWidth="1"/>
    <col min="14" max="14" width="12.9636363636364" style="260" customWidth="1"/>
    <col min="15" max="16" width="9.09090909090909" style="260" customWidth="1"/>
    <col min="17" max="17" width="10.7818181818182" style="260" customWidth="1"/>
    <col min="18" max="16384" width="9.81818181818182" style="260"/>
  </cols>
  <sheetData>
    <row r="1" s="256" customFormat="1" customHeight="1" spans="1:17">
      <c r="A1" s="261" t="s">
        <v>27</v>
      </c>
      <c r="B1" s="261"/>
      <c r="C1" s="261"/>
      <c r="D1" s="261"/>
      <c r="E1" s="261"/>
      <c r="F1" s="261"/>
      <c r="G1" s="261"/>
      <c r="H1" s="261"/>
      <c r="I1" s="261"/>
      <c r="J1" s="261"/>
      <c r="K1" s="261"/>
      <c r="L1" s="261"/>
      <c r="M1" s="261"/>
      <c r="N1" s="261"/>
      <c r="O1" s="261"/>
      <c r="P1" s="261"/>
      <c r="Q1" s="261"/>
    </row>
    <row r="2" s="256" customFormat="1" customHeight="1" spans="1:17">
      <c r="A2" s="262" t="s">
        <v>535</v>
      </c>
      <c r="B2" s="262"/>
      <c r="C2" s="262"/>
      <c r="D2" s="262"/>
      <c r="E2" s="262"/>
      <c r="F2" s="262"/>
      <c r="G2" s="262"/>
      <c r="H2" s="262"/>
      <c r="I2" s="262"/>
      <c r="J2" s="262"/>
      <c r="K2" s="262"/>
      <c r="L2" s="262"/>
      <c r="M2" s="262"/>
      <c r="N2" s="262"/>
      <c r="O2" s="262"/>
      <c r="P2" s="262"/>
      <c r="Q2" s="262"/>
    </row>
    <row r="3" customHeight="1" spans="1:17">
      <c r="A3" s="583" t="str">
        <f>[13]底稿目录!A2</f>
        <v>被审计单位：</v>
      </c>
      <c r="B3" s="583"/>
      <c r="G3" s="584" t="str">
        <f>[13]底稿目录!A4</f>
        <v>编制人：</v>
      </c>
      <c r="H3" s="584"/>
      <c r="L3" s="583" t="str">
        <f>[13]底稿目录!A5</f>
        <v>编制日期：</v>
      </c>
      <c r="P3" s="265" t="s">
        <v>29</v>
      </c>
      <c r="Q3" s="528" t="str">
        <f>[13]底稿目录!F5</f>
        <v>D4-15</v>
      </c>
    </row>
    <row r="4" customHeight="1" spans="1:17">
      <c r="A4" s="583" t="str">
        <f>[13]底稿目录!A3</f>
        <v>会计期间：202X年度</v>
      </c>
      <c r="B4" s="583"/>
      <c r="G4" s="584" t="str">
        <f>[13]底稿目录!A6</f>
        <v>复核人：</v>
      </c>
      <c r="H4" s="584"/>
      <c r="L4" s="583" t="str">
        <f>[13]底稿目录!A7</f>
        <v>复核日期：</v>
      </c>
      <c r="P4" s="265" t="s">
        <v>129</v>
      </c>
    </row>
    <row r="5" s="670" customFormat="1" customHeight="1" spans="1:17">
      <c r="A5" s="671" t="s">
        <v>282</v>
      </c>
      <c r="B5" s="671"/>
      <c r="C5" s="671"/>
      <c r="D5" s="671"/>
      <c r="E5" s="671"/>
      <c r="F5" s="671"/>
      <c r="G5" s="671"/>
      <c r="H5" s="671"/>
      <c r="I5" s="671"/>
      <c r="J5" s="671"/>
      <c r="K5" s="671"/>
    </row>
    <row r="6" s="670" customFormat="1" customHeight="1" spans="1:17">
      <c r="A6" s="672" t="s">
        <v>595</v>
      </c>
      <c r="C6" s="672"/>
      <c r="D6" s="672"/>
      <c r="E6" s="672"/>
      <c r="F6" s="672"/>
      <c r="G6" s="672"/>
      <c r="H6" s="672"/>
      <c r="I6" s="672"/>
      <c r="J6" s="672"/>
      <c r="K6" s="672"/>
    </row>
    <row r="7" s="670" customFormat="1" customHeight="1" spans="1:17">
      <c r="A7" s="671" t="s">
        <v>254</v>
      </c>
      <c r="B7" s="672"/>
      <c r="C7" s="672"/>
      <c r="D7" s="672"/>
      <c r="E7" s="672"/>
      <c r="F7" s="672"/>
      <c r="G7" s="672"/>
      <c r="H7" s="672"/>
      <c r="I7" s="672"/>
      <c r="J7" s="672"/>
      <c r="K7" s="672"/>
    </row>
    <row r="8" s="670" customFormat="1" customHeight="1" spans="1:17">
      <c r="A8" s="673" t="s">
        <v>596</v>
      </c>
      <c r="C8" s="672"/>
      <c r="D8" s="672"/>
      <c r="E8" s="672"/>
      <c r="F8" s="672"/>
      <c r="G8" s="672"/>
      <c r="H8" s="672"/>
      <c r="I8" s="672"/>
      <c r="J8" s="672"/>
      <c r="K8" s="672"/>
    </row>
    <row r="9" s="670" customFormat="1" customHeight="1" spans="1:17">
      <c r="A9" s="673" t="s">
        <v>597</v>
      </c>
      <c r="C9" s="672"/>
      <c r="D9" s="672"/>
      <c r="E9" s="672"/>
      <c r="F9" s="672"/>
      <c r="G9" s="672"/>
      <c r="H9" s="672"/>
      <c r="I9" s="672"/>
      <c r="J9" s="672"/>
      <c r="K9" s="672"/>
    </row>
    <row r="10" s="670" customFormat="1" customHeight="1" spans="1:17">
      <c r="A10" s="673" t="s">
        <v>598</v>
      </c>
      <c r="C10" s="672"/>
      <c r="D10" s="672"/>
      <c r="E10" s="672"/>
      <c r="F10" s="672"/>
      <c r="G10" s="672"/>
      <c r="H10" s="672"/>
      <c r="I10" s="672"/>
      <c r="J10" s="672"/>
      <c r="K10" s="674"/>
    </row>
    <row r="11" customHeight="1" spans="1:17">
      <c r="A11" s="362" t="s">
        <v>2</v>
      </c>
      <c r="B11" s="675" t="s">
        <v>599</v>
      </c>
      <c r="C11" s="675"/>
      <c r="D11" s="675"/>
      <c r="E11" s="675"/>
      <c r="F11" s="675"/>
      <c r="G11" s="362" t="s">
        <v>573</v>
      </c>
      <c r="H11" s="362"/>
      <c r="I11" s="362"/>
      <c r="J11" s="362"/>
      <c r="K11" s="362"/>
      <c r="L11" s="362" t="s">
        <v>566</v>
      </c>
      <c r="M11" s="362"/>
      <c r="N11" s="362"/>
      <c r="O11" s="362"/>
      <c r="P11" s="362"/>
      <c r="Q11" s="362" t="s">
        <v>600</v>
      </c>
    </row>
    <row r="12" customHeight="1" spans="1:17">
      <c r="A12" s="362"/>
      <c r="B12" s="362" t="s">
        <v>576</v>
      </c>
      <c r="C12" s="362" t="s">
        <v>577</v>
      </c>
      <c r="D12" s="362" t="s">
        <v>578</v>
      </c>
      <c r="E12" s="362" t="s">
        <v>405</v>
      </c>
      <c r="F12" s="362" t="s">
        <v>417</v>
      </c>
      <c r="G12" s="362" t="s">
        <v>576</v>
      </c>
      <c r="H12" s="362" t="s">
        <v>577</v>
      </c>
      <c r="I12" s="362" t="s">
        <v>578</v>
      </c>
      <c r="J12" s="362" t="s">
        <v>405</v>
      </c>
      <c r="K12" s="362" t="s">
        <v>417</v>
      </c>
      <c r="L12" s="362" t="s">
        <v>576</v>
      </c>
      <c r="M12" s="362" t="s">
        <v>577</v>
      </c>
      <c r="N12" s="362" t="s">
        <v>578</v>
      </c>
      <c r="O12" s="362" t="s">
        <v>405</v>
      </c>
      <c r="P12" s="362" t="s">
        <v>417</v>
      </c>
      <c r="Q12" s="362"/>
    </row>
    <row r="13" customHeight="1" spans="1:17">
      <c r="A13" s="676"/>
      <c r="B13" s="677"/>
      <c r="C13" s="678"/>
      <c r="D13" s="679"/>
      <c r="E13" s="676"/>
      <c r="F13" s="676"/>
      <c r="G13" s="677"/>
      <c r="H13" s="680"/>
      <c r="I13" s="679"/>
      <c r="J13" s="681"/>
      <c r="K13" s="682"/>
      <c r="L13" s="677"/>
      <c r="M13" s="683"/>
      <c r="N13" s="679"/>
      <c r="O13" s="681"/>
      <c r="P13" s="682"/>
      <c r="Q13" s="684"/>
    </row>
    <row r="14" customHeight="1" spans="1:17">
      <c r="A14" s="676"/>
      <c r="B14" s="677"/>
      <c r="C14" s="678"/>
      <c r="D14" s="679"/>
      <c r="E14" s="676"/>
      <c r="F14" s="676"/>
      <c r="G14" s="677"/>
      <c r="H14" s="680"/>
      <c r="I14" s="679"/>
      <c r="J14" s="681"/>
      <c r="K14" s="682"/>
      <c r="L14" s="677"/>
      <c r="M14" s="683"/>
      <c r="N14" s="679"/>
      <c r="O14" s="681"/>
      <c r="P14" s="682"/>
      <c r="Q14" s="684"/>
    </row>
    <row r="15" customHeight="1" spans="1:17">
      <c r="A15" s="676"/>
      <c r="B15" s="677"/>
      <c r="C15" s="678"/>
      <c r="D15" s="679"/>
      <c r="E15" s="676"/>
      <c r="F15" s="676"/>
      <c r="G15" s="677"/>
      <c r="H15" s="680"/>
      <c r="I15" s="679"/>
      <c r="J15" s="681"/>
      <c r="K15" s="682"/>
      <c r="L15" s="677"/>
      <c r="M15" s="683"/>
      <c r="N15" s="679"/>
      <c r="O15" s="681"/>
      <c r="P15" s="682"/>
      <c r="Q15" s="684"/>
    </row>
    <row r="16" customHeight="1" spans="1:17">
      <c r="A16" s="676"/>
      <c r="B16" s="677"/>
      <c r="C16" s="678"/>
      <c r="D16" s="679"/>
      <c r="E16" s="676"/>
      <c r="F16" s="676"/>
      <c r="G16" s="677"/>
      <c r="H16" s="680"/>
      <c r="I16" s="679"/>
      <c r="J16" s="681"/>
      <c r="K16" s="682"/>
      <c r="L16" s="677"/>
      <c r="M16" s="683"/>
      <c r="N16" s="679"/>
      <c r="O16" s="681"/>
      <c r="P16" s="682"/>
      <c r="Q16" s="684"/>
    </row>
    <row r="17" customHeight="1" spans="1:17">
      <c r="A17" s="676"/>
      <c r="B17" s="677"/>
      <c r="C17" s="678"/>
      <c r="D17" s="679"/>
      <c r="E17" s="676"/>
      <c r="F17" s="676"/>
      <c r="G17" s="677"/>
      <c r="H17" s="680"/>
      <c r="I17" s="679"/>
      <c r="J17" s="681"/>
      <c r="K17" s="682"/>
      <c r="L17" s="677"/>
      <c r="M17" s="683"/>
      <c r="N17" s="679"/>
      <c r="O17" s="681"/>
      <c r="P17" s="682"/>
      <c r="Q17" s="684"/>
    </row>
    <row r="18" customHeight="1" spans="1:17">
      <c r="A18" s="676"/>
      <c r="B18" s="677"/>
      <c r="C18" s="678"/>
      <c r="D18" s="679"/>
      <c r="E18" s="676"/>
      <c r="F18" s="676"/>
      <c r="G18" s="677"/>
      <c r="H18" s="680"/>
      <c r="I18" s="679"/>
      <c r="J18" s="681"/>
      <c r="K18" s="682"/>
      <c r="L18" s="677"/>
      <c r="M18" s="683"/>
      <c r="N18" s="679"/>
      <c r="O18" s="681"/>
      <c r="P18" s="682"/>
      <c r="Q18" s="684"/>
    </row>
    <row r="19" customHeight="1" spans="1:17">
      <c r="A19" s="676"/>
      <c r="B19" s="677"/>
      <c r="C19" s="678"/>
      <c r="D19" s="679"/>
      <c r="E19" s="676"/>
      <c r="F19" s="676"/>
      <c r="G19" s="677"/>
      <c r="H19" s="680"/>
      <c r="I19" s="679"/>
      <c r="J19" s="681"/>
      <c r="K19" s="682"/>
      <c r="L19" s="677"/>
      <c r="M19" s="683"/>
      <c r="N19" s="679"/>
      <c r="O19" s="681"/>
      <c r="P19" s="682"/>
      <c r="Q19" s="684"/>
    </row>
    <row r="20" customHeight="1" spans="1:17">
      <c r="A20" s="676"/>
      <c r="B20" s="677"/>
      <c r="C20" s="678"/>
      <c r="D20" s="679"/>
      <c r="E20" s="676"/>
      <c r="F20" s="676"/>
      <c r="G20" s="677"/>
      <c r="H20" s="680"/>
      <c r="I20" s="679"/>
      <c r="J20" s="681"/>
      <c r="K20" s="682"/>
      <c r="L20" s="677"/>
      <c r="M20" s="683"/>
      <c r="N20" s="679"/>
      <c r="O20" s="681"/>
      <c r="P20" s="682"/>
      <c r="Q20" s="684"/>
    </row>
    <row r="21" customHeight="1" spans="1:17">
      <c r="A21" s="676"/>
      <c r="B21" s="677"/>
      <c r="C21" s="678"/>
      <c r="D21" s="679"/>
      <c r="E21" s="676"/>
      <c r="F21" s="676"/>
      <c r="G21" s="677"/>
      <c r="H21" s="680"/>
      <c r="I21" s="679"/>
      <c r="J21" s="681"/>
      <c r="K21" s="682"/>
      <c r="L21" s="677"/>
      <c r="M21" s="683"/>
      <c r="N21" s="679"/>
      <c r="O21" s="681"/>
      <c r="P21" s="682"/>
      <c r="Q21" s="684"/>
    </row>
    <row r="22" customHeight="1" spans="1:17">
      <c r="A22" s="676"/>
      <c r="B22" s="677"/>
      <c r="C22" s="678"/>
      <c r="D22" s="679"/>
      <c r="E22" s="676"/>
      <c r="F22" s="676"/>
      <c r="G22" s="677"/>
      <c r="H22" s="680"/>
      <c r="I22" s="679"/>
      <c r="J22" s="681"/>
      <c r="K22" s="682"/>
      <c r="L22" s="677"/>
      <c r="M22" s="683"/>
      <c r="N22" s="679"/>
      <c r="O22" s="681"/>
      <c r="P22" s="682"/>
      <c r="Q22" s="684"/>
    </row>
    <row r="23" customHeight="1" spans="1:17">
      <c r="A23" s="676"/>
      <c r="B23" s="677"/>
      <c r="C23" s="678"/>
      <c r="D23" s="679"/>
      <c r="E23" s="676"/>
      <c r="F23" s="676"/>
      <c r="G23" s="677"/>
      <c r="H23" s="680"/>
      <c r="I23" s="679"/>
      <c r="J23" s="681"/>
      <c r="K23" s="682"/>
      <c r="L23" s="677"/>
      <c r="M23" s="683"/>
      <c r="N23" s="679"/>
      <c r="O23" s="681"/>
      <c r="P23" s="682"/>
      <c r="Q23" s="684"/>
    </row>
    <row r="24" customHeight="1" spans="1:17">
      <c r="A24" s="676"/>
      <c r="B24" s="677"/>
      <c r="C24" s="678"/>
      <c r="D24" s="679"/>
      <c r="E24" s="676"/>
      <c r="F24" s="676"/>
      <c r="G24" s="677"/>
      <c r="H24" s="680"/>
      <c r="I24" s="679"/>
      <c r="J24" s="681"/>
      <c r="K24" s="682"/>
      <c r="L24" s="677"/>
      <c r="M24" s="683"/>
      <c r="N24" s="679"/>
      <c r="O24" s="681"/>
      <c r="P24" s="682"/>
      <c r="Q24" s="684"/>
    </row>
    <row r="25" customHeight="1" spans="1:17">
      <c r="A25" s="685"/>
      <c r="B25" s="686"/>
      <c r="C25" s="678"/>
      <c r="D25" s="687"/>
      <c r="E25" s="685"/>
      <c r="F25" s="685"/>
      <c r="G25" s="686"/>
      <c r="H25" s="678"/>
      <c r="I25" s="687"/>
      <c r="J25" s="685"/>
      <c r="K25" s="688"/>
      <c r="L25" s="686"/>
      <c r="M25" s="678"/>
      <c r="N25" s="687"/>
      <c r="O25" s="685"/>
      <c r="P25" s="688"/>
      <c r="Q25" s="684"/>
    </row>
    <row r="26" s="168" customFormat="1" customHeight="1" spans="1:17">
      <c r="A26" s="689" t="s">
        <v>292</v>
      </c>
      <c r="B26" s="690"/>
      <c r="C26" s="690"/>
      <c r="D26" s="690"/>
      <c r="E26" s="690"/>
      <c r="F26" s="690"/>
      <c r="G26" s="690"/>
      <c r="H26" s="690"/>
      <c r="I26" s="690"/>
      <c r="J26" s="690"/>
      <c r="K26" s="690"/>
      <c r="L26" s="690"/>
      <c r="M26" s="690"/>
      <c r="N26" s="690"/>
      <c r="O26" s="690"/>
      <c r="P26" s="690"/>
      <c r="Q26" s="690"/>
    </row>
    <row r="27" s="168" customFormat="1" customHeight="1" spans="1:17">
      <c r="A27" s="177"/>
      <c r="B27" s="284"/>
      <c r="C27" s="284"/>
      <c r="D27" s="284"/>
      <c r="E27" s="284"/>
      <c r="F27" s="284"/>
      <c r="G27" s="284"/>
      <c r="H27" s="284"/>
      <c r="I27" s="284"/>
      <c r="J27" s="284"/>
      <c r="K27" s="284"/>
      <c r="L27" s="284"/>
      <c r="M27" s="284"/>
      <c r="N27" s="284"/>
      <c r="O27" s="284"/>
      <c r="P27" s="284"/>
      <c r="Q27" s="284"/>
    </row>
    <row r="28" s="168" customFormat="1" customHeight="1" spans="1:17">
      <c r="A28" s="284"/>
      <c r="B28" s="284"/>
      <c r="C28" s="284"/>
      <c r="D28" s="284"/>
      <c r="E28" s="284"/>
      <c r="F28" s="284"/>
      <c r="G28" s="284"/>
      <c r="H28" s="284"/>
      <c r="I28" s="284"/>
      <c r="J28" s="284"/>
      <c r="K28" s="284"/>
      <c r="L28" s="284"/>
      <c r="M28" s="284"/>
      <c r="N28" s="284"/>
      <c r="O28" s="284"/>
      <c r="P28" s="284"/>
      <c r="Q28" s="284"/>
    </row>
    <row r="29" s="168" customFormat="1" customHeight="1" spans="1:17">
      <c r="A29" s="691"/>
      <c r="B29" s="284"/>
      <c r="C29" s="284"/>
      <c r="D29" s="284"/>
      <c r="E29" s="284"/>
      <c r="F29" s="284"/>
      <c r="G29" s="284"/>
      <c r="H29" s="284"/>
      <c r="I29" s="284"/>
      <c r="J29" s="284"/>
      <c r="K29" s="284"/>
      <c r="L29" s="284"/>
      <c r="M29" s="284"/>
      <c r="N29" s="284"/>
      <c r="O29" s="284"/>
      <c r="P29" s="284"/>
      <c r="Q29" s="284"/>
    </row>
    <row r="30" s="168" customFormat="1" ht="20.4" customHeight="1" spans="1:17">
      <c r="A30" s="692" t="s">
        <v>293</v>
      </c>
      <c r="B30" s="283"/>
      <c r="C30" s="283"/>
      <c r="D30" s="283"/>
      <c r="E30" s="283"/>
      <c r="F30" s="283"/>
      <c r="G30" s="283"/>
      <c r="H30" s="283"/>
      <c r="I30" s="283"/>
      <c r="J30" s="283"/>
      <c r="K30" s="283"/>
      <c r="L30" s="283"/>
      <c r="M30" s="283"/>
      <c r="N30" s="283"/>
      <c r="O30" s="283"/>
      <c r="P30" s="283"/>
      <c r="Q30" s="283"/>
    </row>
    <row r="31" s="168" customFormat="1" customHeight="1" spans="1:17">
      <c r="A31" s="693"/>
      <c r="B31" s="693"/>
      <c r="C31" s="693"/>
      <c r="D31" s="693"/>
      <c r="E31" s="693"/>
      <c r="F31" s="693"/>
      <c r="G31" s="693"/>
      <c r="H31" s="693"/>
      <c r="I31" s="693"/>
      <c r="J31" s="693"/>
      <c r="K31" s="693"/>
      <c r="L31" s="693"/>
      <c r="M31" s="693"/>
      <c r="N31" s="693"/>
      <c r="O31" s="693"/>
      <c r="P31" s="693"/>
      <c r="Q31" s="693"/>
    </row>
    <row r="32" customHeight="1" spans="1:17">
      <c r="A32" s="694"/>
      <c r="B32" s="694"/>
      <c r="C32" s="694"/>
      <c r="D32" s="694"/>
      <c r="E32" s="694"/>
      <c r="F32" s="694"/>
      <c r="G32" s="694"/>
      <c r="H32" s="694"/>
      <c r="I32" s="694"/>
      <c r="J32" s="694"/>
      <c r="K32" s="694"/>
      <c r="L32" s="694"/>
      <c r="M32" s="694"/>
      <c r="N32" s="694"/>
      <c r="O32" s="694"/>
      <c r="P32" s="694"/>
      <c r="Q32" s="694"/>
    </row>
    <row r="33" customHeight="1" spans="1:17">
      <c r="I33" s="695"/>
      <c r="J33" s="695"/>
      <c r="K33" s="695"/>
      <c r="L33" s="695"/>
      <c r="M33" s="695"/>
      <c r="N33" s="695"/>
      <c r="O33" s="695"/>
      <c r="P33" s="695"/>
      <c r="Q33" s="695"/>
    </row>
    <row r="34" customHeight="1" spans="1:17">
      <c r="A34" s="696"/>
      <c r="C34" s="695"/>
      <c r="D34" s="695"/>
      <c r="E34" s="695"/>
      <c r="F34" s="695"/>
      <c r="G34" s="695"/>
      <c r="H34" s="695"/>
      <c r="I34" s="695"/>
      <c r="J34" s="695"/>
      <c r="K34" s="695"/>
      <c r="L34" s="695"/>
      <c r="M34" s="695"/>
      <c r="N34" s="695"/>
      <c r="O34" s="695"/>
      <c r="P34" s="695"/>
      <c r="Q34" s="695"/>
    </row>
  </sheetData>
  <mergeCells count="7">
    <mergeCell ref="A1:Q1"/>
    <mergeCell ref="A2:Q2"/>
    <mergeCell ref="B11:F11"/>
    <mergeCell ref="G11:K11"/>
    <mergeCell ref="L11:P11"/>
    <mergeCell ref="A11:A12"/>
    <mergeCell ref="Q11:Q12"/>
  </mergeCells>
  <dataValidations count="1">
    <dataValidation type="list" allowBlank="1" showInputMessage="1" showErrorMessage="1" sqref="Q13:Q25">
      <formula1>"√,×"</formula1>
    </dataValidation>
  </dataValidations>
  <hyperlinks>
    <hyperlink ref="Q3" location="底稿目录!A1" display="='D:\GT_plan\backend\wp_templates\D\[D4-13至D4-20主营业务收入-检查（Leap应对措施-检查）.xlsx]底稿目录'!F5"/>
  </hyperlinks>
  <pageMargins left="0.708333333333333" right="0.708333333333333" top="0.747916666666667" bottom="0.747916666666667" header="0.314583333333333" footer="0.314583333333333"/>
  <pageSetup paperSize="9" scale="84" orientation="landscape" blackAndWhite="1"/>
  <headerFooter>
    <oddFooter>&amp;C&amp;P/&amp;N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view="pageBreakPreview" zoomScaleNormal="100" workbookViewId="0">
      <selection activeCell="A1" sqref="A1:K1"/>
    </sheetView>
  </sheetViews>
  <sheetFormatPr defaultColWidth="9.81818181818182" defaultRowHeight="20.1" customHeight="1"/>
  <cols>
    <col min="1" max="1" width="19.0272727272727" style="237" customWidth="1"/>
    <col min="2" max="2" width="12.8454545454545" style="237" customWidth="1"/>
    <col min="3" max="3" width="12.1181818181818" style="237" customWidth="1"/>
    <col min="4" max="4" width="12.4818181818182" style="237" customWidth="1"/>
    <col min="5" max="5" width="14.1818181818182" style="237" customWidth="1"/>
    <col min="6" max="6" width="7.63636363636364" style="237" customWidth="1"/>
    <col min="7" max="7" width="12.2363636363636" style="237" customWidth="1"/>
    <col min="8" max="8" width="14.5454545454545" style="237" customWidth="1"/>
    <col min="9" max="9" width="13.4545454545455" style="237" customWidth="1"/>
    <col min="10" max="10" width="10.6636363636364" style="237" customWidth="1"/>
    <col min="11" max="11" width="7.87272727272727" style="237" customWidth="1"/>
    <col min="12" max="16384" width="9.81818181818182" style="237"/>
  </cols>
  <sheetData>
    <row r="1" s="655" customFormat="1" customHeight="1" spans="1:11">
      <c r="A1" s="524" t="s">
        <v>27</v>
      </c>
      <c r="B1" s="524"/>
      <c r="C1" s="524"/>
      <c r="D1" s="524"/>
      <c r="E1" s="524"/>
      <c r="F1" s="524"/>
      <c r="G1" s="524"/>
      <c r="H1" s="524"/>
      <c r="I1" s="524"/>
      <c r="J1" s="524"/>
      <c r="K1" s="524"/>
    </row>
    <row r="2" s="655" customFormat="1" customHeight="1" spans="1:11">
      <c r="A2" s="525" t="s">
        <v>601</v>
      </c>
      <c r="B2" s="525"/>
      <c r="C2" s="525"/>
      <c r="D2" s="525"/>
      <c r="E2" s="525"/>
      <c r="F2" s="525"/>
      <c r="G2" s="525"/>
      <c r="H2" s="525"/>
      <c r="I2" s="525"/>
      <c r="J2" s="525"/>
      <c r="K2" s="525"/>
    </row>
    <row r="3" s="260" customFormat="1" customHeight="1" spans="1:11">
      <c r="A3" s="583" t="str">
        <f>[13]底稿目录!A2</f>
        <v>被审计单位：</v>
      </c>
      <c r="B3" s="583"/>
      <c r="C3" s="583"/>
      <c r="D3" s="583"/>
      <c r="E3" s="584" t="str">
        <f>[13]底稿目录!A4</f>
        <v>编制人：</v>
      </c>
      <c r="H3" s="583" t="str">
        <f>[13]底稿目录!A5</f>
        <v>编制日期：</v>
      </c>
      <c r="I3" s="584"/>
      <c r="J3" s="265" t="s">
        <v>29</v>
      </c>
      <c r="K3" s="528" t="str">
        <f>[13]底稿目录!F6</f>
        <v>D4-16</v>
      </c>
    </row>
    <row r="4" s="260" customFormat="1" customHeight="1" spans="1:11">
      <c r="A4" s="583" t="str">
        <f>[13]底稿目录!A3</f>
        <v>会计期间：202X年度</v>
      </c>
      <c r="B4" s="583"/>
      <c r="C4" s="583"/>
      <c r="D4" s="583"/>
      <c r="E4" s="584" t="str">
        <f>[13]底稿目录!A6</f>
        <v>复核人：</v>
      </c>
      <c r="H4" s="583" t="str">
        <f>[13]底稿目录!A7</f>
        <v>复核日期：</v>
      </c>
      <c r="I4" s="584"/>
      <c r="J4" s="265" t="s">
        <v>30</v>
      </c>
      <c r="K4" s="354"/>
    </row>
    <row r="5" s="260" customFormat="1" customHeight="1" spans="1:11">
      <c r="A5" s="20" t="s">
        <v>282</v>
      </c>
      <c r="B5" s="168"/>
      <c r="C5" s="168"/>
      <c r="D5" s="168"/>
      <c r="E5" s="168"/>
      <c r="F5" s="168"/>
      <c r="G5" s="175"/>
      <c r="H5" s="175"/>
      <c r="I5" s="175"/>
      <c r="J5" s="175"/>
      <c r="K5" s="175"/>
    </row>
    <row r="6" s="260" customFormat="1" customHeight="1" spans="1:11">
      <c r="A6" s="431" t="s">
        <v>602</v>
      </c>
      <c r="B6" s="168"/>
      <c r="C6" s="168"/>
      <c r="D6" s="168"/>
      <c r="E6" s="168"/>
      <c r="F6" s="168"/>
      <c r="G6" s="175"/>
      <c r="H6" s="175"/>
      <c r="I6" s="175"/>
      <c r="J6" s="175"/>
      <c r="K6" s="175"/>
    </row>
    <row r="7" s="260" customFormat="1" customHeight="1" spans="1:11">
      <c r="A7" s="431" t="s">
        <v>603</v>
      </c>
      <c r="B7" s="168"/>
      <c r="C7" s="168"/>
      <c r="D7" s="168"/>
      <c r="E7" s="168"/>
      <c r="F7" s="168"/>
      <c r="G7" s="175"/>
      <c r="H7" s="175"/>
      <c r="I7" s="175"/>
      <c r="J7" s="175"/>
      <c r="K7" s="175"/>
    </row>
    <row r="8" s="260" customFormat="1" customHeight="1" spans="1:11">
      <c r="A8" s="20" t="s">
        <v>604</v>
      </c>
      <c r="B8" s="178"/>
      <c r="C8" s="178"/>
      <c r="D8" s="178"/>
      <c r="E8" s="178"/>
      <c r="F8" s="168"/>
      <c r="G8" s="176"/>
      <c r="H8" s="176"/>
      <c r="I8" s="176"/>
      <c r="J8" s="176"/>
      <c r="K8" s="176"/>
    </row>
    <row r="9" s="260" customFormat="1" customHeight="1" spans="1:11">
      <c r="A9" s="180" t="s">
        <v>255</v>
      </c>
      <c r="B9" s="168"/>
      <c r="C9" s="168"/>
      <c r="D9" s="168"/>
      <c r="E9" s="168"/>
      <c r="F9" s="168"/>
      <c r="G9" s="176"/>
      <c r="H9" s="176"/>
      <c r="I9" s="176"/>
      <c r="J9" s="176"/>
      <c r="K9" s="176"/>
    </row>
    <row r="10" s="260" customFormat="1" customHeight="1" spans="1:11">
      <c r="A10" s="180"/>
      <c r="B10" s="168"/>
      <c r="C10" s="168"/>
      <c r="D10" s="168"/>
      <c r="E10" s="168"/>
      <c r="F10" s="168"/>
      <c r="G10" s="176"/>
      <c r="H10" s="176"/>
      <c r="I10" s="176"/>
      <c r="J10" s="176"/>
      <c r="K10" s="176"/>
    </row>
    <row r="11" s="260" customFormat="1" customHeight="1" spans="1:11">
      <c r="A11" s="656" t="s">
        <v>605</v>
      </c>
      <c r="B11" s="268" t="s">
        <v>606</v>
      </c>
      <c r="C11" s="268"/>
      <c r="D11" s="268"/>
      <c r="E11" s="268"/>
      <c r="F11" s="268"/>
      <c r="G11" s="268" t="s">
        <v>607</v>
      </c>
      <c r="H11" s="268"/>
      <c r="I11" s="268"/>
      <c r="J11" s="268"/>
      <c r="K11" s="268"/>
    </row>
    <row r="12" customHeight="1" spans="1:11">
      <c r="A12" s="657"/>
      <c r="B12" s="658" t="s">
        <v>608</v>
      </c>
      <c r="C12" s="658" t="s">
        <v>609</v>
      </c>
      <c r="D12" s="658" t="s">
        <v>610</v>
      </c>
      <c r="E12" s="658" t="s">
        <v>611</v>
      </c>
      <c r="F12" s="658" t="s">
        <v>305</v>
      </c>
      <c r="G12" s="658" t="s">
        <v>608</v>
      </c>
      <c r="H12" s="658" t="s">
        <v>612</v>
      </c>
      <c r="I12" s="658" t="s">
        <v>610</v>
      </c>
      <c r="J12" s="658" t="s">
        <v>611</v>
      </c>
      <c r="K12" s="658" t="s">
        <v>305</v>
      </c>
    </row>
    <row r="13" s="235" customFormat="1" customHeight="1" spans="1:11">
      <c r="A13" s="659"/>
      <c r="B13" s="660"/>
      <c r="C13" s="660"/>
      <c r="D13" s="661">
        <f>C13-A13</f>
        <v>0</v>
      </c>
      <c r="E13" s="662"/>
      <c r="F13" s="659"/>
      <c r="G13" s="663"/>
      <c r="H13" s="597"/>
      <c r="I13" s="661">
        <f>H13-F13</f>
        <v>0</v>
      </c>
      <c r="J13" s="664"/>
      <c r="K13" s="663"/>
    </row>
    <row r="14" customHeight="1" spans="1:11">
      <c r="B14" s="665"/>
      <c r="C14" s="665"/>
      <c r="D14" s="665"/>
      <c r="E14" s="665"/>
      <c r="G14" s="665"/>
      <c r="H14" s="665"/>
      <c r="I14" s="665"/>
      <c r="J14" s="665"/>
      <c r="K14" s="665"/>
    </row>
    <row r="15" customHeight="1" spans="1:11">
      <c r="B15" s="665"/>
      <c r="C15" s="665"/>
      <c r="D15" s="665"/>
      <c r="E15" s="665"/>
      <c r="G15" s="665"/>
      <c r="H15" s="665"/>
      <c r="I15" s="665"/>
      <c r="J15" s="665"/>
      <c r="K15" s="665"/>
    </row>
    <row r="16" customHeight="1" spans="1:11">
      <c r="A16" s="20" t="s">
        <v>292</v>
      </c>
      <c r="B16" s="666"/>
      <c r="C16" s="666"/>
      <c r="D16" s="666"/>
      <c r="E16" s="666"/>
      <c r="F16" s="666"/>
      <c r="G16" s="666"/>
      <c r="H16" s="666"/>
      <c r="I16" s="666"/>
      <c r="J16" s="666"/>
      <c r="K16" s="666"/>
    </row>
    <row r="17" customHeight="1" spans="1:11">
      <c r="A17" s="667"/>
      <c r="B17" s="666"/>
      <c r="C17" s="666"/>
      <c r="D17" s="666"/>
      <c r="E17" s="666"/>
      <c r="F17" s="666"/>
      <c r="G17" s="666"/>
      <c r="H17" s="666"/>
      <c r="I17" s="666"/>
      <c r="J17" s="666"/>
      <c r="K17" s="666"/>
    </row>
    <row r="18" customHeight="1" spans="1:11">
      <c r="A18" s="666"/>
      <c r="B18" s="666"/>
      <c r="C18" s="666"/>
      <c r="D18" s="666"/>
      <c r="E18" s="666"/>
      <c r="F18" s="666"/>
      <c r="G18" s="668"/>
      <c r="H18" s="668"/>
      <c r="I18" s="668"/>
      <c r="J18" s="668"/>
      <c r="K18" s="666"/>
    </row>
    <row r="19" customHeight="1" spans="1:11">
      <c r="A19" s="666"/>
      <c r="B19" s="666"/>
      <c r="C19" s="666"/>
      <c r="D19" s="666"/>
      <c r="E19" s="666"/>
      <c r="F19" s="666"/>
      <c r="G19" s="668"/>
      <c r="H19" s="668"/>
      <c r="I19" s="668"/>
      <c r="J19" s="668"/>
      <c r="K19" s="666"/>
    </row>
    <row r="20" customHeight="1" spans="1:11">
      <c r="A20" s="20" t="s">
        <v>293</v>
      </c>
      <c r="B20" s="666"/>
      <c r="C20" s="666"/>
      <c r="D20" s="666"/>
      <c r="E20" s="666"/>
      <c r="F20" s="666"/>
      <c r="G20" s="668"/>
      <c r="H20" s="668"/>
      <c r="I20" s="668"/>
      <c r="J20" s="668"/>
      <c r="K20" s="666"/>
    </row>
    <row r="21" customHeight="1" spans="1:11">
      <c r="A21" s="669"/>
      <c r="B21" s="669"/>
      <c r="C21" s="669"/>
      <c r="D21" s="669"/>
      <c r="E21" s="669"/>
      <c r="F21" s="669"/>
      <c r="G21" s="669"/>
      <c r="H21" s="669"/>
      <c r="I21" s="669"/>
      <c r="J21" s="669"/>
      <c r="K21" s="669"/>
    </row>
  </sheetData>
  <mergeCells count="5">
    <mergeCell ref="A1:K1"/>
    <mergeCell ref="A2:K2"/>
    <mergeCell ref="B11:F11"/>
    <mergeCell ref="G11:K11"/>
    <mergeCell ref="A11:A12"/>
  </mergeCells>
  <hyperlinks>
    <hyperlink ref="K3" location="底稿目录!A1" display="='D:\GT_plan\backend\wp_templates\D\[D4-13至D4-20主营业务收入-检查（Leap应对措施-检查）.xlsx]底稿目录'!F6"/>
  </hyperlinks>
  <pageMargins left="0.708333333333333" right="0.708333333333333" top="0.747916666666667" bottom="0.747916666666667" header="0.314583333333333" footer="0.314583333333333"/>
  <pageSetup paperSize="9" scale="68" orientation="portrait" blackAndWhite="1"/>
  <headerFooter>
    <oddFooter>&amp;C&amp;P/&amp;N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view="pageBreakPreview" zoomScaleNormal="100" workbookViewId="0">
      <selection activeCell="A1" sqref="A1:K1"/>
    </sheetView>
  </sheetViews>
  <sheetFormatPr defaultColWidth="8.72727272727273" defaultRowHeight="20.1" customHeight="1"/>
  <cols>
    <col min="1" max="1" width="9.69090909090909" style="614" customWidth="1"/>
    <col min="2" max="2" width="11.6363636363636" style="614" customWidth="1"/>
    <col min="3" max="3" width="12" style="614" customWidth="1"/>
    <col min="4" max="6" width="11.1454545454545" style="614" customWidth="1"/>
    <col min="7" max="7" width="12" style="614" customWidth="1"/>
    <col min="8" max="8" width="12.2363636363636" style="614" customWidth="1"/>
    <col min="9" max="9" width="11.3909090909091" style="614" customWidth="1"/>
    <col min="10" max="10" width="11.7545454545455" style="614" customWidth="1"/>
    <col min="11" max="11" width="11.0272727272727" style="614" customWidth="1"/>
    <col min="12" max="16384" width="8.72727272727273" style="614"/>
  </cols>
  <sheetData>
    <row r="1" customHeight="1" spans="1:11">
      <c r="A1" s="642" t="s">
        <v>27</v>
      </c>
      <c r="B1" s="642"/>
      <c r="C1" s="642"/>
      <c r="D1" s="642"/>
      <c r="E1" s="642"/>
      <c r="F1" s="642"/>
      <c r="G1" s="642"/>
      <c r="H1" s="642"/>
      <c r="I1" s="642"/>
      <c r="J1" s="642"/>
      <c r="K1" s="642"/>
    </row>
    <row r="2" customHeight="1" spans="1:11">
      <c r="A2" s="643" t="s">
        <v>539</v>
      </c>
      <c r="B2" s="643"/>
      <c r="C2" s="643"/>
      <c r="D2" s="643"/>
      <c r="E2" s="643"/>
      <c r="F2" s="643"/>
      <c r="G2" s="643"/>
      <c r="H2" s="643"/>
      <c r="I2" s="643"/>
      <c r="J2" s="643"/>
      <c r="K2" s="643"/>
    </row>
    <row r="3" s="611" customFormat="1" customHeight="1" spans="1:11">
      <c r="A3" s="263" t="str">
        <f>[13]底稿目录!A2</f>
        <v>被审计单位：</v>
      </c>
      <c r="B3" s="263"/>
      <c r="D3" s="264" t="str">
        <f>[13]底稿目录!A4</f>
        <v>编制人：</v>
      </c>
      <c r="E3" s="260"/>
      <c r="G3" s="263" t="str">
        <f>[13]底稿目录!A5</f>
        <v>编制日期：</v>
      </c>
      <c r="J3" s="644" t="s">
        <v>29</v>
      </c>
      <c r="K3" s="528" t="str">
        <f>[13]底稿目录!F7</f>
        <v>D4-17</v>
      </c>
    </row>
    <row r="4" s="611" customFormat="1" customHeight="1" spans="1:11">
      <c r="A4" s="263" t="str">
        <f>[13]底稿目录!A3</f>
        <v>会计期间：202X年度</v>
      </c>
      <c r="B4" s="645"/>
      <c r="D4" s="264" t="str">
        <f>[13]底稿目录!A6</f>
        <v>复核人：</v>
      </c>
      <c r="E4" s="260"/>
      <c r="G4" s="263" t="str">
        <f>[13]底稿目录!A7</f>
        <v>复核日期：</v>
      </c>
      <c r="J4" s="644" t="s">
        <v>129</v>
      </c>
    </row>
    <row r="5" s="257" customFormat="1" customHeight="1" spans="1:11">
      <c r="A5" s="20" t="s">
        <v>252</v>
      </c>
      <c r="B5" s="22"/>
      <c r="C5" s="22"/>
      <c r="D5" s="22"/>
      <c r="E5" s="22"/>
      <c r="F5" s="22"/>
      <c r="G5" s="22"/>
      <c r="H5" s="22"/>
      <c r="I5" s="22"/>
      <c r="J5" s="22"/>
    </row>
    <row r="6" s="257" customFormat="1" customHeight="1" spans="1:11">
      <c r="A6" s="21" t="s">
        <v>613</v>
      </c>
      <c r="C6" s="21"/>
      <c r="D6" s="21"/>
      <c r="E6" s="21"/>
      <c r="F6" s="21"/>
      <c r="G6" s="21"/>
      <c r="H6" s="21"/>
      <c r="I6" s="21"/>
      <c r="J6" s="21"/>
    </row>
    <row r="7" s="257" customFormat="1" customHeight="1" spans="1:11">
      <c r="A7" s="20" t="s">
        <v>254</v>
      </c>
      <c r="B7" s="22"/>
      <c r="C7" s="22"/>
      <c r="D7" s="22"/>
      <c r="E7" s="22"/>
      <c r="F7" s="22"/>
      <c r="G7" s="22"/>
      <c r="H7" s="22"/>
      <c r="I7" s="22"/>
      <c r="J7" s="22"/>
    </row>
    <row r="8" s="257" customFormat="1" ht="29.4" customHeight="1" spans="1:11">
      <c r="A8" s="618" t="s">
        <v>614</v>
      </c>
      <c r="B8" s="618"/>
      <c r="C8" s="618"/>
      <c r="D8" s="618"/>
      <c r="E8" s="618"/>
      <c r="F8" s="618"/>
      <c r="G8" s="618"/>
      <c r="H8" s="618"/>
      <c r="I8" s="618"/>
      <c r="J8" s="618"/>
      <c r="K8" s="618"/>
    </row>
    <row r="9" s="257" customFormat="1" customHeight="1" spans="1:11">
      <c r="A9" s="267" t="s">
        <v>310</v>
      </c>
      <c r="B9" s="21"/>
      <c r="C9" s="22"/>
      <c r="D9" s="22"/>
      <c r="E9" s="22"/>
      <c r="F9" s="22"/>
      <c r="G9" s="22"/>
      <c r="H9" s="22"/>
      <c r="I9" s="22"/>
      <c r="J9" s="22"/>
    </row>
    <row r="10" s="257" customFormat="1" ht="30" customHeight="1" spans="1:11">
      <c r="A10" s="619" t="s">
        <v>615</v>
      </c>
      <c r="B10" s="619"/>
      <c r="C10" s="619"/>
      <c r="D10" s="619"/>
      <c r="E10" s="619"/>
      <c r="F10" s="619"/>
      <c r="G10" s="619"/>
      <c r="H10" s="619"/>
      <c r="I10" s="619"/>
      <c r="J10" s="619"/>
      <c r="K10" s="619"/>
    </row>
    <row r="11" s="612" customFormat="1" customHeight="1" spans="1:11">
      <c r="A11" s="623" t="s">
        <v>566</v>
      </c>
      <c r="B11" s="624"/>
      <c r="C11" s="624"/>
      <c r="D11" s="624"/>
      <c r="E11" s="646"/>
      <c r="F11" s="620" t="s">
        <v>599</v>
      </c>
      <c r="G11" s="621"/>
      <c r="H11" s="621"/>
      <c r="I11" s="621"/>
      <c r="J11" s="621"/>
      <c r="K11" s="625" t="s">
        <v>616</v>
      </c>
    </row>
    <row r="12" s="612" customFormat="1" customHeight="1" spans="1:11">
      <c r="A12" s="30" t="s">
        <v>576</v>
      </c>
      <c r="B12" s="30" t="s">
        <v>577</v>
      </c>
      <c r="C12" s="30" t="s">
        <v>578</v>
      </c>
      <c r="D12" s="30" t="s">
        <v>405</v>
      </c>
      <c r="E12" s="30" t="s">
        <v>417</v>
      </c>
      <c r="F12" s="30" t="s">
        <v>576</v>
      </c>
      <c r="G12" s="30" t="s">
        <v>577</v>
      </c>
      <c r="H12" s="30" t="s">
        <v>578</v>
      </c>
      <c r="I12" s="30" t="s">
        <v>405</v>
      </c>
      <c r="J12" s="30" t="s">
        <v>417</v>
      </c>
      <c r="K12" s="625" t="s">
        <v>617</v>
      </c>
    </row>
    <row r="13" s="612" customFormat="1" customHeight="1" spans="1:11">
      <c r="A13" s="626"/>
      <c r="B13" s="46"/>
      <c r="C13" s="627"/>
      <c r="D13" s="49"/>
      <c r="E13" s="49"/>
      <c r="F13" s="626"/>
      <c r="G13" s="46"/>
      <c r="H13" s="46"/>
      <c r="I13" s="46"/>
      <c r="J13" s="647"/>
      <c r="K13" s="648"/>
    </row>
    <row r="14" s="612" customFormat="1" customHeight="1" spans="1:11">
      <c r="A14" s="649"/>
      <c r="B14" s="46"/>
      <c r="C14" s="627"/>
      <c r="D14" s="49"/>
      <c r="E14" s="49"/>
      <c r="F14" s="626"/>
      <c r="G14" s="46"/>
      <c r="H14" s="46"/>
      <c r="I14" s="46"/>
      <c r="J14" s="647"/>
      <c r="K14" s="648"/>
    </row>
    <row r="15" s="612" customFormat="1" customHeight="1" spans="1:11">
      <c r="A15" s="649"/>
      <c r="B15" s="46"/>
      <c r="C15" s="627"/>
      <c r="D15" s="49"/>
      <c r="E15" s="49"/>
      <c r="F15" s="626"/>
      <c r="G15" s="46"/>
      <c r="H15" s="46"/>
      <c r="I15" s="46"/>
      <c r="J15" s="647"/>
      <c r="K15" s="648"/>
    </row>
    <row r="16" s="612" customFormat="1" customHeight="1" spans="1:11">
      <c r="A16" s="649"/>
      <c r="B16" s="46"/>
      <c r="C16" s="627"/>
      <c r="D16" s="49"/>
      <c r="E16" s="49"/>
      <c r="F16" s="626"/>
      <c r="G16" s="46"/>
      <c r="H16" s="46"/>
      <c r="I16" s="46"/>
      <c r="J16" s="647"/>
      <c r="K16" s="648"/>
    </row>
    <row r="17" s="612" customFormat="1" customHeight="1" spans="1:11">
      <c r="A17" s="649"/>
      <c r="B17" s="46"/>
      <c r="C17" s="627"/>
      <c r="D17" s="49"/>
      <c r="E17" s="49"/>
      <c r="F17" s="626"/>
      <c r="G17" s="46"/>
      <c r="H17" s="46"/>
      <c r="I17" s="46"/>
      <c r="J17" s="647"/>
      <c r="K17" s="648"/>
    </row>
    <row r="18" s="612" customFormat="1" customHeight="1" spans="1:11">
      <c r="A18" s="649"/>
      <c r="B18" s="46"/>
      <c r="C18" s="627"/>
      <c r="D18" s="49"/>
      <c r="E18" s="49"/>
      <c r="F18" s="626"/>
      <c r="G18" s="46"/>
      <c r="H18" s="46"/>
      <c r="I18" s="46"/>
      <c r="J18" s="647"/>
      <c r="K18" s="648"/>
    </row>
    <row r="19" s="612" customFormat="1" customHeight="1" spans="1:11">
      <c r="A19" s="649"/>
      <c r="B19" s="46"/>
      <c r="C19" s="627"/>
      <c r="D19" s="49"/>
      <c r="E19" s="49"/>
      <c r="F19" s="626"/>
      <c r="G19" s="46"/>
      <c r="H19" s="46"/>
      <c r="I19" s="46"/>
      <c r="J19" s="647"/>
      <c r="K19" s="648"/>
    </row>
    <row r="20" s="612" customFormat="1" customHeight="1" spans="1:11">
      <c r="A20" s="649"/>
      <c r="B20" s="46"/>
      <c r="C20" s="627"/>
      <c r="D20" s="49"/>
      <c r="E20" s="49"/>
      <c r="F20" s="626"/>
      <c r="G20" s="46"/>
      <c r="H20" s="46"/>
      <c r="I20" s="46"/>
      <c r="J20" s="647"/>
      <c r="K20" s="648"/>
    </row>
    <row r="21" s="612" customFormat="1" customHeight="1" spans="1:11">
      <c r="A21" s="649"/>
      <c r="B21" s="650"/>
      <c r="C21" s="627"/>
      <c r="D21" s="49"/>
      <c r="E21" s="49"/>
      <c r="F21" s="626"/>
      <c r="G21" s="46"/>
      <c r="H21" s="46"/>
      <c r="I21" s="46"/>
      <c r="J21" s="647"/>
      <c r="K21" s="648"/>
    </row>
    <row r="22" s="612" customFormat="1" customHeight="1" spans="1:11">
      <c r="A22" s="626"/>
      <c r="B22" s="650"/>
      <c r="C22" s="627"/>
      <c r="D22" s="49"/>
      <c r="E22" s="49"/>
      <c r="F22" s="626"/>
      <c r="G22" s="46"/>
      <c r="H22" s="46"/>
      <c r="I22" s="46"/>
      <c r="J22" s="647"/>
      <c r="K22" s="648"/>
    </row>
    <row r="23" s="612" customFormat="1" customHeight="1" spans="1:11">
      <c r="A23" s="626"/>
      <c r="B23" s="650"/>
      <c r="C23" s="627"/>
      <c r="D23" s="49"/>
      <c r="E23" s="49"/>
      <c r="F23" s="626"/>
      <c r="G23" s="46"/>
      <c r="H23" s="46"/>
      <c r="I23" s="46"/>
      <c r="J23" s="647"/>
      <c r="K23" s="648"/>
    </row>
    <row r="24" s="612" customFormat="1" customHeight="1" spans="1:11">
      <c r="A24" s="651" t="s">
        <v>618</v>
      </c>
      <c r="B24" s="631"/>
      <c r="C24" s="632"/>
      <c r="D24" s="632"/>
      <c r="E24" s="632"/>
      <c r="F24" s="632"/>
      <c r="G24" s="632"/>
      <c r="H24" s="632"/>
      <c r="I24" s="632"/>
      <c r="J24" s="652"/>
      <c r="K24" s="653"/>
    </row>
    <row r="25" s="612" customFormat="1" customHeight="1" spans="1:11">
      <c r="A25" s="626"/>
      <c r="B25" s="650"/>
      <c r="C25" s="627"/>
      <c r="D25" s="49"/>
      <c r="E25" s="49"/>
      <c r="F25" s="626"/>
      <c r="G25" s="46"/>
      <c r="H25" s="46"/>
      <c r="I25" s="46"/>
      <c r="J25" s="647"/>
      <c r="K25" s="648"/>
    </row>
    <row r="26" s="612" customFormat="1" customHeight="1" spans="1:11">
      <c r="A26" s="626"/>
      <c r="B26" s="650"/>
      <c r="C26" s="627"/>
      <c r="D26" s="49"/>
      <c r="E26" s="49"/>
      <c r="F26" s="626"/>
      <c r="G26" s="46"/>
      <c r="H26" s="46"/>
      <c r="I26" s="46"/>
      <c r="J26" s="647"/>
      <c r="K26" s="648"/>
    </row>
    <row r="27" s="612" customFormat="1" customHeight="1" spans="1:11">
      <c r="A27" s="626"/>
      <c r="B27" s="650"/>
      <c r="C27" s="627"/>
      <c r="D27" s="49"/>
      <c r="E27" s="49"/>
      <c r="F27" s="626"/>
      <c r="G27" s="46"/>
      <c r="H27" s="46"/>
      <c r="I27" s="46"/>
      <c r="J27" s="647"/>
      <c r="K27" s="648"/>
    </row>
    <row r="28" s="612" customFormat="1" customHeight="1" spans="1:11">
      <c r="A28" s="626"/>
      <c r="B28" s="650"/>
      <c r="C28" s="627"/>
      <c r="D28" s="49"/>
      <c r="E28" s="49"/>
      <c r="F28" s="626"/>
      <c r="G28" s="46"/>
      <c r="H28" s="46"/>
      <c r="I28" s="46"/>
      <c r="J28" s="647"/>
      <c r="K28" s="648"/>
    </row>
    <row r="29" s="612" customFormat="1" customHeight="1" spans="1:11">
      <c r="A29" s="626"/>
      <c r="B29" s="650"/>
      <c r="C29" s="627"/>
      <c r="D29" s="49"/>
      <c r="E29" s="49"/>
      <c r="F29" s="626"/>
      <c r="G29" s="46"/>
      <c r="H29" s="46"/>
      <c r="I29" s="46"/>
      <c r="J29" s="647"/>
      <c r="K29" s="648"/>
    </row>
    <row r="30" s="612" customFormat="1" customHeight="1" spans="1:11">
      <c r="A30" s="626"/>
      <c r="B30" s="650"/>
      <c r="C30" s="627"/>
      <c r="D30" s="49"/>
      <c r="E30" s="49"/>
      <c r="F30" s="626"/>
      <c r="G30" s="46"/>
      <c r="H30" s="46"/>
      <c r="I30" s="46"/>
      <c r="J30" s="647"/>
      <c r="K30" s="648"/>
    </row>
    <row r="31" s="612" customFormat="1" customHeight="1" spans="1:11">
      <c r="A31" s="626"/>
      <c r="B31" s="650"/>
      <c r="C31" s="627"/>
      <c r="D31" s="49"/>
      <c r="E31" s="49"/>
      <c r="F31" s="626"/>
      <c r="G31" s="46"/>
      <c r="H31" s="46"/>
      <c r="I31" s="46"/>
      <c r="J31" s="647"/>
      <c r="K31" s="648"/>
    </row>
    <row r="32" s="612" customFormat="1" customHeight="1" spans="1:11">
      <c r="A32" s="626"/>
      <c r="B32" s="650"/>
      <c r="C32" s="627"/>
      <c r="D32" s="49"/>
      <c r="E32" s="49"/>
      <c r="F32" s="626"/>
      <c r="G32" s="46"/>
      <c r="H32" s="46"/>
      <c r="I32" s="46"/>
      <c r="J32" s="647"/>
      <c r="K32" s="648"/>
    </row>
    <row r="33" s="612" customFormat="1" customHeight="1" spans="1:11">
      <c r="A33" s="654"/>
      <c r="B33" s="650"/>
      <c r="C33" s="627"/>
      <c r="D33" s="49"/>
      <c r="E33" s="49"/>
      <c r="F33" s="626"/>
      <c r="G33" s="46"/>
      <c r="H33" s="46"/>
      <c r="I33" s="46"/>
      <c r="J33" s="647"/>
      <c r="K33" s="648"/>
    </row>
    <row r="34" s="612" customFormat="1" customHeight="1" spans="1:11">
      <c r="A34" s="654"/>
      <c r="B34" s="650"/>
      <c r="C34" s="627"/>
      <c r="D34" s="49"/>
      <c r="E34" s="49"/>
      <c r="F34" s="626"/>
      <c r="G34" s="46"/>
      <c r="H34" s="46"/>
      <c r="I34" s="46"/>
      <c r="J34" s="647"/>
      <c r="K34" s="648"/>
    </row>
    <row r="35" customHeight="1" spans="1:11">
      <c r="A35" s="654"/>
      <c r="B35" s="46"/>
      <c r="C35" s="627"/>
      <c r="D35" s="49"/>
      <c r="E35" s="49"/>
      <c r="F35" s="626"/>
      <c r="G35" s="46"/>
      <c r="H35" s="46"/>
      <c r="I35" s="46"/>
      <c r="J35" s="647"/>
      <c r="K35" s="627"/>
    </row>
    <row r="36" s="613" customFormat="1" customHeight="1" spans="1:11">
      <c r="A36" s="637" t="s">
        <v>278</v>
      </c>
      <c r="B36" s="638"/>
      <c r="C36" s="638"/>
      <c r="D36" s="638"/>
      <c r="E36" s="638"/>
      <c r="F36" s="638"/>
      <c r="G36" s="638"/>
      <c r="H36" s="638"/>
      <c r="I36" s="638"/>
      <c r="J36" s="638"/>
      <c r="K36" s="638"/>
    </row>
    <row r="37" s="613" customFormat="1" customHeight="1" spans="1:11">
      <c r="B37" s="639"/>
      <c r="C37" s="639"/>
      <c r="D37" s="639"/>
      <c r="E37" s="639"/>
      <c r="F37" s="639"/>
      <c r="G37" s="639"/>
      <c r="H37" s="639"/>
      <c r="I37" s="639"/>
      <c r="J37" s="639"/>
      <c r="K37" s="639"/>
    </row>
    <row r="38" s="613" customFormat="1" customHeight="1" spans="1:11">
      <c r="B38" s="639"/>
      <c r="C38" s="639"/>
      <c r="D38" s="639"/>
      <c r="E38" s="639"/>
      <c r="F38" s="639"/>
      <c r="G38" s="639"/>
      <c r="H38" s="639"/>
      <c r="I38" s="639"/>
      <c r="J38" s="639"/>
      <c r="K38" s="639"/>
    </row>
    <row r="39" s="613" customFormat="1" customHeight="1" spans="1:11">
      <c r="A39" s="639"/>
      <c r="B39" s="639"/>
      <c r="C39" s="639"/>
      <c r="D39" s="639"/>
      <c r="E39" s="639"/>
      <c r="F39" s="639"/>
      <c r="G39" s="639"/>
      <c r="H39" s="639"/>
      <c r="I39" s="639"/>
      <c r="J39" s="639"/>
      <c r="K39" s="639"/>
    </row>
    <row r="40" s="613" customFormat="1" customHeight="1" spans="1:11">
      <c r="A40" s="613" t="s">
        <v>280</v>
      </c>
      <c r="B40" s="639"/>
      <c r="C40" s="639"/>
      <c r="D40" s="639"/>
      <c r="E40" s="639"/>
      <c r="F40" s="639"/>
      <c r="G40" s="639"/>
      <c r="H40" s="639"/>
      <c r="I40" s="639"/>
      <c r="J40" s="639"/>
      <c r="K40" s="639"/>
    </row>
    <row r="41" s="613" customFormat="1" customHeight="1" spans="1:11">
      <c r="A41" s="639"/>
      <c r="B41" s="639"/>
      <c r="C41" s="639"/>
      <c r="D41" s="639"/>
      <c r="E41" s="639"/>
      <c r="F41" s="639"/>
      <c r="G41" s="639"/>
      <c r="H41" s="639"/>
      <c r="I41" s="639"/>
      <c r="J41" s="639"/>
      <c r="K41" s="639"/>
    </row>
    <row r="42" customHeight="1" spans="1:11">
      <c r="A42" s="640" t="s">
        <v>619</v>
      </c>
    </row>
    <row r="43" customHeight="1" spans="1:11">
      <c r="A43" s="641" t="s">
        <v>620</v>
      </c>
    </row>
  </sheetData>
  <mergeCells count="6">
    <mergeCell ref="A1:K1"/>
    <mergeCell ref="A2:K2"/>
    <mergeCell ref="A8:K8"/>
    <mergeCell ref="A10:K10"/>
    <mergeCell ref="A11:E11"/>
    <mergeCell ref="F11:J11"/>
  </mergeCells>
  <hyperlinks>
    <hyperlink ref="K3" location="底稿目录!A1" display="='D:\GT_plan\backend\wp_templates\D\[D4-13至D4-20主营业务收入-检查（Leap应对措施-检查）.xlsx]底稿目录'!F7"/>
  </hyperlinks>
  <pageMargins left="0.708333333333333" right="0.708333333333333" top="0.747916666666667" bottom="0.747916666666667" header="0.314583333333333" footer="0.314583333333333"/>
  <pageSetup paperSize="9" scale="74" orientation="portrait" blackAndWhite="1"/>
  <headerFooter>
    <oddFooter>&amp;C&amp;P/&amp;N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view="pageBreakPreview" zoomScaleNormal="100" workbookViewId="0">
      <selection activeCell="A1" sqref="A1:K1"/>
    </sheetView>
  </sheetViews>
  <sheetFormatPr defaultColWidth="8.72727272727273" defaultRowHeight="20.1" customHeight="1"/>
  <cols>
    <col min="1" max="1" width="9.81818181818182" style="614" customWidth="1"/>
    <col min="2" max="2" width="10.6636363636364" style="614" customWidth="1"/>
    <col min="3" max="3" width="11.1454545454545" style="614" customWidth="1"/>
    <col min="4" max="4" width="11.6363636363636" style="614" customWidth="1"/>
    <col min="5" max="5" width="11.1454545454545" style="614" customWidth="1"/>
    <col min="6" max="6" width="10.9090909090909" style="614" customWidth="1"/>
    <col min="7" max="7" width="11.2727272727273" style="614" customWidth="1"/>
    <col min="8" max="8" width="11.3909090909091" style="614" customWidth="1"/>
    <col min="9" max="9" width="10.9090909090909" style="614" customWidth="1"/>
    <col min="10" max="10" width="11.8727272727273" style="614" customWidth="1"/>
    <col min="11" max="11" width="13.0909090909091" style="614" customWidth="1"/>
    <col min="12" max="16384" width="8.72727272727273" style="614"/>
  </cols>
  <sheetData>
    <row r="1" customHeight="1" spans="1:11">
      <c r="A1" s="615" t="s">
        <v>27</v>
      </c>
      <c r="B1" s="615"/>
      <c r="C1" s="615"/>
      <c r="D1" s="615"/>
      <c r="E1" s="615"/>
      <c r="F1" s="615"/>
      <c r="G1" s="615"/>
      <c r="H1" s="615"/>
      <c r="I1" s="615"/>
      <c r="J1" s="615"/>
      <c r="K1" s="615"/>
    </row>
    <row r="2" customHeight="1" spans="1:11">
      <c r="A2" s="616" t="s">
        <v>541</v>
      </c>
      <c r="B2" s="616"/>
      <c r="C2" s="616"/>
      <c r="D2" s="616"/>
      <c r="E2" s="616"/>
      <c r="F2" s="616"/>
      <c r="G2" s="616"/>
      <c r="H2" s="616"/>
      <c r="I2" s="616"/>
      <c r="J2" s="616"/>
      <c r="K2" s="616"/>
    </row>
    <row r="3" s="611" customFormat="1" customHeight="1" spans="1:11">
      <c r="A3" s="583" t="str">
        <f>[13]底稿目录!A2</f>
        <v>被审计单位：</v>
      </c>
      <c r="B3" s="583"/>
      <c r="D3" s="584" t="str">
        <f>[13]底稿目录!A4</f>
        <v>编制人：</v>
      </c>
      <c r="E3" s="260"/>
      <c r="G3" s="583" t="str">
        <f>[13]底稿目录!A5</f>
        <v>编制日期：</v>
      </c>
      <c r="J3" s="617" t="s">
        <v>29</v>
      </c>
      <c r="K3" s="528" t="str">
        <f>[13]底稿目录!F8</f>
        <v>D4-18</v>
      </c>
    </row>
    <row r="4" s="611" customFormat="1" customHeight="1" spans="1:11">
      <c r="A4" s="583" t="str">
        <f>[13]底稿目录!A3</f>
        <v>会计期间：202X年度</v>
      </c>
      <c r="B4" s="583"/>
      <c r="D4" s="584" t="str">
        <f>[13]底稿目录!A6</f>
        <v>复核人：</v>
      </c>
      <c r="E4" s="260"/>
      <c r="G4" s="583" t="str">
        <f>[13]底稿目录!A7</f>
        <v>复核日期：</v>
      </c>
      <c r="J4" s="585" t="s">
        <v>129</v>
      </c>
    </row>
    <row r="5" s="257" customFormat="1" customHeight="1" spans="1:11">
      <c r="A5" s="20" t="s">
        <v>252</v>
      </c>
      <c r="B5" s="22"/>
      <c r="C5" s="22"/>
      <c r="D5" s="22"/>
      <c r="E5" s="22"/>
      <c r="F5" s="22"/>
      <c r="G5" s="22"/>
      <c r="H5" s="22"/>
      <c r="I5" s="22"/>
      <c r="J5" s="22"/>
    </row>
    <row r="6" s="257" customFormat="1" customHeight="1" spans="1:11">
      <c r="A6" s="21" t="s">
        <v>613</v>
      </c>
      <c r="C6" s="21"/>
      <c r="D6" s="21"/>
      <c r="E6" s="21"/>
      <c r="F6" s="21"/>
      <c r="G6" s="21"/>
      <c r="H6" s="21"/>
      <c r="I6" s="21"/>
      <c r="J6" s="21"/>
    </row>
    <row r="7" s="257" customFormat="1" customHeight="1" spans="1:11">
      <c r="A7" s="20" t="s">
        <v>254</v>
      </c>
      <c r="B7" s="22"/>
      <c r="C7" s="22"/>
      <c r="D7" s="22"/>
      <c r="E7" s="22"/>
      <c r="F7" s="22"/>
      <c r="G7" s="22"/>
      <c r="H7" s="22"/>
      <c r="I7" s="22"/>
      <c r="J7" s="22"/>
    </row>
    <row r="8" s="257" customFormat="1" ht="28.8" customHeight="1" spans="1:11">
      <c r="A8" s="618" t="s">
        <v>621</v>
      </c>
      <c r="B8" s="618"/>
      <c r="C8" s="618"/>
      <c r="D8" s="618"/>
      <c r="E8" s="618"/>
      <c r="F8" s="618"/>
      <c r="G8" s="618"/>
      <c r="H8" s="618"/>
      <c r="I8" s="618"/>
      <c r="J8" s="618"/>
      <c r="K8" s="618"/>
    </row>
    <row r="9" s="257" customFormat="1" customHeight="1" spans="1:11">
      <c r="A9" s="267" t="s">
        <v>310</v>
      </c>
      <c r="B9" s="21"/>
      <c r="C9" s="22"/>
      <c r="D9" s="22"/>
      <c r="E9" s="22"/>
      <c r="F9" s="22"/>
      <c r="G9" s="22"/>
      <c r="H9" s="22"/>
      <c r="I9" s="22"/>
      <c r="J9" s="22"/>
    </row>
    <row r="10" s="257" customFormat="1" ht="27.6" customHeight="1" spans="1:11">
      <c r="A10" s="619" t="s">
        <v>615</v>
      </c>
      <c r="B10" s="619"/>
      <c r="C10" s="619"/>
      <c r="D10" s="619"/>
      <c r="E10" s="619"/>
      <c r="F10" s="619"/>
      <c r="G10" s="619"/>
      <c r="H10" s="619"/>
      <c r="I10" s="619"/>
      <c r="J10" s="619"/>
      <c r="K10" s="619"/>
    </row>
    <row r="11" s="612" customFormat="1" customHeight="1" spans="1:11">
      <c r="A11" s="620" t="s">
        <v>599</v>
      </c>
      <c r="B11" s="621"/>
      <c r="C11" s="621"/>
      <c r="D11" s="621"/>
      <c r="E11" s="622"/>
      <c r="F11" s="623" t="s">
        <v>566</v>
      </c>
      <c r="G11" s="624"/>
      <c r="H11" s="624"/>
      <c r="I11" s="624"/>
      <c r="J11" s="624"/>
      <c r="K11" s="625" t="s">
        <v>616</v>
      </c>
    </row>
    <row r="12" s="612" customFormat="1" customHeight="1" spans="1:11">
      <c r="A12" s="30" t="s">
        <v>576</v>
      </c>
      <c r="B12" s="30" t="s">
        <v>577</v>
      </c>
      <c r="C12" s="30" t="s">
        <v>578</v>
      </c>
      <c r="D12" s="30" t="s">
        <v>405</v>
      </c>
      <c r="E12" s="30" t="s">
        <v>417</v>
      </c>
      <c r="F12" s="625" t="s">
        <v>576</v>
      </c>
      <c r="G12" s="362" t="s">
        <v>577</v>
      </c>
      <c r="H12" s="30" t="s">
        <v>578</v>
      </c>
      <c r="I12" s="30" t="s">
        <v>405</v>
      </c>
      <c r="J12" s="30" t="s">
        <v>417</v>
      </c>
      <c r="K12" s="625" t="s">
        <v>617</v>
      </c>
    </row>
    <row r="13" s="612" customFormat="1" customHeight="1" spans="1:11">
      <c r="A13" s="46"/>
      <c r="B13" s="626"/>
      <c r="C13" s="627"/>
      <c r="D13" s="49"/>
      <c r="E13" s="49"/>
      <c r="F13" s="46"/>
      <c r="G13" s="626"/>
      <c r="H13" s="626"/>
      <c r="I13" s="626"/>
      <c r="J13" s="49"/>
      <c r="K13" s="628"/>
    </row>
    <row r="14" s="612" customFormat="1" customHeight="1" spans="1:11">
      <c r="A14" s="629"/>
      <c r="B14" s="626"/>
      <c r="C14" s="627"/>
      <c r="D14" s="49"/>
      <c r="E14" s="49"/>
      <c r="F14" s="46"/>
      <c r="G14" s="626"/>
      <c r="H14" s="626"/>
      <c r="I14" s="626"/>
      <c r="J14" s="49"/>
      <c r="K14" s="628"/>
    </row>
    <row r="15" s="612" customFormat="1" customHeight="1" spans="1:11">
      <c r="A15" s="629"/>
      <c r="B15" s="626"/>
      <c r="C15" s="627"/>
      <c r="D15" s="49"/>
      <c r="E15" s="49"/>
      <c r="F15" s="46"/>
      <c r="G15" s="626"/>
      <c r="H15" s="626"/>
      <c r="I15" s="626"/>
      <c r="J15" s="49"/>
      <c r="K15" s="628"/>
    </row>
    <row r="16" s="612" customFormat="1" customHeight="1" spans="1:11">
      <c r="A16" s="629"/>
      <c r="B16" s="626"/>
      <c r="C16" s="627"/>
      <c r="D16" s="49"/>
      <c r="E16" s="49"/>
      <c r="F16" s="46"/>
      <c r="G16" s="626"/>
      <c r="H16" s="626"/>
      <c r="I16" s="626"/>
      <c r="J16" s="49"/>
      <c r="K16" s="628"/>
    </row>
    <row r="17" s="612" customFormat="1" customHeight="1" spans="1:11">
      <c r="A17" s="629"/>
      <c r="B17" s="626"/>
      <c r="C17" s="627"/>
      <c r="D17" s="49"/>
      <c r="E17" s="49"/>
      <c r="F17" s="46"/>
      <c r="G17" s="626"/>
      <c r="H17" s="626"/>
      <c r="I17" s="626"/>
      <c r="J17" s="49"/>
      <c r="K17" s="628"/>
    </row>
    <row r="18" s="612" customFormat="1" customHeight="1" spans="1:11">
      <c r="A18" s="629"/>
      <c r="B18" s="626"/>
      <c r="C18" s="627"/>
      <c r="D18" s="49"/>
      <c r="E18" s="49"/>
      <c r="F18" s="46"/>
      <c r="G18" s="626"/>
      <c r="H18" s="626"/>
      <c r="I18" s="626"/>
      <c r="J18" s="49"/>
      <c r="K18" s="628"/>
    </row>
    <row r="19" s="612" customFormat="1" customHeight="1" spans="1:11">
      <c r="A19" s="629"/>
      <c r="B19" s="626"/>
      <c r="C19" s="627"/>
      <c r="D19" s="49"/>
      <c r="E19" s="49"/>
      <c r="F19" s="46"/>
      <c r="G19" s="626"/>
      <c r="H19" s="626"/>
      <c r="I19" s="626"/>
      <c r="J19" s="49"/>
      <c r="K19" s="628"/>
    </row>
    <row r="20" s="612" customFormat="1" customHeight="1" spans="1:11">
      <c r="A20" s="629"/>
      <c r="B20" s="626"/>
      <c r="C20" s="627"/>
      <c r="D20" s="49"/>
      <c r="E20" s="49"/>
      <c r="F20" s="46"/>
      <c r="G20" s="626"/>
      <c r="H20" s="626"/>
      <c r="I20" s="626"/>
      <c r="J20" s="49"/>
      <c r="K20" s="628"/>
    </row>
    <row r="21" s="612" customFormat="1" customHeight="1" spans="1:11">
      <c r="A21" s="46"/>
      <c r="B21" s="630"/>
      <c r="C21" s="627"/>
      <c r="D21" s="49"/>
      <c r="E21" s="49"/>
      <c r="F21" s="46"/>
      <c r="G21" s="626"/>
      <c r="H21" s="626"/>
      <c r="I21" s="626"/>
      <c r="J21" s="49"/>
      <c r="K21" s="628"/>
    </row>
    <row r="22" s="612" customFormat="1" customHeight="1" spans="1:11">
      <c r="A22" s="46"/>
      <c r="B22" s="630"/>
      <c r="C22" s="627"/>
      <c r="D22" s="49"/>
      <c r="E22" s="49"/>
      <c r="F22" s="46"/>
      <c r="G22" s="626"/>
      <c r="H22" s="626"/>
      <c r="I22" s="626"/>
      <c r="J22" s="49"/>
      <c r="K22" s="628"/>
    </row>
    <row r="23" s="612" customFormat="1" customHeight="1" spans="1:11">
      <c r="A23" s="46"/>
      <c r="B23" s="630"/>
      <c r="C23" s="627"/>
      <c r="D23" s="49"/>
      <c r="E23" s="49"/>
      <c r="F23" s="46"/>
      <c r="G23" s="626"/>
      <c r="H23" s="626"/>
      <c r="I23" s="626"/>
      <c r="J23" s="49"/>
      <c r="K23" s="628"/>
    </row>
    <row r="24" s="612" customFormat="1" customHeight="1" spans="1:11">
      <c r="A24" s="38" t="s">
        <v>618</v>
      </c>
      <c r="B24" s="631"/>
      <c r="C24" s="632"/>
      <c r="D24" s="631"/>
      <c r="E24" s="631"/>
      <c r="F24" s="633"/>
      <c r="G24" s="631"/>
      <c r="H24" s="631"/>
      <c r="I24" s="631"/>
      <c r="J24" s="634"/>
      <c r="K24" s="635"/>
    </row>
    <row r="25" s="612" customFormat="1" customHeight="1" spans="1:11">
      <c r="A25" s="46"/>
      <c r="B25" s="630"/>
      <c r="C25" s="627"/>
      <c r="D25" s="49"/>
      <c r="E25" s="49"/>
      <c r="F25" s="46"/>
      <c r="G25" s="626"/>
      <c r="H25" s="626"/>
      <c r="I25" s="626"/>
      <c r="J25" s="49"/>
      <c r="K25" s="628"/>
    </row>
    <row r="26" s="612" customFormat="1" customHeight="1" spans="1:11">
      <c r="A26" s="46"/>
      <c r="B26" s="630"/>
      <c r="C26" s="627"/>
      <c r="D26" s="49"/>
      <c r="E26" s="49"/>
      <c r="F26" s="46"/>
      <c r="G26" s="626"/>
      <c r="H26" s="626"/>
      <c r="I26" s="626"/>
      <c r="J26" s="49"/>
      <c r="K26" s="628"/>
    </row>
    <row r="27" s="612" customFormat="1" customHeight="1" spans="1:11">
      <c r="A27" s="46"/>
      <c r="B27" s="630"/>
      <c r="C27" s="627"/>
      <c r="D27" s="49"/>
      <c r="E27" s="49"/>
      <c r="F27" s="46"/>
      <c r="G27" s="626"/>
      <c r="H27" s="626"/>
      <c r="I27" s="626"/>
      <c r="J27" s="49"/>
      <c r="K27" s="628"/>
    </row>
    <row r="28" s="612" customFormat="1" customHeight="1" spans="1:11">
      <c r="A28" s="46"/>
      <c r="B28" s="630"/>
      <c r="C28" s="627"/>
      <c r="D28" s="49"/>
      <c r="E28" s="49"/>
      <c r="F28" s="46"/>
      <c r="G28" s="626"/>
      <c r="H28" s="626"/>
      <c r="I28" s="626"/>
      <c r="J28" s="49"/>
      <c r="K28" s="628"/>
    </row>
    <row r="29" s="612" customFormat="1" customHeight="1" spans="1:11">
      <c r="A29" s="46"/>
      <c r="B29" s="630"/>
      <c r="C29" s="627"/>
      <c r="D29" s="49"/>
      <c r="E29" s="49"/>
      <c r="F29" s="46"/>
      <c r="G29" s="626"/>
      <c r="H29" s="626"/>
      <c r="I29" s="626"/>
      <c r="J29" s="49"/>
      <c r="K29" s="628"/>
    </row>
    <row r="30" s="612" customFormat="1" customHeight="1" spans="1:11">
      <c r="A30" s="46"/>
      <c r="B30" s="630"/>
      <c r="C30" s="627"/>
      <c r="D30" s="49"/>
      <c r="E30" s="49"/>
      <c r="F30" s="46"/>
      <c r="G30" s="626"/>
      <c r="H30" s="626"/>
      <c r="I30" s="626"/>
      <c r="J30" s="49"/>
      <c r="K30" s="628"/>
    </row>
    <row r="31" s="612" customFormat="1" customHeight="1" spans="1:11">
      <c r="A31" s="46"/>
      <c r="B31" s="630"/>
      <c r="C31" s="627"/>
      <c r="D31" s="49"/>
      <c r="E31" s="49"/>
      <c r="F31" s="46"/>
      <c r="G31" s="626"/>
      <c r="H31" s="626"/>
      <c r="I31" s="626"/>
      <c r="J31" s="49"/>
      <c r="K31" s="628"/>
    </row>
    <row r="32" s="612" customFormat="1" customHeight="1" spans="1:11">
      <c r="A32" s="46"/>
      <c r="B32" s="630"/>
      <c r="C32" s="627"/>
      <c r="D32" s="49"/>
      <c r="E32" s="49"/>
      <c r="F32" s="46"/>
      <c r="G32" s="626"/>
      <c r="H32" s="626"/>
      <c r="I32" s="626"/>
      <c r="J32" s="49"/>
      <c r="K32" s="628"/>
    </row>
    <row r="33" s="612" customFormat="1" customHeight="1" spans="1:11">
      <c r="A33" s="46"/>
      <c r="B33" s="630"/>
      <c r="C33" s="627"/>
      <c r="D33" s="49"/>
      <c r="E33" s="49"/>
      <c r="F33" s="46"/>
      <c r="G33" s="626"/>
      <c r="H33" s="626"/>
      <c r="I33" s="626"/>
      <c r="J33" s="49"/>
      <c r="K33" s="628"/>
    </row>
    <row r="34" s="612" customFormat="1" customHeight="1" spans="1:11">
      <c r="A34" s="636"/>
      <c r="B34" s="630"/>
      <c r="C34" s="627"/>
      <c r="D34" s="49"/>
      <c r="E34" s="49"/>
      <c r="F34" s="46"/>
      <c r="G34" s="626"/>
      <c r="H34" s="626"/>
      <c r="I34" s="626"/>
      <c r="J34" s="49"/>
      <c r="K34" s="628"/>
    </row>
    <row r="35" customHeight="1" spans="1:11">
      <c r="A35" s="636"/>
      <c r="B35" s="626"/>
      <c r="C35" s="627"/>
      <c r="D35" s="49"/>
      <c r="E35" s="49"/>
      <c r="F35" s="46"/>
      <c r="G35" s="626"/>
      <c r="H35" s="626"/>
      <c r="I35" s="626"/>
      <c r="J35" s="49"/>
      <c r="K35" s="628"/>
    </row>
    <row r="36" s="613" customFormat="1" customHeight="1" spans="1:11">
      <c r="A36" s="637" t="s">
        <v>278</v>
      </c>
      <c r="B36" s="638"/>
      <c r="C36" s="638"/>
      <c r="D36" s="638"/>
      <c r="E36" s="638"/>
      <c r="F36" s="638"/>
      <c r="G36" s="638"/>
      <c r="H36" s="638"/>
      <c r="I36" s="638"/>
      <c r="J36" s="638"/>
      <c r="K36" s="638"/>
    </row>
    <row r="37" s="613" customFormat="1" customHeight="1" spans="1:11">
      <c r="B37" s="639"/>
      <c r="C37" s="639"/>
      <c r="D37" s="639"/>
      <c r="E37" s="639"/>
      <c r="F37" s="639"/>
      <c r="G37" s="639"/>
      <c r="H37" s="639"/>
      <c r="I37" s="639"/>
      <c r="J37" s="639"/>
      <c r="K37" s="639"/>
    </row>
    <row r="38" s="613" customFormat="1" customHeight="1" spans="1:11">
      <c r="B38" s="639"/>
      <c r="C38" s="639"/>
      <c r="D38" s="639"/>
      <c r="E38" s="639"/>
      <c r="F38" s="639"/>
      <c r="G38" s="639"/>
      <c r="H38" s="639"/>
      <c r="I38" s="639"/>
      <c r="J38" s="639"/>
      <c r="K38" s="639"/>
    </row>
    <row r="39" s="613" customFormat="1" customHeight="1" spans="1:11">
      <c r="A39" s="639"/>
      <c r="B39" s="639"/>
      <c r="C39" s="639"/>
      <c r="D39" s="639"/>
      <c r="E39" s="639"/>
      <c r="F39" s="639"/>
      <c r="G39" s="639"/>
      <c r="H39" s="639"/>
      <c r="I39" s="639"/>
      <c r="J39" s="639"/>
      <c r="K39" s="639"/>
    </row>
    <row r="40" s="613" customFormat="1" customHeight="1" spans="1:11">
      <c r="A40" s="613" t="s">
        <v>280</v>
      </c>
      <c r="B40" s="639"/>
      <c r="C40" s="639"/>
      <c r="D40" s="639"/>
      <c r="E40" s="639"/>
      <c r="F40" s="639"/>
      <c r="G40" s="639"/>
      <c r="H40" s="639"/>
      <c r="I40" s="639"/>
      <c r="J40" s="639"/>
      <c r="K40" s="639"/>
    </row>
    <row r="41" s="613" customFormat="1" customHeight="1" spans="1:11">
      <c r="A41" s="639"/>
      <c r="B41" s="639"/>
      <c r="C41" s="639"/>
      <c r="D41" s="639"/>
      <c r="E41" s="639"/>
      <c r="F41" s="639"/>
      <c r="G41" s="639"/>
      <c r="H41" s="639"/>
      <c r="I41" s="639"/>
      <c r="J41" s="639"/>
      <c r="K41" s="639"/>
    </row>
    <row r="42" customHeight="1" spans="1:11">
      <c r="A42" s="640" t="s">
        <v>619</v>
      </c>
    </row>
    <row r="43" customHeight="1" spans="1:11">
      <c r="A43" s="641" t="s">
        <v>620</v>
      </c>
    </row>
  </sheetData>
  <mergeCells count="6">
    <mergeCell ref="A1:K1"/>
    <mergeCell ref="A2:K2"/>
    <mergeCell ref="A8:K8"/>
    <mergeCell ref="A10:K10"/>
    <mergeCell ref="A11:E11"/>
    <mergeCell ref="F11:J11"/>
  </mergeCells>
  <hyperlinks>
    <hyperlink ref="K3" location="底稿目录!A1" display="='D:\GT_plan\backend\wp_templates\D\[D4-13至D4-20主营业务收入-检查（Leap应对措施-检查）.xlsx]底稿目录'!F8"/>
  </hyperlinks>
  <pageMargins left="0.708333333333333" right="0.708333333333333" top="0.747916666666667" bottom="0.747916666666667" header="0.314583333333333" footer="0.314583333333333"/>
  <pageSetup paperSize="9" scale="75" orientation="portrait" blackAndWhite="1"/>
  <headerFooter>
    <oddFooter>&amp;C&amp;P/&amp;N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view="pageBreakPreview" zoomScaleNormal="100" workbookViewId="0">
      <selection activeCell="A1" sqref="A1:O1"/>
    </sheetView>
  </sheetViews>
  <sheetFormatPr defaultColWidth="9.81818181818182" defaultRowHeight="20.1" customHeight="1"/>
  <cols>
    <col min="1" max="1" width="16.8454545454545" style="260" customWidth="1"/>
    <col min="2" max="2" width="15.3909090909091" style="260" customWidth="1"/>
    <col min="3" max="3" width="15.1454545454545" style="260" customWidth="1"/>
    <col min="4" max="4" width="16.3636363636364" style="260" customWidth="1"/>
    <col min="5" max="5" width="9.45454545454546" style="260" customWidth="1"/>
    <col min="6" max="6" width="10.6636363636364" style="260" customWidth="1"/>
    <col min="7" max="8" width="9.81818181818182" style="260"/>
    <col min="9" max="9" width="11.2727272727273" style="260" customWidth="1"/>
    <col min="10" max="16384" width="9.81818181818182" style="260"/>
  </cols>
  <sheetData>
    <row r="1" customHeight="1" spans="1:16">
      <c r="A1" s="524" t="s">
        <v>27</v>
      </c>
      <c r="B1" s="524"/>
      <c r="C1" s="524"/>
      <c r="D1" s="524"/>
      <c r="E1" s="524"/>
      <c r="F1" s="524"/>
      <c r="G1" s="524"/>
      <c r="H1" s="524"/>
      <c r="I1" s="524"/>
      <c r="J1" s="524"/>
      <c r="K1" s="524"/>
      <c r="L1" s="524"/>
      <c r="M1" s="524"/>
      <c r="N1" s="524"/>
      <c r="O1" s="524"/>
    </row>
    <row r="2" customHeight="1" spans="1:16">
      <c r="A2" s="525" t="s">
        <v>543</v>
      </c>
      <c r="B2" s="525"/>
      <c r="C2" s="525"/>
      <c r="D2" s="525"/>
      <c r="E2" s="525"/>
      <c r="F2" s="525"/>
      <c r="G2" s="525"/>
      <c r="H2" s="525"/>
      <c r="I2" s="525"/>
      <c r="J2" s="525"/>
      <c r="K2" s="525"/>
      <c r="L2" s="525"/>
      <c r="M2" s="525"/>
      <c r="N2" s="525"/>
      <c r="O2" s="525"/>
    </row>
    <row r="3" customHeight="1" spans="1:16">
      <c r="A3" s="583" t="str">
        <f>[13]底稿目录!A2</f>
        <v>被审计单位：</v>
      </c>
      <c r="C3" s="584"/>
      <c r="E3" s="584" t="str">
        <f>[13]底稿目录!A4</f>
        <v>编制人：</v>
      </c>
      <c r="I3" s="583" t="str">
        <f>[13]底稿目录!A5</f>
        <v>编制日期：</v>
      </c>
      <c r="N3" s="585" t="s">
        <v>29</v>
      </c>
      <c r="O3" s="528" t="str">
        <f>[13]底稿目录!F9</f>
        <v>D4-19</v>
      </c>
    </row>
    <row r="4" customHeight="1" spans="1:16">
      <c r="A4" s="583" t="str">
        <f>[13]底稿目录!A3</f>
        <v>会计期间：202X年度</v>
      </c>
      <c r="C4" s="584"/>
      <c r="E4" s="584" t="str">
        <f>[13]底稿目录!A6</f>
        <v>复核人：</v>
      </c>
      <c r="I4" s="583" t="str">
        <f>[13]底稿目录!A7</f>
        <v>复核日期：</v>
      </c>
      <c r="N4" s="585" t="s">
        <v>622</v>
      </c>
    </row>
    <row r="5" s="168" customFormat="1" customHeight="1" spans="1:16">
      <c r="A5" s="20" t="s">
        <v>252</v>
      </c>
    </row>
    <row r="6" s="168" customFormat="1" customHeight="1" spans="1:16">
      <c r="A6" s="586" t="s">
        <v>623</v>
      </c>
    </row>
    <row r="7" s="168" customFormat="1" customHeight="1" spans="1:16">
      <c r="A7" s="20" t="s">
        <v>254</v>
      </c>
    </row>
    <row r="8" s="168" customFormat="1" customHeight="1" spans="1:16">
      <c r="A8" s="383" t="s">
        <v>624</v>
      </c>
      <c r="B8" s="586"/>
      <c r="C8" s="173"/>
      <c r="D8" s="173"/>
    </row>
    <row r="9" s="168" customFormat="1" customHeight="1" spans="1:16">
      <c r="A9" s="180" t="s">
        <v>310</v>
      </c>
      <c r="B9" s="586"/>
      <c r="C9" s="173"/>
      <c r="D9" s="173"/>
      <c r="I9" s="173"/>
      <c r="J9" s="586"/>
    </row>
    <row r="10" s="168" customFormat="1" customHeight="1" spans="1:16">
      <c r="A10" s="20"/>
    </row>
    <row r="11" customHeight="1" spans="1:16">
      <c r="A11" s="587" t="s">
        <v>425</v>
      </c>
      <c r="B11" s="588" t="s">
        <v>625</v>
      </c>
      <c r="C11" s="588" t="s">
        <v>626</v>
      </c>
      <c r="D11" s="588" t="s">
        <v>627</v>
      </c>
      <c r="E11" s="588" t="s">
        <v>628</v>
      </c>
      <c r="F11" s="588" t="s">
        <v>629</v>
      </c>
      <c r="G11" s="587" t="s">
        <v>566</v>
      </c>
      <c r="H11" s="587"/>
      <c r="I11" s="587"/>
      <c r="J11" s="587"/>
      <c r="K11" s="587"/>
      <c r="L11" s="587"/>
      <c r="M11" s="587" t="s">
        <v>630</v>
      </c>
      <c r="N11" s="587"/>
      <c r="O11" s="587" t="s">
        <v>276</v>
      </c>
    </row>
    <row r="12" customHeight="1" spans="1:16">
      <c r="A12" s="587"/>
      <c r="B12" s="588"/>
      <c r="C12" s="588"/>
      <c r="D12" s="588"/>
      <c r="E12" s="587"/>
      <c r="F12" s="587"/>
      <c r="G12" s="587" t="s">
        <v>576</v>
      </c>
      <c r="H12" s="587" t="s">
        <v>577</v>
      </c>
      <c r="I12" s="587" t="s">
        <v>631</v>
      </c>
      <c r="J12" s="587" t="s">
        <v>632</v>
      </c>
      <c r="K12" s="587" t="s">
        <v>633</v>
      </c>
      <c r="L12" s="587" t="s">
        <v>634</v>
      </c>
      <c r="M12" s="587" t="s">
        <v>576</v>
      </c>
      <c r="N12" s="587" t="s">
        <v>635</v>
      </c>
      <c r="O12" s="587"/>
    </row>
    <row r="13" customHeight="1" spans="1:16">
      <c r="A13" s="589"/>
      <c r="B13" s="590"/>
      <c r="C13" s="591"/>
      <c r="D13" s="591"/>
      <c r="E13" s="592"/>
      <c r="F13" s="590"/>
      <c r="G13" s="593"/>
      <c r="H13" s="594"/>
      <c r="I13" s="589"/>
      <c r="J13" s="589"/>
      <c r="K13" s="595"/>
      <c r="L13" s="595"/>
      <c r="M13" s="593"/>
      <c r="N13" s="596"/>
      <c r="O13" s="590"/>
      <c r="P13" s="260" t="s">
        <v>636</v>
      </c>
    </row>
    <row r="14" customHeight="1" spans="1:16">
      <c r="A14" s="589"/>
      <c r="B14" s="590"/>
      <c r="C14" s="591"/>
      <c r="D14" s="591"/>
      <c r="E14" s="592"/>
      <c r="F14" s="590"/>
      <c r="G14" s="593"/>
      <c r="H14" s="594"/>
      <c r="I14" s="589"/>
      <c r="J14" s="589"/>
      <c r="K14" s="595"/>
      <c r="L14" s="595"/>
      <c r="M14" s="593"/>
      <c r="N14" s="596"/>
      <c r="O14" s="590"/>
      <c r="P14" s="260" t="s">
        <v>637</v>
      </c>
    </row>
    <row r="15" customHeight="1" spans="1:16">
      <c r="A15" s="589"/>
      <c r="B15" s="590"/>
      <c r="C15" s="597"/>
      <c r="D15" s="591"/>
      <c r="E15" s="592"/>
      <c r="F15" s="590"/>
      <c r="G15" s="593"/>
      <c r="H15" s="594"/>
      <c r="I15" s="589"/>
      <c r="J15" s="589"/>
      <c r="K15" s="595"/>
      <c r="L15" s="595"/>
      <c r="M15" s="593"/>
      <c r="N15" s="596"/>
      <c r="O15" s="590"/>
      <c r="P15" s="260" t="s">
        <v>638</v>
      </c>
    </row>
    <row r="16" customHeight="1" spans="1:16">
      <c r="A16" s="589"/>
      <c r="B16" s="590"/>
      <c r="C16" s="597"/>
      <c r="D16" s="591"/>
      <c r="E16" s="592"/>
      <c r="F16" s="590"/>
      <c r="G16" s="593"/>
      <c r="H16" s="594"/>
      <c r="I16" s="589"/>
      <c r="J16" s="589"/>
      <c r="K16" s="595"/>
      <c r="L16" s="595"/>
      <c r="M16" s="593"/>
      <c r="N16" s="596"/>
      <c r="O16" s="590"/>
      <c r="P16" s="260" t="s">
        <v>639</v>
      </c>
    </row>
    <row r="17" customHeight="1" spans="1:15">
      <c r="A17" s="589"/>
      <c r="B17" s="590"/>
      <c r="C17" s="591"/>
      <c r="D17" s="591"/>
      <c r="E17" s="592"/>
      <c r="F17" s="590"/>
      <c r="G17" s="593"/>
      <c r="H17" s="594"/>
      <c r="I17" s="589"/>
      <c r="J17" s="589"/>
      <c r="K17" s="595"/>
      <c r="L17" s="595"/>
      <c r="M17" s="593"/>
      <c r="N17" s="596"/>
      <c r="O17" s="590"/>
    </row>
    <row r="18" customHeight="1" spans="1:15">
      <c r="A18" s="589"/>
      <c r="B18" s="590"/>
      <c r="C18" s="591"/>
      <c r="D18" s="591"/>
      <c r="E18" s="592"/>
      <c r="F18" s="590"/>
      <c r="G18" s="593"/>
      <c r="H18" s="594"/>
      <c r="I18" s="589"/>
      <c r="J18" s="589"/>
      <c r="K18" s="595"/>
      <c r="L18" s="595"/>
      <c r="M18" s="593"/>
      <c r="N18" s="596"/>
      <c r="O18" s="590"/>
    </row>
    <row r="19" customHeight="1" spans="1:15">
      <c r="A19" s="589"/>
      <c r="B19" s="590"/>
      <c r="C19" s="591"/>
      <c r="D19" s="591"/>
      <c r="E19" s="592"/>
      <c r="F19" s="590"/>
      <c r="G19" s="593"/>
      <c r="H19" s="594"/>
      <c r="I19" s="589"/>
      <c r="J19" s="589"/>
      <c r="K19" s="595"/>
      <c r="L19" s="595"/>
      <c r="M19" s="593"/>
      <c r="N19" s="596"/>
      <c r="O19" s="590"/>
    </row>
    <row r="20" customHeight="1" spans="1:15">
      <c r="A20" s="589"/>
      <c r="B20" s="590"/>
      <c r="C20" s="591"/>
      <c r="D20" s="591"/>
      <c r="E20" s="592"/>
      <c r="F20" s="590"/>
      <c r="G20" s="593"/>
      <c r="H20" s="594"/>
      <c r="I20" s="589"/>
      <c r="J20" s="589"/>
      <c r="K20" s="595"/>
      <c r="L20" s="595"/>
      <c r="M20" s="593"/>
      <c r="N20" s="596"/>
      <c r="O20" s="590"/>
    </row>
    <row r="21" customHeight="1" spans="1:15">
      <c r="A21" s="589"/>
      <c r="B21" s="590"/>
      <c r="C21" s="591"/>
      <c r="D21" s="591"/>
      <c r="E21" s="592"/>
      <c r="F21" s="590"/>
      <c r="G21" s="593"/>
      <c r="H21" s="594"/>
      <c r="I21" s="589"/>
      <c r="J21" s="589"/>
      <c r="K21" s="595"/>
      <c r="L21" s="595"/>
      <c r="M21" s="593"/>
      <c r="N21" s="596"/>
      <c r="O21" s="590"/>
    </row>
    <row r="22" customHeight="1" spans="1:15">
      <c r="A22" s="589"/>
      <c r="B22" s="590"/>
      <c r="C22" s="591"/>
      <c r="D22" s="591"/>
      <c r="E22" s="592"/>
      <c r="F22" s="590"/>
      <c r="G22" s="593"/>
      <c r="H22" s="594"/>
      <c r="I22" s="589"/>
      <c r="J22" s="589"/>
      <c r="K22" s="595"/>
      <c r="L22" s="595"/>
      <c r="M22" s="593"/>
      <c r="N22" s="596"/>
      <c r="O22" s="590"/>
    </row>
    <row r="23" customHeight="1" spans="1:15">
      <c r="A23" s="589"/>
      <c r="B23" s="590"/>
      <c r="C23" s="591"/>
      <c r="D23" s="591"/>
      <c r="E23" s="592"/>
      <c r="F23" s="590"/>
      <c r="G23" s="593"/>
      <c r="H23" s="594"/>
      <c r="I23" s="589"/>
      <c r="J23" s="589"/>
      <c r="K23" s="595"/>
      <c r="L23" s="595"/>
      <c r="M23" s="593"/>
      <c r="N23" s="596"/>
      <c r="O23" s="590"/>
    </row>
    <row r="24" s="168" customFormat="1" customHeight="1" spans="1:15">
      <c r="A24" s="193" t="s">
        <v>278</v>
      </c>
      <c r="B24" s="176"/>
      <c r="C24" s="176"/>
      <c r="D24" s="598"/>
      <c r="E24" s="598"/>
      <c r="F24" s="598"/>
      <c r="G24" s="598"/>
      <c r="I24" s="599"/>
      <c r="J24" s="599"/>
      <c r="K24" s="600"/>
      <c r="L24" s="600"/>
      <c r="M24" s="600"/>
      <c r="N24" s="600"/>
      <c r="O24" s="598"/>
    </row>
    <row r="25" s="168" customFormat="1" customHeight="1" spans="1:15">
      <c r="B25" s="601"/>
      <c r="C25" s="601"/>
      <c r="D25" s="601"/>
      <c r="E25" s="601"/>
      <c r="F25" s="601"/>
      <c r="G25" s="601"/>
    </row>
    <row r="26" s="168" customFormat="1" customHeight="1" spans="1:15">
      <c r="A26" s="193"/>
      <c r="B26" s="602"/>
      <c r="C26" s="602"/>
      <c r="D26" s="602"/>
      <c r="E26" s="602"/>
      <c r="F26" s="602"/>
      <c r="G26" s="602"/>
    </row>
    <row r="27" s="168" customFormat="1" customHeight="1" spans="1:15">
      <c r="A27" s="603"/>
      <c r="B27" s="604"/>
      <c r="C27" s="604"/>
      <c r="D27" s="604"/>
      <c r="E27" s="604"/>
      <c r="F27" s="604"/>
      <c r="G27" s="604"/>
    </row>
    <row r="28" s="168" customFormat="1" customHeight="1" spans="1:15">
      <c r="A28" s="193" t="s">
        <v>280</v>
      </c>
      <c r="B28" s="604"/>
      <c r="C28" s="604"/>
      <c r="D28" s="604"/>
      <c r="E28" s="604"/>
      <c r="F28" s="604"/>
      <c r="G28" s="604"/>
    </row>
    <row r="29" s="168" customFormat="1" customHeight="1" spans="1:15">
      <c r="A29" s="605"/>
      <c r="B29" s="604"/>
      <c r="C29" s="604"/>
      <c r="D29" s="604"/>
      <c r="E29" s="604"/>
      <c r="F29" s="604"/>
      <c r="G29" s="604"/>
    </row>
    <row r="30" ht="49.5" customHeight="1" spans="1:15">
      <c r="A30" s="606" t="s">
        <v>640</v>
      </c>
      <c r="B30" s="606"/>
      <c r="C30" s="606"/>
      <c r="D30" s="606"/>
      <c r="E30" s="606"/>
      <c r="F30" s="606"/>
      <c r="G30" s="606"/>
      <c r="H30" s="606"/>
      <c r="I30" s="606"/>
      <c r="J30" s="606"/>
      <c r="K30" s="606"/>
      <c r="L30" s="606"/>
      <c r="M30" s="606"/>
      <c r="N30" s="606"/>
      <c r="O30" s="606"/>
    </row>
    <row r="31" customHeight="1" spans="1:15">
      <c r="A31" s="607"/>
      <c r="B31" s="608"/>
      <c r="C31" s="608"/>
      <c r="D31" s="608"/>
      <c r="E31" s="608"/>
      <c r="F31" s="608"/>
      <c r="G31" s="608"/>
      <c r="H31" s="609"/>
      <c r="I31" s="609"/>
      <c r="J31" s="609"/>
      <c r="K31" s="609"/>
      <c r="L31" s="609"/>
      <c r="M31" s="609"/>
      <c r="N31" s="609"/>
      <c r="O31" s="609"/>
    </row>
    <row r="32" customHeight="1" spans="1:15">
      <c r="A32" s="607"/>
      <c r="B32" s="608"/>
      <c r="C32" s="608"/>
      <c r="D32" s="608"/>
      <c r="E32" s="608"/>
      <c r="F32" s="608"/>
      <c r="G32" s="608"/>
      <c r="H32" s="609"/>
      <c r="I32" s="609"/>
      <c r="J32" s="609"/>
      <c r="K32" s="609"/>
      <c r="L32" s="609"/>
      <c r="M32" s="609"/>
      <c r="N32" s="609"/>
      <c r="O32" s="609"/>
    </row>
    <row r="33" customHeight="1" spans="1:1">
      <c r="A33" s="610"/>
    </row>
    <row r="36" customHeight="1" spans="1:1">
      <c r="A36" s="610"/>
    </row>
  </sheetData>
  <mergeCells count="12">
    <mergeCell ref="A1:O1"/>
    <mergeCell ref="A2:O2"/>
    <mergeCell ref="G11:L11"/>
    <mergeCell ref="M11:N11"/>
    <mergeCell ref="A30:O30"/>
    <mergeCell ref="A11:A12"/>
    <mergeCell ref="B11:B12"/>
    <mergeCell ref="C11:C12"/>
    <mergeCell ref="D11:D12"/>
    <mergeCell ref="E11:E12"/>
    <mergeCell ref="F11:F12"/>
    <mergeCell ref="O11:O12"/>
  </mergeCells>
  <dataValidations count="1">
    <dataValidation type="list" allowBlank="1" showInputMessage="1" showErrorMessage="1" sqref="B13:B23">
      <formula1>$P$13:$P$16</formula1>
    </dataValidation>
  </dataValidations>
  <hyperlinks>
    <hyperlink ref="O3" location="底稿目录!A1" display="='D:\GT_plan\backend\wp_templates\D\[D4-13至D4-20主营业务收入-检查（Leap应对措施-检查）.xlsx]底稿目录'!F9"/>
  </hyperlinks>
  <pageMargins left="0.708333333333333" right="0.708333333333333" top="0.747916666666667" bottom="0.747916666666667" header="0.314583333333333" footer="0.314583333333333"/>
  <pageSetup paperSize="9" scale="80" orientation="landscape" blackAndWhite="1"/>
  <headerFooter>
    <oddFooter>&amp;C&amp;P/&amp;N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
  <sheetViews>
    <sheetView view="pageBreakPreview" zoomScaleNormal="100" workbookViewId="0">
      <selection activeCell="A1" sqref="A1:O1"/>
    </sheetView>
  </sheetViews>
  <sheetFormatPr defaultColWidth="9.81818181818182" defaultRowHeight="20.1" customHeight="1"/>
  <cols>
    <col min="1" max="1" width="13.2090909090909" style="523" customWidth="1"/>
    <col min="2" max="2" width="11.7545454545455" style="523" customWidth="1"/>
    <col min="3" max="3" width="14.9090909090909" style="523" customWidth="1"/>
    <col min="4" max="4" width="13.5727272727273" style="523" customWidth="1"/>
    <col min="5" max="5" width="14.5454545454545" style="523" customWidth="1"/>
    <col min="6" max="6" width="11.7545454545455" style="523" customWidth="1"/>
    <col min="7" max="7" width="14.1818181818182" style="523" customWidth="1"/>
    <col min="8" max="8" width="13.9363636363636" style="523" customWidth="1"/>
    <col min="9" max="16384" width="9.81818181818182" style="523"/>
  </cols>
  <sheetData>
    <row r="1" customHeight="1" spans="1:15">
      <c r="A1" s="524" t="s">
        <v>27</v>
      </c>
      <c r="B1" s="524"/>
      <c r="C1" s="524"/>
      <c r="D1" s="524"/>
      <c r="E1" s="524"/>
      <c r="F1" s="524"/>
      <c r="G1" s="524"/>
      <c r="H1" s="524"/>
      <c r="I1" s="524"/>
      <c r="J1" s="524"/>
      <c r="K1" s="524"/>
      <c r="L1" s="524"/>
      <c r="M1" s="524"/>
      <c r="N1" s="524"/>
      <c r="O1" s="524"/>
    </row>
    <row r="2" customHeight="1" spans="1:15">
      <c r="A2" s="525" t="s">
        <v>641</v>
      </c>
      <c r="B2" s="525"/>
      <c r="C2" s="525"/>
      <c r="D2" s="525"/>
      <c r="E2" s="525"/>
      <c r="F2" s="525"/>
      <c r="G2" s="525"/>
      <c r="H2" s="525"/>
      <c r="I2" s="525"/>
      <c r="J2" s="525"/>
      <c r="K2" s="525"/>
      <c r="L2" s="525"/>
      <c r="M2" s="525"/>
      <c r="N2" s="525"/>
      <c r="O2" s="525"/>
    </row>
    <row r="3" customHeight="1" spans="1:15">
      <c r="A3" s="263" t="str">
        <f>[13]底稿目录!A2</f>
        <v>被审计单位：</v>
      </c>
      <c r="F3" s="264" t="str">
        <f>[13]底稿目录!A4</f>
        <v>编制人：</v>
      </c>
      <c r="J3" s="526" t="str">
        <f>[13]底稿目录!A5</f>
        <v>编制日期：</v>
      </c>
      <c r="N3" s="527" t="s">
        <v>29</v>
      </c>
      <c r="O3" s="528" t="str">
        <f>[13]底稿目录!F10</f>
        <v>D4-20</v>
      </c>
    </row>
    <row r="4" customHeight="1" spans="1:15">
      <c r="A4" s="263" t="str">
        <f>[13]底稿目录!A3</f>
        <v>会计期间：202X年度</v>
      </c>
      <c r="F4" s="264" t="str">
        <f>[13]底稿目录!A6</f>
        <v>复核人：</v>
      </c>
      <c r="J4" s="526" t="str">
        <f>[13]底稿目录!A7</f>
        <v>复核日期：</v>
      </c>
      <c r="N4" s="527" t="s">
        <v>129</v>
      </c>
    </row>
    <row r="5" s="522" customFormat="1" customHeight="1" spans="1:15">
      <c r="A5" s="430" t="s">
        <v>642</v>
      </c>
      <c r="B5" s="529"/>
      <c r="C5" s="530"/>
      <c r="E5" s="530"/>
      <c r="F5" s="531"/>
      <c r="G5" s="532"/>
    </row>
    <row r="6" s="522" customFormat="1" customHeight="1" spans="1:15">
      <c r="A6" s="21" t="s">
        <v>613</v>
      </c>
      <c r="B6" s="533"/>
      <c r="C6" s="533"/>
      <c r="D6" s="498"/>
      <c r="F6" s="533"/>
      <c r="G6" s="533"/>
      <c r="H6" s="533"/>
    </row>
    <row r="7" s="522" customFormat="1" customHeight="1" spans="1:15">
      <c r="A7" s="534" t="s">
        <v>604</v>
      </c>
      <c r="B7" s="530"/>
      <c r="C7" s="530"/>
      <c r="D7" s="530"/>
      <c r="E7" s="530"/>
      <c r="F7" s="439"/>
      <c r="G7" s="439"/>
    </row>
    <row r="8" s="522" customFormat="1" customHeight="1" spans="1:15">
      <c r="A8" s="534" t="s">
        <v>643</v>
      </c>
      <c r="B8" s="535"/>
      <c r="C8" s="535"/>
      <c r="D8" s="535"/>
      <c r="E8" s="535"/>
      <c r="F8" s="535"/>
      <c r="G8" s="535"/>
    </row>
    <row r="9" s="522" customFormat="1" customHeight="1" spans="1:15">
      <c r="A9" s="534"/>
      <c r="B9" s="535"/>
      <c r="C9" s="535"/>
      <c r="D9" s="535"/>
      <c r="E9" s="535"/>
      <c r="F9" s="535"/>
      <c r="G9" s="535"/>
    </row>
    <row r="10" s="522" customFormat="1" customHeight="1" spans="1:15">
      <c r="A10" s="534"/>
      <c r="B10" s="535"/>
      <c r="C10" s="535"/>
      <c r="D10" s="535"/>
      <c r="E10" s="535"/>
      <c r="F10" s="535"/>
      <c r="G10" s="535"/>
    </row>
    <row r="11" s="522" customFormat="1" customHeight="1" spans="1:15">
      <c r="A11" s="534" t="s">
        <v>644</v>
      </c>
      <c r="C11" s="535"/>
      <c r="D11" s="535"/>
      <c r="E11" s="535"/>
      <c r="F11" s="535"/>
      <c r="G11" s="535"/>
    </row>
    <row r="12" s="522" customFormat="1" customHeight="1" spans="1:15">
      <c r="A12" s="536" t="s">
        <v>645</v>
      </c>
      <c r="C12" s="535"/>
      <c r="D12" s="535"/>
      <c r="E12" s="535"/>
      <c r="F12" s="535"/>
      <c r="G12" s="535"/>
    </row>
    <row r="13" customHeight="1" spans="1:15">
      <c r="A13" s="537" t="s">
        <v>646</v>
      </c>
      <c r="B13" s="538" t="s">
        <v>647</v>
      </c>
      <c r="C13" s="538"/>
      <c r="D13" s="538"/>
      <c r="E13" s="538" t="s">
        <v>648</v>
      </c>
      <c r="F13" s="538"/>
      <c r="G13" s="538"/>
    </row>
    <row r="14" customHeight="1" spans="1:15">
      <c r="A14" s="537"/>
      <c r="B14" s="538" t="s">
        <v>649</v>
      </c>
      <c r="C14" s="537" t="s">
        <v>626</v>
      </c>
      <c r="D14" s="537" t="s">
        <v>650</v>
      </c>
      <c r="E14" s="538" t="s">
        <v>649</v>
      </c>
      <c r="F14" s="537" t="s">
        <v>626</v>
      </c>
      <c r="G14" s="537" t="s">
        <v>650</v>
      </c>
    </row>
    <row r="15" customHeight="1" spans="1:15">
      <c r="A15" s="539" t="s">
        <v>651</v>
      </c>
      <c r="B15" s="540"/>
      <c r="C15" s="541"/>
      <c r="D15" s="542" t="e">
        <f t="shared" ref="D15:D17" si="0">B15/C15</f>
        <v>#DIV/0!</v>
      </c>
      <c r="E15" s="540"/>
      <c r="F15" s="541"/>
      <c r="G15" s="542" t="e">
        <f t="shared" ref="G15:G17" si="1">E15/F15</f>
        <v>#DIV/0!</v>
      </c>
    </row>
    <row r="16" customHeight="1" spans="1:15">
      <c r="A16" s="539" t="s">
        <v>652</v>
      </c>
      <c r="B16" s="540"/>
      <c r="C16" s="541"/>
      <c r="D16" s="542" t="e">
        <f t="shared" si="0"/>
        <v>#DIV/0!</v>
      </c>
      <c r="E16" s="540"/>
      <c r="F16" s="541"/>
      <c r="G16" s="542" t="e">
        <f t="shared" si="1"/>
        <v>#DIV/0!</v>
      </c>
    </row>
    <row r="17" customHeight="1" spans="1:15">
      <c r="A17" s="543" t="s">
        <v>140</v>
      </c>
      <c r="B17" s="544">
        <f t="shared" ref="B17:F17" si="2">B16+B15</f>
        <v>0</v>
      </c>
      <c r="C17" s="544">
        <f t="shared" si="2"/>
        <v>0</v>
      </c>
      <c r="D17" s="542" t="e">
        <f t="shared" si="0"/>
        <v>#DIV/0!</v>
      </c>
      <c r="E17" s="544">
        <f t="shared" si="2"/>
        <v>0</v>
      </c>
      <c r="F17" s="544">
        <f t="shared" si="2"/>
        <v>0</v>
      </c>
      <c r="G17" s="542" t="e">
        <f t="shared" si="1"/>
        <v>#DIV/0!</v>
      </c>
    </row>
    <row r="18" s="522" customFormat="1" customHeight="1" spans="1:15">
      <c r="C18" s="535"/>
      <c r="D18" s="535"/>
      <c r="E18" s="535"/>
      <c r="F18" s="535"/>
      <c r="G18" s="535"/>
    </row>
    <row r="19" s="522" customFormat="1" customHeight="1" spans="1:15">
      <c r="A19" s="534" t="s">
        <v>653</v>
      </c>
      <c r="B19" s="535"/>
      <c r="C19" s="535"/>
      <c r="D19" s="535"/>
      <c r="E19" s="535"/>
      <c r="F19" s="535"/>
      <c r="G19" s="535"/>
    </row>
    <row r="20" s="522" customFormat="1" customHeight="1" spans="1:15">
      <c r="A20" s="545" t="s">
        <v>654</v>
      </c>
      <c r="B20" s="535"/>
      <c r="C20" s="535"/>
      <c r="D20" s="535"/>
      <c r="E20" s="535"/>
      <c r="F20" s="535"/>
      <c r="G20" s="535"/>
    </row>
    <row r="21" s="522" customFormat="1" customHeight="1" spans="1:15">
      <c r="A21" s="545"/>
      <c r="B21" s="535"/>
      <c r="C21" s="535"/>
      <c r="D21" s="535"/>
      <c r="E21" s="535"/>
      <c r="F21" s="535"/>
      <c r="G21" s="535"/>
    </row>
    <row r="22" s="522" customFormat="1" customHeight="1" spans="1:15">
      <c r="A22" s="545" t="s">
        <v>655</v>
      </c>
      <c r="B22" s="535"/>
      <c r="C22" s="535"/>
      <c r="D22" s="535"/>
      <c r="E22" s="535"/>
      <c r="F22" s="535"/>
      <c r="G22" s="535"/>
    </row>
    <row r="23" s="522" customFormat="1" customHeight="1" spans="1:15">
      <c r="A23" s="534" t="s">
        <v>656</v>
      </c>
      <c r="B23" s="535"/>
      <c r="C23" s="535"/>
      <c r="D23" s="535"/>
      <c r="E23" s="535"/>
      <c r="F23" s="535"/>
      <c r="G23" s="535"/>
    </row>
    <row r="24" customHeight="1" spans="1:15">
      <c r="A24" s="537" t="s">
        <v>403</v>
      </c>
      <c r="B24" s="537" t="s">
        <v>657</v>
      </c>
      <c r="C24" s="537" t="s">
        <v>658</v>
      </c>
      <c r="D24" s="537" t="s">
        <v>659</v>
      </c>
      <c r="E24" s="537" t="s">
        <v>660</v>
      </c>
      <c r="F24" s="537" t="s">
        <v>661</v>
      </c>
      <c r="G24" s="537" t="s">
        <v>452</v>
      </c>
    </row>
    <row r="25" customHeight="1" spans="1:15">
      <c r="A25" s="546"/>
      <c r="B25" s="541"/>
      <c r="C25" s="547"/>
      <c r="D25" s="548">
        <f t="shared" ref="D25:D29" si="3">B25*C25</f>
        <v>0</v>
      </c>
      <c r="E25" s="549"/>
      <c r="F25" s="549"/>
      <c r="G25" s="550"/>
    </row>
    <row r="26" customHeight="1" spans="1:15">
      <c r="A26" s="546"/>
      <c r="B26" s="541"/>
      <c r="C26" s="547"/>
      <c r="D26" s="548">
        <f t="shared" si="3"/>
        <v>0</v>
      </c>
      <c r="E26" s="549"/>
      <c r="F26" s="549"/>
      <c r="G26" s="550"/>
    </row>
    <row r="27" customHeight="1" spans="1:15">
      <c r="A27" s="546"/>
      <c r="B27" s="541"/>
      <c r="C27" s="547"/>
      <c r="D27" s="548">
        <f t="shared" si="3"/>
        <v>0</v>
      </c>
      <c r="E27" s="549"/>
      <c r="F27" s="549"/>
      <c r="G27" s="550"/>
    </row>
    <row r="28" customHeight="1" spans="1:15">
      <c r="A28" s="546"/>
      <c r="B28" s="541"/>
      <c r="C28" s="547"/>
      <c r="D28" s="548">
        <f t="shared" si="3"/>
        <v>0</v>
      </c>
      <c r="E28" s="549"/>
      <c r="F28" s="549"/>
      <c r="G28" s="550"/>
    </row>
    <row r="29" customHeight="1" spans="1:15">
      <c r="A29" s="546"/>
      <c r="B29" s="541"/>
      <c r="C29" s="547"/>
      <c r="D29" s="548">
        <f t="shared" si="3"/>
        <v>0</v>
      </c>
      <c r="E29" s="549"/>
      <c r="F29" s="549"/>
      <c r="G29" s="550"/>
    </row>
    <row r="30" customHeight="1" spans="1:15">
      <c r="A30" s="551"/>
      <c r="B30" s="552"/>
      <c r="C30" s="552"/>
      <c r="D30" s="552"/>
      <c r="E30" s="553"/>
      <c r="F30" s="552"/>
      <c r="G30" s="553"/>
    </row>
    <row r="31" customHeight="1" spans="1:15">
      <c r="A31" s="554" t="s">
        <v>662</v>
      </c>
      <c r="B31" s="555"/>
      <c r="C31" s="555"/>
      <c r="D31" s="555"/>
      <c r="E31" s="555"/>
      <c r="F31" s="555"/>
      <c r="G31" s="555"/>
    </row>
    <row r="32" customHeight="1" spans="1:15">
      <c r="A32" s="556" t="s">
        <v>566</v>
      </c>
      <c r="B32" s="557"/>
      <c r="C32" s="557"/>
      <c r="D32" s="557"/>
      <c r="E32" s="557"/>
      <c r="F32" s="557"/>
      <c r="G32" s="558"/>
      <c r="H32" s="556" t="s">
        <v>663</v>
      </c>
      <c r="I32" s="557"/>
      <c r="J32" s="557"/>
      <c r="K32" s="557"/>
      <c r="L32" s="558"/>
      <c r="M32" s="559" t="s">
        <v>664</v>
      </c>
      <c r="N32" s="560" t="s">
        <v>575</v>
      </c>
      <c r="O32" s="561" t="s">
        <v>4</v>
      </c>
    </row>
    <row r="33" customHeight="1" spans="1:15">
      <c r="A33" s="562" t="s">
        <v>576</v>
      </c>
      <c r="B33" s="562" t="s">
        <v>577</v>
      </c>
      <c r="C33" s="562" t="s">
        <v>665</v>
      </c>
      <c r="D33" s="562" t="s">
        <v>301</v>
      </c>
      <c r="E33" s="562" t="s">
        <v>666</v>
      </c>
      <c r="F33" s="562" t="s">
        <v>633</v>
      </c>
      <c r="G33" s="563" t="s">
        <v>634</v>
      </c>
      <c r="H33" s="563" t="s">
        <v>425</v>
      </c>
      <c r="I33" s="563" t="s">
        <v>403</v>
      </c>
      <c r="J33" s="563" t="s">
        <v>667</v>
      </c>
      <c r="K33" s="563" t="s">
        <v>649</v>
      </c>
      <c r="L33" s="563" t="s">
        <v>668</v>
      </c>
      <c r="M33" s="564"/>
      <c r="N33" s="565"/>
      <c r="O33" s="561"/>
    </row>
    <row r="34" customHeight="1" spans="1:15">
      <c r="A34" s="566"/>
      <c r="B34" s="567"/>
      <c r="C34" s="568"/>
      <c r="D34" s="569"/>
      <c r="E34" s="569"/>
      <c r="F34" s="549"/>
      <c r="G34" s="549"/>
      <c r="H34" s="570"/>
      <c r="I34" s="570"/>
      <c r="J34" s="570"/>
      <c r="K34" s="549"/>
      <c r="L34" s="570"/>
      <c r="M34" s="569"/>
      <c r="N34" s="571"/>
      <c r="O34" s="571"/>
    </row>
    <row r="35" customHeight="1" spans="1:15">
      <c r="A35" s="566"/>
      <c r="B35" s="567"/>
      <c r="C35" s="568"/>
      <c r="D35" s="569"/>
      <c r="E35" s="569"/>
      <c r="F35" s="549"/>
      <c r="G35" s="549"/>
      <c r="H35" s="570"/>
      <c r="I35" s="570"/>
      <c r="J35" s="570"/>
      <c r="K35" s="549"/>
      <c r="L35" s="570"/>
      <c r="M35" s="569"/>
      <c r="N35" s="571"/>
      <c r="O35" s="571"/>
    </row>
    <row r="36" customHeight="1" spans="1:15">
      <c r="A36" s="572"/>
      <c r="B36" s="572"/>
      <c r="C36" s="573"/>
      <c r="D36" s="572"/>
      <c r="E36" s="574"/>
      <c r="F36" s="549"/>
      <c r="G36" s="549"/>
      <c r="H36" s="550"/>
      <c r="I36" s="550"/>
      <c r="J36" s="546"/>
      <c r="K36" s="549"/>
      <c r="L36" s="546"/>
      <c r="M36" s="546"/>
      <c r="N36" s="546"/>
      <c r="O36" s="546"/>
    </row>
    <row r="37" customHeight="1" spans="1:15">
      <c r="A37" s="554" t="s">
        <v>669</v>
      </c>
      <c r="B37" s="555"/>
      <c r="C37" s="555"/>
      <c r="D37" s="555"/>
      <c r="E37" s="555"/>
      <c r="F37" s="555"/>
      <c r="G37" s="555"/>
    </row>
    <row r="38" customHeight="1" spans="1:15">
      <c r="A38" s="556" t="s">
        <v>566</v>
      </c>
      <c r="B38" s="557"/>
      <c r="C38" s="557"/>
      <c r="D38" s="557"/>
      <c r="E38" s="557"/>
      <c r="F38" s="557"/>
      <c r="G38" s="558"/>
      <c r="H38" s="556" t="s">
        <v>663</v>
      </c>
      <c r="I38" s="557"/>
      <c r="J38" s="557"/>
      <c r="K38" s="557"/>
      <c r="L38" s="558"/>
      <c r="M38" s="559" t="s">
        <v>664</v>
      </c>
      <c r="N38" s="560" t="s">
        <v>575</v>
      </c>
      <c r="O38" s="561" t="s">
        <v>4</v>
      </c>
    </row>
    <row r="39" customHeight="1" spans="1:15">
      <c r="A39" s="562" t="s">
        <v>576</v>
      </c>
      <c r="B39" s="562" t="s">
        <v>577</v>
      </c>
      <c r="C39" s="562" t="s">
        <v>665</v>
      </c>
      <c r="D39" s="562" t="s">
        <v>301</v>
      </c>
      <c r="E39" s="562" t="s">
        <v>666</v>
      </c>
      <c r="F39" s="562" t="s">
        <v>633</v>
      </c>
      <c r="G39" s="563" t="s">
        <v>634</v>
      </c>
      <c r="H39" s="563" t="s">
        <v>425</v>
      </c>
      <c r="I39" s="563" t="s">
        <v>403</v>
      </c>
      <c r="J39" s="563" t="s">
        <v>667</v>
      </c>
      <c r="K39" s="563" t="s">
        <v>649</v>
      </c>
      <c r="L39" s="563" t="s">
        <v>668</v>
      </c>
      <c r="M39" s="564"/>
      <c r="N39" s="565"/>
      <c r="O39" s="561"/>
    </row>
    <row r="40" customHeight="1" spans="1:15">
      <c r="A40" s="566"/>
      <c r="B40" s="567"/>
      <c r="C40" s="568"/>
      <c r="D40" s="569"/>
      <c r="E40" s="569"/>
      <c r="F40" s="549"/>
      <c r="G40" s="549"/>
      <c r="H40" s="570"/>
      <c r="I40" s="570"/>
      <c r="J40" s="549"/>
      <c r="K40" s="549"/>
      <c r="L40" s="570"/>
      <c r="M40" s="569"/>
      <c r="N40" s="571"/>
      <c r="O40" s="571"/>
    </row>
    <row r="41" customHeight="1" spans="1:15">
      <c r="A41" s="566"/>
      <c r="B41" s="567"/>
      <c r="C41" s="568"/>
      <c r="D41" s="569"/>
      <c r="E41" s="569"/>
      <c r="F41" s="549"/>
      <c r="G41" s="549"/>
      <c r="H41" s="570"/>
      <c r="I41" s="570"/>
      <c r="J41" s="549"/>
      <c r="K41" s="549"/>
      <c r="L41" s="570"/>
      <c r="M41" s="569"/>
      <c r="N41" s="571"/>
      <c r="O41" s="571"/>
    </row>
    <row r="42" customHeight="1" spans="1:15">
      <c r="A42" s="572"/>
      <c r="B42" s="572"/>
      <c r="C42" s="573"/>
      <c r="D42" s="572"/>
      <c r="E42" s="574"/>
      <c r="F42" s="575"/>
      <c r="G42" s="575"/>
      <c r="H42" s="550"/>
      <c r="I42" s="550"/>
      <c r="J42" s="549"/>
      <c r="K42" s="549"/>
      <c r="L42" s="546"/>
      <c r="M42" s="546"/>
      <c r="N42" s="546"/>
      <c r="O42" s="546"/>
    </row>
    <row r="43" s="522" customFormat="1" customHeight="1" spans="1:15">
      <c r="A43" s="285" t="s">
        <v>670</v>
      </c>
      <c r="C43" s="576"/>
      <c r="D43" s="576"/>
      <c r="E43" s="576"/>
      <c r="F43" s="535"/>
      <c r="G43" s="535"/>
    </row>
    <row r="44" s="522" customFormat="1" customHeight="1" spans="1:15">
      <c r="A44" s="180" t="s">
        <v>671</v>
      </c>
      <c r="C44" s="576"/>
      <c r="D44" s="576"/>
      <c r="E44" s="576"/>
    </row>
    <row r="45" s="522" customFormat="1" customHeight="1" spans="1:15">
      <c r="A45" s="180" t="s">
        <v>672</v>
      </c>
      <c r="C45" s="576"/>
      <c r="D45" s="576"/>
      <c r="E45" s="576"/>
    </row>
    <row r="46" s="522" customFormat="1" customHeight="1" spans="1:15">
      <c r="A46" s="180" t="s">
        <v>673</v>
      </c>
      <c r="C46" s="576"/>
      <c r="D46" s="576"/>
      <c r="E46" s="576"/>
    </row>
    <row r="47" s="522" customFormat="1" customHeight="1" spans="1:15">
      <c r="A47" s="180" t="s">
        <v>674</v>
      </c>
      <c r="C47" s="576"/>
      <c r="D47" s="576"/>
      <c r="E47" s="576"/>
    </row>
    <row r="48" s="522" customFormat="1" customHeight="1" spans="1:15">
      <c r="A48" s="180" t="s">
        <v>675</v>
      </c>
      <c r="C48" s="576"/>
      <c r="D48" s="576"/>
      <c r="E48" s="576"/>
    </row>
    <row r="49" s="522" customFormat="1" customHeight="1" spans="1:7">
      <c r="A49" s="577" t="s">
        <v>292</v>
      </c>
      <c r="B49" s="530"/>
      <c r="C49" s="530"/>
      <c r="D49" s="530"/>
      <c r="E49" s="530"/>
      <c r="F49" s="530"/>
      <c r="G49" s="530"/>
    </row>
    <row r="50" s="522" customFormat="1" customHeight="1" spans="1:7">
      <c r="A50" s="577"/>
      <c r="B50" s="530"/>
      <c r="C50" s="530"/>
      <c r="D50" s="530"/>
      <c r="E50" s="530"/>
      <c r="F50" s="530"/>
      <c r="G50" s="530"/>
    </row>
    <row r="51" s="522" customFormat="1" customHeight="1" spans="1:7">
      <c r="A51" s="577"/>
      <c r="B51" s="530"/>
      <c r="C51" s="530"/>
      <c r="D51" s="530"/>
      <c r="E51" s="530"/>
      <c r="F51" s="530"/>
      <c r="G51" s="530"/>
    </row>
    <row r="52" s="522" customFormat="1" customHeight="1" spans="1:7">
      <c r="A52" s="577"/>
      <c r="B52" s="530"/>
      <c r="C52" s="530"/>
      <c r="D52" s="530"/>
      <c r="E52" s="530"/>
      <c r="F52" s="530"/>
      <c r="G52" s="530"/>
    </row>
    <row r="53" s="522" customFormat="1" customHeight="1" spans="1:7">
      <c r="A53" s="577" t="s">
        <v>293</v>
      </c>
      <c r="B53" s="530"/>
      <c r="C53" s="530"/>
      <c r="D53" s="530"/>
      <c r="E53" s="530"/>
      <c r="F53" s="530"/>
      <c r="G53" s="530"/>
    </row>
    <row r="54" s="522" customFormat="1" customHeight="1" spans="1:7">
      <c r="A54" s="530"/>
      <c r="B54" s="530"/>
      <c r="C54" s="530"/>
      <c r="D54" s="530"/>
      <c r="E54" s="530"/>
      <c r="F54" s="530"/>
      <c r="G54" s="530"/>
    </row>
    <row r="55" customHeight="1" spans="1:7">
      <c r="A55" s="578"/>
      <c r="B55" s="579"/>
      <c r="C55" s="579"/>
      <c r="D55" s="579"/>
      <c r="E55" s="579"/>
      <c r="F55" s="579"/>
      <c r="G55" s="579"/>
    </row>
    <row r="56" customHeight="1" spans="1:7">
      <c r="A56" s="580"/>
      <c r="B56" s="581"/>
      <c r="C56" s="581"/>
      <c r="D56" s="581"/>
      <c r="E56" s="581"/>
      <c r="F56" s="581"/>
      <c r="G56" s="581"/>
    </row>
    <row r="57" customHeight="1" spans="1:7">
      <c r="A57" s="582"/>
      <c r="B57" s="581"/>
      <c r="C57" s="581"/>
      <c r="D57" s="581"/>
      <c r="E57" s="581"/>
      <c r="F57" s="581"/>
      <c r="G57" s="581"/>
    </row>
    <row r="58" customHeight="1" spans="1:7">
      <c r="A58" s="582"/>
      <c r="B58" s="581"/>
      <c r="C58" s="581"/>
      <c r="D58" s="581"/>
      <c r="E58" s="581"/>
      <c r="F58" s="581"/>
      <c r="G58" s="581"/>
    </row>
    <row r="59" customHeight="1" spans="1:7">
      <c r="A59" s="582"/>
      <c r="B59" s="581"/>
      <c r="C59" s="581"/>
      <c r="D59" s="581"/>
      <c r="E59" s="581"/>
      <c r="F59" s="581"/>
      <c r="G59" s="581"/>
    </row>
    <row r="60" customHeight="1" spans="1:7">
      <c r="A60" s="582"/>
      <c r="B60" s="581"/>
      <c r="C60" s="581"/>
      <c r="D60" s="581"/>
      <c r="E60" s="581"/>
      <c r="F60" s="581"/>
      <c r="G60" s="581"/>
    </row>
    <row r="61" customHeight="1" spans="1:7">
      <c r="B61" s="581"/>
      <c r="C61" s="581"/>
      <c r="D61" s="581"/>
      <c r="E61" s="581"/>
      <c r="F61" s="581"/>
      <c r="G61" s="581"/>
    </row>
  </sheetData>
  <mergeCells count="15">
    <mergeCell ref="A1:O1"/>
    <mergeCell ref="A2:O2"/>
    <mergeCell ref="B13:D13"/>
    <mergeCell ref="E13:G13"/>
    <mergeCell ref="A32:G32"/>
    <mergeCell ref="H32:L32"/>
    <mergeCell ref="A38:G38"/>
    <mergeCell ref="H38:L38"/>
    <mergeCell ref="A13:A14"/>
    <mergeCell ref="M32:M33"/>
    <mergeCell ref="M38:M39"/>
    <mergeCell ref="N32:N33"/>
    <mergeCell ref="N38:N39"/>
    <mergeCell ref="O32:O33"/>
    <mergeCell ref="O38:O39"/>
  </mergeCells>
  <dataValidations count="1">
    <dataValidation type="list" allowBlank="1" showInputMessage="1" showErrorMessage="1" sqref="M34:M35 M40:M41">
      <formula1>"是,否"</formula1>
    </dataValidation>
  </dataValidations>
  <hyperlinks>
    <hyperlink ref="O3" location="底稿目录!A1" display="='D:\GT_plan\backend\wp_templates\D\[D4-13至D4-20主营业务收入-检查（Leap应对措施-检查）.xlsx]底稿目录'!F10"/>
  </hyperlinks>
  <pageMargins left="0.708333333333333" right="0.708333333333333" top="0.747916666666667" bottom="0.747916666666667" header="0.314583333333333" footer="0.314583333333333"/>
  <pageSetup paperSize="9" scale="75" orientation="landscape" blackAndWhite="1"/>
  <headerFooter>
    <oddFooter>&amp;C&amp;P/&amp;N</oddFooter>
  </headerFooter>
  <rowBreaks count="1" manualBreakCount="1">
    <brk id="30" max="14" man="1"/>
  </row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9"/>
  <sheetViews>
    <sheetView view="pageBreakPreview" zoomScaleNormal="100" workbookViewId="0">
      <selection activeCell="H13" sqref="H13"/>
    </sheetView>
  </sheetViews>
  <sheetFormatPr defaultColWidth="9.81818181818182" defaultRowHeight="20.15" customHeight="1"/>
  <cols>
    <col min="1" max="1" width="19.2727272727273" style="494" customWidth="1"/>
    <col min="2" max="2" width="13.4545454545455" style="494" customWidth="1"/>
    <col min="3" max="3" width="10.9090909090909" style="494" customWidth="1"/>
    <col min="4" max="4" width="11.3636363636364" style="494" customWidth="1"/>
    <col min="5" max="5" width="10.2727272727273" style="494" customWidth="1"/>
    <col min="6" max="6" width="14.6363636363636" style="494" customWidth="1"/>
    <col min="7" max="7" width="11" style="494" customWidth="1"/>
    <col min="8" max="8" width="14.4545454545455" style="494" customWidth="1"/>
    <col min="9" max="9" width="10.8181818181818" style="494" customWidth="1"/>
    <col min="10" max="10" width="13.3636363636364" style="494" customWidth="1"/>
    <col min="11" max="11" width="10.8181818181818" style="494" customWidth="1"/>
    <col min="12" max="12" width="17" style="494" customWidth="1"/>
    <col min="13" max="13" width="10.6363636363636" style="494" customWidth="1"/>
    <col min="14" max="14" width="10.2727272727273" style="494" customWidth="1"/>
    <col min="15" max="16384" width="9.81818181818182" style="494"/>
  </cols>
  <sheetData>
    <row r="1" s="434" customFormat="1" customHeight="1" spans="1:18">
      <c r="A1" s="440" t="s">
        <v>27</v>
      </c>
      <c r="B1" s="440"/>
      <c r="C1" s="440"/>
      <c r="D1" s="440"/>
      <c r="E1" s="440"/>
      <c r="F1" s="440"/>
      <c r="G1" s="440"/>
      <c r="H1" s="440"/>
      <c r="I1" s="440"/>
      <c r="J1" s="440"/>
      <c r="K1" s="440"/>
      <c r="L1" s="440"/>
      <c r="M1" s="440"/>
      <c r="N1" s="440"/>
      <c r="O1" s="495"/>
      <c r="P1" s="495"/>
      <c r="Q1" s="495"/>
      <c r="R1" s="495"/>
    </row>
    <row r="2" s="434" customFormat="1" customHeight="1" spans="1:18">
      <c r="A2" s="441" t="s">
        <v>676</v>
      </c>
      <c r="B2" s="441"/>
      <c r="C2" s="441"/>
      <c r="D2" s="441"/>
      <c r="E2" s="441"/>
      <c r="F2" s="441"/>
      <c r="G2" s="441"/>
      <c r="H2" s="441"/>
      <c r="I2" s="441"/>
      <c r="J2" s="441"/>
      <c r="K2" s="441"/>
      <c r="L2" s="441"/>
      <c r="M2" s="441"/>
      <c r="N2" s="441"/>
      <c r="O2" s="495"/>
      <c r="P2" s="495"/>
      <c r="Q2" s="495"/>
      <c r="R2" s="495"/>
    </row>
    <row r="3" customHeight="1" spans="1:18">
      <c r="A3" s="263" t="str">
        <f>[11]底稿目录!$A$2</f>
        <v>被审计单位：</v>
      </c>
      <c r="B3" s="171"/>
      <c r="E3" s="263" t="str">
        <f>[11]底稿目录!$A$4</f>
        <v>编制人：</v>
      </c>
      <c r="H3" s="263" t="str">
        <f>[11]底稿目录!$A$5</f>
        <v>编制日期：</v>
      </c>
      <c r="M3" s="494" t="s">
        <v>29</v>
      </c>
      <c r="N3" s="496" t="s">
        <v>110</v>
      </c>
    </row>
    <row r="4" customHeight="1" spans="1:18">
      <c r="A4" s="263" t="str">
        <f>[11]底稿目录!$A$3</f>
        <v>会计期间：202X年度</v>
      </c>
      <c r="B4" s="171"/>
      <c r="E4" s="263" t="str">
        <f>[11]底稿目录!$A$6</f>
        <v>复核人：</v>
      </c>
      <c r="H4" s="263" t="str">
        <f>[11]底稿目录!$A$7</f>
        <v>复核日期：</v>
      </c>
      <c r="M4" s="494" t="s">
        <v>622</v>
      </c>
    </row>
    <row r="5" customHeight="1" spans="1:18">
      <c r="A5" s="20" t="s">
        <v>282</v>
      </c>
      <c r="B5" s="20"/>
      <c r="E5" s="175"/>
      <c r="F5" s="497"/>
    </row>
    <row r="6" customHeight="1" spans="1:18">
      <c r="A6" s="498" t="s">
        <v>677</v>
      </c>
      <c r="B6" s="20"/>
      <c r="E6" s="175"/>
      <c r="F6" s="497"/>
    </row>
    <row r="7" customHeight="1" spans="1:18">
      <c r="A7" s="498" t="s">
        <v>353</v>
      </c>
      <c r="B7" s="20"/>
      <c r="E7" s="175"/>
      <c r="F7" s="497"/>
    </row>
    <row r="8" customHeight="1" spans="1:18">
      <c r="A8" s="20" t="s">
        <v>604</v>
      </c>
      <c r="B8" s="20"/>
      <c r="C8" s="499"/>
      <c r="D8" s="499"/>
      <c r="E8" s="497"/>
      <c r="F8" s="497"/>
    </row>
    <row r="9" customHeight="1" spans="1:18">
      <c r="A9" s="500" t="s">
        <v>678</v>
      </c>
      <c r="B9" s="20"/>
      <c r="C9" s="499"/>
      <c r="D9" s="499"/>
      <c r="E9" s="497"/>
      <c r="F9" s="497"/>
    </row>
    <row r="10" customHeight="1" spans="1:18">
      <c r="A10" s="501" t="s">
        <v>679</v>
      </c>
      <c r="B10" s="501"/>
      <c r="E10" s="497"/>
      <c r="F10" s="497"/>
    </row>
    <row r="11" customHeight="1" spans="1:18">
      <c r="A11" s="501" t="s">
        <v>680</v>
      </c>
      <c r="B11" s="501"/>
      <c r="E11" s="497"/>
      <c r="F11" s="181"/>
    </row>
    <row r="12" customHeight="1" spans="1:18">
      <c r="A12" s="501" t="s">
        <v>681</v>
      </c>
      <c r="B12" s="501"/>
    </row>
    <row r="13" customHeight="1" spans="1:18">
      <c r="A13" s="501" t="s">
        <v>682</v>
      </c>
      <c r="B13" s="501"/>
      <c r="C13" s="502"/>
      <c r="D13" s="502"/>
    </row>
    <row r="14" customHeight="1" spans="1:18">
      <c r="A14" s="502" t="s">
        <v>683</v>
      </c>
      <c r="B14" s="501"/>
      <c r="C14" s="502"/>
      <c r="D14" s="502"/>
    </row>
    <row r="15" s="493" customFormat="1" ht="43" customHeight="1" spans="1:18">
      <c r="A15" s="503" t="s">
        <v>684</v>
      </c>
      <c r="B15" s="503" t="s">
        <v>685</v>
      </c>
      <c r="C15" s="503" t="s">
        <v>403</v>
      </c>
      <c r="D15" s="503" t="s">
        <v>428</v>
      </c>
      <c r="E15" s="504" t="s">
        <v>686</v>
      </c>
      <c r="F15" s="505" t="s">
        <v>687</v>
      </c>
      <c r="G15" s="505" t="s">
        <v>406</v>
      </c>
      <c r="H15" s="505" t="s">
        <v>688</v>
      </c>
      <c r="I15" s="504" t="s">
        <v>689</v>
      </c>
      <c r="J15" s="504" t="s">
        <v>690</v>
      </c>
      <c r="K15" s="504" t="s">
        <v>689</v>
      </c>
      <c r="L15" s="505" t="s">
        <v>691</v>
      </c>
      <c r="M15" s="505" t="s">
        <v>692</v>
      </c>
      <c r="N15" s="505" t="s">
        <v>276</v>
      </c>
    </row>
    <row r="16" customHeight="1" spans="1:18">
      <c r="A16" s="506"/>
      <c r="B16" s="506"/>
      <c r="C16" s="506"/>
      <c r="D16" s="506"/>
      <c r="E16" s="367"/>
      <c r="F16" s="507"/>
      <c r="G16" s="508"/>
      <c r="H16" s="508"/>
      <c r="I16" s="509" t="e">
        <f t="shared" ref="I16:I30" si="0">(G16-H16)/H16</f>
        <v>#DIV/0!</v>
      </c>
      <c r="J16" s="510"/>
      <c r="K16" s="509" t="e">
        <f t="shared" ref="K16:K30" si="1">(G16-J16)/J16</f>
        <v>#DIV/0!</v>
      </c>
      <c r="L16" s="510"/>
      <c r="M16" s="510"/>
      <c r="N16" s="511"/>
      <c r="O16" s="512" t="s">
        <v>693</v>
      </c>
    </row>
    <row r="17" customHeight="1" spans="1:15">
      <c r="A17" s="506"/>
      <c r="B17" s="506"/>
      <c r="C17" s="506"/>
      <c r="D17" s="506"/>
      <c r="E17" s="367"/>
      <c r="F17" s="507"/>
      <c r="G17" s="508"/>
      <c r="H17" s="508"/>
      <c r="I17" s="509" t="e">
        <f t="shared" si="0"/>
        <v>#DIV/0!</v>
      </c>
      <c r="J17" s="510"/>
      <c r="K17" s="509" t="e">
        <f t="shared" si="1"/>
        <v>#DIV/0!</v>
      </c>
      <c r="L17" s="510"/>
      <c r="M17" s="510"/>
      <c r="N17" s="511"/>
      <c r="O17" s="513" t="s">
        <v>694</v>
      </c>
    </row>
    <row r="18" customHeight="1" spans="1:15">
      <c r="A18" s="511"/>
      <c r="B18" s="506"/>
      <c r="C18" s="506"/>
      <c r="D18" s="506"/>
      <c r="E18" s="367"/>
      <c r="F18" s="507"/>
      <c r="G18" s="508"/>
      <c r="H18" s="508"/>
      <c r="I18" s="509" t="e">
        <f t="shared" si="0"/>
        <v>#DIV/0!</v>
      </c>
      <c r="J18" s="510"/>
      <c r="K18" s="509" t="e">
        <f t="shared" si="1"/>
        <v>#DIV/0!</v>
      </c>
      <c r="L18" s="510"/>
      <c r="M18" s="510"/>
      <c r="N18" s="511"/>
      <c r="O18" s="513" t="s">
        <v>695</v>
      </c>
    </row>
    <row r="19" customHeight="1" spans="1:15">
      <c r="A19" s="511"/>
      <c r="B19" s="506"/>
      <c r="C19" s="506"/>
      <c r="D19" s="506"/>
      <c r="E19" s="367"/>
      <c r="F19" s="507"/>
      <c r="G19" s="508"/>
      <c r="H19" s="508"/>
      <c r="I19" s="509" t="e">
        <f t="shared" si="0"/>
        <v>#DIV/0!</v>
      </c>
      <c r="J19" s="510"/>
      <c r="K19" s="509" t="e">
        <f t="shared" si="1"/>
        <v>#DIV/0!</v>
      </c>
      <c r="L19" s="510"/>
      <c r="M19" s="510"/>
      <c r="N19" s="511"/>
      <c r="O19" s="513" t="s">
        <v>696</v>
      </c>
    </row>
    <row r="20" customHeight="1" spans="1:15">
      <c r="A20" s="511"/>
      <c r="B20" s="506"/>
      <c r="C20" s="506"/>
      <c r="D20" s="506"/>
      <c r="E20" s="367"/>
      <c r="F20" s="507"/>
      <c r="G20" s="508"/>
      <c r="H20" s="508"/>
      <c r="I20" s="509" t="e">
        <f t="shared" si="0"/>
        <v>#DIV/0!</v>
      </c>
      <c r="J20" s="510"/>
      <c r="K20" s="509" t="e">
        <f t="shared" si="1"/>
        <v>#DIV/0!</v>
      </c>
      <c r="L20" s="510"/>
      <c r="M20" s="510"/>
      <c r="N20" s="511"/>
      <c r="O20" s="513" t="s">
        <v>697</v>
      </c>
    </row>
    <row r="21" customHeight="1" spans="1:15">
      <c r="A21" s="511"/>
      <c r="B21" s="506"/>
      <c r="C21" s="511"/>
      <c r="D21" s="511"/>
      <c r="E21" s="367"/>
      <c r="F21" s="507"/>
      <c r="G21" s="508"/>
      <c r="H21" s="508"/>
      <c r="I21" s="509" t="e">
        <f t="shared" si="0"/>
        <v>#DIV/0!</v>
      </c>
      <c r="J21" s="510"/>
      <c r="K21" s="509" t="e">
        <f t="shared" si="1"/>
        <v>#DIV/0!</v>
      </c>
      <c r="L21" s="510"/>
      <c r="M21" s="510"/>
      <c r="N21" s="511"/>
      <c r="O21" s="513" t="s">
        <v>698</v>
      </c>
    </row>
    <row r="22" customHeight="1" spans="1:15">
      <c r="A22" s="511"/>
      <c r="B22" s="506"/>
      <c r="C22" s="511"/>
      <c r="D22" s="511"/>
      <c r="E22" s="367"/>
      <c r="F22" s="507"/>
      <c r="G22" s="508"/>
      <c r="H22" s="508"/>
      <c r="I22" s="509" t="e">
        <f t="shared" si="0"/>
        <v>#DIV/0!</v>
      </c>
      <c r="J22" s="510"/>
      <c r="K22" s="509" t="e">
        <f t="shared" si="1"/>
        <v>#DIV/0!</v>
      </c>
      <c r="L22" s="510"/>
      <c r="M22" s="510"/>
      <c r="N22" s="511"/>
      <c r="O22" s="514" t="s">
        <v>699</v>
      </c>
    </row>
    <row r="23" customHeight="1" spans="1:15">
      <c r="A23" s="511"/>
      <c r="B23" s="506"/>
      <c r="C23" s="511"/>
      <c r="D23" s="511"/>
      <c r="E23" s="367"/>
      <c r="F23" s="507"/>
      <c r="G23" s="508"/>
      <c r="H23" s="508"/>
      <c r="I23" s="509" t="e">
        <f t="shared" si="0"/>
        <v>#DIV/0!</v>
      </c>
      <c r="J23" s="510"/>
      <c r="K23" s="509" t="e">
        <f t="shared" si="1"/>
        <v>#DIV/0!</v>
      </c>
      <c r="L23" s="510"/>
      <c r="M23" s="510"/>
      <c r="N23" s="511"/>
      <c r="O23" s="513" t="s">
        <v>700</v>
      </c>
    </row>
    <row r="24" customHeight="1" spans="1:15">
      <c r="A24" s="511"/>
      <c r="B24" s="506"/>
      <c r="C24" s="511"/>
      <c r="D24" s="511"/>
      <c r="E24" s="367"/>
      <c r="F24" s="507"/>
      <c r="G24" s="508"/>
      <c r="H24" s="508"/>
      <c r="I24" s="509" t="e">
        <f t="shared" si="0"/>
        <v>#DIV/0!</v>
      </c>
      <c r="J24" s="510"/>
      <c r="K24" s="509" t="e">
        <f t="shared" si="1"/>
        <v>#DIV/0!</v>
      </c>
      <c r="L24" s="510"/>
      <c r="M24" s="510"/>
      <c r="N24" s="511"/>
      <c r="O24" s="513" t="s">
        <v>701</v>
      </c>
    </row>
    <row r="25" customHeight="1" spans="1:15">
      <c r="A25" s="511"/>
      <c r="B25" s="506"/>
      <c r="C25" s="511"/>
      <c r="D25" s="511"/>
      <c r="E25" s="367"/>
      <c r="F25" s="507"/>
      <c r="G25" s="508"/>
      <c r="H25" s="508"/>
      <c r="I25" s="509" t="e">
        <f t="shared" si="0"/>
        <v>#DIV/0!</v>
      </c>
      <c r="J25" s="510"/>
      <c r="K25" s="509" t="e">
        <f t="shared" si="1"/>
        <v>#DIV/0!</v>
      </c>
      <c r="L25" s="510"/>
      <c r="M25" s="510"/>
      <c r="N25" s="511"/>
    </row>
    <row r="26" customHeight="1" spans="1:15">
      <c r="A26" s="511"/>
      <c r="B26" s="506"/>
      <c r="C26" s="511"/>
      <c r="D26" s="511"/>
      <c r="E26" s="367"/>
      <c r="F26" s="507"/>
      <c r="G26" s="508"/>
      <c r="H26" s="508"/>
      <c r="I26" s="509" t="e">
        <f t="shared" si="0"/>
        <v>#DIV/0!</v>
      </c>
      <c r="J26" s="510"/>
      <c r="K26" s="509" t="e">
        <f t="shared" si="1"/>
        <v>#DIV/0!</v>
      </c>
      <c r="L26" s="510"/>
      <c r="M26" s="510"/>
      <c r="N26" s="511"/>
    </row>
    <row r="27" customHeight="1" spans="1:15">
      <c r="A27" s="511"/>
      <c r="B27" s="506"/>
      <c r="C27" s="511"/>
      <c r="D27" s="511"/>
      <c r="E27" s="367"/>
      <c r="F27" s="507"/>
      <c r="G27" s="508"/>
      <c r="H27" s="508"/>
      <c r="I27" s="509" t="e">
        <f t="shared" si="0"/>
        <v>#DIV/0!</v>
      </c>
      <c r="J27" s="510"/>
      <c r="K27" s="509" t="e">
        <f t="shared" si="1"/>
        <v>#DIV/0!</v>
      </c>
      <c r="L27" s="510"/>
      <c r="M27" s="510"/>
      <c r="N27" s="511"/>
    </row>
    <row r="28" customHeight="1" spans="1:15">
      <c r="A28" s="511"/>
      <c r="B28" s="506"/>
      <c r="C28" s="511"/>
      <c r="D28" s="511"/>
      <c r="E28" s="367"/>
      <c r="F28" s="507"/>
      <c r="G28" s="508"/>
      <c r="H28" s="508"/>
      <c r="I28" s="509" t="e">
        <f t="shared" si="0"/>
        <v>#DIV/0!</v>
      </c>
      <c r="J28" s="510"/>
      <c r="K28" s="509" t="e">
        <f t="shared" si="1"/>
        <v>#DIV/0!</v>
      </c>
      <c r="L28" s="510"/>
      <c r="M28" s="510"/>
      <c r="N28" s="511"/>
    </row>
    <row r="29" customHeight="1" spans="1:15">
      <c r="A29" s="511"/>
      <c r="B29" s="506"/>
      <c r="C29" s="511"/>
      <c r="D29" s="511"/>
      <c r="E29" s="367"/>
      <c r="F29" s="507"/>
      <c r="G29" s="508"/>
      <c r="H29" s="508"/>
      <c r="I29" s="509" t="e">
        <f t="shared" si="0"/>
        <v>#DIV/0!</v>
      </c>
      <c r="J29" s="510"/>
      <c r="K29" s="509" t="e">
        <f t="shared" si="1"/>
        <v>#DIV/0!</v>
      </c>
      <c r="L29" s="510"/>
      <c r="M29" s="510"/>
      <c r="N29" s="511"/>
    </row>
    <row r="30" customHeight="1" spans="1:15">
      <c r="A30" s="511"/>
      <c r="B30" s="506"/>
      <c r="C30" s="511"/>
      <c r="D30" s="511"/>
      <c r="E30" s="367"/>
      <c r="F30" s="507"/>
      <c r="G30" s="508"/>
      <c r="H30" s="508"/>
      <c r="I30" s="509" t="e">
        <f t="shared" si="0"/>
        <v>#DIV/0!</v>
      </c>
      <c r="J30" s="510"/>
      <c r="K30" s="509" t="e">
        <f t="shared" si="1"/>
        <v>#DIV/0!</v>
      </c>
      <c r="L30" s="510"/>
      <c r="M30" s="510"/>
      <c r="N30" s="511"/>
    </row>
    <row r="31" customHeight="1" spans="1:15">
      <c r="A31" s="515" t="s">
        <v>292</v>
      </c>
      <c r="B31" s="515"/>
    </row>
    <row r="34" customHeight="1" spans="1:16">
      <c r="A34" s="515" t="s">
        <v>293</v>
      </c>
      <c r="B34" s="515"/>
    </row>
    <row r="47" customHeight="1" spans="1:16">
      <c r="A47" s="516"/>
      <c r="C47" s="517"/>
      <c r="D47" s="518"/>
      <c r="E47" s="517"/>
      <c r="F47" s="517"/>
      <c r="G47" s="518"/>
      <c r="H47" s="518"/>
      <c r="I47" s="518"/>
      <c r="J47" s="518"/>
      <c r="K47" s="518"/>
      <c r="L47" s="518"/>
      <c r="M47" s="518"/>
      <c r="N47" s="518"/>
      <c r="O47" s="518"/>
      <c r="P47" s="518"/>
    </row>
    <row r="48" customHeight="1" spans="1:16">
      <c r="A48" s="516"/>
      <c r="B48" s="519"/>
      <c r="C48" s="517"/>
      <c r="D48" s="518"/>
      <c r="E48" s="517"/>
      <c r="F48" s="516"/>
      <c r="G48" s="519"/>
      <c r="H48" s="518"/>
      <c r="I48" s="518"/>
      <c r="J48" s="518"/>
      <c r="K48" s="518"/>
      <c r="L48" s="518"/>
      <c r="M48" s="518"/>
      <c r="N48" s="518"/>
      <c r="O48" s="518"/>
      <c r="P48" s="518"/>
    </row>
    <row r="49" customHeight="1" spans="1:16">
      <c r="A49" s="520"/>
      <c r="B49" s="521"/>
      <c r="C49" s="518"/>
      <c r="D49" s="518"/>
      <c r="E49" s="518"/>
      <c r="F49" s="518"/>
      <c r="G49" s="518"/>
      <c r="H49" s="518"/>
      <c r="I49" s="518"/>
      <c r="J49" s="518"/>
      <c r="K49" s="518"/>
      <c r="L49" s="518"/>
      <c r="M49" s="518"/>
      <c r="N49" s="518"/>
      <c r="O49" s="518"/>
      <c r="P49" s="518"/>
    </row>
  </sheetData>
  <mergeCells count="2">
    <mergeCell ref="A1:N1"/>
    <mergeCell ref="A2:N2"/>
  </mergeCells>
  <dataValidations count="1">
    <dataValidation type="list" allowBlank="1" showInputMessage="1" showErrorMessage="1" sqref="B16:B30">
      <formula1>$O$17:$O$24</formula1>
    </dataValidation>
  </dataValidations>
  <pageMargins left="0.708333333333333" right="0.708333333333333" top="0.747916666666667" bottom="0.747916666666667" header="0.314583333333333" footer="0.314583333333333"/>
  <pageSetup paperSize="9" scale="78" fitToHeight="100" orientation="landscape" blackAndWhite="1"/>
  <headerFooter>
    <oddFooter>&amp;C&amp;P/&amp;N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workbookViewId="0">
      <selection activeCell="A1" sqref="A1"/>
    </sheetView>
  </sheetViews>
  <sheetFormatPr defaultColWidth="9.81818181818182" defaultRowHeight="20.1" customHeight="1" outlineLevelCol="6"/>
  <cols>
    <col min="1" max="1" width="85.9363636363636" style="355" customWidth="1"/>
    <col min="2" max="2" width="2.66363636363636" style="355" customWidth="1"/>
    <col min="3" max="3" width="4.6" style="355" customWidth="1"/>
    <col min="4" max="4" width="6.90909090909091" style="355" customWidth="1"/>
    <col min="5" max="5" width="37.9363636363636" style="355" customWidth="1"/>
    <col min="6" max="6" width="11.3909090909091" style="355" customWidth="1"/>
    <col min="7" max="16384" width="9.81818181818182" style="355"/>
  </cols>
  <sheetData>
    <row r="1" customHeight="1" spans="1:6">
      <c r="A1" s="477" t="s">
        <v>0</v>
      </c>
      <c r="B1" s="478"/>
      <c r="C1" s="478"/>
      <c r="D1" s="478"/>
      <c r="E1" s="478"/>
      <c r="F1" s="478"/>
    </row>
    <row r="2" customHeight="1" spans="1:6">
      <c r="A2" s="479" t="s">
        <v>335</v>
      </c>
      <c r="B2" s="480"/>
      <c r="C2" s="480"/>
      <c r="D2" s="481" t="s">
        <v>2</v>
      </c>
      <c r="E2" s="481" t="s">
        <v>3</v>
      </c>
      <c r="F2" s="481" t="s">
        <v>4</v>
      </c>
    </row>
    <row r="3" customHeight="1" spans="1:6">
      <c r="A3" s="482" t="s">
        <v>5</v>
      </c>
      <c r="B3" s="480"/>
      <c r="C3" s="480"/>
      <c r="D3" s="483">
        <v>1</v>
      </c>
      <c r="E3" s="484" t="s">
        <v>28</v>
      </c>
      <c r="F3" s="485" t="s">
        <v>114</v>
      </c>
    </row>
    <row r="4" customHeight="1" spans="1:6">
      <c r="A4" s="479" t="s">
        <v>8</v>
      </c>
      <c r="B4" s="478"/>
      <c r="C4" s="478"/>
      <c r="D4" s="483">
        <v>2</v>
      </c>
      <c r="E4" s="484" t="s">
        <v>336</v>
      </c>
      <c r="F4" s="485" t="s">
        <v>702</v>
      </c>
    </row>
    <row r="5" customHeight="1" spans="1:6">
      <c r="A5" s="479" t="s">
        <v>11</v>
      </c>
      <c r="B5" s="478"/>
      <c r="C5" s="478"/>
      <c r="D5" s="483">
        <v>3</v>
      </c>
      <c r="E5" s="484" t="s">
        <v>703</v>
      </c>
      <c r="F5" s="485" t="s">
        <v>704</v>
      </c>
    </row>
    <row r="6" customHeight="1" spans="1:6">
      <c r="A6" s="486" t="s">
        <v>14</v>
      </c>
      <c r="B6" s="478"/>
      <c r="C6" s="478"/>
      <c r="D6" s="483">
        <v>4</v>
      </c>
      <c r="E6" s="484" t="s">
        <v>705</v>
      </c>
      <c r="F6" s="485" t="s">
        <v>706</v>
      </c>
    </row>
    <row r="7" customHeight="1" spans="1:6">
      <c r="A7" s="486" t="s">
        <v>16</v>
      </c>
      <c r="B7" s="478"/>
      <c r="C7" s="478"/>
      <c r="D7" s="483">
        <v>5</v>
      </c>
      <c r="E7" s="484" t="s">
        <v>707</v>
      </c>
      <c r="F7" s="485" t="s">
        <v>708</v>
      </c>
    </row>
    <row r="8" customHeight="1" spans="1:6">
      <c r="A8" s="486"/>
      <c r="B8" s="478"/>
      <c r="C8" s="478"/>
      <c r="D8" s="483">
        <v>6</v>
      </c>
      <c r="E8" s="484" t="s">
        <v>709</v>
      </c>
      <c r="F8" s="485" t="s">
        <v>710</v>
      </c>
    </row>
    <row r="9" customHeight="1" spans="1:6">
      <c r="A9" s="486"/>
      <c r="B9" s="478"/>
      <c r="C9" s="478"/>
      <c r="D9" s="483">
        <v>7</v>
      </c>
      <c r="E9" s="487" t="s">
        <v>711</v>
      </c>
      <c r="F9" s="485" t="s">
        <v>712</v>
      </c>
    </row>
    <row r="10" customHeight="1" spans="1:6">
      <c r="A10" s="488"/>
      <c r="B10" s="478"/>
      <c r="C10" s="478"/>
      <c r="D10" s="483">
        <v>8</v>
      </c>
      <c r="E10" s="487" t="s">
        <v>713</v>
      </c>
      <c r="F10" s="485" t="s">
        <v>714</v>
      </c>
    </row>
    <row r="11" customHeight="1" spans="1:6">
      <c r="A11" s="489" t="s">
        <v>21</v>
      </c>
      <c r="B11" s="478"/>
      <c r="C11" s="478"/>
      <c r="D11" s="483">
        <v>9</v>
      </c>
      <c r="E11" s="487" t="s">
        <v>715</v>
      </c>
      <c r="F11" s="485" t="s">
        <v>716</v>
      </c>
    </row>
    <row r="12" customHeight="1" spans="1:6">
      <c r="A12" s="490" t="s">
        <v>348</v>
      </c>
      <c r="B12" s="478"/>
      <c r="C12" s="478"/>
      <c r="D12" s="483">
        <v>10</v>
      </c>
      <c r="E12" s="487" t="s">
        <v>717</v>
      </c>
      <c r="F12" s="485" t="s">
        <v>718</v>
      </c>
    </row>
    <row r="13" customHeight="1" spans="1:6">
      <c r="A13" s="490"/>
      <c r="B13" s="478"/>
      <c r="C13" s="478"/>
      <c r="D13" s="483">
        <v>11</v>
      </c>
      <c r="E13" s="487" t="s">
        <v>719</v>
      </c>
      <c r="F13" s="485" t="s">
        <v>720</v>
      </c>
    </row>
    <row r="14" customHeight="1" spans="1:6">
      <c r="A14" s="490"/>
      <c r="B14" s="478"/>
      <c r="C14" s="478"/>
      <c r="D14" s="483">
        <v>12</v>
      </c>
      <c r="E14" s="487" t="s">
        <v>721</v>
      </c>
      <c r="F14" s="485" t="s">
        <v>722</v>
      </c>
    </row>
    <row r="15" customHeight="1" spans="1:6">
      <c r="A15" s="490"/>
      <c r="B15" s="478"/>
      <c r="C15" s="478"/>
      <c r="D15" s="483">
        <v>13</v>
      </c>
      <c r="E15" s="487" t="s">
        <v>723</v>
      </c>
      <c r="F15" s="485" t="s">
        <v>724</v>
      </c>
    </row>
    <row r="16" customHeight="1" spans="1:6">
      <c r="A16" s="490" t="s">
        <v>349</v>
      </c>
      <c r="B16" s="478"/>
      <c r="C16" s="478"/>
      <c r="D16" s="483">
        <v>14</v>
      </c>
      <c r="E16" s="487" t="s">
        <v>725</v>
      </c>
      <c r="F16" s="485" t="s">
        <v>726</v>
      </c>
    </row>
    <row r="17" customHeight="1" spans="1:7">
      <c r="A17" s="490"/>
      <c r="B17" s="478"/>
      <c r="C17" s="478"/>
      <c r="D17" s="483">
        <v>15</v>
      </c>
      <c r="E17" s="484" t="s">
        <v>727</v>
      </c>
      <c r="F17" s="485" t="s">
        <v>728</v>
      </c>
    </row>
    <row r="18" customHeight="1" spans="1:7">
      <c r="A18" s="490"/>
      <c r="B18" s="478"/>
      <c r="C18" s="478"/>
      <c r="D18" s="483">
        <v>16</v>
      </c>
      <c r="E18" s="484" t="s">
        <v>729</v>
      </c>
      <c r="F18" s="485" t="s">
        <v>730</v>
      </c>
    </row>
    <row r="19" customHeight="1" spans="1:7">
      <c r="A19" s="491" t="s">
        <v>350</v>
      </c>
      <c r="B19" s="478"/>
      <c r="C19" s="478"/>
      <c r="D19" s="483">
        <v>17</v>
      </c>
      <c r="E19" s="484" t="s">
        <v>731</v>
      </c>
      <c r="F19" s="485" t="s">
        <v>732</v>
      </c>
    </row>
    <row r="20" customHeight="1" spans="1:7">
      <c r="A20" s="491"/>
      <c r="B20" s="478"/>
      <c r="C20" s="478"/>
      <c r="D20" s="483">
        <v>18</v>
      </c>
      <c r="E20" s="484" t="s">
        <v>733</v>
      </c>
      <c r="F20" s="485" t="s">
        <v>734</v>
      </c>
    </row>
    <row r="21" customHeight="1" spans="1:7">
      <c r="A21" s="491"/>
      <c r="B21" s="478"/>
      <c r="C21" s="478"/>
      <c r="D21" s="483">
        <v>19</v>
      </c>
      <c r="E21" s="492" t="s">
        <v>735</v>
      </c>
      <c r="F21" s="485" t="s">
        <v>736</v>
      </c>
    </row>
    <row r="22" customHeight="1" spans="1:7">
      <c r="D22" s="483">
        <v>20</v>
      </c>
      <c r="E22" s="484" t="s">
        <v>737</v>
      </c>
      <c r="F22" s="485" t="s">
        <v>738</v>
      </c>
    </row>
    <row r="28" customHeight="1" spans="1:7">
      <c r="G28" s="478"/>
    </row>
    <row r="29" customHeight="1" spans="1:7">
      <c r="G29" s="478"/>
    </row>
  </sheetData>
  <mergeCells count="3">
    <mergeCell ref="A12:A15"/>
    <mergeCell ref="A16:A18"/>
    <mergeCell ref="A19:A21"/>
  </mergeCells>
  <hyperlinks>
    <hyperlink ref="E18" location="'客户信息核查清单D4-28'!A1" display="客户信息核查清单"/>
    <hyperlink ref="E20" location="'客户访谈记录汇总表D4-30'!A1" display="客户访谈记录汇总表"/>
    <hyperlink ref="E17" location="'识别未披露的关联方D4-27'!A1" display="识别未披露关联方"/>
    <hyperlink ref="E6" location="'第三方回款检查D4-24'!A1" display="第三方回款检查"/>
    <hyperlink ref="E4" location="'重要指标分析表D4-22'!A1" display="重要指标分析"/>
    <hyperlink ref="E5" location="'收入与开具发票金额比较分析D4-23'!A1" display="收入与开具发票金额比较分析"/>
    <hyperlink ref="E7" location="'经销商检查D4-25'!A1" display="经销商检查"/>
    <hyperlink ref="E19" location="'客户信息检查表D4-29'!A1" display="客户信息检查表"/>
    <hyperlink ref="E21" location="'客户访谈记录 D4-31'!A1" display="客户访谈记录"/>
    <hyperlink ref="E22" location="'客户、供应商等资金流水检查D4-32'!A1" display="客户、供应商等资金流水检查"/>
    <hyperlink ref="E8" location="'境外销售收入检查D4-26'!A1" display="境外销售收入检查"/>
    <hyperlink ref="E3" location="'程序表D4-22A'!A1" display="营业收入实质性程序表"/>
  </hyperlinks>
  <pageMargins left="0.708333333333333" right="0.708333333333333" top="0.747916666666667" bottom="0.747916666666667" header="0.314583333333333" footer="0.314583333333333"/>
  <pageSetup paperSize="9" scale="75" orientation="portrait" blackAndWhite="1"/>
  <headerFooter>
    <oddFooter>&amp;C&amp;P/&amp;N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7"/>
  <sheetViews>
    <sheetView view="pageBreakPreview" zoomScaleNormal="100" workbookViewId="0">
      <selection activeCell="A1" sqref="A1:J1"/>
    </sheetView>
  </sheetViews>
  <sheetFormatPr defaultColWidth="9.81818181818182" defaultRowHeight="20.1" customHeight="1"/>
  <cols>
    <col min="1" max="1" width="5.20909090909091" style="437" customWidth="1"/>
    <col min="2" max="2" width="8.48181818181818" style="438" customWidth="1"/>
    <col min="3" max="3" width="67.5090909090909" style="439" customWidth="1"/>
    <col min="4" max="4" width="12.3636363636364" style="439" customWidth="1"/>
    <col min="5" max="5" width="6.54545454545455" style="439" customWidth="1"/>
    <col min="6" max="6" width="7.63636363636364" style="439" customWidth="1"/>
    <col min="7" max="7" width="7.87272727272727" style="439" customWidth="1"/>
    <col min="8" max="8" width="7.39090909090909" style="439" customWidth="1"/>
    <col min="9" max="9" width="6.78181818181818" style="439" customWidth="1"/>
    <col min="10" max="10" width="8" style="439" customWidth="1"/>
    <col min="11" max="16384" width="9.81818181818182" style="439"/>
  </cols>
  <sheetData>
    <row r="1" s="434" customFormat="1" customHeight="1" spans="1:11">
      <c r="A1" s="440" t="s">
        <v>27</v>
      </c>
      <c r="B1" s="440"/>
      <c r="C1" s="440"/>
      <c r="D1" s="440"/>
      <c r="E1" s="440"/>
      <c r="F1" s="440"/>
      <c r="G1" s="440"/>
      <c r="H1" s="440"/>
      <c r="I1" s="440"/>
      <c r="J1" s="440"/>
    </row>
    <row r="2" s="434" customFormat="1" customHeight="1" spans="1:11">
      <c r="A2" s="441" t="s">
        <v>28</v>
      </c>
      <c r="B2" s="441"/>
      <c r="C2" s="441"/>
      <c r="D2" s="441"/>
      <c r="E2" s="441"/>
      <c r="F2" s="441"/>
      <c r="G2" s="441"/>
      <c r="H2" s="441"/>
      <c r="I2" s="441"/>
      <c r="J2" s="441"/>
    </row>
    <row r="3" s="435" customFormat="1" customHeight="1" spans="1:11">
      <c r="A3" s="442" t="str">
        <f>[16]底稿目录!A2</f>
        <v>被审计单位名称：</v>
      </c>
      <c r="B3" s="442"/>
      <c r="C3" s="442"/>
      <c r="D3" s="435" t="str">
        <f>[16]底稿目录!A4</f>
        <v>编制人：</v>
      </c>
      <c r="G3" s="435" t="str">
        <f>[16]底稿目录!A5</f>
        <v>编制日期：</v>
      </c>
      <c r="I3" s="435" t="s">
        <v>29</v>
      </c>
      <c r="J3" s="174" t="str">
        <f>[16]底稿目录!F3</f>
        <v>D4-22A</v>
      </c>
    </row>
    <row r="4" s="435" customFormat="1" customHeight="1" spans="1:11">
      <c r="A4" s="442" t="str">
        <f>[16]底稿目录!A3</f>
        <v>会计期间：202X年度</v>
      </c>
      <c r="B4" s="442"/>
      <c r="C4" s="442"/>
      <c r="D4" s="435" t="str">
        <f>[16]底稿目录!A6</f>
        <v>复核人：</v>
      </c>
      <c r="G4" s="435" t="str">
        <f>[16]底稿目录!A7</f>
        <v>复核日期：</v>
      </c>
      <c r="I4" s="442" t="s">
        <v>129</v>
      </c>
    </row>
    <row r="5" customHeight="1" spans="1:11">
      <c r="A5" s="443" t="s">
        <v>31</v>
      </c>
      <c r="B5" s="443"/>
      <c r="C5" s="443"/>
    </row>
    <row r="6" customHeight="1" spans="1:11">
      <c r="A6" s="444" t="s">
        <v>32</v>
      </c>
      <c r="B6" s="444"/>
      <c r="C6" s="444"/>
      <c r="D6" s="444"/>
      <c r="E6" s="444"/>
      <c r="F6" s="444"/>
      <c r="G6" s="444"/>
      <c r="H6" s="444"/>
      <c r="I6" s="444"/>
      <c r="J6" s="444"/>
    </row>
    <row r="7" s="435" customFormat="1" customHeight="1" spans="1:11">
      <c r="A7" s="443" t="s">
        <v>739</v>
      </c>
      <c r="B7" s="445"/>
      <c r="C7" s="443"/>
      <c r="D7" s="446"/>
    </row>
    <row r="8" s="435" customFormat="1" ht="19.95" customHeight="1" spans="1:11">
      <c r="A8" s="447" t="s">
        <v>34</v>
      </c>
      <c r="B8" s="447"/>
      <c r="C8" s="447"/>
      <c r="D8" s="447"/>
      <c r="E8" s="447"/>
      <c r="F8" s="447"/>
      <c r="G8" s="447"/>
      <c r="H8" s="448" t="s">
        <v>740</v>
      </c>
      <c r="I8" s="448"/>
      <c r="J8" s="448"/>
    </row>
    <row r="9" s="435" customFormat="1" ht="19.95" customHeight="1" spans="1:11">
      <c r="A9" s="449" t="s">
        <v>36</v>
      </c>
      <c r="B9" s="449"/>
      <c r="C9" s="449"/>
      <c r="D9" s="449"/>
      <c r="E9" s="449"/>
      <c r="F9" s="449"/>
      <c r="G9" s="449"/>
      <c r="H9" s="450" t="s">
        <v>37</v>
      </c>
      <c r="I9" s="450"/>
      <c r="J9" s="450"/>
    </row>
    <row r="10" s="435" customFormat="1" ht="19.95" customHeight="1" spans="1:11">
      <c r="A10" s="449" t="s">
        <v>38</v>
      </c>
      <c r="B10" s="449"/>
      <c r="C10" s="449"/>
      <c r="D10" s="449"/>
      <c r="E10" s="449"/>
      <c r="F10" s="449"/>
      <c r="G10" s="449"/>
      <c r="H10" s="450" t="s">
        <v>39</v>
      </c>
      <c r="I10" s="450"/>
      <c r="J10" s="450"/>
    </row>
    <row r="11" s="435" customFormat="1" ht="19.95" customHeight="1" spans="1:11">
      <c r="A11" s="449" t="s">
        <v>40</v>
      </c>
      <c r="B11" s="449"/>
      <c r="C11" s="449"/>
      <c r="D11" s="449"/>
      <c r="E11" s="449"/>
      <c r="F11" s="449"/>
      <c r="G11" s="449"/>
      <c r="H11" s="450" t="s">
        <v>41</v>
      </c>
      <c r="I11" s="450"/>
      <c r="J11" s="450"/>
    </row>
    <row r="12" s="435" customFormat="1" ht="19.95" customHeight="1" spans="1:11">
      <c r="A12" s="449" t="s">
        <v>42</v>
      </c>
      <c r="B12" s="449"/>
      <c r="C12" s="449"/>
      <c r="D12" s="449"/>
      <c r="E12" s="449"/>
      <c r="F12" s="449"/>
      <c r="G12" s="449"/>
      <c r="H12" s="450" t="s">
        <v>43</v>
      </c>
      <c r="I12" s="450"/>
      <c r="J12" s="450"/>
    </row>
    <row r="13" s="435" customFormat="1" ht="19.95" customHeight="1" spans="1:11">
      <c r="A13" s="449" t="s">
        <v>44</v>
      </c>
      <c r="B13" s="449"/>
      <c r="C13" s="449"/>
      <c r="D13" s="449"/>
      <c r="E13" s="449"/>
      <c r="F13" s="449"/>
      <c r="G13" s="449"/>
      <c r="H13" s="450" t="s">
        <v>45</v>
      </c>
      <c r="I13" s="450"/>
      <c r="J13" s="450"/>
    </row>
    <row r="14" s="435" customFormat="1" customHeight="1" spans="1:11">
      <c r="A14" s="443" t="s">
        <v>46</v>
      </c>
      <c r="B14" s="443"/>
      <c r="C14" s="443"/>
      <c r="D14" s="446"/>
    </row>
    <row r="15" s="435" customFormat="1" customHeight="1" spans="1:11">
      <c r="A15" s="451" t="s">
        <v>2</v>
      </c>
      <c r="B15" s="452" t="s">
        <v>47</v>
      </c>
      <c r="C15" s="453" t="s">
        <v>48</v>
      </c>
      <c r="D15" s="452" t="s">
        <v>49</v>
      </c>
      <c r="E15" s="451" t="s">
        <v>50</v>
      </c>
      <c r="F15" s="451"/>
      <c r="G15" s="451"/>
      <c r="H15" s="451"/>
      <c r="I15" s="451"/>
      <c r="J15" s="453" t="s">
        <v>51</v>
      </c>
    </row>
    <row r="16" s="435" customFormat="1" ht="27.6" customHeight="1" spans="1:11">
      <c r="A16" s="451"/>
      <c r="B16" s="452"/>
      <c r="C16" s="453"/>
      <c r="D16" s="452"/>
      <c r="E16" s="447" t="s">
        <v>37</v>
      </c>
      <c r="F16" s="447" t="s">
        <v>39</v>
      </c>
      <c r="G16" s="447" t="s">
        <v>41</v>
      </c>
      <c r="H16" s="447" t="s">
        <v>43</v>
      </c>
      <c r="I16" s="447" t="s">
        <v>45</v>
      </c>
      <c r="J16" s="454"/>
      <c r="K16" s="455" t="s">
        <v>52</v>
      </c>
    </row>
    <row r="17" ht="42.6" customHeight="1" spans="1:11">
      <c r="A17" s="456">
        <v>1</v>
      </c>
      <c r="B17" s="457"/>
      <c r="C17" s="458" t="s">
        <v>741</v>
      </c>
      <c r="D17" s="459" t="s">
        <v>113</v>
      </c>
      <c r="E17" s="460" t="s">
        <v>67</v>
      </c>
      <c r="F17" s="461" t="s">
        <v>66</v>
      </c>
      <c r="G17" s="460" t="s">
        <v>67</v>
      </c>
      <c r="H17" s="460" t="s">
        <v>67</v>
      </c>
      <c r="I17" s="462"/>
      <c r="J17" s="460"/>
    </row>
    <row r="18" ht="289.2" customHeight="1" spans="1:11">
      <c r="A18" s="456">
        <v>2</v>
      </c>
      <c r="B18" s="463" t="s">
        <v>742</v>
      </c>
      <c r="C18" s="458" t="s">
        <v>743</v>
      </c>
      <c r="D18" s="459" t="s">
        <v>113</v>
      </c>
      <c r="E18" s="461" t="s">
        <v>66</v>
      </c>
      <c r="F18" s="460" t="s">
        <v>67</v>
      </c>
      <c r="G18" s="461" t="s">
        <v>66</v>
      </c>
      <c r="H18" s="460"/>
      <c r="I18" s="464"/>
      <c r="J18" s="460" t="s">
        <v>744</v>
      </c>
      <c r="K18" s="465"/>
    </row>
    <row r="19" ht="67.8" customHeight="1" spans="1:11">
      <c r="A19" s="456">
        <v>3</v>
      </c>
      <c r="B19" s="463" t="s">
        <v>745</v>
      </c>
      <c r="C19" s="458" t="s">
        <v>746</v>
      </c>
      <c r="D19" s="459" t="s">
        <v>113</v>
      </c>
      <c r="E19" s="461" t="s">
        <v>66</v>
      </c>
      <c r="F19" s="460"/>
      <c r="G19" s="461" t="s">
        <v>66</v>
      </c>
      <c r="H19" s="460"/>
      <c r="I19" s="460"/>
      <c r="J19" s="460" t="s">
        <v>706</v>
      </c>
    </row>
    <row r="20" ht="150" customHeight="1" spans="1:11">
      <c r="A20" s="456">
        <v>4</v>
      </c>
      <c r="B20" s="463" t="s">
        <v>745</v>
      </c>
      <c r="C20" s="458" t="s">
        <v>747</v>
      </c>
      <c r="D20" s="459" t="s">
        <v>113</v>
      </c>
      <c r="E20" s="461" t="s">
        <v>66</v>
      </c>
      <c r="F20" s="466" t="s">
        <v>67</v>
      </c>
      <c r="G20" s="460" t="s">
        <v>67</v>
      </c>
      <c r="H20" s="460" t="s">
        <v>67</v>
      </c>
      <c r="I20" s="462"/>
      <c r="J20" s="460" t="s">
        <v>748</v>
      </c>
    </row>
    <row r="21" ht="46.2" customHeight="1" spans="1:11">
      <c r="A21" s="456">
        <v>5</v>
      </c>
      <c r="B21" s="463" t="s">
        <v>745</v>
      </c>
      <c r="C21" s="458" t="s">
        <v>749</v>
      </c>
      <c r="D21" s="459" t="s">
        <v>113</v>
      </c>
      <c r="E21" s="461" t="s">
        <v>66</v>
      </c>
      <c r="F21" s="466"/>
      <c r="G21" s="460" t="s">
        <v>67</v>
      </c>
      <c r="H21" s="460" t="s">
        <v>67</v>
      </c>
      <c r="I21" s="462"/>
      <c r="J21" s="460" t="s">
        <v>710</v>
      </c>
    </row>
    <row r="22" ht="37.5" customHeight="1" spans="1:11">
      <c r="A22" s="456">
        <v>6</v>
      </c>
      <c r="B22" s="463" t="s">
        <v>745</v>
      </c>
      <c r="C22" s="458" t="s">
        <v>750</v>
      </c>
      <c r="D22" s="459" t="s">
        <v>113</v>
      </c>
      <c r="E22" s="461" t="s">
        <v>66</v>
      </c>
      <c r="F22" s="460" t="s">
        <v>67</v>
      </c>
      <c r="G22" s="460" t="s">
        <v>67</v>
      </c>
      <c r="H22" s="460"/>
      <c r="I22" s="464"/>
      <c r="J22" s="460"/>
    </row>
    <row r="23" ht="54.6" customHeight="1" spans="1:11">
      <c r="A23" s="456">
        <v>7</v>
      </c>
      <c r="B23" s="463" t="s">
        <v>745</v>
      </c>
      <c r="C23" s="458" t="s">
        <v>751</v>
      </c>
      <c r="D23" s="459" t="s">
        <v>113</v>
      </c>
      <c r="E23" s="461" t="s">
        <v>66</v>
      </c>
      <c r="F23" s="460"/>
      <c r="G23" s="461"/>
      <c r="H23" s="461" t="s">
        <v>66</v>
      </c>
      <c r="I23" s="460"/>
      <c r="J23" s="460"/>
    </row>
    <row r="24" s="436" customFormat="1" ht="40.2" customHeight="1" spans="1:11">
      <c r="A24" s="456">
        <v>8</v>
      </c>
      <c r="B24" s="463" t="s">
        <v>752</v>
      </c>
      <c r="C24" s="458" t="s">
        <v>753</v>
      </c>
      <c r="D24" s="467" t="s">
        <v>113</v>
      </c>
      <c r="E24" s="461" t="s">
        <v>66</v>
      </c>
      <c r="F24" s="466" t="s">
        <v>67</v>
      </c>
      <c r="G24" s="468" t="s">
        <v>66</v>
      </c>
      <c r="H24" s="460" t="s">
        <v>67</v>
      </c>
      <c r="I24" s="466"/>
      <c r="J24" s="466" t="s">
        <v>754</v>
      </c>
    </row>
    <row r="25" ht="61.8" customHeight="1" spans="1:11">
      <c r="A25" s="456">
        <v>9</v>
      </c>
      <c r="B25" s="463" t="s">
        <v>84</v>
      </c>
      <c r="C25" s="458" t="s">
        <v>755</v>
      </c>
      <c r="D25" s="459" t="s">
        <v>113</v>
      </c>
      <c r="E25" s="461" t="s">
        <v>66</v>
      </c>
      <c r="F25" s="462"/>
      <c r="G25" s="468" t="s">
        <v>66</v>
      </c>
      <c r="H25" s="462"/>
      <c r="I25" s="462"/>
      <c r="J25" s="460"/>
    </row>
    <row r="26" ht="33.75" customHeight="1" spans="1:11">
      <c r="A26" s="456">
        <v>10</v>
      </c>
      <c r="B26" s="463" t="s">
        <v>745</v>
      </c>
      <c r="C26" s="458" t="s">
        <v>756</v>
      </c>
      <c r="D26" s="459" t="s">
        <v>113</v>
      </c>
      <c r="E26" s="461" t="s">
        <v>66</v>
      </c>
      <c r="F26" s="460"/>
      <c r="G26" s="461"/>
      <c r="H26" s="460"/>
      <c r="I26" s="460"/>
      <c r="J26" s="460"/>
    </row>
    <row r="27" ht="215.4" customHeight="1" spans="1:11">
      <c r="A27" s="456">
        <v>11</v>
      </c>
      <c r="B27" s="469" t="s">
        <v>757</v>
      </c>
      <c r="C27" s="458" t="s">
        <v>758</v>
      </c>
      <c r="D27" s="459" t="s">
        <v>113</v>
      </c>
      <c r="E27" s="461" t="s">
        <v>66</v>
      </c>
      <c r="F27" s="460"/>
      <c r="G27" s="461" t="s">
        <v>66</v>
      </c>
      <c r="H27" s="460" t="s">
        <v>67</v>
      </c>
      <c r="I27" s="460" t="s">
        <v>67</v>
      </c>
      <c r="J27" s="470" t="s">
        <v>759</v>
      </c>
    </row>
    <row r="28" ht="40.5" customHeight="1" spans="1:11">
      <c r="A28" s="456">
        <v>12</v>
      </c>
      <c r="B28" s="463" t="s">
        <v>745</v>
      </c>
      <c r="C28" s="458" t="s">
        <v>760</v>
      </c>
      <c r="D28" s="459" t="s">
        <v>113</v>
      </c>
      <c r="E28" s="461" t="s">
        <v>66</v>
      </c>
      <c r="F28" s="460"/>
      <c r="G28" s="461" t="s">
        <v>66</v>
      </c>
      <c r="H28" s="460"/>
      <c r="I28" s="460"/>
      <c r="J28" s="460"/>
    </row>
    <row r="29" ht="41.4" customHeight="1" spans="1:11">
      <c r="A29" s="456">
        <v>13</v>
      </c>
      <c r="B29" s="463" t="s">
        <v>745</v>
      </c>
      <c r="C29" s="458" t="s">
        <v>761</v>
      </c>
      <c r="D29" s="459" t="s">
        <v>113</v>
      </c>
      <c r="E29" s="461" t="s">
        <v>66</v>
      </c>
      <c r="F29" s="460"/>
      <c r="G29" s="460"/>
      <c r="H29" s="460"/>
      <c r="I29" s="460"/>
      <c r="J29" s="460"/>
    </row>
    <row r="30" ht="37.5" customHeight="1" spans="1:11">
      <c r="A30" s="456">
        <v>14</v>
      </c>
      <c r="B30" s="463" t="s">
        <v>745</v>
      </c>
      <c r="C30" s="458" t="s">
        <v>762</v>
      </c>
      <c r="D30" s="459" t="s">
        <v>113</v>
      </c>
      <c r="E30" s="461" t="s">
        <v>66</v>
      </c>
      <c r="F30" s="462"/>
      <c r="G30" s="462"/>
      <c r="H30" s="460" t="s">
        <v>67</v>
      </c>
      <c r="I30" s="462"/>
      <c r="J30" s="460"/>
    </row>
    <row r="31" ht="117.6" customHeight="1" spans="1:11">
      <c r="A31" s="456">
        <v>15</v>
      </c>
      <c r="B31" s="463" t="s">
        <v>745</v>
      </c>
      <c r="C31" s="458" t="s">
        <v>763</v>
      </c>
      <c r="D31" s="459" t="s">
        <v>113</v>
      </c>
      <c r="E31" s="461" t="s">
        <v>66</v>
      </c>
      <c r="F31" s="462"/>
      <c r="G31" s="462"/>
      <c r="H31" s="460" t="s">
        <v>67</v>
      </c>
      <c r="I31" s="462"/>
      <c r="J31" s="460"/>
    </row>
    <row r="32" ht="52.2" customHeight="1" spans="1:11">
      <c r="A32" s="456">
        <v>16</v>
      </c>
      <c r="B32" s="463" t="s">
        <v>745</v>
      </c>
      <c r="C32" s="471" t="s">
        <v>764</v>
      </c>
      <c r="D32" s="459" t="s">
        <v>113</v>
      </c>
      <c r="E32" s="461" t="s">
        <v>66</v>
      </c>
      <c r="F32" s="472"/>
      <c r="G32" s="460" t="s">
        <v>67</v>
      </c>
      <c r="H32" s="460" t="s">
        <v>67</v>
      </c>
      <c r="I32" s="460"/>
      <c r="J32" s="460"/>
    </row>
    <row r="33" ht="266.4" customHeight="1" spans="1:10">
      <c r="A33" s="456">
        <v>17</v>
      </c>
      <c r="B33" s="463" t="s">
        <v>765</v>
      </c>
      <c r="C33" s="458" t="s">
        <v>766</v>
      </c>
      <c r="D33" s="459" t="s">
        <v>113</v>
      </c>
      <c r="E33" s="473" t="s">
        <v>767</v>
      </c>
      <c r="F33" s="472" t="s">
        <v>768</v>
      </c>
      <c r="G33" s="472" t="s">
        <v>768</v>
      </c>
      <c r="H33" s="472" t="s">
        <v>768</v>
      </c>
      <c r="I33" s="460"/>
      <c r="J33" s="460" t="s">
        <v>769</v>
      </c>
    </row>
    <row r="34" ht="40.8" customHeight="1" spans="1:10">
      <c r="A34" s="456">
        <v>18</v>
      </c>
      <c r="B34" s="463"/>
      <c r="C34" s="474" t="s">
        <v>770</v>
      </c>
      <c r="D34" s="467" t="s">
        <v>113</v>
      </c>
      <c r="E34" s="473"/>
      <c r="F34" s="472"/>
      <c r="G34" s="472"/>
      <c r="H34" s="472"/>
      <c r="I34" s="460"/>
      <c r="J34" s="460"/>
    </row>
    <row r="35" ht="90.75" customHeight="1" spans="1:10">
      <c r="A35" s="475" t="s">
        <v>771</v>
      </c>
      <c r="B35" s="475"/>
      <c r="C35" s="475"/>
      <c r="D35" s="475"/>
      <c r="E35" s="475"/>
      <c r="F35" s="475"/>
      <c r="G35" s="475"/>
      <c r="H35" s="475"/>
      <c r="I35" s="475"/>
      <c r="J35" s="475"/>
    </row>
    <row r="37" customHeight="1" spans="1:10">
      <c r="C37" s="476"/>
    </row>
  </sheetData>
  <mergeCells count="26">
    <mergeCell ref="A1:J1"/>
    <mergeCell ref="A2:J2"/>
    <mergeCell ref="A3:C3"/>
    <mergeCell ref="A4:C4"/>
    <mergeCell ref="A5:C5"/>
    <mergeCell ref="A6:J6"/>
    <mergeCell ref="A8:G8"/>
    <mergeCell ref="H8:J8"/>
    <mergeCell ref="A9:G9"/>
    <mergeCell ref="H9:J9"/>
    <mergeCell ref="A10:G10"/>
    <mergeCell ref="H10:J10"/>
    <mergeCell ref="A11:G11"/>
    <mergeCell ref="H11:J11"/>
    <mergeCell ref="A12:G12"/>
    <mergeCell ref="H12:J12"/>
    <mergeCell ref="A13:G13"/>
    <mergeCell ref="H13:J13"/>
    <mergeCell ref="A14:C14"/>
    <mergeCell ref="E15:I15"/>
    <mergeCell ref="A35:J35"/>
    <mergeCell ref="A15:A16"/>
    <mergeCell ref="B15:B16"/>
    <mergeCell ref="C15:C16"/>
    <mergeCell ref="D15:D16"/>
    <mergeCell ref="J15:J16"/>
  </mergeCells>
  <hyperlinks>
    <hyperlink ref="J3" location="底稿目录!A1" display="='D:\GT_plan\backend\wp_templates\D\[D4-22至D4-32营业收入-IPO 上市 新三板 重组 舞弊应对.xlsx]底稿目录'!F3"/>
  </hyperlinks>
  <pageMargins left="0.708333333333333" right="0.708333333333333" top="0.747916666666667" bottom="0.747916666666667" header="0.314583333333333" footer="0.314583333333333"/>
  <pageSetup paperSize="9" scale="67" orientation="portrait" blackAndWhite="1"/>
  <headerFooter>
    <oddFooter>&amp;C&amp;P/&amp;N</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view="pageBreakPreview" zoomScaleNormal="100" workbookViewId="0">
      <selection activeCell="A1" sqref="A1:H1"/>
    </sheetView>
  </sheetViews>
  <sheetFormatPr defaultColWidth="9.81818181818182" defaultRowHeight="20.1" customHeight="1" outlineLevelCol="7"/>
  <cols>
    <col min="1" max="1" width="26.3" style="235" customWidth="1"/>
    <col min="2" max="2" width="16.4818181818182" style="235" customWidth="1"/>
    <col min="3" max="3" width="17.6909090909091" style="235" customWidth="1"/>
    <col min="4" max="16384" width="9.81818181818182" style="235"/>
  </cols>
  <sheetData>
    <row r="1" customHeight="1" spans="1:8">
      <c r="A1" s="412" t="s">
        <v>27</v>
      </c>
      <c r="B1" s="412"/>
      <c r="C1" s="412"/>
      <c r="D1" s="412"/>
      <c r="E1" s="412"/>
      <c r="F1" s="412"/>
      <c r="G1" s="412"/>
      <c r="H1" s="412"/>
    </row>
    <row r="2" customHeight="1" spans="1:8">
      <c r="A2" s="413" t="s">
        <v>772</v>
      </c>
      <c r="B2" s="413"/>
      <c r="C2" s="413"/>
      <c r="D2" s="413"/>
      <c r="E2" s="413"/>
      <c r="F2" s="413"/>
      <c r="G2" s="413"/>
      <c r="H2" s="413"/>
    </row>
    <row r="3" customHeight="1" spans="1:8">
      <c r="A3" s="377" t="str">
        <f>[16]底稿目录!A2</f>
        <v>被审计单位名称：</v>
      </c>
      <c r="B3" s="377"/>
      <c r="C3" s="378" t="str">
        <f>[16]底稿目录!$A$4</f>
        <v>编制人：</v>
      </c>
      <c r="D3" s="377"/>
      <c r="E3" s="377" t="str">
        <f>[16]底稿目录!$A$5</f>
        <v>编制日期：</v>
      </c>
      <c r="F3" s="377"/>
      <c r="G3" s="414" t="s">
        <v>29</v>
      </c>
      <c r="H3" s="393" t="str">
        <f>[16]底稿目录!F4</f>
        <v>D4-22</v>
      </c>
    </row>
    <row r="4" customHeight="1" spans="1:8">
      <c r="A4" s="377" t="str">
        <f>[16]底稿目录!A3</f>
        <v>会计期间：202X年度</v>
      </c>
      <c r="B4" s="377"/>
      <c r="C4" s="378" t="str">
        <f>[16]底稿目录!$A$6</f>
        <v>复核人：</v>
      </c>
      <c r="D4" s="377"/>
      <c r="E4" s="377" t="str">
        <f>[16]底稿目录!$A$7</f>
        <v>复核日期：</v>
      </c>
      <c r="F4" s="377"/>
      <c r="G4" s="414" t="s">
        <v>30</v>
      </c>
      <c r="H4" s="377"/>
    </row>
    <row r="5" s="355" customFormat="1" customHeight="1" spans="1:8">
      <c r="A5" s="415" t="s">
        <v>252</v>
      </c>
      <c r="B5" s="416"/>
      <c r="C5" s="417"/>
      <c r="D5" s="418"/>
      <c r="E5" s="418"/>
      <c r="F5" s="418"/>
      <c r="G5" s="419"/>
    </row>
    <row r="6" s="355" customFormat="1" customHeight="1" spans="1:8">
      <c r="A6" s="418" t="s">
        <v>773</v>
      </c>
      <c r="B6" s="420"/>
      <c r="C6" s="417"/>
      <c r="D6" s="418"/>
      <c r="E6" s="418"/>
      <c r="F6" s="418"/>
      <c r="G6" s="419"/>
    </row>
    <row r="7" s="355" customFormat="1" customHeight="1" spans="1:8">
      <c r="A7" s="418" t="s">
        <v>774</v>
      </c>
      <c r="B7" s="420"/>
      <c r="C7" s="417"/>
      <c r="D7" s="418"/>
      <c r="E7" s="418"/>
      <c r="F7" s="418"/>
      <c r="G7" s="419"/>
    </row>
    <row r="8" s="355" customFormat="1" customHeight="1" spans="1:8">
      <c r="A8" s="421" t="s">
        <v>254</v>
      </c>
      <c r="B8" s="418"/>
      <c r="C8" s="417"/>
      <c r="D8" s="418"/>
      <c r="E8" s="418"/>
      <c r="F8" s="418"/>
      <c r="G8" s="419"/>
    </row>
    <row r="9" s="355" customFormat="1" customHeight="1" spans="1:8">
      <c r="A9" s="422" t="s">
        <v>775</v>
      </c>
      <c r="B9" s="418"/>
      <c r="C9" s="417"/>
      <c r="D9" s="418"/>
      <c r="E9" s="418"/>
      <c r="F9" s="418"/>
      <c r="G9" s="419"/>
    </row>
    <row r="10" s="355" customFormat="1" customHeight="1" spans="1:8">
      <c r="A10" s="420"/>
      <c r="B10" s="418"/>
      <c r="C10" s="417"/>
      <c r="D10" s="418"/>
      <c r="E10" s="418"/>
      <c r="F10" s="418"/>
      <c r="G10" s="419"/>
    </row>
    <row r="11" ht="34.5" customHeight="1" spans="1:8">
      <c r="A11" s="423" t="s">
        <v>354</v>
      </c>
      <c r="B11" s="424" t="s">
        <v>355</v>
      </c>
      <c r="C11" s="424" t="s">
        <v>356</v>
      </c>
      <c r="D11" s="424" t="s">
        <v>776</v>
      </c>
      <c r="E11" s="424" t="s">
        <v>777</v>
      </c>
      <c r="F11" s="424" t="s">
        <v>778</v>
      </c>
      <c r="G11" s="425" t="s">
        <v>291</v>
      </c>
      <c r="H11" s="425" t="s">
        <v>779</v>
      </c>
    </row>
    <row r="12" customHeight="1" spans="1:8">
      <c r="A12" s="426" t="s">
        <v>780</v>
      </c>
      <c r="B12" s="427"/>
      <c r="C12" s="427"/>
      <c r="D12" s="426"/>
      <c r="E12" s="426"/>
      <c r="F12" s="426"/>
      <c r="G12" s="426"/>
      <c r="H12" s="426"/>
    </row>
    <row r="13" customHeight="1" spans="1:8">
      <c r="A13" s="426" t="s">
        <v>197</v>
      </c>
      <c r="B13" s="427"/>
      <c r="C13" s="427"/>
      <c r="D13" s="426"/>
      <c r="E13" s="426"/>
      <c r="F13" s="426"/>
      <c r="G13" s="426"/>
      <c r="H13" s="426"/>
    </row>
    <row r="14" customHeight="1" spans="1:8">
      <c r="A14" s="426" t="s">
        <v>781</v>
      </c>
      <c r="B14" s="428"/>
      <c r="C14" s="428"/>
      <c r="D14" s="426"/>
      <c r="E14" s="426"/>
      <c r="F14" s="426"/>
      <c r="G14" s="426"/>
      <c r="H14" s="426"/>
    </row>
    <row r="15" customHeight="1" spans="1:8">
      <c r="A15" s="426" t="s">
        <v>782</v>
      </c>
      <c r="B15" s="428"/>
      <c r="C15" s="428"/>
      <c r="D15" s="426"/>
      <c r="E15" s="426"/>
      <c r="F15" s="426"/>
      <c r="G15" s="426"/>
      <c r="H15" s="426"/>
    </row>
    <row r="16" ht="26" spans="1:8">
      <c r="A16" s="429" t="s">
        <v>783</v>
      </c>
      <c r="B16" s="428"/>
      <c r="C16" s="428"/>
      <c r="D16" s="426"/>
      <c r="E16" s="426"/>
      <c r="F16" s="426"/>
      <c r="G16" s="426"/>
      <c r="H16" s="426"/>
    </row>
    <row r="17" customHeight="1" spans="1:8">
      <c r="A17" s="426" t="s">
        <v>784</v>
      </c>
      <c r="B17" s="428"/>
      <c r="C17" s="428"/>
      <c r="D17" s="426"/>
      <c r="E17" s="426"/>
      <c r="F17" s="426"/>
      <c r="G17" s="426"/>
      <c r="H17" s="426"/>
    </row>
    <row r="18" customHeight="1" spans="1:8">
      <c r="A18" s="426" t="s">
        <v>785</v>
      </c>
      <c r="B18" s="428"/>
      <c r="C18" s="428"/>
      <c r="D18" s="426"/>
      <c r="E18" s="426"/>
      <c r="F18" s="426"/>
      <c r="G18" s="426"/>
      <c r="H18" s="426"/>
    </row>
    <row r="19" customHeight="1" spans="1:8">
      <c r="A19" s="426" t="s">
        <v>786</v>
      </c>
      <c r="B19" s="428"/>
      <c r="C19" s="428"/>
      <c r="D19" s="426"/>
      <c r="E19" s="426"/>
      <c r="F19" s="426"/>
      <c r="G19" s="426"/>
      <c r="H19" s="426"/>
    </row>
    <row r="20" ht="26" spans="1:8">
      <c r="A20" s="429" t="s">
        <v>787</v>
      </c>
      <c r="B20" s="428"/>
      <c r="C20" s="428"/>
      <c r="D20" s="426"/>
      <c r="E20" s="426"/>
      <c r="F20" s="426"/>
      <c r="G20" s="426"/>
      <c r="H20" s="426"/>
    </row>
    <row r="21" ht="39" spans="1:8">
      <c r="A21" s="429" t="s">
        <v>788</v>
      </c>
      <c r="B21" s="428"/>
      <c r="C21" s="428"/>
      <c r="D21" s="426"/>
      <c r="E21" s="426"/>
      <c r="F21" s="426"/>
      <c r="G21" s="426"/>
      <c r="H21" s="426"/>
    </row>
    <row r="22" customHeight="1" spans="1:8">
      <c r="A22" s="426" t="s">
        <v>789</v>
      </c>
      <c r="B22" s="428"/>
      <c r="C22" s="428"/>
      <c r="D22" s="426"/>
      <c r="E22" s="426"/>
      <c r="F22" s="426"/>
      <c r="G22" s="426"/>
      <c r="H22" s="426"/>
    </row>
    <row r="23" customHeight="1" spans="1:8">
      <c r="A23" s="426" t="s">
        <v>790</v>
      </c>
      <c r="B23" s="428"/>
      <c r="C23" s="428"/>
      <c r="D23" s="426"/>
      <c r="E23" s="426"/>
      <c r="F23" s="426"/>
      <c r="G23" s="426"/>
      <c r="H23" s="426"/>
    </row>
    <row r="24" s="355" customFormat="1" customHeight="1" spans="1:8">
      <c r="A24" s="430" t="s">
        <v>278</v>
      </c>
    </row>
    <row r="25" s="355" customFormat="1" customHeight="1" spans="1:8">
      <c r="A25" s="431"/>
    </row>
    <row r="26" s="355" customFormat="1" customHeight="1" spans="1:8">
      <c r="A26" s="431"/>
    </row>
    <row r="27" s="355" customFormat="1" customHeight="1" spans="1:8">
      <c r="A27" s="432"/>
    </row>
    <row r="28" s="355" customFormat="1" customHeight="1" spans="1:8">
      <c r="A28" s="430" t="s">
        <v>280</v>
      </c>
    </row>
    <row r="29" s="355" customFormat="1" customHeight="1" spans="1:8">
      <c r="A29" s="430"/>
    </row>
    <row r="30" customHeight="1" spans="1:8">
      <c r="A30" s="433"/>
    </row>
  </sheetData>
  <mergeCells count="2">
    <mergeCell ref="A1:H1"/>
    <mergeCell ref="A2:H2"/>
  </mergeCells>
  <hyperlinks>
    <hyperlink ref="H3" location="底稿目录!A1" display="='D:\GT_plan\backend\wp_templates\D\[D4-22至D4-32营业收入-IPO 上市 新三板 重组 舞弊应对.xlsx]底稿目录'!F4"/>
  </hyperlinks>
  <pageMargins left="0.708333333333333" right="0.708333333333333" top="0.747916666666667" bottom="0.747916666666667" header="0.314583333333333" footer="0.314583333333333"/>
  <pageSetup paperSize="9" scale="85" orientation="portrait" blackAndWhite="1"/>
  <headerFooter>
    <oddFooter>&amp;C&amp;P/&amp;N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view="pageBreakPreview" zoomScaleNormal="100" workbookViewId="0">
      <selection activeCell="A1" sqref="A1:K1"/>
    </sheetView>
  </sheetViews>
  <sheetFormatPr defaultColWidth="10.9090909090909" defaultRowHeight="20.1" customHeight="1"/>
  <cols>
    <col min="1" max="1" width="6.90909090909091" style="386" customWidth="1"/>
    <col min="2" max="2" width="15.7545454545455" style="386" customWidth="1"/>
    <col min="3" max="3" width="15.0272727272727" style="386" customWidth="1"/>
    <col min="4" max="4" width="16" style="386" customWidth="1"/>
    <col min="5" max="5" width="12.2363636363636" style="386" customWidth="1"/>
    <col min="6" max="6" width="17.4545454545455" style="386" customWidth="1"/>
    <col min="7" max="7" width="8.96363636363636" style="386" customWidth="1"/>
    <col min="8" max="8" width="11.7545454545455" style="386" customWidth="1"/>
    <col min="9" max="9" width="11.6363636363636" style="386" customWidth="1"/>
    <col min="10" max="10" width="12.3636363636364" style="386" customWidth="1"/>
    <col min="11" max="11" width="8.6" style="386" customWidth="1"/>
    <col min="12" max="16384" width="10.9090909090909" style="386"/>
  </cols>
  <sheetData>
    <row r="1" s="384" customFormat="1" customHeight="1" spans="1:13">
      <c r="A1" s="387" t="s">
        <v>27</v>
      </c>
      <c r="B1" s="387"/>
      <c r="C1" s="387"/>
      <c r="D1" s="387"/>
      <c r="E1" s="387"/>
      <c r="F1" s="387"/>
      <c r="G1" s="387"/>
      <c r="H1" s="387"/>
      <c r="I1" s="387"/>
      <c r="J1" s="387"/>
      <c r="K1" s="387"/>
      <c r="L1" s="388"/>
      <c r="M1" s="388"/>
    </row>
    <row r="2" customHeight="1" spans="1:13">
      <c r="A2" s="389" t="s">
        <v>703</v>
      </c>
      <c r="B2" s="389"/>
      <c r="C2" s="389"/>
      <c r="D2" s="389"/>
      <c r="E2" s="389"/>
      <c r="F2" s="389"/>
      <c r="G2" s="389"/>
      <c r="H2" s="389"/>
      <c r="I2" s="389"/>
      <c r="J2" s="389"/>
      <c r="K2" s="389"/>
      <c r="L2" s="390"/>
      <c r="M2" s="390"/>
    </row>
    <row r="3" customHeight="1" spans="1:13">
      <c r="A3" s="377" t="str">
        <f>[16]底稿目录!A2</f>
        <v>被审计单位名称：</v>
      </c>
      <c r="B3" s="384"/>
      <c r="D3" s="378" t="str">
        <f>[16]底稿目录!$A$4</f>
        <v>编制人：</v>
      </c>
      <c r="G3" s="377" t="str">
        <f>[16]底稿目录!$A$5</f>
        <v>编制日期：</v>
      </c>
      <c r="I3" s="391"/>
      <c r="J3" s="392" t="s">
        <v>29</v>
      </c>
      <c r="K3" s="393" t="str">
        <f>[16]底稿目录!F5</f>
        <v>D4-23</v>
      </c>
      <c r="M3" s="384"/>
    </row>
    <row r="4" customHeight="1" spans="1:13">
      <c r="A4" s="377" t="str">
        <f>[16]底稿目录!A3</f>
        <v>会计期间：202X年度</v>
      </c>
      <c r="B4" s="384"/>
      <c r="D4" s="378" t="str">
        <f>[16]底稿目录!$A$6</f>
        <v>复核人：</v>
      </c>
      <c r="G4" s="377" t="str">
        <f>[16]底稿目录!$A$7</f>
        <v>复核日期：</v>
      </c>
      <c r="I4" s="391"/>
      <c r="J4" s="392" t="s">
        <v>129</v>
      </c>
      <c r="M4" s="384"/>
    </row>
    <row r="5" s="385" customFormat="1" customHeight="1" spans="1:13">
      <c r="A5" s="394" t="s">
        <v>282</v>
      </c>
      <c r="B5" s="395"/>
      <c r="C5" s="395"/>
      <c r="E5" s="395"/>
      <c r="F5" s="395"/>
      <c r="G5" s="395"/>
      <c r="I5" s="396"/>
      <c r="J5" s="395"/>
      <c r="K5" s="395"/>
      <c r="M5" s="395"/>
    </row>
    <row r="6" s="385" customFormat="1" customHeight="1" spans="1:13">
      <c r="A6" s="397"/>
      <c r="B6" s="395"/>
      <c r="C6" s="395"/>
      <c r="E6" s="395"/>
      <c r="F6" s="395"/>
      <c r="G6" s="395"/>
      <c r="I6" s="396"/>
      <c r="J6" s="395"/>
      <c r="K6" s="395"/>
      <c r="M6" s="395"/>
    </row>
    <row r="7" s="385" customFormat="1" customHeight="1" spans="1:13">
      <c r="A7" s="398" t="s">
        <v>604</v>
      </c>
      <c r="B7" s="395"/>
      <c r="C7" s="395"/>
      <c r="E7" s="395"/>
      <c r="F7" s="395"/>
      <c r="G7" s="395"/>
      <c r="I7" s="396"/>
      <c r="J7" s="395"/>
      <c r="K7" s="395"/>
      <c r="M7" s="395"/>
    </row>
    <row r="8" s="385" customFormat="1" customHeight="1" spans="1:13">
      <c r="A8" s="399" t="s">
        <v>255</v>
      </c>
      <c r="B8" s="399"/>
      <c r="C8" s="399"/>
      <c r="D8" s="400"/>
      <c r="E8" s="399"/>
      <c r="F8" s="399"/>
      <c r="G8" s="399"/>
      <c r="I8" s="396"/>
      <c r="J8" s="395"/>
      <c r="K8" s="395"/>
      <c r="M8" s="395"/>
    </row>
    <row r="9" s="385" customFormat="1" customHeight="1" spans="1:13">
      <c r="A9" s="399"/>
      <c r="B9" s="401"/>
      <c r="C9" s="401"/>
      <c r="D9" s="401"/>
      <c r="E9" s="401"/>
      <c r="F9" s="401"/>
      <c r="G9" s="401"/>
      <c r="I9" s="396"/>
      <c r="J9" s="395"/>
      <c r="K9" s="395"/>
      <c r="M9" s="395"/>
    </row>
    <row r="10" customHeight="1" spans="1:13">
      <c r="A10" s="402" t="s">
        <v>385</v>
      </c>
      <c r="B10" s="402" t="s">
        <v>791</v>
      </c>
      <c r="C10" s="403"/>
      <c r="D10" s="403"/>
      <c r="E10" s="402" t="s">
        <v>792</v>
      </c>
      <c r="F10" s="402"/>
      <c r="G10" s="402"/>
      <c r="H10" s="402"/>
      <c r="I10" s="402"/>
      <c r="J10" s="402"/>
      <c r="K10" s="402"/>
    </row>
    <row r="11" ht="42" customHeight="1" spans="1:13">
      <c r="A11" s="403"/>
      <c r="B11" s="402" t="s">
        <v>197</v>
      </c>
      <c r="C11" s="402" t="s">
        <v>793</v>
      </c>
      <c r="D11" s="402" t="s">
        <v>794</v>
      </c>
      <c r="E11" s="404" t="s">
        <v>795</v>
      </c>
      <c r="F11" s="404" t="s">
        <v>796</v>
      </c>
      <c r="G11" s="404" t="s">
        <v>797</v>
      </c>
      <c r="H11" s="404" t="s">
        <v>798</v>
      </c>
      <c r="I11" s="404" t="s">
        <v>799</v>
      </c>
      <c r="J11" s="403" t="s">
        <v>610</v>
      </c>
      <c r="K11" s="403" t="s">
        <v>4</v>
      </c>
    </row>
    <row r="12" customHeight="1" spans="1:13">
      <c r="A12" s="405" t="s">
        <v>800</v>
      </c>
      <c r="B12" s="406"/>
      <c r="C12" s="406"/>
      <c r="D12" s="407">
        <f t="shared" ref="D12:D23" si="0">B12+C12</f>
        <v>0</v>
      </c>
      <c r="E12" s="406"/>
      <c r="F12" s="406"/>
      <c r="G12" s="406"/>
      <c r="H12" s="406"/>
      <c r="I12" s="407">
        <f t="shared" ref="I12:I23" si="1">E12+G12</f>
        <v>0</v>
      </c>
      <c r="J12" s="407">
        <f t="shared" ref="J12:J23" si="2">D12-I12</f>
        <v>0</v>
      </c>
      <c r="K12" s="406"/>
    </row>
    <row r="13" customHeight="1" spans="1:13">
      <c r="A13" s="405" t="s">
        <v>801</v>
      </c>
      <c r="B13" s="406"/>
      <c r="C13" s="406"/>
      <c r="D13" s="407">
        <f t="shared" si="0"/>
        <v>0</v>
      </c>
      <c r="E13" s="406"/>
      <c r="F13" s="406"/>
      <c r="G13" s="406"/>
      <c r="H13" s="406"/>
      <c r="I13" s="407">
        <f t="shared" si="1"/>
        <v>0</v>
      </c>
      <c r="J13" s="407">
        <f t="shared" si="2"/>
        <v>0</v>
      </c>
      <c r="K13" s="406"/>
    </row>
    <row r="14" customHeight="1" spans="1:13">
      <c r="A14" s="405" t="s">
        <v>802</v>
      </c>
      <c r="B14" s="406"/>
      <c r="C14" s="406"/>
      <c r="D14" s="407">
        <f t="shared" si="0"/>
        <v>0</v>
      </c>
      <c r="E14" s="406"/>
      <c r="F14" s="406"/>
      <c r="G14" s="406"/>
      <c r="H14" s="406"/>
      <c r="I14" s="407">
        <f t="shared" si="1"/>
        <v>0</v>
      </c>
      <c r="J14" s="407">
        <f t="shared" si="2"/>
        <v>0</v>
      </c>
      <c r="K14" s="406"/>
    </row>
    <row r="15" customHeight="1" spans="1:13">
      <c r="A15" s="405" t="s">
        <v>803</v>
      </c>
      <c r="B15" s="406"/>
      <c r="C15" s="406"/>
      <c r="D15" s="407">
        <f t="shared" si="0"/>
        <v>0</v>
      </c>
      <c r="E15" s="406"/>
      <c r="F15" s="406"/>
      <c r="G15" s="406"/>
      <c r="H15" s="406"/>
      <c r="I15" s="407">
        <f t="shared" si="1"/>
        <v>0</v>
      </c>
      <c r="J15" s="407">
        <f t="shared" si="2"/>
        <v>0</v>
      </c>
      <c r="K15" s="406"/>
    </row>
    <row r="16" customHeight="1" spans="1:13">
      <c r="A16" s="405" t="s">
        <v>804</v>
      </c>
      <c r="B16" s="406"/>
      <c r="C16" s="406"/>
      <c r="D16" s="407">
        <f t="shared" si="0"/>
        <v>0</v>
      </c>
      <c r="E16" s="406"/>
      <c r="F16" s="406"/>
      <c r="G16" s="406"/>
      <c r="H16" s="406"/>
      <c r="I16" s="407">
        <f t="shared" si="1"/>
        <v>0</v>
      </c>
      <c r="J16" s="407">
        <f t="shared" si="2"/>
        <v>0</v>
      </c>
      <c r="K16" s="406"/>
    </row>
    <row r="17" customHeight="1" spans="1:11">
      <c r="A17" s="405" t="s">
        <v>805</v>
      </c>
      <c r="B17" s="406"/>
      <c r="C17" s="406"/>
      <c r="D17" s="407">
        <f t="shared" si="0"/>
        <v>0</v>
      </c>
      <c r="E17" s="406"/>
      <c r="F17" s="406"/>
      <c r="G17" s="406"/>
      <c r="H17" s="406"/>
      <c r="I17" s="407">
        <f t="shared" si="1"/>
        <v>0</v>
      </c>
      <c r="J17" s="407">
        <f t="shared" si="2"/>
        <v>0</v>
      </c>
      <c r="K17" s="406"/>
    </row>
    <row r="18" customHeight="1" spans="1:11">
      <c r="A18" s="405" t="s">
        <v>806</v>
      </c>
      <c r="B18" s="406"/>
      <c r="C18" s="406"/>
      <c r="D18" s="407">
        <f t="shared" si="0"/>
        <v>0</v>
      </c>
      <c r="E18" s="406"/>
      <c r="F18" s="406"/>
      <c r="G18" s="406"/>
      <c r="H18" s="406"/>
      <c r="I18" s="407">
        <f t="shared" si="1"/>
        <v>0</v>
      </c>
      <c r="J18" s="407">
        <f t="shared" si="2"/>
        <v>0</v>
      </c>
      <c r="K18" s="406"/>
    </row>
    <row r="19" customHeight="1" spans="1:11">
      <c r="A19" s="405" t="s">
        <v>807</v>
      </c>
      <c r="B19" s="406"/>
      <c r="C19" s="406"/>
      <c r="D19" s="407">
        <f t="shared" si="0"/>
        <v>0</v>
      </c>
      <c r="E19" s="406"/>
      <c r="F19" s="406"/>
      <c r="G19" s="406"/>
      <c r="H19" s="406"/>
      <c r="I19" s="407">
        <f t="shared" si="1"/>
        <v>0</v>
      </c>
      <c r="J19" s="407">
        <f t="shared" si="2"/>
        <v>0</v>
      </c>
      <c r="K19" s="406"/>
    </row>
    <row r="20" customHeight="1" spans="1:11">
      <c r="A20" s="405" t="s">
        <v>808</v>
      </c>
      <c r="B20" s="406"/>
      <c r="C20" s="406"/>
      <c r="D20" s="407">
        <f t="shared" si="0"/>
        <v>0</v>
      </c>
      <c r="E20" s="406"/>
      <c r="F20" s="406"/>
      <c r="G20" s="406"/>
      <c r="H20" s="406"/>
      <c r="I20" s="407">
        <f t="shared" si="1"/>
        <v>0</v>
      </c>
      <c r="J20" s="407">
        <f t="shared" si="2"/>
        <v>0</v>
      </c>
      <c r="K20" s="406"/>
    </row>
    <row r="21" customHeight="1" spans="1:11">
      <c r="A21" s="405" t="s">
        <v>809</v>
      </c>
      <c r="B21" s="406"/>
      <c r="C21" s="406"/>
      <c r="D21" s="407">
        <f t="shared" si="0"/>
        <v>0</v>
      </c>
      <c r="E21" s="406"/>
      <c r="F21" s="406"/>
      <c r="G21" s="406"/>
      <c r="H21" s="406"/>
      <c r="I21" s="407">
        <f t="shared" si="1"/>
        <v>0</v>
      </c>
      <c r="J21" s="407">
        <f t="shared" si="2"/>
        <v>0</v>
      </c>
      <c r="K21" s="406"/>
    </row>
    <row r="22" customHeight="1" spans="1:11">
      <c r="A22" s="405" t="s">
        <v>810</v>
      </c>
      <c r="B22" s="406"/>
      <c r="C22" s="406"/>
      <c r="D22" s="407">
        <f t="shared" si="0"/>
        <v>0</v>
      </c>
      <c r="E22" s="406"/>
      <c r="F22" s="406"/>
      <c r="G22" s="406"/>
      <c r="H22" s="406"/>
      <c r="I22" s="407">
        <f t="shared" si="1"/>
        <v>0</v>
      </c>
      <c r="J22" s="407">
        <f t="shared" si="2"/>
        <v>0</v>
      </c>
      <c r="K22" s="406"/>
    </row>
    <row r="23" customHeight="1" spans="1:11">
      <c r="A23" s="405" t="s">
        <v>811</v>
      </c>
      <c r="B23" s="406"/>
      <c r="C23" s="406"/>
      <c r="D23" s="407">
        <f t="shared" si="0"/>
        <v>0</v>
      </c>
      <c r="E23" s="406"/>
      <c r="F23" s="406"/>
      <c r="G23" s="406"/>
      <c r="H23" s="406"/>
      <c r="I23" s="407">
        <f t="shared" si="1"/>
        <v>0</v>
      </c>
      <c r="J23" s="407">
        <f t="shared" si="2"/>
        <v>0</v>
      </c>
      <c r="K23" s="406"/>
    </row>
    <row r="24" customHeight="1" spans="1:11">
      <c r="A24" s="403" t="s">
        <v>140</v>
      </c>
      <c r="B24" s="408">
        <f t="shared" ref="B24:J24" si="3">SUM(B12:B23)</f>
        <v>0</v>
      </c>
      <c r="C24" s="408">
        <f t="shared" si="3"/>
        <v>0</v>
      </c>
      <c r="D24" s="408">
        <f t="shared" si="3"/>
        <v>0</v>
      </c>
      <c r="E24" s="408">
        <f t="shared" si="3"/>
        <v>0</v>
      </c>
      <c r="F24" s="408">
        <f t="shared" si="3"/>
        <v>0</v>
      </c>
      <c r="G24" s="408">
        <f t="shared" si="3"/>
        <v>0</v>
      </c>
      <c r="H24" s="408">
        <f t="shared" si="3"/>
        <v>0</v>
      </c>
      <c r="I24" s="408">
        <f t="shared" si="3"/>
        <v>0</v>
      </c>
      <c r="J24" s="408">
        <f t="shared" si="3"/>
        <v>0</v>
      </c>
      <c r="K24" s="409"/>
    </row>
    <row r="25" s="385" customFormat="1" customHeight="1" spans="1:11">
      <c r="A25" s="410" t="s">
        <v>292</v>
      </c>
      <c r="B25" s="395"/>
      <c r="C25" s="395"/>
      <c r="D25" s="395"/>
      <c r="E25" s="395"/>
      <c r="F25" s="395"/>
      <c r="G25" s="395"/>
    </row>
    <row r="26" s="385" customFormat="1" customHeight="1" spans="1:11">
      <c r="A26" s="410"/>
      <c r="B26" s="395"/>
      <c r="C26" s="395"/>
      <c r="D26" s="395"/>
      <c r="E26" s="395"/>
      <c r="F26" s="395"/>
      <c r="G26" s="395"/>
    </row>
    <row r="27" s="385" customFormat="1" customHeight="1" spans="1:11">
      <c r="A27" s="395"/>
      <c r="B27" s="395"/>
      <c r="C27" s="395"/>
      <c r="D27" s="395"/>
      <c r="E27" s="395"/>
      <c r="F27" s="395"/>
      <c r="G27" s="395"/>
    </row>
    <row r="28" s="385" customFormat="1" customHeight="1" spans="1:11">
      <c r="A28" s="395"/>
      <c r="B28" s="395"/>
      <c r="C28" s="395"/>
      <c r="D28" s="395"/>
      <c r="E28" s="395"/>
      <c r="F28" s="395"/>
      <c r="G28" s="395"/>
    </row>
    <row r="29" s="385" customFormat="1" customHeight="1" spans="1:11">
      <c r="A29" s="410" t="s">
        <v>293</v>
      </c>
    </row>
    <row r="30" s="385" customFormat="1" customHeight="1" spans="1:11">
      <c r="A30" s="410"/>
    </row>
    <row r="31" customHeight="1" spans="1:11">
      <c r="A31" s="411"/>
    </row>
    <row r="32" customHeight="1" spans="1:11">
      <c r="A32" s="384"/>
    </row>
  </sheetData>
  <mergeCells count="5">
    <mergeCell ref="A1:K1"/>
    <mergeCell ref="A2:K2"/>
    <mergeCell ref="B10:D10"/>
    <mergeCell ref="E10:K10"/>
    <mergeCell ref="A10:A11"/>
  </mergeCells>
  <hyperlinks>
    <hyperlink ref="K3" location="底稿目录!A1" display="='D:\GT_plan\backend\wp_templates\D\[D4-22至D4-32营业收入-IPO 上市 新三板 重组 舞弊应对.xlsx]底稿目录'!F5"/>
  </hyperlinks>
  <pageMargins left="0.708333333333333" right="0.708333333333333" top="0.747916666666667" bottom="0.747916666666667" header="0.314583333333333" footer="0.314583333333333"/>
  <pageSetup paperSize="9" scale="68" orientation="portrait" blackAndWhite="1"/>
  <headerFooter>
    <oddFooter>&amp;C&amp;P/&amp;N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view="pageBreakPreview" zoomScaleNormal="100" workbookViewId="0">
      <selection activeCell="A1" sqref="A1:M1"/>
    </sheetView>
  </sheetViews>
  <sheetFormatPr defaultColWidth="9.81818181818182" defaultRowHeight="20.1" customHeight="1"/>
  <cols>
    <col min="1" max="1" width="7.39090909090909" style="168" customWidth="1"/>
    <col min="2" max="2" width="17.0909090909091" style="168" customWidth="1"/>
    <col min="3" max="3" width="15.3909090909091" style="168" customWidth="1"/>
    <col min="4" max="4" width="17.5727272727273" style="168" customWidth="1"/>
    <col min="5" max="5" width="22.7818181818182" style="168" customWidth="1"/>
    <col min="6" max="6" width="19.3909090909091" style="168" customWidth="1"/>
    <col min="7" max="7" width="14.6636363636364" style="168" customWidth="1"/>
    <col min="8" max="8" width="10.9090909090909" style="168" customWidth="1"/>
    <col min="9" max="9" width="11.7545454545455" style="168" customWidth="1"/>
    <col min="10" max="11" width="10.9090909090909" style="168" customWidth="1"/>
    <col min="12" max="12" width="12.8454545454545" style="168" customWidth="1"/>
    <col min="13" max="13" width="8" style="168" customWidth="1"/>
    <col min="14" max="16384" width="9.81818181818182" style="168"/>
  </cols>
  <sheetData>
    <row r="1" s="166" customFormat="1" customHeight="1" spans="1:14">
      <c r="A1" s="169" t="s">
        <v>27</v>
      </c>
      <c r="B1" s="169"/>
      <c r="C1" s="169"/>
      <c r="D1" s="169"/>
      <c r="E1" s="169"/>
      <c r="F1" s="169"/>
      <c r="G1" s="169"/>
      <c r="H1" s="169"/>
      <c r="I1" s="169"/>
      <c r="J1" s="169"/>
      <c r="K1" s="169"/>
      <c r="L1" s="169"/>
      <c r="M1" s="169"/>
      <c r="N1" s="371"/>
    </row>
    <row r="2" s="166" customFormat="1" customHeight="1" spans="1:14">
      <c r="A2" s="170" t="s">
        <v>705</v>
      </c>
      <c r="B2" s="170"/>
      <c r="C2" s="170"/>
      <c r="D2" s="170"/>
      <c r="E2" s="170"/>
      <c r="F2" s="170"/>
      <c r="G2" s="170"/>
      <c r="H2" s="170"/>
      <c r="I2" s="170"/>
      <c r="J2" s="170"/>
      <c r="K2" s="170"/>
      <c r="L2" s="170"/>
      <c r="M2" s="170"/>
      <c r="N2" s="371"/>
    </row>
    <row r="3" customHeight="1" spans="1:14">
      <c r="A3" s="377" t="str">
        <f>[16]底稿目录!A2</f>
        <v>被审计单位名称：</v>
      </c>
      <c r="B3" s="171"/>
      <c r="C3" s="171"/>
      <c r="D3" s="378" t="str">
        <f>[16]底稿目录!$A$4</f>
        <v>编制人：</v>
      </c>
      <c r="G3" s="168" t="str">
        <f>[16]底稿目录!A5</f>
        <v>编制日期：</v>
      </c>
      <c r="H3" s="172"/>
      <c r="I3" s="172"/>
      <c r="J3" s="172"/>
      <c r="K3" s="172"/>
      <c r="L3" s="173" t="s">
        <v>29</v>
      </c>
      <c r="M3" s="356" t="str">
        <f>[16]底稿目录!F6</f>
        <v>D4-24</v>
      </c>
    </row>
    <row r="4" customHeight="1" spans="1:14">
      <c r="A4" s="377" t="str">
        <f>[16]底稿目录!A3</f>
        <v>会计期间：202X年度</v>
      </c>
      <c r="B4" s="171"/>
      <c r="C4" s="171"/>
      <c r="D4" s="378" t="str">
        <f>[16]底稿目录!$A$6</f>
        <v>复核人：</v>
      </c>
      <c r="G4" s="168" t="str">
        <f>[16]底稿目录!A7</f>
        <v>复核日期：</v>
      </c>
      <c r="H4" s="172"/>
      <c r="I4" s="172"/>
      <c r="J4" s="172"/>
      <c r="K4" s="172"/>
      <c r="L4" s="173" t="s">
        <v>129</v>
      </c>
    </row>
    <row r="5" customHeight="1" spans="1:14">
      <c r="A5" s="20" t="s">
        <v>282</v>
      </c>
      <c r="F5" s="175"/>
      <c r="G5" s="175"/>
      <c r="H5" s="175"/>
      <c r="I5" s="175"/>
      <c r="J5" s="175"/>
      <c r="K5" s="175"/>
    </row>
    <row r="6" customHeight="1" spans="1:14">
      <c r="A6" s="177" t="s">
        <v>812</v>
      </c>
      <c r="F6" s="175"/>
      <c r="G6" s="175"/>
      <c r="H6" s="175"/>
      <c r="I6" s="175"/>
      <c r="J6" s="175"/>
      <c r="K6" s="175"/>
      <c r="L6" s="176"/>
    </row>
    <row r="7" customHeight="1" spans="1:14">
      <c r="A7" s="20" t="s">
        <v>604</v>
      </c>
      <c r="B7" s="178"/>
      <c r="C7" s="178"/>
      <c r="D7" s="178"/>
      <c r="F7" s="176"/>
      <c r="G7" s="176"/>
      <c r="H7" s="176"/>
      <c r="I7" s="176"/>
      <c r="J7" s="176"/>
      <c r="K7" s="176"/>
      <c r="L7" s="176"/>
    </row>
    <row r="8" customHeight="1" spans="1:14">
      <c r="A8" s="180" t="s">
        <v>813</v>
      </c>
      <c r="F8" s="176"/>
      <c r="G8" s="176"/>
      <c r="H8" s="176"/>
      <c r="I8" s="176"/>
      <c r="J8" s="176"/>
      <c r="K8" s="176"/>
      <c r="L8" s="176"/>
    </row>
    <row r="9" customHeight="1" spans="1:14">
      <c r="A9" s="180" t="s">
        <v>814</v>
      </c>
      <c r="F9" s="176"/>
      <c r="G9" s="176"/>
      <c r="H9" s="176"/>
      <c r="I9" s="176"/>
      <c r="J9" s="176"/>
      <c r="K9" s="176"/>
      <c r="L9" s="176"/>
    </row>
    <row r="10" customHeight="1" spans="1:14">
      <c r="A10" s="180" t="s">
        <v>815</v>
      </c>
      <c r="F10" s="176"/>
      <c r="G10" s="176"/>
      <c r="H10" s="176"/>
      <c r="I10" s="176"/>
      <c r="J10" s="176"/>
      <c r="K10" s="176"/>
      <c r="L10" s="176"/>
    </row>
    <row r="11" customHeight="1" spans="1:14">
      <c r="A11" s="180" t="s">
        <v>816</v>
      </c>
      <c r="F11" s="176"/>
      <c r="G11" s="176"/>
      <c r="H11" s="176"/>
      <c r="I11" s="176"/>
      <c r="J11" s="176"/>
      <c r="K11" s="176"/>
      <c r="L11" s="176"/>
    </row>
    <row r="12" customHeight="1" spans="1:14">
      <c r="A12" s="180" t="s">
        <v>817</v>
      </c>
      <c r="F12" s="176"/>
      <c r="G12" s="176"/>
      <c r="H12" s="176"/>
      <c r="I12" s="176"/>
      <c r="J12" s="176"/>
      <c r="K12" s="176"/>
      <c r="L12" s="176"/>
    </row>
    <row r="13" customHeight="1" spans="1:14">
      <c r="A13" s="180" t="s">
        <v>818</v>
      </c>
      <c r="F13" s="176"/>
      <c r="G13" s="176"/>
      <c r="H13" s="176"/>
      <c r="I13" s="176"/>
      <c r="J13" s="176"/>
      <c r="K13" s="176"/>
      <c r="L13" s="176"/>
    </row>
    <row r="14" ht="37.5" customHeight="1" spans="1:14">
      <c r="A14" s="379" t="s">
        <v>2</v>
      </c>
      <c r="B14" s="379" t="s">
        <v>425</v>
      </c>
      <c r="C14" s="379" t="s">
        <v>819</v>
      </c>
      <c r="D14" s="379" t="s">
        <v>820</v>
      </c>
      <c r="E14" s="379" t="s">
        <v>821</v>
      </c>
      <c r="F14" s="379" t="s">
        <v>822</v>
      </c>
      <c r="G14" s="379" t="s">
        <v>823</v>
      </c>
      <c r="H14" s="380" t="s">
        <v>824</v>
      </c>
      <c r="I14" s="380" t="s">
        <v>825</v>
      </c>
      <c r="J14" s="380" t="s">
        <v>826</v>
      </c>
      <c r="K14" s="380" t="s">
        <v>827</v>
      </c>
      <c r="L14" s="380" t="s">
        <v>779</v>
      </c>
      <c r="M14" s="380" t="s">
        <v>305</v>
      </c>
    </row>
    <row r="15" customHeight="1" spans="1:14">
      <c r="A15" s="185"/>
      <c r="B15" s="185"/>
      <c r="C15" s="381"/>
      <c r="D15" s="381"/>
      <c r="E15" s="381"/>
      <c r="F15" s="382"/>
      <c r="G15" s="382"/>
      <c r="H15" s="382"/>
      <c r="I15" s="382"/>
      <c r="J15" s="382"/>
      <c r="K15" s="382"/>
      <c r="L15" s="185"/>
      <c r="M15" s="185"/>
    </row>
    <row r="16" customHeight="1" spans="1:14">
      <c r="A16" s="185"/>
      <c r="B16" s="185"/>
      <c r="C16" s="381"/>
      <c r="D16" s="381"/>
      <c r="E16" s="381"/>
      <c r="F16" s="382"/>
      <c r="G16" s="382"/>
      <c r="H16" s="382"/>
      <c r="I16" s="382"/>
      <c r="J16" s="382"/>
      <c r="K16" s="382"/>
      <c r="L16" s="185"/>
      <c r="M16" s="185"/>
    </row>
    <row r="17" customHeight="1" spans="1:13">
      <c r="A17" s="185"/>
      <c r="B17" s="185"/>
      <c r="C17" s="381"/>
      <c r="D17" s="381"/>
      <c r="E17" s="381"/>
      <c r="F17" s="382"/>
      <c r="G17" s="382"/>
      <c r="H17" s="382"/>
      <c r="I17" s="382"/>
      <c r="J17" s="382"/>
      <c r="K17" s="382"/>
      <c r="L17" s="185"/>
      <c r="M17" s="185"/>
    </row>
    <row r="18" customHeight="1" spans="1:13">
      <c r="A18" s="185"/>
      <c r="B18" s="185"/>
      <c r="C18" s="381"/>
      <c r="D18" s="381"/>
      <c r="E18" s="381"/>
      <c r="F18" s="382"/>
      <c r="G18" s="382"/>
      <c r="H18" s="382"/>
      <c r="I18" s="382"/>
      <c r="J18" s="382"/>
      <c r="K18" s="382"/>
      <c r="L18" s="185"/>
      <c r="M18" s="185"/>
    </row>
    <row r="19" customHeight="1" spans="1:13">
      <c r="A19" s="185"/>
      <c r="B19" s="185"/>
      <c r="C19" s="381"/>
      <c r="D19" s="381"/>
      <c r="E19" s="381"/>
      <c r="F19" s="382"/>
      <c r="G19" s="382"/>
      <c r="H19" s="382"/>
      <c r="I19" s="382"/>
      <c r="J19" s="382"/>
      <c r="K19" s="382"/>
      <c r="L19" s="185"/>
      <c r="M19" s="185"/>
    </row>
    <row r="20" customHeight="1" spans="1:13">
      <c r="A20" s="185"/>
      <c r="B20" s="185"/>
      <c r="C20" s="381"/>
      <c r="D20" s="381"/>
      <c r="E20" s="381"/>
      <c r="F20" s="382"/>
      <c r="G20" s="382"/>
      <c r="H20" s="382"/>
      <c r="I20" s="382"/>
      <c r="J20" s="382"/>
      <c r="K20" s="382"/>
      <c r="L20" s="185"/>
      <c r="M20" s="185"/>
    </row>
    <row r="21" customHeight="1" spans="1:13">
      <c r="A21" s="185"/>
      <c r="B21" s="185"/>
      <c r="C21" s="381"/>
      <c r="D21" s="381"/>
      <c r="E21" s="381"/>
      <c r="F21" s="382"/>
      <c r="G21" s="382"/>
      <c r="H21" s="382"/>
      <c r="I21" s="382"/>
      <c r="J21" s="382"/>
      <c r="K21" s="382"/>
      <c r="L21" s="185"/>
      <c r="M21" s="185"/>
    </row>
    <row r="22" customHeight="1" spans="1:13">
      <c r="A22" s="185"/>
      <c r="B22" s="185"/>
      <c r="C22" s="381"/>
      <c r="D22" s="381"/>
      <c r="E22" s="381"/>
      <c r="F22" s="382"/>
      <c r="G22" s="382"/>
      <c r="H22" s="382"/>
      <c r="I22" s="382"/>
      <c r="J22" s="382"/>
      <c r="K22" s="382"/>
      <c r="L22" s="185"/>
      <c r="M22" s="185"/>
    </row>
    <row r="23" customHeight="1" spans="1:13">
      <c r="A23" s="193" t="s">
        <v>292</v>
      </c>
    </row>
    <row r="24" customHeight="1" spans="1:13">
      <c r="A24" s="383" t="s">
        <v>828</v>
      </c>
    </row>
    <row r="25" customHeight="1" spans="1:13">
      <c r="A25" s="194"/>
    </row>
    <row r="27" customHeight="1" spans="1:13">
      <c r="A27" s="193" t="s">
        <v>293</v>
      </c>
    </row>
  </sheetData>
  <mergeCells count="2">
    <mergeCell ref="A1:M1"/>
    <mergeCell ref="A2:M2"/>
  </mergeCells>
  <hyperlinks>
    <hyperlink ref="M3" location="底稿目录!A1" display="='D:\GT_plan\backend\wp_templates\D\[D4-22至D4-32营业收入-IPO 上市 新三板 重组 舞弊应对.xlsx]底稿目录'!F6"/>
  </hyperlinks>
  <pageMargins left="0.708333333333333" right="0.708333333333333" top="0.747916666666667" bottom="0.747916666666667" header="0.314583333333333" footer="0.314583333333333"/>
  <pageSetup paperSize="9" scale="75" orientation="landscape" blackAndWhite="1"/>
  <headerFooter>
    <oddFooter>&amp;C&amp;P/&amp;N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
  <sheetViews>
    <sheetView view="pageBreakPreview" zoomScaleNormal="100" workbookViewId="0">
      <selection activeCell="A1" sqref="A1:M1"/>
    </sheetView>
  </sheetViews>
  <sheetFormatPr defaultColWidth="9.81818181818182" defaultRowHeight="20.1" customHeight="1"/>
  <cols>
    <col min="1" max="1" width="6.18181818181818" style="168" customWidth="1"/>
    <col min="2" max="2" width="19.3909090909091" style="168" customWidth="1"/>
    <col min="3" max="3" width="18.4181818181818" style="168" customWidth="1"/>
    <col min="4" max="4" width="16.7272727272727" style="168" customWidth="1"/>
    <col min="5" max="5" width="15.0272727272727" style="168" customWidth="1"/>
    <col min="6" max="6" width="11.2727272727273" style="168" customWidth="1"/>
    <col min="7" max="7" width="13.8181818181818" style="168" customWidth="1"/>
    <col min="8" max="9" width="14.5454545454545" style="168" customWidth="1"/>
    <col min="10" max="10" width="12.4818181818182" style="168" customWidth="1"/>
    <col min="11" max="11" width="13.4545454545455" style="168" customWidth="1"/>
    <col min="12" max="12" width="15.2727272727273" style="168" customWidth="1"/>
    <col min="13" max="13" width="10.7818181818182" style="168" customWidth="1"/>
    <col min="14" max="16384" width="9.81818181818182" style="168"/>
  </cols>
  <sheetData>
    <row r="1" s="166" customFormat="1" customHeight="1" spans="1:17">
      <c r="A1" s="169" t="s">
        <v>27</v>
      </c>
      <c r="B1" s="169"/>
      <c r="C1" s="169"/>
      <c r="D1" s="169"/>
      <c r="E1" s="169"/>
      <c r="F1" s="169"/>
      <c r="G1" s="169"/>
      <c r="H1" s="169"/>
      <c r="I1" s="169"/>
      <c r="J1" s="169"/>
      <c r="K1" s="169"/>
      <c r="L1" s="169"/>
      <c r="M1" s="169"/>
      <c r="N1" s="371"/>
      <c r="O1" s="371"/>
      <c r="P1" s="371"/>
      <c r="Q1" s="371"/>
    </row>
    <row r="2" s="166" customFormat="1" customHeight="1" spans="1:17">
      <c r="A2" s="170" t="s">
        <v>707</v>
      </c>
      <c r="B2" s="170"/>
      <c r="C2" s="170"/>
      <c r="D2" s="170"/>
      <c r="E2" s="170"/>
      <c r="F2" s="170"/>
      <c r="G2" s="170"/>
      <c r="H2" s="170"/>
      <c r="I2" s="170"/>
      <c r="J2" s="170"/>
      <c r="K2" s="170"/>
      <c r="L2" s="170"/>
      <c r="M2" s="170"/>
      <c r="N2" s="371"/>
      <c r="O2" s="371"/>
      <c r="P2" s="371"/>
      <c r="Q2" s="371"/>
    </row>
    <row r="3" customHeight="1" spans="1:17">
      <c r="A3" s="171" t="str">
        <f>[16]底稿目录!A2</f>
        <v>被审计单位名称：</v>
      </c>
      <c r="E3" s="172" t="str">
        <f>[16]底稿目录!A4</f>
        <v>编制人：</v>
      </c>
      <c r="I3" s="171" t="str">
        <f>[16]底稿目录!A5</f>
        <v>编制日期：</v>
      </c>
      <c r="L3" s="173" t="s">
        <v>29</v>
      </c>
      <c r="M3" s="356" t="str">
        <f>[16]底稿目录!F7</f>
        <v>D4-25</v>
      </c>
    </row>
    <row r="4" customHeight="1" spans="1:17">
      <c r="A4" s="171" t="str">
        <f>[16]底稿目录!A3</f>
        <v>会计期间：202X年度</v>
      </c>
      <c r="E4" s="172" t="str">
        <f>[16]底稿目录!A6</f>
        <v>复核人：</v>
      </c>
      <c r="I4" s="171" t="str">
        <f>[16]底稿目录!A7</f>
        <v>复核日期：</v>
      </c>
      <c r="L4" s="173" t="s">
        <v>30</v>
      </c>
    </row>
    <row r="5" customHeight="1" spans="1:17">
      <c r="A5" s="20" t="s">
        <v>282</v>
      </c>
      <c r="E5" s="175"/>
    </row>
    <row r="6" customHeight="1" spans="1:17">
      <c r="A6" s="168" t="s">
        <v>442</v>
      </c>
      <c r="E6" s="175"/>
    </row>
    <row r="7" customHeight="1" spans="1:17">
      <c r="A7" s="20" t="s">
        <v>604</v>
      </c>
      <c r="B7" s="178"/>
      <c r="C7" s="178"/>
      <c r="D7" s="178"/>
      <c r="E7" s="176"/>
    </row>
    <row r="8" customHeight="1" spans="1:17">
      <c r="A8" s="180" t="s">
        <v>829</v>
      </c>
      <c r="C8" s="177"/>
      <c r="D8" s="177"/>
      <c r="E8" s="176"/>
    </row>
    <row r="9" customHeight="1" spans="1:17">
      <c r="A9" s="180" t="s">
        <v>830</v>
      </c>
      <c r="C9" s="177"/>
      <c r="D9" s="177"/>
      <c r="E9" s="176"/>
    </row>
    <row r="10" customHeight="1" spans="1:17">
      <c r="A10" s="180" t="s">
        <v>328</v>
      </c>
    </row>
    <row r="11" s="167" customFormat="1" ht="38.25" customHeight="1" spans="1:17">
      <c r="A11" s="182" t="s">
        <v>2</v>
      </c>
      <c r="B11" s="372" t="s">
        <v>425</v>
      </c>
      <c r="C11" s="372" t="s">
        <v>831</v>
      </c>
      <c r="D11" s="373" t="s">
        <v>832</v>
      </c>
      <c r="E11" s="373" t="s">
        <v>833</v>
      </c>
      <c r="F11" s="373" t="s">
        <v>834</v>
      </c>
      <c r="G11" s="373" t="s">
        <v>820</v>
      </c>
      <c r="H11" s="373" t="s">
        <v>835</v>
      </c>
      <c r="I11" s="373" t="s">
        <v>836</v>
      </c>
      <c r="J11" s="373" t="s">
        <v>837</v>
      </c>
      <c r="K11" s="373" t="s">
        <v>838</v>
      </c>
      <c r="L11" s="373" t="s">
        <v>839</v>
      </c>
      <c r="M11" s="373" t="s">
        <v>276</v>
      </c>
    </row>
    <row r="12" customHeight="1" spans="1:17">
      <c r="A12" s="189">
        <v>1</v>
      </c>
      <c r="B12" s="185"/>
      <c r="C12" s="185"/>
      <c r="D12" s="374"/>
      <c r="E12" s="367"/>
      <c r="F12" s="365"/>
      <c r="G12" s="374"/>
      <c r="H12" s="185"/>
      <c r="I12" s="185"/>
      <c r="J12" s="185"/>
      <c r="K12" s="374"/>
      <c r="L12" s="374"/>
      <c r="M12" s="185"/>
    </row>
    <row r="13" customHeight="1" spans="1:17">
      <c r="A13" s="189">
        <v>2</v>
      </c>
      <c r="B13" s="185"/>
      <c r="C13" s="185"/>
      <c r="D13" s="374"/>
      <c r="E13" s="367"/>
      <c r="F13" s="365"/>
      <c r="G13" s="374"/>
      <c r="H13" s="185"/>
      <c r="I13" s="185"/>
      <c r="J13" s="185"/>
      <c r="K13" s="374"/>
      <c r="L13" s="374"/>
      <c r="M13" s="185"/>
    </row>
    <row r="14" customHeight="1" spans="1:17">
      <c r="A14" s="189">
        <v>3</v>
      </c>
      <c r="B14" s="185"/>
      <c r="C14" s="185"/>
      <c r="D14" s="374"/>
      <c r="E14" s="367"/>
      <c r="F14" s="365"/>
      <c r="G14" s="374"/>
      <c r="H14" s="185"/>
      <c r="I14" s="185"/>
      <c r="J14" s="185"/>
      <c r="K14" s="374"/>
      <c r="L14" s="374"/>
      <c r="M14" s="185"/>
    </row>
    <row r="15" customHeight="1" spans="1:17">
      <c r="A15" s="189">
        <v>4</v>
      </c>
      <c r="B15" s="185"/>
      <c r="C15" s="185"/>
      <c r="D15" s="374"/>
      <c r="E15" s="367"/>
      <c r="F15" s="365"/>
      <c r="G15" s="374"/>
      <c r="H15" s="185"/>
      <c r="I15" s="185"/>
      <c r="J15" s="185"/>
      <c r="K15" s="374"/>
      <c r="L15" s="374"/>
      <c r="M15" s="185"/>
    </row>
    <row r="16" customHeight="1" spans="1:17">
      <c r="A16" s="189">
        <v>5</v>
      </c>
      <c r="B16" s="185"/>
      <c r="C16" s="185"/>
      <c r="D16" s="374"/>
      <c r="E16" s="367"/>
      <c r="F16" s="365"/>
      <c r="G16" s="374"/>
      <c r="H16" s="185"/>
      <c r="I16" s="185"/>
      <c r="J16" s="185"/>
      <c r="K16" s="374"/>
      <c r="L16" s="374"/>
      <c r="M16" s="185"/>
    </row>
    <row r="17" customHeight="1" spans="1:13">
      <c r="A17" s="189">
        <v>6</v>
      </c>
      <c r="B17" s="185"/>
      <c r="C17" s="185"/>
      <c r="D17" s="374"/>
      <c r="E17" s="367"/>
      <c r="F17" s="365"/>
      <c r="G17" s="374"/>
      <c r="H17" s="185"/>
      <c r="I17" s="185"/>
      <c r="J17" s="185"/>
      <c r="K17" s="374"/>
      <c r="L17" s="374"/>
      <c r="M17" s="185"/>
    </row>
    <row r="18" customHeight="1" spans="1:13">
      <c r="A18" s="189">
        <v>7</v>
      </c>
      <c r="B18" s="185"/>
      <c r="C18" s="185"/>
      <c r="D18" s="374"/>
      <c r="E18" s="367"/>
      <c r="F18" s="365"/>
      <c r="G18" s="374"/>
      <c r="H18" s="185"/>
      <c r="I18" s="185"/>
      <c r="J18" s="185"/>
      <c r="K18" s="374"/>
      <c r="L18" s="374"/>
      <c r="M18" s="185"/>
    </row>
    <row r="19" customHeight="1" spans="1:13">
      <c r="A19" s="189">
        <v>8</v>
      </c>
      <c r="B19" s="185"/>
      <c r="C19" s="185"/>
      <c r="D19" s="374"/>
      <c r="E19" s="367"/>
      <c r="F19" s="365"/>
      <c r="G19" s="374"/>
      <c r="H19" s="185"/>
      <c r="I19" s="185"/>
      <c r="J19" s="185"/>
      <c r="K19" s="374"/>
      <c r="L19" s="374"/>
      <c r="M19" s="185"/>
    </row>
    <row r="20" customHeight="1" spans="1:13">
      <c r="A20" s="189">
        <v>9</v>
      </c>
      <c r="B20" s="185"/>
      <c r="C20" s="185"/>
      <c r="D20" s="374"/>
      <c r="E20" s="367"/>
      <c r="F20" s="365"/>
      <c r="G20" s="374"/>
      <c r="H20" s="185"/>
      <c r="I20" s="185"/>
      <c r="J20" s="185"/>
      <c r="K20" s="374"/>
      <c r="L20" s="374"/>
      <c r="M20" s="185"/>
    </row>
    <row r="21" customHeight="1" spans="1:13">
      <c r="A21" s="189">
        <v>10</v>
      </c>
      <c r="B21" s="185"/>
      <c r="C21" s="185"/>
      <c r="D21" s="374"/>
      <c r="E21" s="367"/>
      <c r="F21" s="365"/>
      <c r="G21" s="374"/>
      <c r="H21" s="185"/>
      <c r="I21" s="185"/>
      <c r="J21" s="185"/>
      <c r="K21" s="374"/>
      <c r="L21" s="374"/>
      <c r="M21" s="185"/>
    </row>
    <row r="22" customHeight="1" spans="1:13">
      <c r="A22" s="375"/>
      <c r="D22" s="352"/>
      <c r="E22" s="376"/>
      <c r="F22" s="352"/>
      <c r="G22" s="352"/>
      <c r="K22" s="352"/>
      <c r="L22" s="352"/>
    </row>
    <row r="23" customHeight="1" spans="1:13">
      <c r="A23" s="193" t="s">
        <v>292</v>
      </c>
    </row>
    <row r="24" customHeight="1" spans="1:13">
      <c r="A24" s="193"/>
    </row>
    <row r="27" customHeight="1" spans="1:13">
      <c r="A27" s="193" t="s">
        <v>293</v>
      </c>
    </row>
    <row r="28" customHeight="1" spans="1:13">
      <c r="A28" s="193"/>
    </row>
    <row r="29" customHeight="1" spans="1:13">
      <c r="A29" s="193"/>
    </row>
  </sheetData>
  <mergeCells count="2">
    <mergeCell ref="A1:M1"/>
    <mergeCell ref="A2:M2"/>
  </mergeCells>
  <hyperlinks>
    <hyperlink ref="M3" location="底稿目录!A1" display="='D:\GT_plan\backend\wp_templates\D\[D4-22至D4-32营业收入-IPO 上市 新三板 重组 舞弊应对.xlsx]底稿目录'!F7"/>
  </hyperlinks>
  <pageMargins left="0.708333333333333" right="0.708333333333333" top="0.747916666666667" bottom="0.747916666666667" header="0.314583333333333" footer="0.314583333333333"/>
  <pageSetup paperSize="9" scale="75" orientation="landscape" blackAndWhite="1"/>
  <headerFooter>
    <oddFooter>&amp;C&amp;P/&amp;N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
  <sheetViews>
    <sheetView view="pageBreakPreview" zoomScaleNormal="100" workbookViewId="0">
      <selection activeCell="A1" sqref="A1:S1"/>
    </sheetView>
  </sheetViews>
  <sheetFormatPr defaultColWidth="9.81818181818182" defaultRowHeight="20.1" customHeight="1"/>
  <cols>
    <col min="1" max="16384" width="9.81818181818182" style="355"/>
  </cols>
  <sheetData>
    <row r="1" customHeight="1" spans="1:19">
      <c r="A1" s="169" t="s">
        <v>27</v>
      </c>
      <c r="B1" s="169"/>
      <c r="C1" s="169"/>
      <c r="D1" s="169"/>
      <c r="E1" s="169"/>
      <c r="F1" s="169"/>
      <c r="G1" s="169"/>
      <c r="H1" s="169"/>
      <c r="I1" s="169"/>
      <c r="J1" s="169"/>
      <c r="K1" s="169"/>
      <c r="L1" s="169"/>
      <c r="M1" s="169"/>
      <c r="N1" s="169"/>
      <c r="O1" s="169"/>
      <c r="P1" s="169"/>
      <c r="Q1" s="169"/>
      <c r="R1" s="169"/>
      <c r="S1" s="169"/>
    </row>
    <row r="2" customHeight="1" spans="1:19">
      <c r="A2" s="170" t="s">
        <v>709</v>
      </c>
      <c r="B2" s="170"/>
      <c r="C2" s="170"/>
      <c r="D2" s="170"/>
      <c r="E2" s="170"/>
      <c r="F2" s="170"/>
      <c r="G2" s="170"/>
      <c r="H2" s="170"/>
      <c r="I2" s="170"/>
      <c r="J2" s="170"/>
      <c r="K2" s="170"/>
      <c r="L2" s="170"/>
      <c r="M2" s="170"/>
      <c r="N2" s="170"/>
      <c r="O2" s="170"/>
      <c r="P2" s="170"/>
      <c r="Q2" s="170"/>
      <c r="R2" s="170"/>
      <c r="S2" s="170"/>
    </row>
    <row r="3" customHeight="1" spans="1:19">
      <c r="A3" s="171" t="str">
        <f>[16]底稿目录!A2</f>
        <v>被审计单位名称：</v>
      </c>
      <c r="B3" s="171"/>
      <c r="C3" s="171"/>
      <c r="G3" s="171" t="str">
        <f>[16]底稿目录!A4</f>
        <v>编制人：</v>
      </c>
      <c r="H3" s="168"/>
      <c r="I3" s="168"/>
      <c r="K3" s="172"/>
      <c r="L3" s="168" t="str">
        <f>[16]底稿目录!A5</f>
        <v>编制日期：</v>
      </c>
      <c r="M3" s="172"/>
      <c r="N3" s="172"/>
      <c r="R3" s="173" t="s">
        <v>29</v>
      </c>
      <c r="S3" s="356" t="str">
        <f>[16]底稿目录!F8</f>
        <v>D4-26</v>
      </c>
    </row>
    <row r="4" customHeight="1" spans="1:19">
      <c r="A4" s="171" t="str">
        <f>[16]底稿目录!A3</f>
        <v>会计期间：202X年度</v>
      </c>
      <c r="B4" s="171"/>
      <c r="C4" s="171"/>
      <c r="G4" s="171" t="str">
        <f>[16]底稿目录!A6</f>
        <v>复核人：</v>
      </c>
      <c r="H4" s="168"/>
      <c r="I4" s="168"/>
      <c r="K4" s="172"/>
      <c r="L4" s="168" t="str">
        <f>[16]底稿目录!A7</f>
        <v>复核日期：</v>
      </c>
      <c r="M4" s="172"/>
      <c r="N4" s="172"/>
      <c r="R4" s="173" t="s">
        <v>129</v>
      </c>
      <c r="S4" s="168"/>
    </row>
    <row r="5" s="352" customFormat="1" customHeight="1" spans="1:19">
      <c r="A5" s="357" t="s">
        <v>840</v>
      </c>
      <c r="B5" s="358"/>
      <c r="D5" s="359"/>
      <c r="E5" s="359"/>
      <c r="F5" s="360"/>
    </row>
    <row r="6" s="352" customFormat="1" customHeight="1" spans="1:19">
      <c r="A6" s="168" t="s">
        <v>841</v>
      </c>
      <c r="B6" s="358"/>
      <c r="D6" s="359"/>
      <c r="E6" s="359"/>
      <c r="F6" s="360"/>
    </row>
    <row r="7" s="352" customFormat="1" customHeight="1" spans="1:19">
      <c r="A7" s="357" t="s">
        <v>842</v>
      </c>
      <c r="B7" s="360"/>
      <c r="D7" s="360"/>
      <c r="E7" s="360"/>
      <c r="F7" s="360"/>
    </row>
    <row r="8" s="352" customFormat="1" customHeight="1" spans="1:19">
      <c r="A8" s="180" t="s">
        <v>843</v>
      </c>
      <c r="B8" s="360"/>
      <c r="D8" s="360"/>
      <c r="E8" s="360"/>
      <c r="F8" s="360"/>
    </row>
    <row r="9" s="352" customFormat="1" customHeight="1" spans="1:19">
      <c r="A9" s="180" t="s">
        <v>844</v>
      </c>
      <c r="B9" s="360"/>
      <c r="D9" s="360"/>
      <c r="E9" s="360"/>
      <c r="F9" s="360"/>
    </row>
    <row r="10" s="352" customFormat="1" customHeight="1" spans="1:19">
      <c r="B10" s="361"/>
    </row>
    <row r="11" s="353" customFormat="1" ht="43.5" customHeight="1" spans="1:19">
      <c r="A11" s="362" t="s">
        <v>425</v>
      </c>
      <c r="B11" s="362" t="s">
        <v>845</v>
      </c>
      <c r="C11" s="363" t="s">
        <v>443</v>
      </c>
      <c r="D11" s="363" t="s">
        <v>846</v>
      </c>
      <c r="E11" s="363" t="s">
        <v>833</v>
      </c>
      <c r="F11" s="363" t="s">
        <v>834</v>
      </c>
      <c r="G11" s="363" t="s">
        <v>847</v>
      </c>
      <c r="H11" s="363" t="s">
        <v>848</v>
      </c>
      <c r="I11" s="363" t="s">
        <v>849</v>
      </c>
      <c r="J11" s="363" t="s">
        <v>850</v>
      </c>
      <c r="K11" s="363" t="s">
        <v>823</v>
      </c>
      <c r="L11" s="363" t="s">
        <v>851</v>
      </c>
      <c r="M11" s="364" t="s">
        <v>852</v>
      </c>
      <c r="N11" s="363" t="s">
        <v>478</v>
      </c>
      <c r="O11" s="363" t="s">
        <v>853</v>
      </c>
      <c r="P11" s="363"/>
      <c r="Q11" s="363"/>
      <c r="R11" s="363"/>
      <c r="S11" s="363"/>
    </row>
    <row r="12" s="354" customFormat="1" ht="49.05" customHeight="1" spans="1:19">
      <c r="A12" s="362"/>
      <c r="B12" s="362"/>
      <c r="C12" s="363"/>
      <c r="D12" s="363"/>
      <c r="E12" s="363"/>
      <c r="F12" s="363"/>
      <c r="G12" s="363"/>
      <c r="H12" s="363"/>
      <c r="I12" s="363"/>
      <c r="J12" s="363"/>
      <c r="K12" s="363"/>
      <c r="L12" s="364"/>
      <c r="M12" s="364"/>
      <c r="N12" s="364"/>
      <c r="O12" s="362" t="s">
        <v>854</v>
      </c>
      <c r="P12" s="362" t="s">
        <v>855</v>
      </c>
      <c r="Q12" s="362" t="s">
        <v>856</v>
      </c>
      <c r="R12" s="362" t="s">
        <v>857</v>
      </c>
      <c r="S12" s="362" t="s">
        <v>858</v>
      </c>
    </row>
    <row r="13" s="354" customFormat="1" customHeight="1" spans="1:19">
      <c r="A13" s="365"/>
      <c r="B13" s="365"/>
      <c r="C13" s="365"/>
      <c r="D13" s="366"/>
      <c r="E13" s="367"/>
      <c r="F13" s="368"/>
      <c r="G13" s="365"/>
      <c r="H13" s="365"/>
      <c r="I13" s="365"/>
      <c r="J13" s="367"/>
      <c r="K13" s="365"/>
      <c r="L13" s="367"/>
      <c r="M13" s="367"/>
      <c r="N13" s="365"/>
      <c r="O13" s="365"/>
      <c r="P13" s="365"/>
      <c r="Q13" s="365"/>
      <c r="R13" s="365"/>
      <c r="S13" s="365"/>
    </row>
    <row r="14" s="354" customFormat="1" customHeight="1" spans="1:19">
      <c r="A14" s="365"/>
      <c r="B14" s="365"/>
      <c r="C14" s="365"/>
      <c r="D14" s="366"/>
      <c r="E14" s="367"/>
      <c r="F14" s="368"/>
      <c r="G14" s="365"/>
      <c r="H14" s="365"/>
      <c r="I14" s="365"/>
      <c r="J14" s="367"/>
      <c r="K14" s="365"/>
      <c r="L14" s="367"/>
      <c r="M14" s="367"/>
      <c r="N14" s="365"/>
      <c r="O14" s="365"/>
      <c r="P14" s="365"/>
      <c r="Q14" s="365"/>
      <c r="R14" s="365"/>
      <c r="S14" s="365"/>
    </row>
    <row r="15" s="354" customFormat="1" customHeight="1" spans="1:19">
      <c r="A15" s="365"/>
      <c r="B15" s="365"/>
      <c r="C15" s="365"/>
      <c r="D15" s="366"/>
      <c r="E15" s="367"/>
      <c r="F15" s="368"/>
      <c r="G15" s="365"/>
      <c r="H15" s="365"/>
      <c r="I15" s="365"/>
      <c r="J15" s="367"/>
      <c r="K15" s="365"/>
      <c r="L15" s="367"/>
      <c r="M15" s="367"/>
      <c r="N15" s="365"/>
      <c r="O15" s="365"/>
      <c r="P15" s="365"/>
      <c r="Q15" s="365"/>
      <c r="R15" s="365"/>
      <c r="S15" s="365"/>
    </row>
    <row r="16" s="354" customFormat="1" customHeight="1" spans="1:19">
      <c r="A16" s="365"/>
      <c r="B16" s="365"/>
      <c r="C16" s="365"/>
      <c r="D16" s="366"/>
      <c r="E16" s="367"/>
      <c r="F16" s="368"/>
      <c r="G16" s="365"/>
      <c r="H16" s="365"/>
      <c r="I16" s="365"/>
      <c r="J16" s="367"/>
      <c r="K16" s="365"/>
      <c r="L16" s="367"/>
      <c r="M16" s="367"/>
      <c r="N16" s="365"/>
      <c r="O16" s="365"/>
      <c r="P16" s="365"/>
      <c r="Q16" s="365"/>
      <c r="R16" s="365"/>
      <c r="S16" s="365"/>
    </row>
    <row r="17" s="354" customFormat="1" customHeight="1" spans="1:19">
      <c r="A17" s="365"/>
      <c r="B17" s="365"/>
      <c r="C17" s="365"/>
      <c r="D17" s="366"/>
      <c r="E17" s="367"/>
      <c r="F17" s="368"/>
      <c r="G17" s="365"/>
      <c r="H17" s="365"/>
      <c r="I17" s="365"/>
      <c r="J17" s="367"/>
      <c r="K17" s="365"/>
      <c r="L17" s="367"/>
      <c r="M17" s="367"/>
      <c r="N17" s="365"/>
      <c r="O17" s="365"/>
      <c r="P17" s="365"/>
      <c r="Q17" s="365"/>
      <c r="R17" s="365"/>
      <c r="S17" s="365"/>
    </row>
    <row r="18" s="354" customFormat="1" customHeight="1" spans="1:19">
      <c r="A18" s="365"/>
      <c r="B18" s="365"/>
      <c r="C18" s="365"/>
      <c r="D18" s="366"/>
      <c r="E18" s="367"/>
      <c r="F18" s="368"/>
      <c r="G18" s="365"/>
      <c r="H18" s="365"/>
      <c r="I18" s="365"/>
      <c r="J18" s="367"/>
      <c r="K18" s="365"/>
      <c r="L18" s="367"/>
      <c r="M18" s="367"/>
      <c r="N18" s="365"/>
      <c r="O18" s="365"/>
      <c r="P18" s="365"/>
      <c r="Q18" s="365"/>
      <c r="R18" s="365"/>
      <c r="S18" s="365"/>
    </row>
    <row r="19" s="354" customFormat="1" customHeight="1" spans="1:19">
      <c r="A19" s="365"/>
      <c r="B19" s="365"/>
      <c r="C19" s="365"/>
      <c r="D19" s="366"/>
      <c r="E19" s="367"/>
      <c r="F19" s="368"/>
      <c r="G19" s="365"/>
      <c r="H19" s="365"/>
      <c r="I19" s="365"/>
      <c r="J19" s="367"/>
      <c r="K19" s="365"/>
      <c r="L19" s="367"/>
      <c r="M19" s="367"/>
      <c r="N19" s="365"/>
      <c r="O19" s="365"/>
      <c r="P19" s="365"/>
      <c r="Q19" s="365"/>
      <c r="R19" s="365"/>
      <c r="S19" s="365"/>
    </row>
    <row r="20" s="354" customFormat="1" customHeight="1" spans="1:19">
      <c r="A20" s="365"/>
      <c r="B20" s="365"/>
      <c r="C20" s="365"/>
      <c r="D20" s="366"/>
      <c r="E20" s="367"/>
      <c r="F20" s="368"/>
      <c r="G20" s="365"/>
      <c r="H20" s="365"/>
      <c r="I20" s="365"/>
      <c r="J20" s="367"/>
      <c r="K20" s="365"/>
      <c r="L20" s="367"/>
      <c r="M20" s="367"/>
      <c r="N20" s="365"/>
      <c r="O20" s="365"/>
      <c r="P20" s="365"/>
      <c r="Q20" s="365"/>
      <c r="R20" s="365"/>
      <c r="S20" s="365"/>
    </row>
    <row r="21" s="354" customFormat="1" customHeight="1" spans="1:19">
      <c r="A21" s="365"/>
      <c r="B21" s="365"/>
      <c r="C21" s="365"/>
      <c r="D21" s="366"/>
      <c r="E21" s="367"/>
      <c r="F21" s="368"/>
      <c r="G21" s="365"/>
      <c r="H21" s="365"/>
      <c r="I21" s="365"/>
      <c r="J21" s="367"/>
      <c r="K21" s="365"/>
      <c r="L21" s="367"/>
      <c r="M21" s="367"/>
      <c r="N21" s="365"/>
      <c r="O21" s="365"/>
      <c r="P21" s="365"/>
      <c r="Q21" s="365"/>
      <c r="R21" s="365"/>
      <c r="S21" s="365"/>
    </row>
    <row r="22" s="354" customFormat="1" customHeight="1" spans="1:19">
      <c r="A22" s="365"/>
      <c r="B22" s="365"/>
      <c r="C22" s="365"/>
      <c r="D22" s="366"/>
      <c r="E22" s="367"/>
      <c r="F22" s="368"/>
      <c r="G22" s="365"/>
      <c r="H22" s="365"/>
      <c r="I22" s="365"/>
      <c r="J22" s="367"/>
      <c r="K22" s="365"/>
      <c r="L22" s="367"/>
      <c r="M22" s="367"/>
      <c r="N22" s="365"/>
      <c r="O22" s="365"/>
      <c r="P22" s="365"/>
      <c r="Q22" s="365"/>
      <c r="R22" s="365"/>
      <c r="S22" s="365"/>
    </row>
    <row r="23" s="354" customFormat="1" customHeight="1" spans="1:19">
      <c r="A23" s="365"/>
      <c r="B23" s="365"/>
      <c r="C23" s="365"/>
      <c r="D23" s="366"/>
      <c r="E23" s="367"/>
      <c r="F23" s="368"/>
      <c r="G23" s="365"/>
      <c r="H23" s="365"/>
      <c r="I23" s="365"/>
      <c r="J23" s="367"/>
      <c r="K23" s="365"/>
      <c r="L23" s="367"/>
      <c r="M23" s="367"/>
      <c r="N23" s="365"/>
      <c r="O23" s="365"/>
      <c r="P23" s="365"/>
      <c r="Q23" s="365"/>
      <c r="R23" s="365"/>
      <c r="S23" s="365"/>
    </row>
    <row r="24" s="354" customFormat="1" customHeight="1" spans="1:19">
      <c r="A24" s="365"/>
      <c r="B24" s="365"/>
      <c r="C24" s="365"/>
      <c r="D24" s="366"/>
      <c r="E24" s="367"/>
      <c r="F24" s="368"/>
      <c r="G24" s="365"/>
      <c r="H24" s="365"/>
      <c r="I24" s="365"/>
      <c r="J24" s="367"/>
      <c r="K24" s="365"/>
      <c r="L24" s="367"/>
      <c r="M24" s="367"/>
      <c r="N24" s="365"/>
      <c r="O24" s="365"/>
      <c r="P24" s="365"/>
      <c r="Q24" s="365"/>
      <c r="R24" s="365"/>
      <c r="S24" s="365"/>
    </row>
    <row r="25" s="354" customFormat="1" customHeight="1" spans="1:19">
      <c r="A25" s="365"/>
      <c r="B25" s="365"/>
      <c r="C25" s="365"/>
      <c r="D25" s="366"/>
      <c r="E25" s="367"/>
      <c r="F25" s="368"/>
      <c r="G25" s="365"/>
      <c r="H25" s="365"/>
      <c r="I25" s="365"/>
      <c r="J25" s="367"/>
      <c r="K25" s="365"/>
      <c r="L25" s="367"/>
      <c r="M25" s="367"/>
      <c r="N25" s="365"/>
      <c r="O25" s="365"/>
      <c r="P25" s="365"/>
      <c r="Q25" s="365"/>
      <c r="R25" s="365"/>
      <c r="S25" s="365"/>
    </row>
    <row r="26" s="354" customFormat="1" customHeight="1" spans="1:19">
      <c r="A26" s="365"/>
      <c r="B26" s="365"/>
      <c r="C26" s="365"/>
      <c r="D26" s="366"/>
      <c r="E26" s="367"/>
      <c r="F26" s="368"/>
      <c r="G26" s="365"/>
      <c r="H26" s="365"/>
      <c r="I26" s="365"/>
      <c r="J26" s="367"/>
      <c r="K26" s="365"/>
      <c r="L26" s="367"/>
      <c r="M26" s="367"/>
      <c r="N26" s="365"/>
      <c r="O26" s="365"/>
      <c r="P26" s="365"/>
      <c r="Q26" s="365"/>
      <c r="R26" s="365"/>
      <c r="S26" s="365"/>
    </row>
    <row r="27" s="354" customFormat="1" customHeight="1" spans="1:19">
      <c r="A27" s="365"/>
      <c r="B27" s="365"/>
      <c r="C27" s="365"/>
      <c r="D27" s="366"/>
      <c r="E27" s="367"/>
      <c r="F27" s="368"/>
      <c r="G27" s="365"/>
      <c r="H27" s="365"/>
      <c r="I27" s="365"/>
      <c r="J27" s="367"/>
      <c r="K27" s="365"/>
      <c r="L27" s="367"/>
      <c r="M27" s="367"/>
      <c r="N27" s="365"/>
      <c r="O27" s="365"/>
      <c r="P27" s="365"/>
      <c r="Q27" s="365"/>
      <c r="R27" s="365"/>
      <c r="S27" s="365"/>
    </row>
    <row r="28" s="354" customFormat="1" customHeight="1" spans="1:19">
      <c r="A28" s="365"/>
      <c r="B28" s="365"/>
      <c r="C28" s="365"/>
      <c r="D28" s="366"/>
      <c r="E28" s="367"/>
      <c r="F28" s="368"/>
      <c r="G28" s="365"/>
      <c r="H28" s="365"/>
      <c r="I28" s="365"/>
      <c r="J28" s="367"/>
      <c r="K28" s="365"/>
      <c r="L28" s="367"/>
      <c r="M28" s="367"/>
      <c r="N28" s="365"/>
      <c r="O28" s="365"/>
      <c r="P28" s="365"/>
      <c r="Q28" s="365"/>
      <c r="R28" s="365"/>
      <c r="S28" s="365"/>
    </row>
    <row r="29" s="354" customFormat="1" customHeight="1" spans="1:19">
      <c r="D29" s="369"/>
      <c r="E29" s="369"/>
      <c r="I29" s="369"/>
      <c r="J29" s="369"/>
      <c r="K29" s="369"/>
      <c r="M29" s="369"/>
      <c r="N29" s="369"/>
      <c r="O29" s="369"/>
      <c r="P29" s="369"/>
      <c r="Q29" s="369"/>
      <c r="R29" s="369"/>
    </row>
    <row r="30" s="352" customFormat="1" customHeight="1" spans="1:19">
      <c r="A30" s="370" t="s">
        <v>859</v>
      </c>
    </row>
    <row r="31" s="352" customFormat="1" customHeight="1" spans="1:19">
      <c r="A31" s="194" t="s">
        <v>860</v>
      </c>
    </row>
    <row r="32" s="352" customFormat="1" customHeight="1" spans="1:19">
      <c r="A32" s="370" t="s">
        <v>861</v>
      </c>
    </row>
    <row r="33" s="352" customFormat="1" customHeight="1"/>
    <row r="34" s="354" customFormat="1" customHeight="1"/>
  </sheetData>
  <mergeCells count="17">
    <mergeCell ref="A1:S1"/>
    <mergeCell ref="A2:S2"/>
    <mergeCell ref="O11:S11"/>
    <mergeCell ref="A11:A12"/>
    <mergeCell ref="B11:B12"/>
    <mergeCell ref="C11:C12"/>
    <mergeCell ref="D11:D12"/>
    <mergeCell ref="E11:E12"/>
    <mergeCell ref="F11:F12"/>
    <mergeCell ref="G11:G12"/>
    <mergeCell ref="H11:H12"/>
    <mergeCell ref="I11:I12"/>
    <mergeCell ref="J11:J12"/>
    <mergeCell ref="K11:K12"/>
    <mergeCell ref="L11:L12"/>
    <mergeCell ref="M11:M12"/>
    <mergeCell ref="N11:N12"/>
  </mergeCells>
  <hyperlinks>
    <hyperlink ref="S3" location="底稿目录!A1" display="='D:\GT_plan\backend\wp_templates\D\[D4-22至D4-32营业收入-IPO 上市 新三板 重组 舞弊应对.xlsx]底稿目录'!F8"/>
  </hyperlinks>
  <pageMargins left="0.708333333333333" right="0.708333333333333" top="0.747916666666667" bottom="0.747916666666667" header="0.314583333333333" footer="0.314583333333333"/>
  <pageSetup paperSize="9" scale="75" orientation="landscape" blackAndWhite="1"/>
  <headerFooter>
    <oddFooter>&amp;C&amp;P/&amp;N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1"/>
  <sheetViews>
    <sheetView view="pageBreakPreview" zoomScaleNormal="100" workbookViewId="0">
      <selection activeCell="A1" sqref="A1:R1"/>
    </sheetView>
  </sheetViews>
  <sheetFormatPr defaultColWidth="9.81818181818182" defaultRowHeight="13"/>
  <cols>
    <col min="1" max="1" width="5.45454545454545" style="320" customWidth="1"/>
    <col min="2" max="2" width="7.39090909090909" style="320" customWidth="1"/>
    <col min="3" max="3" width="6.41818181818182" style="320" customWidth="1"/>
    <col min="4" max="4" width="7.87272727272727" style="320" customWidth="1"/>
    <col min="5" max="5" width="7.50909090909091" style="320" customWidth="1"/>
    <col min="6" max="11" width="5.93636363636364" style="320" customWidth="1"/>
    <col min="12" max="12" width="5.32727272727273" style="320" customWidth="1"/>
    <col min="13" max="13" width="5.45454545454545" style="321" customWidth="1"/>
    <col min="14" max="14" width="14.5454545454545" style="321" customWidth="1"/>
    <col min="15" max="15" width="11.3909090909091" style="321" customWidth="1"/>
    <col min="16" max="16" width="9.69090909090909" style="322" customWidth="1"/>
    <col min="17" max="17" width="22.6636363636364" style="320" customWidth="1"/>
    <col min="18" max="18" width="10.6636363636364" style="320" customWidth="1"/>
    <col min="19" max="256" width="9.81818181818182" style="320"/>
    <col min="257" max="257" width="5.45454545454545" style="320" customWidth="1"/>
    <col min="258" max="258" width="7.39090909090909" style="320" customWidth="1"/>
    <col min="259" max="259" width="6.41818181818182" style="320" customWidth="1"/>
    <col min="260" max="260" width="7.87272727272727" style="320" customWidth="1"/>
    <col min="261" max="261" width="7.50909090909091" style="320" customWidth="1"/>
    <col min="262" max="267" width="5.93636363636364" style="320" customWidth="1"/>
    <col min="268" max="268" width="5.32727272727273" style="320" customWidth="1"/>
    <col min="269" max="269" width="5.45454545454545" style="320" customWidth="1"/>
    <col min="270" max="270" width="14.5454545454545" style="320" customWidth="1"/>
    <col min="271" max="271" width="11.3909090909091" style="320" customWidth="1"/>
    <col min="272" max="272" width="9.69090909090909" style="320" customWidth="1"/>
    <col min="273" max="273" width="22.6636363636364" style="320" customWidth="1"/>
    <col min="274" max="274" width="10.6636363636364" style="320" customWidth="1"/>
    <col min="275" max="512" width="9.81818181818182" style="320"/>
    <col min="513" max="513" width="5.45454545454545" style="320" customWidth="1"/>
    <col min="514" max="514" width="7.39090909090909" style="320" customWidth="1"/>
    <col min="515" max="515" width="6.41818181818182" style="320" customWidth="1"/>
    <col min="516" max="516" width="7.87272727272727" style="320" customWidth="1"/>
    <col min="517" max="517" width="7.50909090909091" style="320" customWidth="1"/>
    <col min="518" max="523" width="5.93636363636364" style="320" customWidth="1"/>
    <col min="524" max="524" width="5.32727272727273" style="320" customWidth="1"/>
    <col min="525" max="525" width="5.45454545454545" style="320" customWidth="1"/>
    <col min="526" max="526" width="14.5454545454545" style="320" customWidth="1"/>
    <col min="527" max="527" width="11.3909090909091" style="320" customWidth="1"/>
    <col min="528" max="528" width="9.69090909090909" style="320" customWidth="1"/>
    <col min="529" max="529" width="22.6636363636364" style="320" customWidth="1"/>
    <col min="530" max="530" width="10.6636363636364" style="320" customWidth="1"/>
    <col min="531" max="768" width="9.81818181818182" style="320"/>
    <col min="769" max="769" width="5.45454545454545" style="320" customWidth="1"/>
    <col min="770" max="770" width="7.39090909090909" style="320" customWidth="1"/>
    <col min="771" max="771" width="6.41818181818182" style="320" customWidth="1"/>
    <col min="772" max="772" width="7.87272727272727" style="320" customWidth="1"/>
    <col min="773" max="773" width="7.50909090909091" style="320" customWidth="1"/>
    <col min="774" max="779" width="5.93636363636364" style="320" customWidth="1"/>
    <col min="780" max="780" width="5.32727272727273" style="320" customWidth="1"/>
    <col min="781" max="781" width="5.45454545454545" style="320" customWidth="1"/>
    <col min="782" max="782" width="14.5454545454545" style="320" customWidth="1"/>
    <col min="783" max="783" width="11.3909090909091" style="320" customWidth="1"/>
    <col min="784" max="784" width="9.69090909090909" style="320" customWidth="1"/>
    <col min="785" max="785" width="22.6636363636364" style="320" customWidth="1"/>
    <col min="786" max="786" width="10.6636363636364" style="320" customWidth="1"/>
    <col min="787" max="1024" width="9.81818181818182" style="320"/>
    <col min="1025" max="1025" width="5.45454545454545" style="320" customWidth="1"/>
    <col min="1026" max="1026" width="7.39090909090909" style="320" customWidth="1"/>
    <col min="1027" max="1027" width="6.41818181818182" style="320" customWidth="1"/>
    <col min="1028" max="1028" width="7.87272727272727" style="320" customWidth="1"/>
    <col min="1029" max="1029" width="7.50909090909091" style="320" customWidth="1"/>
    <col min="1030" max="1035" width="5.93636363636364" style="320" customWidth="1"/>
    <col min="1036" max="1036" width="5.32727272727273" style="320" customWidth="1"/>
    <col min="1037" max="1037" width="5.45454545454545" style="320" customWidth="1"/>
    <col min="1038" max="1038" width="14.5454545454545" style="320" customWidth="1"/>
    <col min="1039" max="1039" width="11.3909090909091" style="320" customWidth="1"/>
    <col min="1040" max="1040" width="9.69090909090909" style="320" customWidth="1"/>
    <col min="1041" max="1041" width="22.6636363636364" style="320" customWidth="1"/>
    <col min="1042" max="1042" width="10.6636363636364" style="320" customWidth="1"/>
    <col min="1043" max="1280" width="9.81818181818182" style="320"/>
    <col min="1281" max="1281" width="5.45454545454545" style="320" customWidth="1"/>
    <col min="1282" max="1282" width="7.39090909090909" style="320" customWidth="1"/>
    <col min="1283" max="1283" width="6.41818181818182" style="320" customWidth="1"/>
    <col min="1284" max="1284" width="7.87272727272727" style="320" customWidth="1"/>
    <col min="1285" max="1285" width="7.50909090909091" style="320" customWidth="1"/>
    <col min="1286" max="1291" width="5.93636363636364" style="320" customWidth="1"/>
    <col min="1292" max="1292" width="5.32727272727273" style="320" customWidth="1"/>
    <col min="1293" max="1293" width="5.45454545454545" style="320" customWidth="1"/>
    <col min="1294" max="1294" width="14.5454545454545" style="320" customWidth="1"/>
    <col min="1295" max="1295" width="11.3909090909091" style="320" customWidth="1"/>
    <col min="1296" max="1296" width="9.69090909090909" style="320" customWidth="1"/>
    <col min="1297" max="1297" width="22.6636363636364" style="320" customWidth="1"/>
    <col min="1298" max="1298" width="10.6636363636364" style="320" customWidth="1"/>
    <col min="1299" max="1536" width="9.81818181818182" style="320"/>
    <col min="1537" max="1537" width="5.45454545454545" style="320" customWidth="1"/>
    <col min="1538" max="1538" width="7.39090909090909" style="320" customWidth="1"/>
    <col min="1539" max="1539" width="6.41818181818182" style="320" customWidth="1"/>
    <col min="1540" max="1540" width="7.87272727272727" style="320" customWidth="1"/>
    <col min="1541" max="1541" width="7.50909090909091" style="320" customWidth="1"/>
    <col min="1542" max="1547" width="5.93636363636364" style="320" customWidth="1"/>
    <col min="1548" max="1548" width="5.32727272727273" style="320" customWidth="1"/>
    <col min="1549" max="1549" width="5.45454545454545" style="320" customWidth="1"/>
    <col min="1550" max="1550" width="14.5454545454545" style="320" customWidth="1"/>
    <col min="1551" max="1551" width="11.3909090909091" style="320" customWidth="1"/>
    <col min="1552" max="1552" width="9.69090909090909" style="320" customWidth="1"/>
    <col min="1553" max="1553" width="22.6636363636364" style="320" customWidth="1"/>
    <col min="1554" max="1554" width="10.6636363636364" style="320" customWidth="1"/>
    <col min="1555" max="1792" width="9.81818181818182" style="320"/>
    <col min="1793" max="1793" width="5.45454545454545" style="320" customWidth="1"/>
    <col min="1794" max="1794" width="7.39090909090909" style="320" customWidth="1"/>
    <col min="1795" max="1795" width="6.41818181818182" style="320" customWidth="1"/>
    <col min="1796" max="1796" width="7.87272727272727" style="320" customWidth="1"/>
    <col min="1797" max="1797" width="7.50909090909091" style="320" customWidth="1"/>
    <col min="1798" max="1803" width="5.93636363636364" style="320" customWidth="1"/>
    <col min="1804" max="1804" width="5.32727272727273" style="320" customWidth="1"/>
    <col min="1805" max="1805" width="5.45454545454545" style="320" customWidth="1"/>
    <col min="1806" max="1806" width="14.5454545454545" style="320" customWidth="1"/>
    <col min="1807" max="1807" width="11.3909090909091" style="320" customWidth="1"/>
    <col min="1808" max="1808" width="9.69090909090909" style="320" customWidth="1"/>
    <col min="1809" max="1809" width="22.6636363636364" style="320" customWidth="1"/>
    <col min="1810" max="1810" width="10.6636363636364" style="320" customWidth="1"/>
    <col min="1811" max="2048" width="9.81818181818182" style="320"/>
    <col min="2049" max="2049" width="5.45454545454545" style="320" customWidth="1"/>
    <col min="2050" max="2050" width="7.39090909090909" style="320" customWidth="1"/>
    <col min="2051" max="2051" width="6.41818181818182" style="320" customWidth="1"/>
    <col min="2052" max="2052" width="7.87272727272727" style="320" customWidth="1"/>
    <col min="2053" max="2053" width="7.50909090909091" style="320" customWidth="1"/>
    <col min="2054" max="2059" width="5.93636363636364" style="320" customWidth="1"/>
    <col min="2060" max="2060" width="5.32727272727273" style="320" customWidth="1"/>
    <col min="2061" max="2061" width="5.45454545454545" style="320" customWidth="1"/>
    <col min="2062" max="2062" width="14.5454545454545" style="320" customWidth="1"/>
    <col min="2063" max="2063" width="11.3909090909091" style="320" customWidth="1"/>
    <col min="2064" max="2064" width="9.69090909090909" style="320" customWidth="1"/>
    <col min="2065" max="2065" width="22.6636363636364" style="320" customWidth="1"/>
    <col min="2066" max="2066" width="10.6636363636364" style="320" customWidth="1"/>
    <col min="2067" max="2304" width="9.81818181818182" style="320"/>
    <col min="2305" max="2305" width="5.45454545454545" style="320" customWidth="1"/>
    <col min="2306" max="2306" width="7.39090909090909" style="320" customWidth="1"/>
    <col min="2307" max="2307" width="6.41818181818182" style="320" customWidth="1"/>
    <col min="2308" max="2308" width="7.87272727272727" style="320" customWidth="1"/>
    <col min="2309" max="2309" width="7.50909090909091" style="320" customWidth="1"/>
    <col min="2310" max="2315" width="5.93636363636364" style="320" customWidth="1"/>
    <col min="2316" max="2316" width="5.32727272727273" style="320" customWidth="1"/>
    <col min="2317" max="2317" width="5.45454545454545" style="320" customWidth="1"/>
    <col min="2318" max="2318" width="14.5454545454545" style="320" customWidth="1"/>
    <col min="2319" max="2319" width="11.3909090909091" style="320" customWidth="1"/>
    <col min="2320" max="2320" width="9.69090909090909" style="320" customWidth="1"/>
    <col min="2321" max="2321" width="22.6636363636364" style="320" customWidth="1"/>
    <col min="2322" max="2322" width="10.6636363636364" style="320" customWidth="1"/>
    <col min="2323" max="2560" width="9.81818181818182" style="320"/>
    <col min="2561" max="2561" width="5.45454545454545" style="320" customWidth="1"/>
    <col min="2562" max="2562" width="7.39090909090909" style="320" customWidth="1"/>
    <col min="2563" max="2563" width="6.41818181818182" style="320" customWidth="1"/>
    <col min="2564" max="2564" width="7.87272727272727" style="320" customWidth="1"/>
    <col min="2565" max="2565" width="7.50909090909091" style="320" customWidth="1"/>
    <col min="2566" max="2571" width="5.93636363636364" style="320" customWidth="1"/>
    <col min="2572" max="2572" width="5.32727272727273" style="320" customWidth="1"/>
    <col min="2573" max="2573" width="5.45454545454545" style="320" customWidth="1"/>
    <col min="2574" max="2574" width="14.5454545454545" style="320" customWidth="1"/>
    <col min="2575" max="2575" width="11.3909090909091" style="320" customWidth="1"/>
    <col min="2576" max="2576" width="9.69090909090909" style="320" customWidth="1"/>
    <col min="2577" max="2577" width="22.6636363636364" style="320" customWidth="1"/>
    <col min="2578" max="2578" width="10.6636363636364" style="320" customWidth="1"/>
    <col min="2579" max="2816" width="9.81818181818182" style="320"/>
    <col min="2817" max="2817" width="5.45454545454545" style="320" customWidth="1"/>
    <col min="2818" max="2818" width="7.39090909090909" style="320" customWidth="1"/>
    <col min="2819" max="2819" width="6.41818181818182" style="320" customWidth="1"/>
    <col min="2820" max="2820" width="7.87272727272727" style="320" customWidth="1"/>
    <col min="2821" max="2821" width="7.50909090909091" style="320" customWidth="1"/>
    <col min="2822" max="2827" width="5.93636363636364" style="320" customWidth="1"/>
    <col min="2828" max="2828" width="5.32727272727273" style="320" customWidth="1"/>
    <col min="2829" max="2829" width="5.45454545454545" style="320" customWidth="1"/>
    <col min="2830" max="2830" width="14.5454545454545" style="320" customWidth="1"/>
    <col min="2831" max="2831" width="11.3909090909091" style="320" customWidth="1"/>
    <col min="2832" max="2832" width="9.69090909090909" style="320" customWidth="1"/>
    <col min="2833" max="2833" width="22.6636363636364" style="320" customWidth="1"/>
    <col min="2834" max="2834" width="10.6636363636364" style="320" customWidth="1"/>
    <col min="2835" max="3072" width="9.81818181818182" style="320"/>
    <col min="3073" max="3073" width="5.45454545454545" style="320" customWidth="1"/>
    <col min="3074" max="3074" width="7.39090909090909" style="320" customWidth="1"/>
    <col min="3075" max="3075" width="6.41818181818182" style="320" customWidth="1"/>
    <col min="3076" max="3076" width="7.87272727272727" style="320" customWidth="1"/>
    <col min="3077" max="3077" width="7.50909090909091" style="320" customWidth="1"/>
    <col min="3078" max="3083" width="5.93636363636364" style="320" customWidth="1"/>
    <col min="3084" max="3084" width="5.32727272727273" style="320" customWidth="1"/>
    <col min="3085" max="3085" width="5.45454545454545" style="320" customWidth="1"/>
    <col min="3086" max="3086" width="14.5454545454545" style="320" customWidth="1"/>
    <col min="3087" max="3087" width="11.3909090909091" style="320" customWidth="1"/>
    <col min="3088" max="3088" width="9.69090909090909" style="320" customWidth="1"/>
    <col min="3089" max="3089" width="22.6636363636364" style="320" customWidth="1"/>
    <col min="3090" max="3090" width="10.6636363636364" style="320" customWidth="1"/>
    <col min="3091" max="3328" width="9.81818181818182" style="320"/>
    <col min="3329" max="3329" width="5.45454545454545" style="320" customWidth="1"/>
    <col min="3330" max="3330" width="7.39090909090909" style="320" customWidth="1"/>
    <col min="3331" max="3331" width="6.41818181818182" style="320" customWidth="1"/>
    <col min="3332" max="3332" width="7.87272727272727" style="320" customWidth="1"/>
    <col min="3333" max="3333" width="7.50909090909091" style="320" customWidth="1"/>
    <col min="3334" max="3339" width="5.93636363636364" style="320" customWidth="1"/>
    <col min="3340" max="3340" width="5.32727272727273" style="320" customWidth="1"/>
    <col min="3341" max="3341" width="5.45454545454545" style="320" customWidth="1"/>
    <col min="3342" max="3342" width="14.5454545454545" style="320" customWidth="1"/>
    <col min="3343" max="3343" width="11.3909090909091" style="320" customWidth="1"/>
    <col min="3344" max="3344" width="9.69090909090909" style="320" customWidth="1"/>
    <col min="3345" max="3345" width="22.6636363636364" style="320" customWidth="1"/>
    <col min="3346" max="3346" width="10.6636363636364" style="320" customWidth="1"/>
    <col min="3347" max="3584" width="9.81818181818182" style="320"/>
    <col min="3585" max="3585" width="5.45454545454545" style="320" customWidth="1"/>
    <col min="3586" max="3586" width="7.39090909090909" style="320" customWidth="1"/>
    <col min="3587" max="3587" width="6.41818181818182" style="320" customWidth="1"/>
    <col min="3588" max="3588" width="7.87272727272727" style="320" customWidth="1"/>
    <col min="3589" max="3589" width="7.50909090909091" style="320" customWidth="1"/>
    <col min="3590" max="3595" width="5.93636363636364" style="320" customWidth="1"/>
    <col min="3596" max="3596" width="5.32727272727273" style="320" customWidth="1"/>
    <col min="3597" max="3597" width="5.45454545454545" style="320" customWidth="1"/>
    <col min="3598" max="3598" width="14.5454545454545" style="320" customWidth="1"/>
    <col min="3599" max="3599" width="11.3909090909091" style="320" customWidth="1"/>
    <col min="3600" max="3600" width="9.69090909090909" style="320" customWidth="1"/>
    <col min="3601" max="3601" width="22.6636363636364" style="320" customWidth="1"/>
    <col min="3602" max="3602" width="10.6636363636364" style="320" customWidth="1"/>
    <col min="3603" max="3840" width="9.81818181818182" style="320"/>
    <col min="3841" max="3841" width="5.45454545454545" style="320" customWidth="1"/>
    <col min="3842" max="3842" width="7.39090909090909" style="320" customWidth="1"/>
    <col min="3843" max="3843" width="6.41818181818182" style="320" customWidth="1"/>
    <col min="3844" max="3844" width="7.87272727272727" style="320" customWidth="1"/>
    <col min="3845" max="3845" width="7.50909090909091" style="320" customWidth="1"/>
    <col min="3846" max="3851" width="5.93636363636364" style="320" customWidth="1"/>
    <col min="3852" max="3852" width="5.32727272727273" style="320" customWidth="1"/>
    <col min="3853" max="3853" width="5.45454545454545" style="320" customWidth="1"/>
    <col min="3854" max="3854" width="14.5454545454545" style="320" customWidth="1"/>
    <col min="3855" max="3855" width="11.3909090909091" style="320" customWidth="1"/>
    <col min="3856" max="3856" width="9.69090909090909" style="320" customWidth="1"/>
    <col min="3857" max="3857" width="22.6636363636364" style="320" customWidth="1"/>
    <col min="3858" max="3858" width="10.6636363636364" style="320" customWidth="1"/>
    <col min="3859" max="4096" width="9.81818181818182" style="320"/>
    <col min="4097" max="4097" width="5.45454545454545" style="320" customWidth="1"/>
    <col min="4098" max="4098" width="7.39090909090909" style="320" customWidth="1"/>
    <col min="4099" max="4099" width="6.41818181818182" style="320" customWidth="1"/>
    <col min="4100" max="4100" width="7.87272727272727" style="320" customWidth="1"/>
    <col min="4101" max="4101" width="7.50909090909091" style="320" customWidth="1"/>
    <col min="4102" max="4107" width="5.93636363636364" style="320" customWidth="1"/>
    <col min="4108" max="4108" width="5.32727272727273" style="320" customWidth="1"/>
    <col min="4109" max="4109" width="5.45454545454545" style="320" customWidth="1"/>
    <col min="4110" max="4110" width="14.5454545454545" style="320" customWidth="1"/>
    <col min="4111" max="4111" width="11.3909090909091" style="320" customWidth="1"/>
    <col min="4112" max="4112" width="9.69090909090909" style="320" customWidth="1"/>
    <col min="4113" max="4113" width="22.6636363636364" style="320" customWidth="1"/>
    <col min="4114" max="4114" width="10.6636363636364" style="320" customWidth="1"/>
    <col min="4115" max="4352" width="9.81818181818182" style="320"/>
    <col min="4353" max="4353" width="5.45454545454545" style="320" customWidth="1"/>
    <col min="4354" max="4354" width="7.39090909090909" style="320" customWidth="1"/>
    <col min="4355" max="4355" width="6.41818181818182" style="320" customWidth="1"/>
    <col min="4356" max="4356" width="7.87272727272727" style="320" customWidth="1"/>
    <col min="4357" max="4357" width="7.50909090909091" style="320" customWidth="1"/>
    <col min="4358" max="4363" width="5.93636363636364" style="320" customWidth="1"/>
    <col min="4364" max="4364" width="5.32727272727273" style="320" customWidth="1"/>
    <col min="4365" max="4365" width="5.45454545454545" style="320" customWidth="1"/>
    <col min="4366" max="4366" width="14.5454545454545" style="320" customWidth="1"/>
    <col min="4367" max="4367" width="11.3909090909091" style="320" customWidth="1"/>
    <col min="4368" max="4368" width="9.69090909090909" style="320" customWidth="1"/>
    <col min="4369" max="4369" width="22.6636363636364" style="320" customWidth="1"/>
    <col min="4370" max="4370" width="10.6636363636364" style="320" customWidth="1"/>
    <col min="4371" max="4608" width="9.81818181818182" style="320"/>
    <col min="4609" max="4609" width="5.45454545454545" style="320" customWidth="1"/>
    <col min="4610" max="4610" width="7.39090909090909" style="320" customWidth="1"/>
    <col min="4611" max="4611" width="6.41818181818182" style="320" customWidth="1"/>
    <col min="4612" max="4612" width="7.87272727272727" style="320" customWidth="1"/>
    <col min="4613" max="4613" width="7.50909090909091" style="320" customWidth="1"/>
    <col min="4614" max="4619" width="5.93636363636364" style="320" customWidth="1"/>
    <col min="4620" max="4620" width="5.32727272727273" style="320" customWidth="1"/>
    <col min="4621" max="4621" width="5.45454545454545" style="320" customWidth="1"/>
    <col min="4622" max="4622" width="14.5454545454545" style="320" customWidth="1"/>
    <col min="4623" max="4623" width="11.3909090909091" style="320" customWidth="1"/>
    <col min="4624" max="4624" width="9.69090909090909" style="320" customWidth="1"/>
    <col min="4625" max="4625" width="22.6636363636364" style="320" customWidth="1"/>
    <col min="4626" max="4626" width="10.6636363636364" style="320" customWidth="1"/>
    <col min="4627" max="4864" width="9.81818181818182" style="320"/>
    <col min="4865" max="4865" width="5.45454545454545" style="320" customWidth="1"/>
    <col min="4866" max="4866" width="7.39090909090909" style="320" customWidth="1"/>
    <col min="4867" max="4867" width="6.41818181818182" style="320" customWidth="1"/>
    <col min="4868" max="4868" width="7.87272727272727" style="320" customWidth="1"/>
    <col min="4869" max="4869" width="7.50909090909091" style="320" customWidth="1"/>
    <col min="4870" max="4875" width="5.93636363636364" style="320" customWidth="1"/>
    <col min="4876" max="4876" width="5.32727272727273" style="320" customWidth="1"/>
    <col min="4877" max="4877" width="5.45454545454545" style="320" customWidth="1"/>
    <col min="4878" max="4878" width="14.5454545454545" style="320" customWidth="1"/>
    <col min="4879" max="4879" width="11.3909090909091" style="320" customWidth="1"/>
    <col min="4880" max="4880" width="9.69090909090909" style="320" customWidth="1"/>
    <col min="4881" max="4881" width="22.6636363636364" style="320" customWidth="1"/>
    <col min="4882" max="4882" width="10.6636363636364" style="320" customWidth="1"/>
    <col min="4883" max="5120" width="9.81818181818182" style="320"/>
    <col min="5121" max="5121" width="5.45454545454545" style="320" customWidth="1"/>
    <col min="5122" max="5122" width="7.39090909090909" style="320" customWidth="1"/>
    <col min="5123" max="5123" width="6.41818181818182" style="320" customWidth="1"/>
    <col min="5124" max="5124" width="7.87272727272727" style="320" customWidth="1"/>
    <col min="5125" max="5125" width="7.50909090909091" style="320" customWidth="1"/>
    <col min="5126" max="5131" width="5.93636363636364" style="320" customWidth="1"/>
    <col min="5132" max="5132" width="5.32727272727273" style="320" customWidth="1"/>
    <col min="5133" max="5133" width="5.45454545454545" style="320" customWidth="1"/>
    <col min="5134" max="5134" width="14.5454545454545" style="320" customWidth="1"/>
    <col min="5135" max="5135" width="11.3909090909091" style="320" customWidth="1"/>
    <col min="5136" max="5136" width="9.69090909090909" style="320" customWidth="1"/>
    <col min="5137" max="5137" width="22.6636363636364" style="320" customWidth="1"/>
    <col min="5138" max="5138" width="10.6636363636364" style="320" customWidth="1"/>
    <col min="5139" max="5376" width="9.81818181818182" style="320"/>
    <col min="5377" max="5377" width="5.45454545454545" style="320" customWidth="1"/>
    <col min="5378" max="5378" width="7.39090909090909" style="320" customWidth="1"/>
    <col min="5379" max="5379" width="6.41818181818182" style="320" customWidth="1"/>
    <col min="5380" max="5380" width="7.87272727272727" style="320" customWidth="1"/>
    <col min="5381" max="5381" width="7.50909090909091" style="320" customWidth="1"/>
    <col min="5382" max="5387" width="5.93636363636364" style="320" customWidth="1"/>
    <col min="5388" max="5388" width="5.32727272727273" style="320" customWidth="1"/>
    <col min="5389" max="5389" width="5.45454545454545" style="320" customWidth="1"/>
    <col min="5390" max="5390" width="14.5454545454545" style="320" customWidth="1"/>
    <col min="5391" max="5391" width="11.3909090909091" style="320" customWidth="1"/>
    <col min="5392" max="5392" width="9.69090909090909" style="320" customWidth="1"/>
    <col min="5393" max="5393" width="22.6636363636364" style="320" customWidth="1"/>
    <col min="5394" max="5394" width="10.6636363636364" style="320" customWidth="1"/>
    <col min="5395" max="5632" width="9.81818181818182" style="320"/>
    <col min="5633" max="5633" width="5.45454545454545" style="320" customWidth="1"/>
    <col min="5634" max="5634" width="7.39090909090909" style="320" customWidth="1"/>
    <col min="5635" max="5635" width="6.41818181818182" style="320" customWidth="1"/>
    <col min="5636" max="5636" width="7.87272727272727" style="320" customWidth="1"/>
    <col min="5637" max="5637" width="7.50909090909091" style="320" customWidth="1"/>
    <col min="5638" max="5643" width="5.93636363636364" style="320" customWidth="1"/>
    <col min="5644" max="5644" width="5.32727272727273" style="320" customWidth="1"/>
    <col min="5645" max="5645" width="5.45454545454545" style="320" customWidth="1"/>
    <col min="5646" max="5646" width="14.5454545454545" style="320" customWidth="1"/>
    <col min="5647" max="5647" width="11.3909090909091" style="320" customWidth="1"/>
    <col min="5648" max="5648" width="9.69090909090909" style="320" customWidth="1"/>
    <col min="5649" max="5649" width="22.6636363636364" style="320" customWidth="1"/>
    <col min="5650" max="5650" width="10.6636363636364" style="320" customWidth="1"/>
    <col min="5651" max="5888" width="9.81818181818182" style="320"/>
    <col min="5889" max="5889" width="5.45454545454545" style="320" customWidth="1"/>
    <col min="5890" max="5890" width="7.39090909090909" style="320" customWidth="1"/>
    <col min="5891" max="5891" width="6.41818181818182" style="320" customWidth="1"/>
    <col min="5892" max="5892" width="7.87272727272727" style="320" customWidth="1"/>
    <col min="5893" max="5893" width="7.50909090909091" style="320" customWidth="1"/>
    <col min="5894" max="5899" width="5.93636363636364" style="320" customWidth="1"/>
    <col min="5900" max="5900" width="5.32727272727273" style="320" customWidth="1"/>
    <col min="5901" max="5901" width="5.45454545454545" style="320" customWidth="1"/>
    <col min="5902" max="5902" width="14.5454545454545" style="320" customWidth="1"/>
    <col min="5903" max="5903" width="11.3909090909091" style="320" customWidth="1"/>
    <col min="5904" max="5904" width="9.69090909090909" style="320" customWidth="1"/>
    <col min="5905" max="5905" width="22.6636363636364" style="320" customWidth="1"/>
    <col min="5906" max="5906" width="10.6636363636364" style="320" customWidth="1"/>
    <col min="5907" max="6144" width="9.81818181818182" style="320"/>
    <col min="6145" max="6145" width="5.45454545454545" style="320" customWidth="1"/>
    <col min="6146" max="6146" width="7.39090909090909" style="320" customWidth="1"/>
    <col min="6147" max="6147" width="6.41818181818182" style="320" customWidth="1"/>
    <col min="6148" max="6148" width="7.87272727272727" style="320" customWidth="1"/>
    <col min="6149" max="6149" width="7.50909090909091" style="320" customWidth="1"/>
    <col min="6150" max="6155" width="5.93636363636364" style="320" customWidth="1"/>
    <col min="6156" max="6156" width="5.32727272727273" style="320" customWidth="1"/>
    <col min="6157" max="6157" width="5.45454545454545" style="320" customWidth="1"/>
    <col min="6158" max="6158" width="14.5454545454545" style="320" customWidth="1"/>
    <col min="6159" max="6159" width="11.3909090909091" style="320" customWidth="1"/>
    <col min="6160" max="6160" width="9.69090909090909" style="320" customWidth="1"/>
    <col min="6161" max="6161" width="22.6636363636364" style="320" customWidth="1"/>
    <col min="6162" max="6162" width="10.6636363636364" style="320" customWidth="1"/>
    <col min="6163" max="6400" width="9.81818181818182" style="320"/>
    <col min="6401" max="6401" width="5.45454545454545" style="320" customWidth="1"/>
    <col min="6402" max="6402" width="7.39090909090909" style="320" customWidth="1"/>
    <col min="6403" max="6403" width="6.41818181818182" style="320" customWidth="1"/>
    <col min="6404" max="6404" width="7.87272727272727" style="320" customWidth="1"/>
    <col min="6405" max="6405" width="7.50909090909091" style="320" customWidth="1"/>
    <col min="6406" max="6411" width="5.93636363636364" style="320" customWidth="1"/>
    <col min="6412" max="6412" width="5.32727272727273" style="320" customWidth="1"/>
    <col min="6413" max="6413" width="5.45454545454545" style="320" customWidth="1"/>
    <col min="6414" max="6414" width="14.5454545454545" style="320" customWidth="1"/>
    <col min="6415" max="6415" width="11.3909090909091" style="320" customWidth="1"/>
    <col min="6416" max="6416" width="9.69090909090909" style="320" customWidth="1"/>
    <col min="6417" max="6417" width="22.6636363636364" style="320" customWidth="1"/>
    <col min="6418" max="6418" width="10.6636363636364" style="320" customWidth="1"/>
    <col min="6419" max="6656" width="9.81818181818182" style="320"/>
    <col min="6657" max="6657" width="5.45454545454545" style="320" customWidth="1"/>
    <col min="6658" max="6658" width="7.39090909090909" style="320" customWidth="1"/>
    <col min="6659" max="6659" width="6.41818181818182" style="320" customWidth="1"/>
    <col min="6660" max="6660" width="7.87272727272727" style="320" customWidth="1"/>
    <col min="6661" max="6661" width="7.50909090909091" style="320" customWidth="1"/>
    <col min="6662" max="6667" width="5.93636363636364" style="320" customWidth="1"/>
    <col min="6668" max="6668" width="5.32727272727273" style="320" customWidth="1"/>
    <col min="6669" max="6669" width="5.45454545454545" style="320" customWidth="1"/>
    <col min="6670" max="6670" width="14.5454545454545" style="320" customWidth="1"/>
    <col min="6671" max="6671" width="11.3909090909091" style="320" customWidth="1"/>
    <col min="6672" max="6672" width="9.69090909090909" style="320" customWidth="1"/>
    <col min="6673" max="6673" width="22.6636363636364" style="320" customWidth="1"/>
    <col min="6674" max="6674" width="10.6636363636364" style="320" customWidth="1"/>
    <col min="6675" max="6912" width="9.81818181818182" style="320"/>
    <col min="6913" max="6913" width="5.45454545454545" style="320" customWidth="1"/>
    <col min="6914" max="6914" width="7.39090909090909" style="320" customWidth="1"/>
    <col min="6915" max="6915" width="6.41818181818182" style="320" customWidth="1"/>
    <col min="6916" max="6916" width="7.87272727272727" style="320" customWidth="1"/>
    <col min="6917" max="6917" width="7.50909090909091" style="320" customWidth="1"/>
    <col min="6918" max="6923" width="5.93636363636364" style="320" customWidth="1"/>
    <col min="6924" max="6924" width="5.32727272727273" style="320" customWidth="1"/>
    <col min="6925" max="6925" width="5.45454545454545" style="320" customWidth="1"/>
    <col min="6926" max="6926" width="14.5454545454545" style="320" customWidth="1"/>
    <col min="6927" max="6927" width="11.3909090909091" style="320" customWidth="1"/>
    <col min="6928" max="6928" width="9.69090909090909" style="320" customWidth="1"/>
    <col min="6929" max="6929" width="22.6636363636364" style="320" customWidth="1"/>
    <col min="6930" max="6930" width="10.6636363636364" style="320" customWidth="1"/>
    <col min="6931" max="7168" width="9.81818181818182" style="320"/>
    <col min="7169" max="7169" width="5.45454545454545" style="320" customWidth="1"/>
    <col min="7170" max="7170" width="7.39090909090909" style="320" customWidth="1"/>
    <col min="7171" max="7171" width="6.41818181818182" style="320" customWidth="1"/>
    <col min="7172" max="7172" width="7.87272727272727" style="320" customWidth="1"/>
    <col min="7173" max="7173" width="7.50909090909091" style="320" customWidth="1"/>
    <col min="7174" max="7179" width="5.93636363636364" style="320" customWidth="1"/>
    <col min="7180" max="7180" width="5.32727272727273" style="320" customWidth="1"/>
    <col min="7181" max="7181" width="5.45454545454545" style="320" customWidth="1"/>
    <col min="7182" max="7182" width="14.5454545454545" style="320" customWidth="1"/>
    <col min="7183" max="7183" width="11.3909090909091" style="320" customWidth="1"/>
    <col min="7184" max="7184" width="9.69090909090909" style="320" customWidth="1"/>
    <col min="7185" max="7185" width="22.6636363636364" style="320" customWidth="1"/>
    <col min="7186" max="7186" width="10.6636363636364" style="320" customWidth="1"/>
    <col min="7187" max="7424" width="9.81818181818182" style="320"/>
    <col min="7425" max="7425" width="5.45454545454545" style="320" customWidth="1"/>
    <col min="7426" max="7426" width="7.39090909090909" style="320" customWidth="1"/>
    <col min="7427" max="7427" width="6.41818181818182" style="320" customWidth="1"/>
    <col min="7428" max="7428" width="7.87272727272727" style="320" customWidth="1"/>
    <col min="7429" max="7429" width="7.50909090909091" style="320" customWidth="1"/>
    <col min="7430" max="7435" width="5.93636363636364" style="320" customWidth="1"/>
    <col min="7436" max="7436" width="5.32727272727273" style="320" customWidth="1"/>
    <col min="7437" max="7437" width="5.45454545454545" style="320" customWidth="1"/>
    <col min="7438" max="7438" width="14.5454545454545" style="320" customWidth="1"/>
    <col min="7439" max="7439" width="11.3909090909091" style="320" customWidth="1"/>
    <col min="7440" max="7440" width="9.69090909090909" style="320" customWidth="1"/>
    <col min="7441" max="7441" width="22.6636363636364" style="320" customWidth="1"/>
    <col min="7442" max="7442" width="10.6636363636364" style="320" customWidth="1"/>
    <col min="7443" max="7680" width="9.81818181818182" style="320"/>
    <col min="7681" max="7681" width="5.45454545454545" style="320" customWidth="1"/>
    <col min="7682" max="7682" width="7.39090909090909" style="320" customWidth="1"/>
    <col min="7683" max="7683" width="6.41818181818182" style="320" customWidth="1"/>
    <col min="7684" max="7684" width="7.87272727272727" style="320" customWidth="1"/>
    <col min="7685" max="7685" width="7.50909090909091" style="320" customWidth="1"/>
    <col min="7686" max="7691" width="5.93636363636364" style="320" customWidth="1"/>
    <col min="7692" max="7692" width="5.32727272727273" style="320" customWidth="1"/>
    <col min="7693" max="7693" width="5.45454545454545" style="320" customWidth="1"/>
    <col min="7694" max="7694" width="14.5454545454545" style="320" customWidth="1"/>
    <col min="7695" max="7695" width="11.3909090909091" style="320" customWidth="1"/>
    <col min="7696" max="7696" width="9.69090909090909" style="320" customWidth="1"/>
    <col min="7697" max="7697" width="22.6636363636364" style="320" customWidth="1"/>
    <col min="7698" max="7698" width="10.6636363636364" style="320" customWidth="1"/>
    <col min="7699" max="7936" width="9.81818181818182" style="320"/>
    <col min="7937" max="7937" width="5.45454545454545" style="320" customWidth="1"/>
    <col min="7938" max="7938" width="7.39090909090909" style="320" customWidth="1"/>
    <col min="7939" max="7939" width="6.41818181818182" style="320" customWidth="1"/>
    <col min="7940" max="7940" width="7.87272727272727" style="320" customWidth="1"/>
    <col min="7941" max="7941" width="7.50909090909091" style="320" customWidth="1"/>
    <col min="7942" max="7947" width="5.93636363636364" style="320" customWidth="1"/>
    <col min="7948" max="7948" width="5.32727272727273" style="320" customWidth="1"/>
    <col min="7949" max="7949" width="5.45454545454545" style="320" customWidth="1"/>
    <col min="7950" max="7950" width="14.5454545454545" style="320" customWidth="1"/>
    <col min="7951" max="7951" width="11.3909090909091" style="320" customWidth="1"/>
    <col min="7952" max="7952" width="9.69090909090909" style="320" customWidth="1"/>
    <col min="7953" max="7953" width="22.6636363636364" style="320" customWidth="1"/>
    <col min="7954" max="7954" width="10.6636363636364" style="320" customWidth="1"/>
    <col min="7955" max="8192" width="9.81818181818182" style="320"/>
    <col min="8193" max="8193" width="5.45454545454545" style="320" customWidth="1"/>
    <col min="8194" max="8194" width="7.39090909090909" style="320" customWidth="1"/>
    <col min="8195" max="8195" width="6.41818181818182" style="320" customWidth="1"/>
    <col min="8196" max="8196" width="7.87272727272727" style="320" customWidth="1"/>
    <col min="8197" max="8197" width="7.50909090909091" style="320" customWidth="1"/>
    <col min="8198" max="8203" width="5.93636363636364" style="320" customWidth="1"/>
    <col min="8204" max="8204" width="5.32727272727273" style="320" customWidth="1"/>
    <col min="8205" max="8205" width="5.45454545454545" style="320" customWidth="1"/>
    <col min="8206" max="8206" width="14.5454545454545" style="320" customWidth="1"/>
    <col min="8207" max="8207" width="11.3909090909091" style="320" customWidth="1"/>
    <col min="8208" max="8208" width="9.69090909090909" style="320" customWidth="1"/>
    <col min="8209" max="8209" width="22.6636363636364" style="320" customWidth="1"/>
    <col min="8210" max="8210" width="10.6636363636364" style="320" customWidth="1"/>
    <col min="8211" max="8448" width="9.81818181818182" style="320"/>
    <col min="8449" max="8449" width="5.45454545454545" style="320" customWidth="1"/>
    <col min="8450" max="8450" width="7.39090909090909" style="320" customWidth="1"/>
    <col min="8451" max="8451" width="6.41818181818182" style="320" customWidth="1"/>
    <col min="8452" max="8452" width="7.87272727272727" style="320" customWidth="1"/>
    <col min="8453" max="8453" width="7.50909090909091" style="320" customWidth="1"/>
    <col min="8454" max="8459" width="5.93636363636364" style="320" customWidth="1"/>
    <col min="8460" max="8460" width="5.32727272727273" style="320" customWidth="1"/>
    <col min="8461" max="8461" width="5.45454545454545" style="320" customWidth="1"/>
    <col min="8462" max="8462" width="14.5454545454545" style="320" customWidth="1"/>
    <col min="8463" max="8463" width="11.3909090909091" style="320" customWidth="1"/>
    <col min="8464" max="8464" width="9.69090909090909" style="320" customWidth="1"/>
    <col min="8465" max="8465" width="22.6636363636364" style="320" customWidth="1"/>
    <col min="8466" max="8466" width="10.6636363636364" style="320" customWidth="1"/>
    <col min="8467" max="8704" width="9.81818181818182" style="320"/>
    <col min="8705" max="8705" width="5.45454545454545" style="320" customWidth="1"/>
    <col min="8706" max="8706" width="7.39090909090909" style="320" customWidth="1"/>
    <col min="8707" max="8707" width="6.41818181818182" style="320" customWidth="1"/>
    <col min="8708" max="8708" width="7.87272727272727" style="320" customWidth="1"/>
    <col min="8709" max="8709" width="7.50909090909091" style="320" customWidth="1"/>
    <col min="8710" max="8715" width="5.93636363636364" style="320" customWidth="1"/>
    <col min="8716" max="8716" width="5.32727272727273" style="320" customWidth="1"/>
    <col min="8717" max="8717" width="5.45454545454545" style="320" customWidth="1"/>
    <col min="8718" max="8718" width="14.5454545454545" style="320" customWidth="1"/>
    <col min="8719" max="8719" width="11.3909090909091" style="320" customWidth="1"/>
    <col min="8720" max="8720" width="9.69090909090909" style="320" customWidth="1"/>
    <col min="8721" max="8721" width="22.6636363636364" style="320" customWidth="1"/>
    <col min="8722" max="8722" width="10.6636363636364" style="320" customWidth="1"/>
    <col min="8723" max="8960" width="9.81818181818182" style="320"/>
    <col min="8961" max="8961" width="5.45454545454545" style="320" customWidth="1"/>
    <col min="8962" max="8962" width="7.39090909090909" style="320" customWidth="1"/>
    <col min="8963" max="8963" width="6.41818181818182" style="320" customWidth="1"/>
    <col min="8964" max="8964" width="7.87272727272727" style="320" customWidth="1"/>
    <col min="8965" max="8965" width="7.50909090909091" style="320" customWidth="1"/>
    <col min="8966" max="8971" width="5.93636363636364" style="320" customWidth="1"/>
    <col min="8972" max="8972" width="5.32727272727273" style="320" customWidth="1"/>
    <col min="8973" max="8973" width="5.45454545454545" style="320" customWidth="1"/>
    <col min="8974" max="8974" width="14.5454545454545" style="320" customWidth="1"/>
    <col min="8975" max="8975" width="11.3909090909091" style="320" customWidth="1"/>
    <col min="8976" max="8976" width="9.69090909090909" style="320" customWidth="1"/>
    <col min="8977" max="8977" width="22.6636363636364" style="320" customWidth="1"/>
    <col min="8978" max="8978" width="10.6636363636364" style="320" customWidth="1"/>
    <col min="8979" max="9216" width="9.81818181818182" style="320"/>
    <col min="9217" max="9217" width="5.45454545454545" style="320" customWidth="1"/>
    <col min="9218" max="9218" width="7.39090909090909" style="320" customWidth="1"/>
    <col min="9219" max="9219" width="6.41818181818182" style="320" customWidth="1"/>
    <col min="9220" max="9220" width="7.87272727272727" style="320" customWidth="1"/>
    <col min="9221" max="9221" width="7.50909090909091" style="320" customWidth="1"/>
    <col min="9222" max="9227" width="5.93636363636364" style="320" customWidth="1"/>
    <col min="9228" max="9228" width="5.32727272727273" style="320" customWidth="1"/>
    <col min="9229" max="9229" width="5.45454545454545" style="320" customWidth="1"/>
    <col min="9230" max="9230" width="14.5454545454545" style="320" customWidth="1"/>
    <col min="9231" max="9231" width="11.3909090909091" style="320" customWidth="1"/>
    <col min="9232" max="9232" width="9.69090909090909" style="320" customWidth="1"/>
    <col min="9233" max="9233" width="22.6636363636364" style="320" customWidth="1"/>
    <col min="9234" max="9234" width="10.6636363636364" style="320" customWidth="1"/>
    <col min="9235" max="9472" width="9.81818181818182" style="320"/>
    <col min="9473" max="9473" width="5.45454545454545" style="320" customWidth="1"/>
    <col min="9474" max="9474" width="7.39090909090909" style="320" customWidth="1"/>
    <col min="9475" max="9475" width="6.41818181818182" style="320" customWidth="1"/>
    <col min="9476" max="9476" width="7.87272727272727" style="320" customWidth="1"/>
    <col min="9477" max="9477" width="7.50909090909091" style="320" customWidth="1"/>
    <col min="9478" max="9483" width="5.93636363636364" style="320" customWidth="1"/>
    <col min="9484" max="9484" width="5.32727272727273" style="320" customWidth="1"/>
    <col min="9485" max="9485" width="5.45454545454545" style="320" customWidth="1"/>
    <col min="9486" max="9486" width="14.5454545454545" style="320" customWidth="1"/>
    <col min="9487" max="9487" width="11.3909090909091" style="320" customWidth="1"/>
    <col min="9488" max="9488" width="9.69090909090909" style="320" customWidth="1"/>
    <col min="9489" max="9489" width="22.6636363636364" style="320" customWidth="1"/>
    <col min="9490" max="9490" width="10.6636363636364" style="320" customWidth="1"/>
    <col min="9491" max="9728" width="9.81818181818182" style="320"/>
    <col min="9729" max="9729" width="5.45454545454545" style="320" customWidth="1"/>
    <col min="9730" max="9730" width="7.39090909090909" style="320" customWidth="1"/>
    <col min="9731" max="9731" width="6.41818181818182" style="320" customWidth="1"/>
    <col min="9732" max="9732" width="7.87272727272727" style="320" customWidth="1"/>
    <col min="9733" max="9733" width="7.50909090909091" style="320" customWidth="1"/>
    <col min="9734" max="9739" width="5.93636363636364" style="320" customWidth="1"/>
    <col min="9740" max="9740" width="5.32727272727273" style="320" customWidth="1"/>
    <col min="9741" max="9741" width="5.45454545454545" style="320" customWidth="1"/>
    <col min="9742" max="9742" width="14.5454545454545" style="320" customWidth="1"/>
    <col min="9743" max="9743" width="11.3909090909091" style="320" customWidth="1"/>
    <col min="9744" max="9744" width="9.69090909090909" style="320" customWidth="1"/>
    <col min="9745" max="9745" width="22.6636363636364" style="320" customWidth="1"/>
    <col min="9746" max="9746" width="10.6636363636364" style="320" customWidth="1"/>
    <col min="9747" max="9984" width="9.81818181818182" style="320"/>
    <col min="9985" max="9985" width="5.45454545454545" style="320" customWidth="1"/>
    <col min="9986" max="9986" width="7.39090909090909" style="320" customWidth="1"/>
    <col min="9987" max="9987" width="6.41818181818182" style="320" customWidth="1"/>
    <col min="9988" max="9988" width="7.87272727272727" style="320" customWidth="1"/>
    <col min="9989" max="9989" width="7.50909090909091" style="320" customWidth="1"/>
    <col min="9990" max="9995" width="5.93636363636364" style="320" customWidth="1"/>
    <col min="9996" max="9996" width="5.32727272727273" style="320" customWidth="1"/>
    <col min="9997" max="9997" width="5.45454545454545" style="320" customWidth="1"/>
    <col min="9998" max="9998" width="14.5454545454545" style="320" customWidth="1"/>
    <col min="9999" max="9999" width="11.3909090909091" style="320" customWidth="1"/>
    <col min="10000" max="10000" width="9.69090909090909" style="320" customWidth="1"/>
    <col min="10001" max="10001" width="22.6636363636364" style="320" customWidth="1"/>
    <col min="10002" max="10002" width="10.6636363636364" style="320" customWidth="1"/>
    <col min="10003" max="10240" width="9.81818181818182" style="320"/>
    <col min="10241" max="10241" width="5.45454545454545" style="320" customWidth="1"/>
    <col min="10242" max="10242" width="7.39090909090909" style="320" customWidth="1"/>
    <col min="10243" max="10243" width="6.41818181818182" style="320" customWidth="1"/>
    <col min="10244" max="10244" width="7.87272727272727" style="320" customWidth="1"/>
    <col min="10245" max="10245" width="7.50909090909091" style="320" customWidth="1"/>
    <col min="10246" max="10251" width="5.93636363636364" style="320" customWidth="1"/>
    <col min="10252" max="10252" width="5.32727272727273" style="320" customWidth="1"/>
    <col min="10253" max="10253" width="5.45454545454545" style="320" customWidth="1"/>
    <col min="10254" max="10254" width="14.5454545454545" style="320" customWidth="1"/>
    <col min="10255" max="10255" width="11.3909090909091" style="320" customWidth="1"/>
    <col min="10256" max="10256" width="9.69090909090909" style="320" customWidth="1"/>
    <col min="10257" max="10257" width="22.6636363636364" style="320" customWidth="1"/>
    <col min="10258" max="10258" width="10.6636363636364" style="320" customWidth="1"/>
    <col min="10259" max="10496" width="9.81818181818182" style="320"/>
    <col min="10497" max="10497" width="5.45454545454545" style="320" customWidth="1"/>
    <col min="10498" max="10498" width="7.39090909090909" style="320" customWidth="1"/>
    <col min="10499" max="10499" width="6.41818181818182" style="320" customWidth="1"/>
    <col min="10500" max="10500" width="7.87272727272727" style="320" customWidth="1"/>
    <col min="10501" max="10501" width="7.50909090909091" style="320" customWidth="1"/>
    <col min="10502" max="10507" width="5.93636363636364" style="320" customWidth="1"/>
    <col min="10508" max="10508" width="5.32727272727273" style="320" customWidth="1"/>
    <col min="10509" max="10509" width="5.45454545454545" style="320" customWidth="1"/>
    <col min="10510" max="10510" width="14.5454545454545" style="320" customWidth="1"/>
    <col min="10511" max="10511" width="11.3909090909091" style="320" customWidth="1"/>
    <col min="10512" max="10512" width="9.69090909090909" style="320" customWidth="1"/>
    <col min="10513" max="10513" width="22.6636363636364" style="320" customWidth="1"/>
    <col min="10514" max="10514" width="10.6636363636364" style="320" customWidth="1"/>
    <col min="10515" max="10752" width="9.81818181818182" style="320"/>
    <col min="10753" max="10753" width="5.45454545454545" style="320" customWidth="1"/>
    <col min="10754" max="10754" width="7.39090909090909" style="320" customWidth="1"/>
    <col min="10755" max="10755" width="6.41818181818182" style="320" customWidth="1"/>
    <col min="10756" max="10756" width="7.87272727272727" style="320" customWidth="1"/>
    <col min="10757" max="10757" width="7.50909090909091" style="320" customWidth="1"/>
    <col min="10758" max="10763" width="5.93636363636364" style="320" customWidth="1"/>
    <col min="10764" max="10764" width="5.32727272727273" style="320" customWidth="1"/>
    <col min="10765" max="10765" width="5.45454545454545" style="320" customWidth="1"/>
    <col min="10766" max="10766" width="14.5454545454545" style="320" customWidth="1"/>
    <col min="10767" max="10767" width="11.3909090909091" style="320" customWidth="1"/>
    <col min="10768" max="10768" width="9.69090909090909" style="320" customWidth="1"/>
    <col min="10769" max="10769" width="22.6636363636364" style="320" customWidth="1"/>
    <col min="10770" max="10770" width="10.6636363636364" style="320" customWidth="1"/>
    <col min="10771" max="11008" width="9.81818181818182" style="320"/>
    <col min="11009" max="11009" width="5.45454545454545" style="320" customWidth="1"/>
    <col min="11010" max="11010" width="7.39090909090909" style="320" customWidth="1"/>
    <col min="11011" max="11011" width="6.41818181818182" style="320" customWidth="1"/>
    <col min="11012" max="11012" width="7.87272727272727" style="320" customWidth="1"/>
    <col min="11013" max="11013" width="7.50909090909091" style="320" customWidth="1"/>
    <col min="11014" max="11019" width="5.93636363636364" style="320" customWidth="1"/>
    <col min="11020" max="11020" width="5.32727272727273" style="320" customWidth="1"/>
    <col min="11021" max="11021" width="5.45454545454545" style="320" customWidth="1"/>
    <col min="11022" max="11022" width="14.5454545454545" style="320" customWidth="1"/>
    <col min="11023" max="11023" width="11.3909090909091" style="320" customWidth="1"/>
    <col min="11024" max="11024" width="9.69090909090909" style="320" customWidth="1"/>
    <col min="11025" max="11025" width="22.6636363636364" style="320" customWidth="1"/>
    <col min="11026" max="11026" width="10.6636363636364" style="320" customWidth="1"/>
    <col min="11027" max="11264" width="9.81818181818182" style="320"/>
    <col min="11265" max="11265" width="5.45454545454545" style="320" customWidth="1"/>
    <col min="11266" max="11266" width="7.39090909090909" style="320" customWidth="1"/>
    <col min="11267" max="11267" width="6.41818181818182" style="320" customWidth="1"/>
    <col min="11268" max="11268" width="7.87272727272727" style="320" customWidth="1"/>
    <col min="11269" max="11269" width="7.50909090909091" style="320" customWidth="1"/>
    <col min="11270" max="11275" width="5.93636363636364" style="320" customWidth="1"/>
    <col min="11276" max="11276" width="5.32727272727273" style="320" customWidth="1"/>
    <col min="11277" max="11277" width="5.45454545454545" style="320" customWidth="1"/>
    <col min="11278" max="11278" width="14.5454545454545" style="320" customWidth="1"/>
    <col min="11279" max="11279" width="11.3909090909091" style="320" customWidth="1"/>
    <col min="11280" max="11280" width="9.69090909090909" style="320" customWidth="1"/>
    <col min="11281" max="11281" width="22.6636363636364" style="320" customWidth="1"/>
    <col min="11282" max="11282" width="10.6636363636364" style="320" customWidth="1"/>
    <col min="11283" max="11520" width="9.81818181818182" style="320"/>
    <col min="11521" max="11521" width="5.45454545454545" style="320" customWidth="1"/>
    <col min="11522" max="11522" width="7.39090909090909" style="320" customWidth="1"/>
    <col min="11523" max="11523" width="6.41818181818182" style="320" customWidth="1"/>
    <col min="11524" max="11524" width="7.87272727272727" style="320" customWidth="1"/>
    <col min="11525" max="11525" width="7.50909090909091" style="320" customWidth="1"/>
    <col min="11526" max="11531" width="5.93636363636364" style="320" customWidth="1"/>
    <col min="11532" max="11532" width="5.32727272727273" style="320" customWidth="1"/>
    <col min="11533" max="11533" width="5.45454545454545" style="320" customWidth="1"/>
    <col min="11534" max="11534" width="14.5454545454545" style="320" customWidth="1"/>
    <col min="11535" max="11535" width="11.3909090909091" style="320" customWidth="1"/>
    <col min="11536" max="11536" width="9.69090909090909" style="320" customWidth="1"/>
    <col min="11537" max="11537" width="22.6636363636364" style="320" customWidth="1"/>
    <col min="11538" max="11538" width="10.6636363636364" style="320" customWidth="1"/>
    <col min="11539" max="11776" width="9.81818181818182" style="320"/>
    <col min="11777" max="11777" width="5.45454545454545" style="320" customWidth="1"/>
    <col min="11778" max="11778" width="7.39090909090909" style="320" customWidth="1"/>
    <col min="11779" max="11779" width="6.41818181818182" style="320" customWidth="1"/>
    <col min="11780" max="11780" width="7.87272727272727" style="320" customWidth="1"/>
    <col min="11781" max="11781" width="7.50909090909091" style="320" customWidth="1"/>
    <col min="11782" max="11787" width="5.93636363636364" style="320" customWidth="1"/>
    <col min="11788" max="11788" width="5.32727272727273" style="320" customWidth="1"/>
    <col min="11789" max="11789" width="5.45454545454545" style="320" customWidth="1"/>
    <col min="11790" max="11790" width="14.5454545454545" style="320" customWidth="1"/>
    <col min="11791" max="11791" width="11.3909090909091" style="320" customWidth="1"/>
    <col min="11792" max="11792" width="9.69090909090909" style="320" customWidth="1"/>
    <col min="11793" max="11793" width="22.6636363636364" style="320" customWidth="1"/>
    <col min="11794" max="11794" width="10.6636363636364" style="320" customWidth="1"/>
    <col min="11795" max="12032" width="9.81818181818182" style="320"/>
    <col min="12033" max="12033" width="5.45454545454545" style="320" customWidth="1"/>
    <col min="12034" max="12034" width="7.39090909090909" style="320" customWidth="1"/>
    <col min="12035" max="12035" width="6.41818181818182" style="320" customWidth="1"/>
    <col min="12036" max="12036" width="7.87272727272727" style="320" customWidth="1"/>
    <col min="12037" max="12037" width="7.50909090909091" style="320" customWidth="1"/>
    <col min="12038" max="12043" width="5.93636363636364" style="320" customWidth="1"/>
    <col min="12044" max="12044" width="5.32727272727273" style="320" customWidth="1"/>
    <col min="12045" max="12045" width="5.45454545454545" style="320" customWidth="1"/>
    <col min="12046" max="12046" width="14.5454545454545" style="320" customWidth="1"/>
    <col min="12047" max="12047" width="11.3909090909091" style="320" customWidth="1"/>
    <col min="12048" max="12048" width="9.69090909090909" style="320" customWidth="1"/>
    <col min="12049" max="12049" width="22.6636363636364" style="320" customWidth="1"/>
    <col min="12050" max="12050" width="10.6636363636364" style="320" customWidth="1"/>
    <col min="12051" max="12288" width="9.81818181818182" style="320"/>
    <col min="12289" max="12289" width="5.45454545454545" style="320" customWidth="1"/>
    <col min="12290" max="12290" width="7.39090909090909" style="320" customWidth="1"/>
    <col min="12291" max="12291" width="6.41818181818182" style="320" customWidth="1"/>
    <col min="12292" max="12292" width="7.87272727272727" style="320" customWidth="1"/>
    <col min="12293" max="12293" width="7.50909090909091" style="320" customWidth="1"/>
    <col min="12294" max="12299" width="5.93636363636364" style="320" customWidth="1"/>
    <col min="12300" max="12300" width="5.32727272727273" style="320" customWidth="1"/>
    <col min="12301" max="12301" width="5.45454545454545" style="320" customWidth="1"/>
    <col min="12302" max="12302" width="14.5454545454545" style="320" customWidth="1"/>
    <col min="12303" max="12303" width="11.3909090909091" style="320" customWidth="1"/>
    <col min="12304" max="12304" width="9.69090909090909" style="320" customWidth="1"/>
    <col min="12305" max="12305" width="22.6636363636364" style="320" customWidth="1"/>
    <col min="12306" max="12306" width="10.6636363636364" style="320" customWidth="1"/>
    <col min="12307" max="12544" width="9.81818181818182" style="320"/>
    <col min="12545" max="12545" width="5.45454545454545" style="320" customWidth="1"/>
    <col min="12546" max="12546" width="7.39090909090909" style="320" customWidth="1"/>
    <col min="12547" max="12547" width="6.41818181818182" style="320" customWidth="1"/>
    <col min="12548" max="12548" width="7.87272727272727" style="320" customWidth="1"/>
    <col min="12549" max="12549" width="7.50909090909091" style="320" customWidth="1"/>
    <col min="12550" max="12555" width="5.93636363636364" style="320" customWidth="1"/>
    <col min="12556" max="12556" width="5.32727272727273" style="320" customWidth="1"/>
    <col min="12557" max="12557" width="5.45454545454545" style="320" customWidth="1"/>
    <col min="12558" max="12558" width="14.5454545454545" style="320" customWidth="1"/>
    <col min="12559" max="12559" width="11.3909090909091" style="320" customWidth="1"/>
    <col min="12560" max="12560" width="9.69090909090909" style="320" customWidth="1"/>
    <col min="12561" max="12561" width="22.6636363636364" style="320" customWidth="1"/>
    <col min="12562" max="12562" width="10.6636363636364" style="320" customWidth="1"/>
    <col min="12563" max="12800" width="9.81818181818182" style="320"/>
    <col min="12801" max="12801" width="5.45454545454545" style="320" customWidth="1"/>
    <col min="12802" max="12802" width="7.39090909090909" style="320" customWidth="1"/>
    <col min="12803" max="12803" width="6.41818181818182" style="320" customWidth="1"/>
    <col min="12804" max="12804" width="7.87272727272727" style="320" customWidth="1"/>
    <col min="12805" max="12805" width="7.50909090909091" style="320" customWidth="1"/>
    <col min="12806" max="12811" width="5.93636363636364" style="320" customWidth="1"/>
    <col min="12812" max="12812" width="5.32727272727273" style="320" customWidth="1"/>
    <col min="12813" max="12813" width="5.45454545454545" style="320" customWidth="1"/>
    <col min="12814" max="12814" width="14.5454545454545" style="320" customWidth="1"/>
    <col min="12815" max="12815" width="11.3909090909091" style="320" customWidth="1"/>
    <col min="12816" max="12816" width="9.69090909090909" style="320" customWidth="1"/>
    <col min="12817" max="12817" width="22.6636363636364" style="320" customWidth="1"/>
    <col min="12818" max="12818" width="10.6636363636364" style="320" customWidth="1"/>
    <col min="12819" max="13056" width="9.81818181818182" style="320"/>
    <col min="13057" max="13057" width="5.45454545454545" style="320" customWidth="1"/>
    <col min="13058" max="13058" width="7.39090909090909" style="320" customWidth="1"/>
    <col min="13059" max="13059" width="6.41818181818182" style="320" customWidth="1"/>
    <col min="13060" max="13060" width="7.87272727272727" style="320" customWidth="1"/>
    <col min="13061" max="13061" width="7.50909090909091" style="320" customWidth="1"/>
    <col min="13062" max="13067" width="5.93636363636364" style="320" customWidth="1"/>
    <col min="13068" max="13068" width="5.32727272727273" style="320" customWidth="1"/>
    <col min="13069" max="13069" width="5.45454545454545" style="320" customWidth="1"/>
    <col min="13070" max="13070" width="14.5454545454545" style="320" customWidth="1"/>
    <col min="13071" max="13071" width="11.3909090909091" style="320" customWidth="1"/>
    <col min="13072" max="13072" width="9.69090909090909" style="320" customWidth="1"/>
    <col min="13073" max="13073" width="22.6636363636364" style="320" customWidth="1"/>
    <col min="13074" max="13074" width="10.6636363636364" style="320" customWidth="1"/>
    <col min="13075" max="13312" width="9.81818181818182" style="320"/>
    <col min="13313" max="13313" width="5.45454545454545" style="320" customWidth="1"/>
    <col min="13314" max="13314" width="7.39090909090909" style="320" customWidth="1"/>
    <col min="13315" max="13315" width="6.41818181818182" style="320" customWidth="1"/>
    <col min="13316" max="13316" width="7.87272727272727" style="320" customWidth="1"/>
    <col min="13317" max="13317" width="7.50909090909091" style="320" customWidth="1"/>
    <col min="13318" max="13323" width="5.93636363636364" style="320" customWidth="1"/>
    <col min="13324" max="13324" width="5.32727272727273" style="320" customWidth="1"/>
    <col min="13325" max="13325" width="5.45454545454545" style="320" customWidth="1"/>
    <col min="13326" max="13326" width="14.5454545454545" style="320" customWidth="1"/>
    <col min="13327" max="13327" width="11.3909090909091" style="320" customWidth="1"/>
    <col min="13328" max="13328" width="9.69090909090909" style="320" customWidth="1"/>
    <col min="13329" max="13329" width="22.6636363636364" style="320" customWidth="1"/>
    <col min="13330" max="13330" width="10.6636363636364" style="320" customWidth="1"/>
    <col min="13331" max="13568" width="9.81818181818182" style="320"/>
    <col min="13569" max="13569" width="5.45454545454545" style="320" customWidth="1"/>
    <col min="13570" max="13570" width="7.39090909090909" style="320" customWidth="1"/>
    <col min="13571" max="13571" width="6.41818181818182" style="320" customWidth="1"/>
    <col min="13572" max="13572" width="7.87272727272727" style="320" customWidth="1"/>
    <col min="13573" max="13573" width="7.50909090909091" style="320" customWidth="1"/>
    <col min="13574" max="13579" width="5.93636363636364" style="320" customWidth="1"/>
    <col min="13580" max="13580" width="5.32727272727273" style="320" customWidth="1"/>
    <col min="13581" max="13581" width="5.45454545454545" style="320" customWidth="1"/>
    <col min="13582" max="13582" width="14.5454545454545" style="320" customWidth="1"/>
    <col min="13583" max="13583" width="11.3909090909091" style="320" customWidth="1"/>
    <col min="13584" max="13584" width="9.69090909090909" style="320" customWidth="1"/>
    <col min="13585" max="13585" width="22.6636363636364" style="320" customWidth="1"/>
    <col min="13586" max="13586" width="10.6636363636364" style="320" customWidth="1"/>
    <col min="13587" max="13824" width="9.81818181818182" style="320"/>
    <col min="13825" max="13825" width="5.45454545454545" style="320" customWidth="1"/>
    <col min="13826" max="13826" width="7.39090909090909" style="320" customWidth="1"/>
    <col min="13827" max="13827" width="6.41818181818182" style="320" customWidth="1"/>
    <col min="13828" max="13828" width="7.87272727272727" style="320" customWidth="1"/>
    <col min="13829" max="13829" width="7.50909090909091" style="320" customWidth="1"/>
    <col min="13830" max="13835" width="5.93636363636364" style="320" customWidth="1"/>
    <col min="13836" max="13836" width="5.32727272727273" style="320" customWidth="1"/>
    <col min="13837" max="13837" width="5.45454545454545" style="320" customWidth="1"/>
    <col min="13838" max="13838" width="14.5454545454545" style="320" customWidth="1"/>
    <col min="13839" max="13839" width="11.3909090909091" style="320" customWidth="1"/>
    <col min="13840" max="13840" width="9.69090909090909" style="320" customWidth="1"/>
    <col min="13841" max="13841" width="22.6636363636364" style="320" customWidth="1"/>
    <col min="13842" max="13842" width="10.6636363636364" style="320" customWidth="1"/>
    <col min="13843" max="14080" width="9.81818181818182" style="320"/>
    <col min="14081" max="14081" width="5.45454545454545" style="320" customWidth="1"/>
    <col min="14082" max="14082" width="7.39090909090909" style="320" customWidth="1"/>
    <col min="14083" max="14083" width="6.41818181818182" style="320" customWidth="1"/>
    <col min="14084" max="14084" width="7.87272727272727" style="320" customWidth="1"/>
    <col min="14085" max="14085" width="7.50909090909091" style="320" customWidth="1"/>
    <col min="14086" max="14091" width="5.93636363636364" style="320" customWidth="1"/>
    <col min="14092" max="14092" width="5.32727272727273" style="320" customWidth="1"/>
    <col min="14093" max="14093" width="5.45454545454545" style="320" customWidth="1"/>
    <col min="14094" max="14094" width="14.5454545454545" style="320" customWidth="1"/>
    <col min="14095" max="14095" width="11.3909090909091" style="320" customWidth="1"/>
    <col min="14096" max="14096" width="9.69090909090909" style="320" customWidth="1"/>
    <col min="14097" max="14097" width="22.6636363636364" style="320" customWidth="1"/>
    <col min="14098" max="14098" width="10.6636363636364" style="320" customWidth="1"/>
    <col min="14099" max="14336" width="9.81818181818182" style="320"/>
    <col min="14337" max="14337" width="5.45454545454545" style="320" customWidth="1"/>
    <col min="14338" max="14338" width="7.39090909090909" style="320" customWidth="1"/>
    <col min="14339" max="14339" width="6.41818181818182" style="320" customWidth="1"/>
    <col min="14340" max="14340" width="7.87272727272727" style="320" customWidth="1"/>
    <col min="14341" max="14341" width="7.50909090909091" style="320" customWidth="1"/>
    <col min="14342" max="14347" width="5.93636363636364" style="320" customWidth="1"/>
    <col min="14348" max="14348" width="5.32727272727273" style="320" customWidth="1"/>
    <col min="14349" max="14349" width="5.45454545454545" style="320" customWidth="1"/>
    <col min="14350" max="14350" width="14.5454545454545" style="320" customWidth="1"/>
    <col min="14351" max="14351" width="11.3909090909091" style="320" customWidth="1"/>
    <col min="14352" max="14352" width="9.69090909090909" style="320" customWidth="1"/>
    <col min="14353" max="14353" width="22.6636363636364" style="320" customWidth="1"/>
    <col min="14354" max="14354" width="10.6636363636364" style="320" customWidth="1"/>
    <col min="14355" max="14592" width="9.81818181818182" style="320"/>
    <col min="14593" max="14593" width="5.45454545454545" style="320" customWidth="1"/>
    <col min="14594" max="14594" width="7.39090909090909" style="320" customWidth="1"/>
    <col min="14595" max="14595" width="6.41818181818182" style="320" customWidth="1"/>
    <col min="14596" max="14596" width="7.87272727272727" style="320" customWidth="1"/>
    <col min="14597" max="14597" width="7.50909090909091" style="320" customWidth="1"/>
    <col min="14598" max="14603" width="5.93636363636364" style="320" customWidth="1"/>
    <col min="14604" max="14604" width="5.32727272727273" style="320" customWidth="1"/>
    <col min="14605" max="14605" width="5.45454545454545" style="320" customWidth="1"/>
    <col min="14606" max="14606" width="14.5454545454545" style="320" customWidth="1"/>
    <col min="14607" max="14607" width="11.3909090909091" style="320" customWidth="1"/>
    <col min="14608" max="14608" width="9.69090909090909" style="320" customWidth="1"/>
    <col min="14609" max="14609" width="22.6636363636364" style="320" customWidth="1"/>
    <col min="14610" max="14610" width="10.6636363636364" style="320" customWidth="1"/>
    <col min="14611" max="14848" width="9.81818181818182" style="320"/>
    <col min="14849" max="14849" width="5.45454545454545" style="320" customWidth="1"/>
    <col min="14850" max="14850" width="7.39090909090909" style="320" customWidth="1"/>
    <col min="14851" max="14851" width="6.41818181818182" style="320" customWidth="1"/>
    <col min="14852" max="14852" width="7.87272727272727" style="320" customWidth="1"/>
    <col min="14853" max="14853" width="7.50909090909091" style="320" customWidth="1"/>
    <col min="14854" max="14859" width="5.93636363636364" style="320" customWidth="1"/>
    <col min="14860" max="14860" width="5.32727272727273" style="320" customWidth="1"/>
    <col min="14861" max="14861" width="5.45454545454545" style="320" customWidth="1"/>
    <col min="14862" max="14862" width="14.5454545454545" style="320" customWidth="1"/>
    <col min="14863" max="14863" width="11.3909090909091" style="320" customWidth="1"/>
    <col min="14864" max="14864" width="9.69090909090909" style="320" customWidth="1"/>
    <col min="14865" max="14865" width="22.6636363636364" style="320" customWidth="1"/>
    <col min="14866" max="14866" width="10.6636363636364" style="320" customWidth="1"/>
    <col min="14867" max="15104" width="9.81818181818182" style="320"/>
    <col min="15105" max="15105" width="5.45454545454545" style="320" customWidth="1"/>
    <col min="15106" max="15106" width="7.39090909090909" style="320" customWidth="1"/>
    <col min="15107" max="15107" width="6.41818181818182" style="320" customWidth="1"/>
    <col min="15108" max="15108" width="7.87272727272727" style="320" customWidth="1"/>
    <col min="15109" max="15109" width="7.50909090909091" style="320" customWidth="1"/>
    <col min="15110" max="15115" width="5.93636363636364" style="320" customWidth="1"/>
    <col min="15116" max="15116" width="5.32727272727273" style="320" customWidth="1"/>
    <col min="15117" max="15117" width="5.45454545454545" style="320" customWidth="1"/>
    <col min="15118" max="15118" width="14.5454545454545" style="320" customWidth="1"/>
    <col min="15119" max="15119" width="11.3909090909091" style="320" customWidth="1"/>
    <col min="15120" max="15120" width="9.69090909090909" style="320" customWidth="1"/>
    <col min="15121" max="15121" width="22.6636363636364" style="320" customWidth="1"/>
    <col min="15122" max="15122" width="10.6636363636364" style="320" customWidth="1"/>
    <col min="15123" max="15360" width="9.81818181818182" style="320"/>
    <col min="15361" max="15361" width="5.45454545454545" style="320" customWidth="1"/>
    <col min="15362" max="15362" width="7.39090909090909" style="320" customWidth="1"/>
    <col min="15363" max="15363" width="6.41818181818182" style="320" customWidth="1"/>
    <col min="15364" max="15364" width="7.87272727272727" style="320" customWidth="1"/>
    <col min="15365" max="15365" width="7.50909090909091" style="320" customWidth="1"/>
    <col min="15366" max="15371" width="5.93636363636364" style="320" customWidth="1"/>
    <col min="15372" max="15372" width="5.32727272727273" style="320" customWidth="1"/>
    <col min="15373" max="15373" width="5.45454545454545" style="320" customWidth="1"/>
    <col min="15374" max="15374" width="14.5454545454545" style="320" customWidth="1"/>
    <col min="15375" max="15375" width="11.3909090909091" style="320" customWidth="1"/>
    <col min="15376" max="15376" width="9.69090909090909" style="320" customWidth="1"/>
    <col min="15377" max="15377" width="22.6636363636364" style="320" customWidth="1"/>
    <col min="15378" max="15378" width="10.6636363636364" style="320" customWidth="1"/>
    <col min="15379" max="15616" width="9.81818181818182" style="320"/>
    <col min="15617" max="15617" width="5.45454545454545" style="320" customWidth="1"/>
    <col min="15618" max="15618" width="7.39090909090909" style="320" customWidth="1"/>
    <col min="15619" max="15619" width="6.41818181818182" style="320" customWidth="1"/>
    <col min="15620" max="15620" width="7.87272727272727" style="320" customWidth="1"/>
    <col min="15621" max="15621" width="7.50909090909091" style="320" customWidth="1"/>
    <col min="15622" max="15627" width="5.93636363636364" style="320" customWidth="1"/>
    <col min="15628" max="15628" width="5.32727272727273" style="320" customWidth="1"/>
    <col min="15629" max="15629" width="5.45454545454545" style="320" customWidth="1"/>
    <col min="15630" max="15630" width="14.5454545454545" style="320" customWidth="1"/>
    <col min="15631" max="15631" width="11.3909090909091" style="320" customWidth="1"/>
    <col min="15632" max="15632" width="9.69090909090909" style="320" customWidth="1"/>
    <col min="15633" max="15633" width="22.6636363636364" style="320" customWidth="1"/>
    <col min="15634" max="15634" width="10.6636363636364" style="320" customWidth="1"/>
    <col min="15635" max="15872" width="9.81818181818182" style="320"/>
    <col min="15873" max="15873" width="5.45454545454545" style="320" customWidth="1"/>
    <col min="15874" max="15874" width="7.39090909090909" style="320" customWidth="1"/>
    <col min="15875" max="15875" width="6.41818181818182" style="320" customWidth="1"/>
    <col min="15876" max="15876" width="7.87272727272727" style="320" customWidth="1"/>
    <col min="15877" max="15877" width="7.50909090909091" style="320" customWidth="1"/>
    <col min="15878" max="15883" width="5.93636363636364" style="320" customWidth="1"/>
    <col min="15884" max="15884" width="5.32727272727273" style="320" customWidth="1"/>
    <col min="15885" max="15885" width="5.45454545454545" style="320" customWidth="1"/>
    <col min="15886" max="15886" width="14.5454545454545" style="320" customWidth="1"/>
    <col min="15887" max="15887" width="11.3909090909091" style="320" customWidth="1"/>
    <col min="15888" max="15888" width="9.69090909090909" style="320" customWidth="1"/>
    <col min="15889" max="15889" width="22.6636363636364" style="320" customWidth="1"/>
    <col min="15890" max="15890" width="10.6636363636364" style="320" customWidth="1"/>
    <col min="15891" max="16128" width="9.81818181818182" style="320"/>
    <col min="16129" max="16129" width="5.45454545454545" style="320" customWidth="1"/>
    <col min="16130" max="16130" width="7.39090909090909" style="320" customWidth="1"/>
    <col min="16131" max="16131" width="6.41818181818182" style="320" customWidth="1"/>
    <col min="16132" max="16132" width="7.87272727272727" style="320" customWidth="1"/>
    <col min="16133" max="16133" width="7.50909090909091" style="320" customWidth="1"/>
    <col min="16134" max="16139" width="5.93636363636364" style="320" customWidth="1"/>
    <col min="16140" max="16140" width="5.32727272727273" style="320" customWidth="1"/>
    <col min="16141" max="16141" width="5.45454545454545" style="320" customWidth="1"/>
    <col min="16142" max="16142" width="14.5454545454545" style="320" customWidth="1"/>
    <col min="16143" max="16143" width="11.3909090909091" style="320" customWidth="1"/>
    <col min="16144" max="16144" width="9.69090909090909" style="320" customWidth="1"/>
    <col min="16145" max="16145" width="22.6636363636364" style="320" customWidth="1"/>
    <col min="16146" max="16146" width="10.6636363636364" style="320" customWidth="1"/>
    <col min="16147" max="16384" width="9.81818181818182" style="320"/>
  </cols>
  <sheetData>
    <row r="1" ht="20.1" customHeight="1" spans="1:19">
      <c r="A1" s="323" t="s">
        <v>27</v>
      </c>
      <c r="B1" s="323"/>
      <c r="C1" s="324"/>
      <c r="D1" s="323"/>
      <c r="E1" s="324"/>
      <c r="F1" s="324"/>
      <c r="G1" s="323"/>
      <c r="H1" s="324"/>
      <c r="I1" s="323"/>
      <c r="J1" s="323"/>
      <c r="K1" s="323"/>
      <c r="L1" s="323"/>
      <c r="M1" s="323"/>
      <c r="N1" s="323"/>
      <c r="O1" s="323"/>
      <c r="P1" s="323"/>
      <c r="Q1" s="323"/>
      <c r="R1" s="323"/>
    </row>
    <row r="2" s="318" customFormat="1" ht="24.9" customHeight="1" spans="1:19">
      <c r="A2" s="325" t="s">
        <v>862</v>
      </c>
      <c r="B2" s="325"/>
      <c r="C2" s="326"/>
      <c r="D2" s="325"/>
      <c r="E2" s="326"/>
      <c r="F2" s="326"/>
      <c r="G2" s="325"/>
      <c r="H2" s="326"/>
      <c r="I2" s="325"/>
      <c r="J2" s="325"/>
      <c r="K2" s="325"/>
      <c r="L2" s="325"/>
      <c r="M2" s="325"/>
      <c r="N2" s="326"/>
      <c r="O2" s="326"/>
      <c r="P2" s="325"/>
      <c r="Q2" s="325"/>
      <c r="R2" s="325"/>
    </row>
    <row r="3" ht="20.1" customHeight="1" spans="1:19">
      <c r="A3" s="171" t="str">
        <f>[16]底稿目录!A2</f>
        <v>被审计单位名称：</v>
      </c>
      <c r="H3" s="172" t="str">
        <f>[16]底稿目录!A4</f>
        <v>编制人：</v>
      </c>
      <c r="O3" s="327" t="str">
        <f>[16]底稿目录!A5</f>
        <v>编制日期：</v>
      </c>
      <c r="P3" s="320"/>
      <c r="Q3" s="328" t="s">
        <v>29</v>
      </c>
      <c r="R3" s="329" t="str">
        <f>[16]底稿目录!F17</f>
        <v>D4-27</v>
      </c>
    </row>
    <row r="4" ht="20.1" customHeight="1" spans="1:19">
      <c r="A4" s="171" t="str">
        <f>[16]底稿目录!A3</f>
        <v>会计期间：202X年度</v>
      </c>
      <c r="H4" s="172" t="str">
        <f>[16]底稿目录!A6</f>
        <v>复核人：</v>
      </c>
      <c r="O4" s="327" t="str">
        <f>[16]底稿目录!A7</f>
        <v>复核日期：</v>
      </c>
      <c r="P4" s="320"/>
      <c r="Q4" s="328" t="s">
        <v>129</v>
      </c>
    </row>
    <row r="5" ht="20.1" customHeight="1" spans="1:19">
      <c r="A5" s="318" t="s">
        <v>282</v>
      </c>
    </row>
    <row r="6" ht="20.1" customHeight="1" spans="1:19">
      <c r="A6" s="330" t="s">
        <v>863</v>
      </c>
    </row>
    <row r="7" s="318" customFormat="1" ht="20.1" customHeight="1" spans="1:19">
      <c r="A7" s="318" t="s">
        <v>604</v>
      </c>
      <c r="C7" s="320"/>
      <c r="F7" s="320"/>
      <c r="H7" s="320"/>
      <c r="M7" s="331"/>
      <c r="N7" s="321"/>
      <c r="O7" s="321"/>
      <c r="P7" s="332"/>
    </row>
    <row r="8" s="318" customFormat="1" ht="20.1" customHeight="1" spans="1:19">
      <c r="A8" s="333" t="s">
        <v>864</v>
      </c>
      <c r="C8" s="334"/>
      <c r="D8" s="334"/>
      <c r="E8" s="334"/>
      <c r="F8" s="334"/>
      <c r="G8" s="334"/>
      <c r="H8" s="334"/>
      <c r="I8" s="334"/>
      <c r="J8" s="334"/>
      <c r="K8" s="334"/>
      <c r="L8" s="334"/>
      <c r="M8" s="334"/>
      <c r="N8" s="334"/>
      <c r="O8" s="334"/>
      <c r="P8" s="334"/>
      <c r="Q8" s="334"/>
      <c r="R8" s="334"/>
    </row>
    <row r="9" s="318" customFormat="1" ht="28.2" customHeight="1" spans="1:19">
      <c r="A9" s="335" t="s">
        <v>865</v>
      </c>
      <c r="B9" s="335"/>
      <c r="C9" s="335"/>
      <c r="D9" s="335"/>
      <c r="E9" s="335"/>
      <c r="F9" s="335"/>
      <c r="G9" s="335"/>
      <c r="H9" s="335"/>
      <c r="I9" s="335"/>
      <c r="J9" s="335"/>
      <c r="K9" s="335"/>
      <c r="L9" s="335"/>
      <c r="M9" s="335"/>
      <c r="N9" s="335"/>
      <c r="O9" s="335"/>
      <c r="P9" s="335"/>
      <c r="Q9" s="335"/>
      <c r="R9" s="335"/>
    </row>
    <row r="10" s="318" customFormat="1" ht="20.1" customHeight="1" spans="1:19">
      <c r="A10" s="333" t="s">
        <v>866</v>
      </c>
      <c r="C10" s="334"/>
      <c r="D10" s="334"/>
      <c r="E10" s="334"/>
      <c r="F10" s="334"/>
      <c r="G10" s="334"/>
      <c r="H10" s="334"/>
      <c r="I10" s="334"/>
      <c r="J10" s="334"/>
      <c r="K10" s="334"/>
      <c r="L10" s="334"/>
      <c r="M10" s="334"/>
      <c r="N10" s="334"/>
      <c r="O10" s="334"/>
      <c r="P10" s="334"/>
      <c r="Q10" s="334"/>
      <c r="R10" s="334"/>
    </row>
    <row r="11" s="318" customFormat="1" ht="28.8" customHeight="1" spans="1:19">
      <c r="A11" s="335" t="s">
        <v>867</v>
      </c>
      <c r="B11" s="335"/>
      <c r="C11" s="335"/>
      <c r="D11" s="335"/>
      <c r="E11" s="335"/>
      <c r="F11" s="335"/>
      <c r="G11" s="335"/>
      <c r="H11" s="335"/>
      <c r="I11" s="335"/>
      <c r="J11" s="335"/>
      <c r="K11" s="335"/>
      <c r="L11" s="335"/>
      <c r="M11" s="335"/>
      <c r="N11" s="335"/>
      <c r="O11" s="335"/>
      <c r="P11" s="335"/>
      <c r="Q11" s="335"/>
      <c r="R11" s="335"/>
    </row>
    <row r="12" s="318" customFormat="1" ht="27.6" customHeight="1" spans="1:19">
      <c r="A12" s="335" t="s">
        <v>868</v>
      </c>
      <c r="B12" s="335"/>
      <c r="C12" s="335"/>
      <c r="D12" s="335"/>
      <c r="E12" s="335"/>
      <c r="F12" s="335"/>
      <c r="G12" s="335"/>
      <c r="H12" s="335"/>
      <c r="I12" s="335"/>
      <c r="J12" s="335"/>
      <c r="K12" s="335"/>
      <c r="L12" s="335"/>
      <c r="M12" s="335"/>
      <c r="N12" s="335"/>
      <c r="O12" s="335"/>
      <c r="P12" s="335"/>
      <c r="Q12" s="335"/>
      <c r="R12" s="335"/>
    </row>
    <row r="13" s="318" customFormat="1" ht="28.2" customHeight="1" spans="1:19">
      <c r="A13" s="335" t="s">
        <v>869</v>
      </c>
      <c r="B13" s="335"/>
      <c r="C13" s="335"/>
      <c r="D13" s="335"/>
      <c r="E13" s="335"/>
      <c r="F13" s="335"/>
      <c r="G13" s="335"/>
      <c r="H13" s="335"/>
      <c r="I13" s="335"/>
      <c r="J13" s="335"/>
      <c r="K13" s="335"/>
      <c r="L13" s="335"/>
      <c r="M13" s="335"/>
      <c r="N13" s="335"/>
      <c r="O13" s="335"/>
      <c r="P13" s="335"/>
      <c r="Q13" s="335"/>
      <c r="R13" s="335"/>
      <c r="S13" s="336"/>
    </row>
    <row r="14" s="319" customFormat="1" ht="51" customHeight="1" spans="1:19">
      <c r="A14" s="337" t="s">
        <v>2</v>
      </c>
      <c r="B14" s="337" t="s">
        <v>870</v>
      </c>
      <c r="C14" s="337" t="s">
        <v>871</v>
      </c>
      <c r="D14" s="337" t="s">
        <v>872</v>
      </c>
      <c r="E14" s="337" t="s">
        <v>873</v>
      </c>
      <c r="F14" s="337" t="s">
        <v>874</v>
      </c>
      <c r="G14" s="337" t="s">
        <v>875</v>
      </c>
      <c r="H14" s="337" t="s">
        <v>876</v>
      </c>
      <c r="I14" s="337" t="s">
        <v>877</v>
      </c>
      <c r="J14" s="337" t="s">
        <v>878</v>
      </c>
      <c r="K14" s="337" t="s">
        <v>879</v>
      </c>
      <c r="L14" s="337" t="s">
        <v>880</v>
      </c>
      <c r="M14" s="337" t="s">
        <v>881</v>
      </c>
      <c r="N14" s="337" t="s">
        <v>882</v>
      </c>
      <c r="O14" s="337" t="s">
        <v>883</v>
      </c>
      <c r="P14" s="338" t="s">
        <v>884</v>
      </c>
      <c r="Q14" s="337" t="s">
        <v>885</v>
      </c>
      <c r="R14" s="337" t="s">
        <v>4</v>
      </c>
    </row>
    <row r="15" ht="20.1" customHeight="1" spans="1:19">
      <c r="A15" s="339">
        <v>1</v>
      </c>
      <c r="B15" s="340" t="s">
        <v>886</v>
      </c>
      <c r="C15" s="341"/>
      <c r="D15" s="341">
        <v>1</v>
      </c>
      <c r="E15" s="341"/>
      <c r="F15" s="341"/>
      <c r="G15" s="341"/>
      <c r="H15" s="341"/>
      <c r="I15" s="341"/>
      <c r="J15" s="341">
        <v>1</v>
      </c>
      <c r="K15" s="341"/>
      <c r="L15" s="341"/>
      <c r="M15" s="341">
        <f>SUM(C15:L15)</f>
        <v>2</v>
      </c>
      <c r="N15" s="341" t="s">
        <v>887</v>
      </c>
      <c r="O15" s="341" t="s">
        <v>888</v>
      </c>
      <c r="P15" s="342">
        <v>942.91</v>
      </c>
      <c r="Q15" s="343" t="s">
        <v>889</v>
      </c>
      <c r="R15" s="344"/>
    </row>
    <row r="16" ht="20.1" customHeight="1" spans="1:19">
      <c r="A16" s="339">
        <v>2</v>
      </c>
      <c r="B16" s="340" t="s">
        <v>890</v>
      </c>
      <c r="C16" s="341">
        <v>1</v>
      </c>
      <c r="D16" s="341"/>
      <c r="E16" s="341"/>
      <c r="F16" s="341"/>
      <c r="G16" s="341">
        <v>1</v>
      </c>
      <c r="H16" s="341"/>
      <c r="I16" s="341"/>
      <c r="J16" s="341"/>
      <c r="K16" s="341"/>
      <c r="L16" s="341"/>
      <c r="M16" s="341">
        <f>SUM(C16:L16)</f>
        <v>2</v>
      </c>
      <c r="N16" s="341" t="s">
        <v>887</v>
      </c>
      <c r="O16" s="341" t="s">
        <v>891</v>
      </c>
      <c r="P16" s="342">
        <v>557.16</v>
      </c>
      <c r="Q16" s="343"/>
      <c r="R16" s="344"/>
    </row>
    <row r="17" ht="20.1" customHeight="1" spans="1:18">
      <c r="A17" s="339">
        <v>3</v>
      </c>
      <c r="B17" s="344"/>
      <c r="C17" s="339"/>
      <c r="D17" s="339"/>
      <c r="E17" s="339"/>
      <c r="F17" s="339"/>
      <c r="G17" s="339"/>
      <c r="H17" s="339"/>
      <c r="I17" s="339"/>
      <c r="J17" s="339"/>
      <c r="K17" s="339"/>
      <c r="L17" s="339"/>
      <c r="M17" s="339"/>
      <c r="N17" s="339"/>
      <c r="O17" s="339"/>
      <c r="P17" s="345"/>
      <c r="Q17" s="346"/>
      <c r="R17" s="344"/>
    </row>
    <row r="18" ht="20.1" customHeight="1" spans="1:18">
      <c r="A18" s="339">
        <v>4</v>
      </c>
      <c r="B18" s="344"/>
      <c r="C18" s="339"/>
      <c r="D18" s="339"/>
      <c r="E18" s="339"/>
      <c r="F18" s="339"/>
      <c r="G18" s="339"/>
      <c r="H18" s="339"/>
      <c r="I18" s="339"/>
      <c r="J18" s="339"/>
      <c r="K18" s="339"/>
      <c r="L18" s="339"/>
      <c r="M18" s="339"/>
      <c r="N18" s="339"/>
      <c r="O18" s="339"/>
      <c r="P18" s="345"/>
      <c r="Q18" s="346"/>
      <c r="R18" s="344"/>
    </row>
    <row r="19" ht="20.1" customHeight="1" spans="1:18">
      <c r="A19" s="339">
        <v>5</v>
      </c>
      <c r="B19" s="344"/>
      <c r="C19" s="339"/>
      <c r="D19" s="339"/>
      <c r="E19" s="339"/>
      <c r="F19" s="339"/>
      <c r="G19" s="339"/>
      <c r="H19" s="339"/>
      <c r="I19" s="339"/>
      <c r="J19" s="339"/>
      <c r="K19" s="339"/>
      <c r="L19" s="339"/>
      <c r="M19" s="339"/>
      <c r="N19" s="339"/>
      <c r="O19" s="339"/>
      <c r="P19" s="345"/>
      <c r="Q19" s="346"/>
      <c r="R19" s="344"/>
    </row>
    <row r="20" ht="20.1" customHeight="1" spans="1:18">
      <c r="A20" s="339">
        <v>6</v>
      </c>
      <c r="B20" s="344"/>
      <c r="C20" s="339"/>
      <c r="D20" s="339"/>
      <c r="E20" s="339"/>
      <c r="F20" s="339"/>
      <c r="G20" s="339"/>
      <c r="H20" s="339"/>
      <c r="I20" s="339"/>
      <c r="J20" s="339"/>
      <c r="K20" s="339"/>
      <c r="L20" s="339"/>
      <c r="M20" s="339"/>
      <c r="N20" s="339"/>
      <c r="O20" s="339"/>
      <c r="P20" s="345"/>
      <c r="Q20" s="346"/>
      <c r="R20" s="344"/>
    </row>
    <row r="21" ht="20.1" customHeight="1" spans="1:18">
      <c r="A21" s="339">
        <v>7</v>
      </c>
      <c r="B21" s="344"/>
      <c r="C21" s="339"/>
      <c r="D21" s="339"/>
      <c r="E21" s="339"/>
      <c r="F21" s="339"/>
      <c r="G21" s="339"/>
      <c r="H21" s="339"/>
      <c r="I21" s="339"/>
      <c r="J21" s="339"/>
      <c r="K21" s="339"/>
      <c r="L21" s="339"/>
      <c r="M21" s="339"/>
      <c r="N21" s="339"/>
      <c r="O21" s="339"/>
      <c r="P21" s="345"/>
      <c r="Q21" s="346"/>
      <c r="R21" s="344"/>
    </row>
    <row r="22" ht="20.1" customHeight="1" spans="1:18">
      <c r="A22" s="339">
        <v>8</v>
      </c>
      <c r="B22" s="344"/>
      <c r="C22" s="339"/>
      <c r="D22" s="339"/>
      <c r="E22" s="339"/>
      <c r="F22" s="339"/>
      <c r="G22" s="339"/>
      <c r="H22" s="339"/>
      <c r="I22" s="339"/>
      <c r="J22" s="339"/>
      <c r="K22" s="339"/>
      <c r="L22" s="339"/>
      <c r="M22" s="339"/>
      <c r="N22" s="339"/>
      <c r="O22" s="339"/>
      <c r="P22" s="345"/>
      <c r="Q22" s="346"/>
      <c r="R22" s="344"/>
    </row>
    <row r="23" ht="20.1" customHeight="1" spans="1:18">
      <c r="A23" s="339">
        <v>9</v>
      </c>
      <c r="B23" s="344"/>
      <c r="C23" s="339"/>
      <c r="D23" s="339"/>
      <c r="E23" s="339"/>
      <c r="F23" s="339"/>
      <c r="G23" s="339"/>
      <c r="H23" s="339"/>
      <c r="I23" s="339"/>
      <c r="J23" s="339"/>
      <c r="K23" s="339"/>
      <c r="L23" s="339"/>
      <c r="M23" s="339"/>
      <c r="N23" s="339"/>
      <c r="O23" s="339"/>
      <c r="P23" s="345"/>
      <c r="Q23" s="346"/>
      <c r="R23" s="344"/>
    </row>
    <row r="24" ht="20.1" customHeight="1" spans="1:18">
      <c r="A24" s="339">
        <v>10</v>
      </c>
      <c r="B24" s="344"/>
      <c r="C24" s="339"/>
      <c r="D24" s="339"/>
      <c r="E24" s="339"/>
      <c r="F24" s="339"/>
      <c r="G24" s="339"/>
      <c r="H24" s="339"/>
      <c r="I24" s="339"/>
      <c r="J24" s="339"/>
      <c r="K24" s="339"/>
      <c r="L24" s="339"/>
      <c r="M24" s="339"/>
      <c r="N24" s="339"/>
      <c r="O24" s="339"/>
      <c r="P24" s="345"/>
      <c r="Q24" s="346"/>
      <c r="R24" s="344"/>
    </row>
    <row r="25" ht="20.1" customHeight="1" spans="1:18">
      <c r="A25" s="339"/>
      <c r="B25" s="344"/>
      <c r="C25" s="339"/>
      <c r="D25" s="339"/>
      <c r="E25" s="339"/>
      <c r="F25" s="339"/>
      <c r="G25" s="339"/>
      <c r="H25" s="339"/>
      <c r="I25" s="339"/>
      <c r="J25" s="339"/>
      <c r="K25" s="339"/>
      <c r="L25" s="339"/>
      <c r="M25" s="339"/>
      <c r="N25" s="339"/>
      <c r="O25" s="339"/>
      <c r="P25" s="345"/>
      <c r="Q25" s="346"/>
      <c r="R25" s="344"/>
    </row>
    <row r="26" ht="20.1" customHeight="1" spans="1:18">
      <c r="A26" s="339"/>
      <c r="B26" s="344"/>
      <c r="C26" s="339"/>
      <c r="D26" s="339"/>
      <c r="E26" s="339"/>
      <c r="F26" s="339"/>
      <c r="G26" s="339"/>
      <c r="H26" s="339"/>
      <c r="I26" s="339"/>
      <c r="J26" s="339"/>
      <c r="K26" s="339"/>
      <c r="L26" s="339"/>
      <c r="M26" s="339"/>
      <c r="N26" s="339"/>
      <c r="O26" s="339"/>
      <c r="P26" s="345"/>
      <c r="Q26" s="346"/>
      <c r="R26" s="344"/>
    </row>
    <row r="27" ht="20.1" customHeight="1" spans="1:18">
      <c r="A27" s="318" t="s">
        <v>292</v>
      </c>
      <c r="P27" s="347"/>
    </row>
    <row r="28" ht="20.1" customHeight="1" spans="1:18">
      <c r="A28" s="348" t="s">
        <v>892</v>
      </c>
      <c r="C28" s="321"/>
      <c r="D28" s="349"/>
      <c r="E28" s="349"/>
      <c r="F28" s="321"/>
      <c r="G28" s="349"/>
      <c r="H28" s="321"/>
      <c r="I28" s="349"/>
      <c r="J28" s="349"/>
      <c r="K28" s="349"/>
      <c r="L28" s="349"/>
      <c r="M28" s="349"/>
      <c r="P28" s="349"/>
      <c r="Q28" s="349"/>
      <c r="R28" s="349"/>
    </row>
    <row r="29" ht="20.1" customHeight="1" spans="1:18">
      <c r="A29" s="333" t="s">
        <v>893</v>
      </c>
      <c r="P29" s="347"/>
    </row>
    <row r="30" ht="20.1" customHeight="1" spans="1:18">
      <c r="A30" s="333" t="s">
        <v>894</v>
      </c>
      <c r="P30" s="347"/>
    </row>
    <row r="31" ht="20.1" customHeight="1" spans="1:18">
      <c r="A31" s="333" t="s">
        <v>895</v>
      </c>
      <c r="P31" s="347"/>
    </row>
    <row r="32" ht="20.1" customHeight="1" spans="1:18">
      <c r="A32" s="333" t="s">
        <v>896</v>
      </c>
      <c r="P32" s="347"/>
    </row>
    <row r="33" ht="20.1" customHeight="1" spans="1:16">
      <c r="A33" s="333" t="s">
        <v>897</v>
      </c>
      <c r="P33" s="347"/>
    </row>
    <row r="34" ht="20.1" customHeight="1" spans="1:16">
      <c r="A34" s="333" t="s">
        <v>898</v>
      </c>
      <c r="P34" s="347"/>
    </row>
    <row r="35" ht="20.1" customHeight="1" spans="1:16">
      <c r="A35" s="333" t="s">
        <v>899</v>
      </c>
      <c r="P35" s="347"/>
    </row>
    <row r="36" ht="20.1" customHeight="1" spans="1:16">
      <c r="A36" s="318" t="s">
        <v>293</v>
      </c>
      <c r="P36" s="347"/>
    </row>
    <row r="37" ht="20.1" customHeight="1" spans="1:16">
      <c r="A37" s="333" t="s">
        <v>900</v>
      </c>
      <c r="P37" s="347"/>
    </row>
    <row r="38" ht="20.1" customHeight="1" spans="1:16">
      <c r="P38" s="347"/>
    </row>
    <row r="39" ht="18" customHeight="1"/>
    <row r="40" spans="1:16">
      <c r="A40" s="350"/>
    </row>
    <row r="41" spans="1:16">
      <c r="A41" s="351"/>
    </row>
  </sheetData>
  <mergeCells count="6">
    <mergeCell ref="A1:R1"/>
    <mergeCell ref="A2:R2"/>
    <mergeCell ref="A9:R9"/>
    <mergeCell ref="A11:R11"/>
    <mergeCell ref="A12:R12"/>
    <mergeCell ref="A13:R13"/>
  </mergeCells>
  <hyperlinks>
    <hyperlink ref="R3" location="底稿目录!A1" display="='D:\GT_plan\backend\wp_templates\D\[D4-22至D4-32营业收入-IPO 上市 新三板 重组 舞弊应对.xlsx]底稿目录'!F17"/>
  </hyperlinks>
  <pageMargins left="0.708333333333333" right="0.708333333333333" top="0.747916666666667" bottom="0.747916666666667" header="0.314583333333333" footer="0.314583333333333"/>
  <pageSetup paperSize="9" scale="90" orientation="landscape" blackAndWhite="1"/>
  <headerFooter>
    <oddFooter>&amp;C&amp;P/&amp;N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6"/>
  <sheetViews>
    <sheetView view="pageBreakPreview" zoomScaleNormal="100" workbookViewId="0">
      <selection activeCell="A1" sqref="A1:O1"/>
    </sheetView>
  </sheetViews>
  <sheetFormatPr defaultColWidth="9.81818181818182" defaultRowHeight="20.1" customHeight="1"/>
  <cols>
    <col min="1" max="1" width="4.48181818181818" style="297" customWidth="1"/>
    <col min="2" max="2" width="24" style="297" customWidth="1"/>
    <col min="3" max="4" width="13.9363636363636" style="297" customWidth="1"/>
    <col min="5" max="7" width="9.57272727272727" style="297" customWidth="1"/>
    <col min="8" max="8" width="11.7545454545455" style="297" customWidth="1"/>
    <col min="9" max="9" width="9.57272727272727" style="297" customWidth="1"/>
    <col min="10" max="10" width="13.3272727272727" style="297" customWidth="1"/>
    <col min="11" max="11" width="15.6363636363636" style="297" customWidth="1"/>
    <col min="12" max="12" width="11.2727272727273" style="297" customWidth="1"/>
    <col min="13" max="13" width="14.6636363636364" style="297" customWidth="1"/>
    <col min="14" max="14" width="14.5454545454545" style="297" customWidth="1"/>
    <col min="15" max="15" width="15.2727272727273" style="297" customWidth="1"/>
    <col min="16" max="16384" width="9.81818181818182" style="297"/>
  </cols>
  <sheetData>
    <row r="1" s="171" customFormat="1" customHeight="1" spans="1:24">
      <c r="A1" s="298" t="s">
        <v>27</v>
      </c>
      <c r="B1" s="298"/>
      <c r="C1" s="298"/>
      <c r="D1" s="298"/>
      <c r="E1" s="298"/>
      <c r="F1" s="298"/>
      <c r="G1" s="298"/>
      <c r="H1" s="298"/>
      <c r="I1" s="298"/>
      <c r="J1" s="298"/>
      <c r="K1" s="298"/>
      <c r="L1" s="298"/>
      <c r="M1" s="298"/>
      <c r="N1" s="298"/>
      <c r="O1" s="298"/>
      <c r="P1" s="299"/>
      <c r="Q1" s="299"/>
      <c r="R1" s="299"/>
      <c r="S1" s="299"/>
    </row>
    <row r="2" s="171" customFormat="1" customHeight="1" spans="1:24">
      <c r="A2" s="300" t="s">
        <v>729</v>
      </c>
      <c r="B2" s="300"/>
      <c r="C2" s="300"/>
      <c r="D2" s="300"/>
      <c r="E2" s="300"/>
      <c r="F2" s="300"/>
      <c r="G2" s="300"/>
      <c r="H2" s="300"/>
      <c r="I2" s="300"/>
      <c r="J2" s="300"/>
      <c r="K2" s="300"/>
      <c r="L2" s="300"/>
      <c r="M2" s="300"/>
      <c r="N2" s="300"/>
      <c r="O2" s="300"/>
      <c r="P2" s="301"/>
      <c r="Q2" s="301"/>
      <c r="R2" s="301"/>
      <c r="S2" s="301"/>
    </row>
    <row r="3" s="171" customFormat="1" customHeight="1" spans="1:24">
      <c r="A3" s="171" t="str">
        <f>[16]底稿目录!A2</f>
        <v>被审计单位名称：</v>
      </c>
      <c r="E3" s="171" t="str">
        <f>[16]底稿目录!A4</f>
        <v>编制人：</v>
      </c>
      <c r="K3" s="171" t="str">
        <f>[16]底稿目录!A5</f>
        <v>编制日期：</v>
      </c>
      <c r="N3" s="302" t="s">
        <v>29</v>
      </c>
      <c r="O3" s="303" t="str">
        <f>[16]底稿目录!F18</f>
        <v>D4-28</v>
      </c>
    </row>
    <row r="4" s="171" customFormat="1" customHeight="1" spans="1:24">
      <c r="A4" s="171" t="str">
        <f>[16]底稿目录!A3</f>
        <v>会计期间：202X年度</v>
      </c>
      <c r="E4" s="171" t="str">
        <f>[16]底稿目录!A6</f>
        <v>复核人：</v>
      </c>
      <c r="K4" s="171" t="str">
        <f>[16]底稿目录!A7</f>
        <v>复核日期：</v>
      </c>
      <c r="N4" s="302" t="s">
        <v>129</v>
      </c>
    </row>
    <row r="5" s="171" customFormat="1" customHeight="1" spans="1:24">
      <c r="A5" s="20" t="s">
        <v>282</v>
      </c>
    </row>
    <row r="6" s="171" customFormat="1" customHeight="1" spans="1:24">
      <c r="A6" s="177" t="s">
        <v>901</v>
      </c>
      <c r="B6" s="177"/>
    </row>
    <row r="7" s="171" customFormat="1" customHeight="1" spans="1:24">
      <c r="A7" s="20" t="s">
        <v>604</v>
      </c>
    </row>
    <row r="8" s="171" customFormat="1" customHeight="1" spans="1:24">
      <c r="A8" s="180" t="s">
        <v>902</v>
      </c>
    </row>
    <row r="9" s="171" customFormat="1" customHeight="1" spans="1:24">
      <c r="A9" s="180" t="s">
        <v>903</v>
      </c>
      <c r="B9" s="284"/>
      <c r="C9" s="284"/>
      <c r="D9" s="284"/>
      <c r="E9" s="284"/>
      <c r="F9" s="284"/>
      <c r="G9" s="284"/>
      <c r="H9" s="284"/>
      <c r="I9" s="284"/>
      <c r="J9" s="284"/>
      <c r="K9" s="284"/>
      <c r="L9" s="284"/>
      <c r="M9" s="284"/>
      <c r="N9" s="284"/>
      <c r="O9" s="284"/>
    </row>
    <row r="10" s="171" customFormat="1" customHeight="1" spans="1:24">
      <c r="A10" s="180" t="s">
        <v>904</v>
      </c>
      <c r="B10" s="284"/>
      <c r="C10" s="284"/>
      <c r="D10" s="284"/>
      <c r="E10" s="284"/>
      <c r="F10" s="284"/>
      <c r="G10" s="284"/>
      <c r="H10" s="284"/>
      <c r="I10" s="284"/>
      <c r="J10" s="284"/>
      <c r="K10" s="284"/>
      <c r="L10" s="284"/>
      <c r="M10" s="284"/>
      <c r="N10" s="284"/>
      <c r="O10" s="284"/>
    </row>
    <row r="11" s="171" customFormat="1" customHeight="1" spans="1:24">
      <c r="A11" s="167"/>
    </row>
    <row r="12" customHeight="1" spans="1:24">
      <c r="A12" s="304" t="s">
        <v>2</v>
      </c>
      <c r="B12" s="304" t="s">
        <v>425</v>
      </c>
      <c r="C12" s="304" t="s">
        <v>905</v>
      </c>
      <c r="D12" s="304" t="s">
        <v>426</v>
      </c>
      <c r="E12" s="304" t="s">
        <v>906</v>
      </c>
      <c r="F12" s="304" t="s">
        <v>907</v>
      </c>
      <c r="G12" s="304" t="s">
        <v>908</v>
      </c>
      <c r="H12" s="304" t="s">
        <v>909</v>
      </c>
      <c r="I12" s="304" t="s">
        <v>908</v>
      </c>
      <c r="J12" s="304" t="s">
        <v>910</v>
      </c>
      <c r="K12" s="304"/>
      <c r="L12" s="304"/>
      <c r="M12" s="304"/>
      <c r="N12" s="304"/>
      <c r="O12" s="305" t="s">
        <v>4</v>
      </c>
      <c r="S12" s="171"/>
      <c r="T12" s="171"/>
      <c r="U12" s="171"/>
      <c r="V12" s="171"/>
      <c r="W12" s="171"/>
      <c r="X12" s="171"/>
    </row>
    <row r="13" s="296" customFormat="1" customHeight="1" spans="1:24">
      <c r="A13" s="304"/>
      <c r="B13" s="304"/>
      <c r="C13" s="304"/>
      <c r="D13" s="304"/>
      <c r="E13" s="304"/>
      <c r="F13" s="304"/>
      <c r="G13" s="304"/>
      <c r="H13" s="304"/>
      <c r="I13" s="304"/>
      <c r="J13" s="305" t="s">
        <v>911</v>
      </c>
      <c r="K13" s="305" t="s">
        <v>912</v>
      </c>
      <c r="L13" s="305" t="s">
        <v>913</v>
      </c>
      <c r="M13" s="304" t="s">
        <v>914</v>
      </c>
      <c r="N13" s="305" t="s">
        <v>854</v>
      </c>
      <c r="O13" s="305"/>
    </row>
    <row r="14" customHeight="1" spans="1:24">
      <c r="A14" s="306">
        <v>1</v>
      </c>
      <c r="B14" s="307" t="s">
        <v>915</v>
      </c>
      <c r="C14" s="308" t="s">
        <v>916</v>
      </c>
      <c r="D14" s="309"/>
      <c r="E14" s="310"/>
      <c r="F14" s="311"/>
      <c r="G14" s="310"/>
      <c r="H14" s="309"/>
      <c r="I14" s="312"/>
      <c r="J14" s="313"/>
      <c r="K14" s="313"/>
      <c r="L14" s="313"/>
      <c r="M14" s="313"/>
      <c r="N14" s="313"/>
      <c r="O14" s="314"/>
    </row>
    <row r="15" customHeight="1" spans="1:24">
      <c r="A15" s="306">
        <v>2</v>
      </c>
      <c r="B15" s="307" t="s">
        <v>917</v>
      </c>
      <c r="C15" s="308" t="s">
        <v>918</v>
      </c>
      <c r="D15" s="309"/>
      <c r="E15" s="310"/>
      <c r="F15" s="311"/>
      <c r="G15" s="310"/>
      <c r="H15" s="309"/>
      <c r="I15" s="312"/>
      <c r="J15" s="313"/>
      <c r="K15" s="313"/>
      <c r="L15" s="313"/>
      <c r="M15" s="313"/>
      <c r="N15" s="313"/>
      <c r="O15" s="314"/>
      <c r="Q15" s="171"/>
      <c r="R15" s="171"/>
    </row>
    <row r="16" customHeight="1" spans="1:24">
      <c r="A16" s="306"/>
      <c r="B16" s="307"/>
      <c r="C16" s="313"/>
      <c r="D16" s="315"/>
      <c r="E16" s="312"/>
      <c r="F16" s="316"/>
      <c r="G16" s="312"/>
      <c r="H16" s="315"/>
      <c r="I16" s="312"/>
      <c r="J16" s="313"/>
      <c r="K16" s="313"/>
      <c r="L16" s="313"/>
      <c r="M16" s="313"/>
      <c r="N16" s="313"/>
      <c r="O16" s="314"/>
      <c r="Q16" s="171"/>
      <c r="R16" s="171"/>
    </row>
    <row r="17" customHeight="1" spans="1:18">
      <c r="A17" s="306"/>
      <c r="B17" s="307"/>
      <c r="C17" s="313"/>
      <c r="D17" s="315"/>
      <c r="E17" s="312"/>
      <c r="F17" s="316"/>
      <c r="G17" s="312"/>
      <c r="H17" s="315"/>
      <c r="I17" s="312"/>
      <c r="J17" s="313"/>
      <c r="K17" s="313"/>
      <c r="L17" s="313"/>
      <c r="M17" s="313"/>
      <c r="N17" s="313"/>
      <c r="O17" s="314"/>
      <c r="Q17" s="171"/>
      <c r="R17" s="171"/>
    </row>
    <row r="18" customHeight="1" spans="1:18">
      <c r="A18" s="306"/>
      <c r="B18" s="307"/>
      <c r="C18" s="313"/>
      <c r="D18" s="315"/>
      <c r="E18" s="312"/>
      <c r="F18" s="316"/>
      <c r="G18" s="312"/>
      <c r="H18" s="315"/>
      <c r="I18" s="312"/>
      <c r="J18" s="313"/>
      <c r="K18" s="313"/>
      <c r="L18" s="313"/>
      <c r="M18" s="313"/>
      <c r="N18" s="313"/>
      <c r="O18" s="314"/>
      <c r="Q18" s="171"/>
      <c r="R18" s="171"/>
    </row>
    <row r="19" customHeight="1" spans="1:18">
      <c r="A19" s="306"/>
      <c r="B19" s="307"/>
      <c r="C19" s="313"/>
      <c r="D19" s="315"/>
      <c r="E19" s="312"/>
      <c r="F19" s="316"/>
      <c r="G19" s="312"/>
      <c r="H19" s="315"/>
      <c r="I19" s="312"/>
      <c r="J19" s="313"/>
      <c r="K19" s="313"/>
      <c r="L19" s="313"/>
      <c r="M19" s="313"/>
      <c r="N19" s="313"/>
      <c r="O19" s="314"/>
      <c r="P19" s="167"/>
      <c r="Q19" s="177"/>
      <c r="R19" s="171"/>
    </row>
    <row r="20" customHeight="1" spans="1:18">
      <c r="A20" s="306"/>
      <c r="B20" s="307"/>
      <c r="C20" s="313"/>
      <c r="D20" s="315"/>
      <c r="E20" s="312"/>
      <c r="F20" s="316"/>
      <c r="G20" s="312"/>
      <c r="H20" s="315"/>
      <c r="I20" s="312"/>
      <c r="J20" s="313"/>
      <c r="K20" s="313"/>
      <c r="L20" s="313"/>
      <c r="M20" s="313"/>
      <c r="N20" s="313"/>
      <c r="O20" s="314"/>
      <c r="P20" s="167"/>
      <c r="Q20" s="177"/>
      <c r="R20" s="171"/>
    </row>
    <row r="21" customHeight="1" spans="1:18">
      <c r="A21" s="306"/>
      <c r="B21" s="307"/>
      <c r="C21" s="313"/>
      <c r="D21" s="315"/>
      <c r="E21" s="312"/>
      <c r="F21" s="316"/>
      <c r="G21" s="312"/>
      <c r="H21" s="315"/>
      <c r="I21" s="312"/>
      <c r="J21" s="313"/>
      <c r="K21" s="313"/>
      <c r="L21" s="313"/>
      <c r="M21" s="313"/>
      <c r="N21" s="313"/>
      <c r="O21" s="314"/>
    </row>
    <row r="22" customHeight="1" spans="1:18">
      <c r="A22" s="306"/>
      <c r="B22" s="307"/>
      <c r="C22" s="313"/>
      <c r="D22" s="315"/>
      <c r="E22" s="312"/>
      <c r="F22" s="316"/>
      <c r="G22" s="312"/>
      <c r="H22" s="315"/>
      <c r="I22" s="312"/>
      <c r="J22" s="313"/>
      <c r="K22" s="313"/>
      <c r="L22" s="313"/>
      <c r="M22" s="313"/>
      <c r="N22" s="313"/>
      <c r="O22" s="314"/>
    </row>
    <row r="23" customHeight="1" spans="1:18">
      <c r="A23" s="306"/>
      <c r="B23" s="307"/>
      <c r="C23" s="313"/>
      <c r="D23" s="315"/>
      <c r="E23" s="312"/>
      <c r="F23" s="316"/>
      <c r="G23" s="312"/>
      <c r="H23" s="315"/>
      <c r="I23" s="312"/>
      <c r="J23" s="313"/>
      <c r="K23" s="313"/>
      <c r="L23" s="313"/>
      <c r="M23" s="313"/>
      <c r="N23" s="313"/>
      <c r="O23" s="314"/>
    </row>
    <row r="24" customHeight="1" spans="1:18">
      <c r="A24" s="306"/>
      <c r="B24" s="313"/>
      <c r="C24" s="313"/>
      <c r="D24" s="317"/>
      <c r="E24" s="314"/>
      <c r="F24" s="317"/>
      <c r="G24" s="314"/>
      <c r="H24" s="317"/>
      <c r="I24" s="314"/>
      <c r="J24" s="313"/>
      <c r="K24" s="313"/>
      <c r="L24" s="313"/>
      <c r="M24" s="313"/>
      <c r="N24" s="313"/>
      <c r="O24" s="314"/>
    </row>
    <row r="25" customHeight="1" spans="1:18">
      <c r="A25" s="20" t="s">
        <v>292</v>
      </c>
    </row>
    <row r="26" customHeight="1" spans="1:18">
      <c r="A26" s="20"/>
      <c r="K26" s="20"/>
    </row>
    <row r="27" customHeight="1" spans="1:18">
      <c r="A27" s="20"/>
      <c r="K27" s="20"/>
    </row>
    <row r="28" customHeight="1" spans="1:18">
      <c r="A28" s="20"/>
      <c r="K28" s="20"/>
    </row>
    <row r="29" customHeight="1" spans="1:18">
      <c r="A29" s="20" t="s">
        <v>293</v>
      </c>
      <c r="K29" s="20"/>
    </row>
    <row r="30" customHeight="1" spans="1:18">
      <c r="A30" s="20"/>
      <c r="K30" s="20"/>
    </row>
    <row r="31" customHeight="1" spans="1:18">
      <c r="A31" s="20"/>
      <c r="K31" s="20"/>
    </row>
    <row r="32" customHeight="1" spans="1:18">
      <c r="A32" s="20"/>
    </row>
    <row r="33" customHeight="1" spans="1:1">
      <c r="A33" s="177"/>
    </row>
    <row r="34" customHeight="1" spans="1:1">
      <c r="A34" s="177"/>
    </row>
    <row r="35" customHeight="1" spans="1:1">
      <c r="A35" s="177"/>
    </row>
    <row r="36" customHeight="1" spans="1:1">
      <c r="A36" s="177"/>
    </row>
  </sheetData>
  <mergeCells count="13">
    <mergeCell ref="A1:O1"/>
    <mergeCell ref="A2:O2"/>
    <mergeCell ref="J12:N12"/>
    <mergeCell ref="A12:A13"/>
    <mergeCell ref="B12:B13"/>
    <mergeCell ref="C12:C13"/>
    <mergeCell ref="D12:D13"/>
    <mergeCell ref="E12:E13"/>
    <mergeCell ref="F12:F13"/>
    <mergeCell ref="G12:G13"/>
    <mergeCell ref="H12:H13"/>
    <mergeCell ref="I12:I13"/>
    <mergeCell ref="O12:O13"/>
  </mergeCells>
  <hyperlinks>
    <hyperlink ref="O3" location="底稿目录!A1" display="='D:\GT_plan\backend\wp_templates\D\[D4-22至D4-32营业收入-IPO 上市 新三板 重组 舞弊应对.xlsx]底稿目录'!F18"/>
  </hyperlinks>
  <pageMargins left="0.708333333333333" right="0.708333333333333" top="0.747916666666667" bottom="0.747916666666667" header="0.314583333333333" footer="0.314583333333333"/>
  <pageSetup paperSize="9" scale="73" orientation="landscape" blackAndWhite="1"/>
  <headerFooter>
    <oddFooter>&amp;C&amp;P/&amp;N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6"/>
  <sheetViews>
    <sheetView view="pageBreakPreview" zoomScaleNormal="100" workbookViewId="0">
      <selection activeCell="A1" sqref="A1:M1"/>
    </sheetView>
  </sheetViews>
  <sheetFormatPr defaultColWidth="9.81818181818182" defaultRowHeight="20.1" customHeight="1"/>
  <cols>
    <col min="1" max="1" width="7.39090909090909" style="260" customWidth="1"/>
    <col min="2" max="2" width="19.8727272727273" style="260" customWidth="1"/>
    <col min="3" max="3" width="20.4818181818182" style="260" customWidth="1"/>
    <col min="4" max="12" width="14.9090909090909" style="260" customWidth="1"/>
    <col min="13" max="13" width="12.8454545454545" style="260" customWidth="1"/>
    <col min="14" max="16384" width="9.81818181818182" style="260"/>
  </cols>
  <sheetData>
    <row r="1" s="256" customFormat="1" customHeight="1" spans="1:13">
      <c r="A1" s="261" t="s">
        <v>27</v>
      </c>
      <c r="B1" s="261"/>
      <c r="C1" s="261"/>
      <c r="D1" s="261"/>
      <c r="E1" s="261"/>
      <c r="F1" s="261"/>
      <c r="G1" s="261"/>
      <c r="H1" s="261"/>
      <c r="I1" s="261"/>
      <c r="J1" s="261"/>
      <c r="K1" s="261"/>
      <c r="L1" s="261"/>
      <c r="M1" s="261"/>
    </row>
    <row r="2" s="256" customFormat="1" customHeight="1" spans="1:13">
      <c r="A2" s="262" t="s">
        <v>731</v>
      </c>
      <c r="B2" s="262"/>
      <c r="C2" s="262"/>
      <c r="D2" s="262"/>
      <c r="E2" s="262"/>
      <c r="F2" s="262"/>
      <c r="G2" s="262"/>
      <c r="H2" s="262"/>
      <c r="I2" s="262"/>
      <c r="J2" s="262"/>
      <c r="K2" s="262"/>
      <c r="L2" s="262"/>
      <c r="M2" s="262"/>
    </row>
    <row r="3" customHeight="1" spans="1:13">
      <c r="A3" s="263" t="str">
        <f>[16]底稿目录!A2</f>
        <v>被审计单位名称：</v>
      </c>
      <c r="E3" s="264" t="str">
        <f>[16]底稿目录!A4</f>
        <v>编制人：</v>
      </c>
      <c r="I3" s="263" t="str">
        <f>[16]底稿目录!A5</f>
        <v>编制日期：</v>
      </c>
      <c r="L3" s="265" t="s">
        <v>29</v>
      </c>
      <c r="M3" s="266" t="str">
        <f>[16]底稿目录!F19</f>
        <v>D4-29</v>
      </c>
    </row>
    <row r="4" customHeight="1" spans="1:13">
      <c r="A4" s="263" t="str">
        <f>[16]底稿目录!A3</f>
        <v>会计期间：202X年度</v>
      </c>
      <c r="E4" s="264" t="str">
        <f>[16]底稿目录!A6</f>
        <v>复核人：</v>
      </c>
      <c r="I4" s="263" t="str">
        <f>[16]底稿目录!A7</f>
        <v>复核日期：</v>
      </c>
      <c r="L4" s="265" t="s">
        <v>129</v>
      </c>
    </row>
    <row r="5" s="257" customFormat="1" customHeight="1" spans="1:13">
      <c r="A5" s="20" t="s">
        <v>282</v>
      </c>
    </row>
    <row r="6" s="257" customFormat="1" customHeight="1" spans="1:13">
      <c r="A6" s="21" t="s">
        <v>901</v>
      </c>
      <c r="B6" s="21"/>
    </row>
    <row r="7" s="257" customFormat="1" customHeight="1" spans="1:13">
      <c r="A7" s="20" t="s">
        <v>254</v>
      </c>
      <c r="B7" s="20"/>
    </row>
    <row r="8" s="257" customFormat="1" customHeight="1" spans="1:13">
      <c r="A8" s="267" t="s">
        <v>255</v>
      </c>
      <c r="B8" s="20"/>
    </row>
    <row r="9" s="257" customFormat="1" customHeight="1" spans="1:13">
      <c r="A9" s="180"/>
      <c r="B9" s="181"/>
    </row>
    <row r="10" s="258" customFormat="1" customHeight="1" spans="1:13">
      <c r="A10" s="268" t="s">
        <v>130</v>
      </c>
      <c r="B10" s="268"/>
      <c r="C10" s="269" t="s">
        <v>919</v>
      </c>
      <c r="D10" s="269" t="s">
        <v>920</v>
      </c>
      <c r="E10" s="269" t="s">
        <v>921</v>
      </c>
      <c r="F10" s="269" t="s">
        <v>922</v>
      </c>
      <c r="G10" s="269" t="s">
        <v>923</v>
      </c>
      <c r="H10" s="269" t="s">
        <v>924</v>
      </c>
      <c r="I10" s="269" t="s">
        <v>925</v>
      </c>
      <c r="J10" s="269" t="s">
        <v>926</v>
      </c>
      <c r="K10" s="269" t="s">
        <v>927</v>
      </c>
      <c r="L10" s="269" t="s">
        <v>928</v>
      </c>
      <c r="M10" s="269" t="s">
        <v>291</v>
      </c>
    </row>
    <row r="11" s="258" customFormat="1" customHeight="1" spans="1:13">
      <c r="A11" s="270" t="s">
        <v>929</v>
      </c>
      <c r="B11" s="270"/>
      <c r="C11" s="271"/>
      <c r="D11" s="271"/>
      <c r="E11" s="271"/>
      <c r="F11" s="271"/>
      <c r="G11" s="271"/>
      <c r="H11" s="271"/>
      <c r="I11" s="271"/>
      <c r="J11" s="271"/>
      <c r="K11" s="271"/>
      <c r="L11" s="271"/>
      <c r="M11" s="271"/>
    </row>
    <row r="12" s="258" customFormat="1" customHeight="1" spans="1:13">
      <c r="A12" s="270" t="s">
        <v>930</v>
      </c>
      <c r="B12" s="270"/>
      <c r="C12" s="271"/>
      <c r="D12" s="271"/>
      <c r="E12" s="271"/>
      <c r="F12" s="271"/>
      <c r="G12" s="271"/>
      <c r="H12" s="271"/>
      <c r="I12" s="271"/>
      <c r="J12" s="271"/>
      <c r="K12" s="271"/>
      <c r="L12" s="271"/>
      <c r="M12" s="271"/>
    </row>
    <row r="13" s="258" customFormat="1" customHeight="1" spans="1:13">
      <c r="A13" s="270" t="s">
        <v>931</v>
      </c>
      <c r="B13" s="270"/>
      <c r="C13" s="271"/>
      <c r="D13" s="271"/>
      <c r="E13" s="271"/>
      <c r="F13" s="271"/>
      <c r="G13" s="271"/>
      <c r="H13" s="271"/>
      <c r="I13" s="271"/>
      <c r="J13" s="271"/>
      <c r="K13" s="271"/>
      <c r="L13" s="271"/>
      <c r="M13" s="271"/>
    </row>
    <row r="14" s="258" customFormat="1" customHeight="1" spans="1:13">
      <c r="A14" s="270" t="s">
        <v>932</v>
      </c>
      <c r="B14" s="270"/>
      <c r="C14" s="271"/>
      <c r="D14" s="271"/>
      <c r="E14" s="271"/>
      <c r="F14" s="271"/>
      <c r="G14" s="271"/>
      <c r="H14" s="271"/>
      <c r="I14" s="271"/>
      <c r="J14" s="271"/>
      <c r="K14" s="271"/>
      <c r="L14" s="271"/>
      <c r="M14" s="271"/>
    </row>
    <row r="15" s="258" customFormat="1" customHeight="1" spans="1:13">
      <c r="A15" s="270" t="s">
        <v>933</v>
      </c>
      <c r="B15" s="270"/>
      <c r="C15" s="271"/>
      <c r="D15" s="271"/>
      <c r="E15" s="271"/>
      <c r="F15" s="271"/>
      <c r="G15" s="271"/>
      <c r="H15" s="271"/>
      <c r="I15" s="271"/>
      <c r="J15" s="271"/>
      <c r="K15" s="271"/>
      <c r="L15" s="271"/>
      <c r="M15" s="271"/>
    </row>
    <row r="16" s="258" customFormat="1" customHeight="1" spans="1:13">
      <c r="A16" s="270" t="s">
        <v>934</v>
      </c>
      <c r="B16" s="270"/>
      <c r="C16" s="271"/>
      <c r="D16" s="271"/>
      <c r="E16" s="271"/>
      <c r="F16" s="271"/>
      <c r="G16" s="271"/>
      <c r="H16" s="271"/>
      <c r="I16" s="271"/>
      <c r="J16" s="271"/>
      <c r="K16" s="271"/>
      <c r="L16" s="271"/>
      <c r="M16" s="271"/>
    </row>
    <row r="17" s="258" customFormat="1" customHeight="1" spans="1:13">
      <c r="A17" s="270" t="s">
        <v>935</v>
      </c>
      <c r="B17" s="270"/>
      <c r="C17" s="271"/>
      <c r="D17" s="271"/>
      <c r="E17" s="271"/>
      <c r="F17" s="271"/>
      <c r="G17" s="271"/>
      <c r="H17" s="271"/>
      <c r="I17" s="271"/>
      <c r="J17" s="271"/>
      <c r="K17" s="271"/>
      <c r="L17" s="271"/>
      <c r="M17" s="271"/>
    </row>
    <row r="18" s="258" customFormat="1" customHeight="1" spans="1:13">
      <c r="A18" s="270" t="s">
        <v>936</v>
      </c>
      <c r="B18" s="270"/>
      <c r="C18" s="271"/>
      <c r="D18" s="271"/>
      <c r="E18" s="271"/>
      <c r="F18" s="271"/>
      <c r="G18" s="271"/>
      <c r="H18" s="271"/>
      <c r="I18" s="271"/>
      <c r="J18" s="271"/>
      <c r="K18" s="271"/>
      <c r="L18" s="271"/>
      <c r="M18" s="271"/>
    </row>
    <row r="19" s="258" customFormat="1" customHeight="1" spans="1:13">
      <c r="A19" s="270" t="s">
        <v>937</v>
      </c>
      <c r="B19" s="270"/>
      <c r="C19" s="271"/>
      <c r="D19" s="271"/>
      <c r="E19" s="271"/>
      <c r="F19" s="271"/>
      <c r="G19" s="271"/>
      <c r="H19" s="271"/>
      <c r="I19" s="271"/>
      <c r="J19" s="271"/>
      <c r="K19" s="271"/>
      <c r="L19" s="271"/>
      <c r="M19" s="271"/>
    </row>
    <row r="20" s="258" customFormat="1" customHeight="1" spans="1:13">
      <c r="A20" s="270" t="s">
        <v>938</v>
      </c>
      <c r="B20" s="270"/>
      <c r="C20" s="271"/>
      <c r="D20" s="271"/>
      <c r="E20" s="271"/>
      <c r="F20" s="271"/>
      <c r="G20" s="271"/>
      <c r="H20" s="271"/>
      <c r="I20" s="271"/>
      <c r="J20" s="271"/>
      <c r="K20" s="271"/>
      <c r="L20" s="271"/>
      <c r="M20" s="271"/>
    </row>
    <row r="21" s="258" customFormat="1" customHeight="1" spans="1:13">
      <c r="A21" s="270" t="s">
        <v>939</v>
      </c>
      <c r="B21" s="270"/>
      <c r="C21" s="271"/>
      <c r="D21" s="271"/>
      <c r="E21" s="271"/>
      <c r="F21" s="271"/>
      <c r="G21" s="271"/>
      <c r="H21" s="271"/>
      <c r="I21" s="271"/>
      <c r="J21" s="271"/>
      <c r="K21" s="271"/>
      <c r="L21" s="271"/>
      <c r="M21" s="271"/>
    </row>
    <row r="22" s="258" customFormat="1" customHeight="1" spans="1:13">
      <c r="A22" s="272" t="s">
        <v>940</v>
      </c>
      <c r="B22" s="273" t="s">
        <v>941</v>
      </c>
      <c r="C22" s="271"/>
      <c r="D22" s="271"/>
      <c r="E22" s="271"/>
      <c r="F22" s="271"/>
      <c r="G22" s="271"/>
      <c r="H22" s="271"/>
      <c r="I22" s="271"/>
      <c r="J22" s="271"/>
      <c r="K22" s="271"/>
      <c r="L22" s="271"/>
      <c r="M22" s="271"/>
    </row>
    <row r="23" s="258" customFormat="1" customHeight="1" spans="1:13">
      <c r="A23" s="272"/>
      <c r="B23" s="273" t="s">
        <v>942</v>
      </c>
      <c r="C23" s="271"/>
      <c r="D23" s="271"/>
      <c r="E23" s="271"/>
      <c r="F23" s="271"/>
      <c r="G23" s="271"/>
      <c r="H23" s="271"/>
      <c r="I23" s="271"/>
      <c r="J23" s="271"/>
      <c r="K23" s="271"/>
      <c r="L23" s="271"/>
      <c r="M23" s="271"/>
    </row>
    <row r="24" s="258" customFormat="1" customHeight="1" spans="1:13">
      <c r="A24" s="272"/>
      <c r="B24" s="273" t="s">
        <v>943</v>
      </c>
      <c r="C24" s="271"/>
      <c r="D24" s="271"/>
      <c r="E24" s="271"/>
      <c r="F24" s="271"/>
      <c r="G24" s="271"/>
      <c r="H24" s="271"/>
      <c r="I24" s="271"/>
      <c r="J24" s="271"/>
      <c r="K24" s="271"/>
      <c r="L24" s="271"/>
      <c r="M24" s="271"/>
    </row>
    <row r="25" s="258" customFormat="1" customHeight="1" spans="1:13">
      <c r="A25" s="272"/>
      <c r="B25" s="273" t="s">
        <v>944</v>
      </c>
      <c r="C25" s="271"/>
      <c r="D25" s="271"/>
      <c r="E25" s="271"/>
      <c r="F25" s="271"/>
      <c r="G25" s="271"/>
      <c r="H25" s="271"/>
      <c r="I25" s="271"/>
      <c r="J25" s="271"/>
      <c r="K25" s="271"/>
      <c r="L25" s="271"/>
      <c r="M25" s="271"/>
    </row>
    <row r="26" s="258" customFormat="1" customHeight="1" spans="1:13">
      <c r="A26" s="272"/>
      <c r="B26" s="273" t="s">
        <v>945</v>
      </c>
      <c r="C26" s="271"/>
      <c r="D26" s="271"/>
      <c r="E26" s="271"/>
      <c r="F26" s="271"/>
      <c r="G26" s="271"/>
      <c r="H26" s="271"/>
      <c r="I26" s="271"/>
      <c r="J26" s="271"/>
      <c r="K26" s="271"/>
      <c r="L26" s="271"/>
      <c r="M26" s="271"/>
    </row>
    <row r="27" s="258" customFormat="1" customHeight="1" spans="1:13">
      <c r="A27" s="272"/>
      <c r="B27" s="273" t="s">
        <v>291</v>
      </c>
      <c r="C27" s="271"/>
      <c r="D27" s="271"/>
      <c r="E27" s="271"/>
      <c r="F27" s="271"/>
      <c r="G27" s="271"/>
      <c r="H27" s="271"/>
      <c r="I27" s="271"/>
      <c r="J27" s="271"/>
      <c r="K27" s="271"/>
      <c r="L27" s="271"/>
      <c r="M27" s="271"/>
    </row>
    <row r="28" s="258" customFormat="1" customHeight="1" spans="1:13">
      <c r="A28" s="272" t="s">
        <v>946</v>
      </c>
      <c r="B28" s="273" t="s">
        <v>947</v>
      </c>
      <c r="C28" s="271"/>
      <c r="D28" s="271"/>
      <c r="E28" s="271"/>
      <c r="F28" s="271"/>
      <c r="G28" s="271"/>
      <c r="H28" s="271"/>
      <c r="I28" s="271"/>
      <c r="J28" s="271"/>
      <c r="K28" s="271"/>
      <c r="L28" s="271"/>
      <c r="M28" s="271"/>
    </row>
    <row r="29" s="258" customFormat="1" customHeight="1" spans="1:13">
      <c r="A29" s="272"/>
      <c r="B29" s="273" t="s">
        <v>948</v>
      </c>
      <c r="C29" s="271"/>
      <c r="D29" s="271"/>
      <c r="E29" s="271"/>
      <c r="F29" s="271"/>
      <c r="G29" s="271"/>
      <c r="H29" s="271"/>
      <c r="I29" s="271"/>
      <c r="J29" s="271"/>
      <c r="K29" s="271"/>
      <c r="L29" s="271"/>
      <c r="M29" s="271"/>
    </row>
    <row r="30" s="258" customFormat="1" customHeight="1" spans="1:13">
      <c r="A30" s="272"/>
      <c r="B30" s="273" t="s">
        <v>291</v>
      </c>
      <c r="C30" s="271"/>
      <c r="D30" s="271"/>
      <c r="E30" s="271"/>
      <c r="F30" s="271"/>
      <c r="G30" s="271"/>
      <c r="H30" s="271"/>
      <c r="I30" s="271"/>
      <c r="J30" s="271"/>
      <c r="K30" s="271"/>
      <c r="L30" s="271"/>
      <c r="M30" s="271"/>
    </row>
    <row r="31" s="258" customFormat="1" customHeight="1" spans="1:13">
      <c r="A31" s="272" t="s">
        <v>949</v>
      </c>
      <c r="B31" s="273"/>
      <c r="C31" s="271"/>
      <c r="D31" s="271"/>
      <c r="E31" s="271"/>
      <c r="F31" s="271"/>
      <c r="G31" s="271"/>
      <c r="H31" s="271"/>
      <c r="I31" s="271"/>
      <c r="J31" s="271"/>
      <c r="K31" s="271"/>
      <c r="L31" s="271"/>
      <c r="M31" s="271"/>
    </row>
    <row r="32" s="258" customFormat="1" customHeight="1" spans="1:13">
      <c r="A32" s="272"/>
      <c r="B32" s="273"/>
      <c r="C32" s="271"/>
      <c r="D32" s="271"/>
      <c r="E32" s="271"/>
      <c r="F32" s="271"/>
      <c r="G32" s="271"/>
      <c r="H32" s="271"/>
      <c r="I32" s="271"/>
      <c r="J32" s="271"/>
      <c r="K32" s="271"/>
      <c r="L32" s="271"/>
      <c r="M32" s="271"/>
    </row>
    <row r="33" s="258" customFormat="1" customHeight="1" spans="1:13">
      <c r="A33" s="272"/>
      <c r="B33" s="273"/>
      <c r="C33" s="271"/>
      <c r="D33" s="271"/>
      <c r="E33" s="271"/>
      <c r="F33" s="271"/>
      <c r="G33" s="271"/>
      <c r="H33" s="271"/>
      <c r="I33" s="271"/>
      <c r="J33" s="271"/>
      <c r="K33" s="271"/>
      <c r="L33" s="271"/>
      <c r="M33" s="271"/>
    </row>
    <row r="34" s="258" customFormat="1" customHeight="1" spans="1:13">
      <c r="A34" s="274" t="s">
        <v>694</v>
      </c>
      <c r="B34" s="275"/>
      <c r="C34" s="271"/>
      <c r="D34" s="271"/>
      <c r="E34" s="271"/>
      <c r="F34" s="271"/>
      <c r="G34" s="271"/>
      <c r="H34" s="271"/>
      <c r="I34" s="271"/>
      <c r="J34" s="271"/>
      <c r="K34" s="271"/>
      <c r="L34" s="271"/>
      <c r="M34" s="271"/>
    </row>
    <row r="35" s="258" customFormat="1" customHeight="1" spans="1:13">
      <c r="A35" s="276" t="s">
        <v>950</v>
      </c>
      <c r="B35" s="276"/>
      <c r="C35" s="271"/>
      <c r="D35" s="271"/>
      <c r="E35" s="271"/>
      <c r="F35" s="271"/>
      <c r="G35" s="271"/>
      <c r="H35" s="271"/>
      <c r="I35" s="271"/>
      <c r="J35" s="271"/>
      <c r="K35" s="271"/>
      <c r="L35" s="271"/>
      <c r="M35" s="271"/>
    </row>
    <row r="36" s="258" customFormat="1" customHeight="1" spans="1:13">
      <c r="A36" s="277" t="s">
        <v>951</v>
      </c>
      <c r="B36" s="278"/>
      <c r="C36" s="271"/>
      <c r="D36" s="271"/>
      <c r="E36" s="271"/>
      <c r="F36" s="271"/>
      <c r="G36" s="271"/>
      <c r="H36" s="271"/>
      <c r="I36" s="271"/>
      <c r="J36" s="271"/>
      <c r="K36" s="271"/>
      <c r="L36" s="271"/>
      <c r="M36" s="271"/>
    </row>
    <row r="37" s="258" customFormat="1" customHeight="1" spans="1:13">
      <c r="A37" s="279" t="s">
        <v>952</v>
      </c>
      <c r="B37" s="278"/>
      <c r="C37" s="271"/>
      <c r="D37" s="271"/>
      <c r="E37" s="271"/>
      <c r="F37" s="271"/>
      <c r="G37" s="271"/>
      <c r="H37" s="271"/>
      <c r="I37" s="271"/>
      <c r="J37" s="271"/>
      <c r="K37" s="271"/>
      <c r="L37" s="271"/>
      <c r="M37" s="271"/>
    </row>
    <row r="38" s="258" customFormat="1" customHeight="1" spans="1:13">
      <c r="A38" s="279" t="s">
        <v>953</v>
      </c>
      <c r="B38" s="278"/>
      <c r="C38" s="271"/>
      <c r="D38" s="271"/>
      <c r="E38" s="271"/>
      <c r="F38" s="271"/>
      <c r="G38" s="271"/>
      <c r="H38" s="271"/>
      <c r="I38" s="271"/>
      <c r="J38" s="271"/>
      <c r="K38" s="271"/>
      <c r="L38" s="271"/>
      <c r="M38" s="271"/>
    </row>
    <row r="39" s="259" customFormat="1" customHeight="1" spans="1:13">
      <c r="A39" s="280" t="s">
        <v>954</v>
      </c>
      <c r="B39" s="281"/>
      <c r="C39" s="282"/>
      <c r="D39" s="282"/>
      <c r="E39" s="282"/>
      <c r="F39" s="282"/>
      <c r="G39" s="282"/>
      <c r="H39" s="282"/>
      <c r="I39" s="282"/>
      <c r="J39" s="282"/>
      <c r="K39" s="282"/>
      <c r="L39" s="282"/>
      <c r="M39" s="282"/>
    </row>
    <row r="40" s="259" customFormat="1" customHeight="1" spans="1:13">
      <c r="A40" s="280" t="s">
        <v>955</v>
      </c>
      <c r="B40" s="281"/>
      <c r="C40" s="282"/>
      <c r="D40" s="282"/>
      <c r="E40" s="282"/>
      <c r="F40" s="282"/>
      <c r="G40" s="282"/>
      <c r="H40" s="282"/>
      <c r="I40" s="282"/>
      <c r="J40" s="282"/>
      <c r="K40" s="282"/>
      <c r="L40" s="282"/>
      <c r="M40" s="282"/>
    </row>
    <row r="41" s="259" customFormat="1" customHeight="1" spans="1:13">
      <c r="A41" s="280" t="s">
        <v>956</v>
      </c>
      <c r="B41" s="281"/>
      <c r="C41" s="282"/>
      <c r="D41" s="282"/>
      <c r="E41" s="282"/>
      <c r="F41" s="282"/>
      <c r="G41" s="282"/>
      <c r="H41" s="282"/>
      <c r="I41" s="282"/>
      <c r="J41" s="282"/>
      <c r="K41" s="282"/>
      <c r="L41" s="282"/>
      <c r="M41" s="282"/>
    </row>
    <row r="42" s="168" customFormat="1" customHeight="1" spans="1:13">
      <c r="A42" s="193" t="s">
        <v>292</v>
      </c>
      <c r="B42" s="283"/>
      <c r="C42" s="283"/>
      <c r="D42" s="283"/>
      <c r="E42" s="283"/>
      <c r="F42" s="283"/>
      <c r="G42" s="283"/>
      <c r="H42" s="283"/>
      <c r="I42" s="283"/>
      <c r="J42" s="283"/>
      <c r="K42" s="283"/>
      <c r="L42" s="283"/>
    </row>
    <row r="43" s="168" customFormat="1" customHeight="1" spans="1:13">
      <c r="B43" s="284"/>
      <c r="C43" s="284"/>
      <c r="D43" s="284"/>
      <c r="E43" s="284"/>
      <c r="F43" s="284"/>
      <c r="G43" s="284"/>
      <c r="H43" s="284"/>
      <c r="I43" s="284"/>
      <c r="J43" s="284"/>
      <c r="K43" s="284"/>
      <c r="L43" s="284"/>
    </row>
    <row r="44" s="168" customFormat="1" customHeight="1" spans="1:13">
      <c r="B44" s="284"/>
      <c r="C44" s="284"/>
      <c r="D44" s="284"/>
      <c r="E44" s="284"/>
      <c r="F44" s="284"/>
      <c r="G44" s="284"/>
      <c r="H44" s="284"/>
      <c r="I44" s="284"/>
      <c r="J44" s="284"/>
      <c r="K44" s="284"/>
      <c r="L44" s="284"/>
    </row>
    <row r="45" s="168" customFormat="1" customHeight="1" spans="1:13">
      <c r="A45" s="284"/>
      <c r="B45" s="284"/>
      <c r="C45" s="284"/>
      <c r="D45" s="284"/>
      <c r="E45" s="284"/>
      <c r="F45" s="284"/>
      <c r="G45" s="284"/>
      <c r="H45" s="284"/>
      <c r="I45" s="284"/>
      <c r="J45" s="284"/>
      <c r="K45" s="284"/>
      <c r="L45" s="284"/>
    </row>
    <row r="46" s="168" customFormat="1" customHeight="1" spans="1:13">
      <c r="A46" s="285" t="s">
        <v>293</v>
      </c>
      <c r="B46" s="283"/>
      <c r="C46" s="283"/>
      <c r="D46" s="283"/>
      <c r="E46" s="283"/>
      <c r="F46" s="283"/>
      <c r="G46" s="283"/>
      <c r="H46" s="283"/>
      <c r="I46" s="283"/>
      <c r="J46" s="283"/>
      <c r="K46" s="283"/>
      <c r="L46" s="283"/>
    </row>
    <row r="47" s="168" customFormat="1" customHeight="1" spans="1:13">
      <c r="A47" s="285"/>
      <c r="B47" s="283"/>
      <c r="C47" s="283"/>
      <c r="D47" s="283"/>
      <c r="E47" s="283"/>
      <c r="F47" s="283"/>
      <c r="G47" s="283"/>
      <c r="H47" s="283"/>
      <c r="I47" s="283"/>
      <c r="J47" s="283"/>
      <c r="K47" s="283"/>
      <c r="L47" s="283"/>
    </row>
    <row r="48" customHeight="1" spans="1:13">
      <c r="A48" s="286" t="s">
        <v>294</v>
      </c>
      <c r="B48" s="287"/>
    </row>
    <row r="49" customHeight="1" spans="1:2">
      <c r="A49" s="288" t="s">
        <v>957</v>
      </c>
      <c r="B49" s="287"/>
    </row>
    <row r="50" customHeight="1" spans="1:2">
      <c r="A50" s="289" t="s">
        <v>958</v>
      </c>
      <c r="B50" s="287"/>
    </row>
    <row r="51" customHeight="1" spans="1:2">
      <c r="A51" s="289" t="s">
        <v>959</v>
      </c>
      <c r="B51" s="287"/>
    </row>
    <row r="52" customHeight="1" spans="1:2">
      <c r="A52" s="289" t="s">
        <v>960</v>
      </c>
      <c r="B52" s="287"/>
    </row>
    <row r="53" customHeight="1" spans="1:2">
      <c r="A53" s="289" t="s">
        <v>961</v>
      </c>
      <c r="B53" s="287"/>
    </row>
    <row r="54" customHeight="1" spans="1:2">
      <c r="A54" s="289" t="s">
        <v>962</v>
      </c>
      <c r="B54" s="287"/>
    </row>
    <row r="55" customHeight="1" spans="1:2">
      <c r="A55" s="290" t="s">
        <v>963</v>
      </c>
      <c r="B55" s="287"/>
    </row>
    <row r="56" customHeight="1" spans="1:2">
      <c r="A56" s="290" t="s">
        <v>964</v>
      </c>
      <c r="B56" s="287"/>
    </row>
    <row r="57" customHeight="1" spans="1:2">
      <c r="A57" s="291" t="s">
        <v>965</v>
      </c>
      <c r="B57" s="287"/>
    </row>
    <row r="58" customHeight="1" spans="1:2">
      <c r="A58" s="291" t="s">
        <v>966</v>
      </c>
      <c r="B58" s="287"/>
    </row>
    <row r="59" customHeight="1" spans="1:2">
      <c r="A59" s="291" t="s">
        <v>967</v>
      </c>
      <c r="B59" s="287"/>
    </row>
    <row r="60" customHeight="1" spans="1:2">
      <c r="A60" s="291" t="s">
        <v>968</v>
      </c>
      <c r="B60" s="287"/>
    </row>
    <row r="61" customHeight="1" spans="1:2">
      <c r="A61" s="291" t="s">
        <v>969</v>
      </c>
      <c r="B61" s="287"/>
    </row>
    <row r="62" customHeight="1" spans="1:2">
      <c r="A62" s="291" t="s">
        <v>970</v>
      </c>
      <c r="B62" s="287"/>
    </row>
    <row r="63" customHeight="1" spans="1:2">
      <c r="A63" s="291" t="s">
        <v>971</v>
      </c>
      <c r="B63" s="287"/>
    </row>
    <row r="64" customHeight="1" spans="1:2">
      <c r="A64" s="291" t="s">
        <v>972</v>
      </c>
      <c r="B64" s="287"/>
    </row>
    <row r="65" customHeight="1" spans="1:2">
      <c r="A65" s="290" t="s">
        <v>973</v>
      </c>
      <c r="B65" s="287"/>
    </row>
    <row r="66" customHeight="1" spans="1:2">
      <c r="A66" s="236" t="s">
        <v>974</v>
      </c>
      <c r="B66" s="287"/>
    </row>
    <row r="67" customHeight="1" spans="1:2">
      <c r="A67" s="236" t="s">
        <v>975</v>
      </c>
      <c r="B67" s="287"/>
    </row>
    <row r="68" customHeight="1" spans="1:2">
      <c r="A68" s="288" t="s">
        <v>976</v>
      </c>
    </row>
    <row r="69" customHeight="1" spans="1:2">
      <c r="A69" s="291" t="s">
        <v>977</v>
      </c>
      <c r="B69" s="292"/>
    </row>
    <row r="70" customHeight="1" spans="1:2">
      <c r="A70" s="288" t="s">
        <v>978</v>
      </c>
      <c r="B70" s="293"/>
    </row>
    <row r="71" customHeight="1" spans="1:2">
      <c r="A71" s="288" t="s">
        <v>979</v>
      </c>
      <c r="B71" s="294"/>
    </row>
    <row r="72" customHeight="1" spans="1:2">
      <c r="A72" s="288" t="s">
        <v>980</v>
      </c>
    </row>
    <row r="73" customHeight="1" spans="1:2">
      <c r="A73" s="288" t="s">
        <v>981</v>
      </c>
    </row>
    <row r="74" customHeight="1" spans="1:2">
      <c r="A74" s="288" t="s">
        <v>982</v>
      </c>
      <c r="B74" s="295"/>
    </row>
    <row r="75" customHeight="1" spans="1:2">
      <c r="A75" s="288" t="s">
        <v>983</v>
      </c>
    </row>
    <row r="76" customHeight="1" spans="1:2">
      <c r="A76" s="288" t="s">
        <v>984</v>
      </c>
    </row>
  </sheetData>
  <mergeCells count="20">
    <mergeCell ref="A1:M1"/>
    <mergeCell ref="A2:M2"/>
    <mergeCell ref="A10:B10"/>
    <mergeCell ref="A12:B12"/>
    <mergeCell ref="A13:B13"/>
    <mergeCell ref="A14:B14"/>
    <mergeCell ref="A15:B15"/>
    <mergeCell ref="A16:B16"/>
    <mergeCell ref="A17:B17"/>
    <mergeCell ref="A18:B18"/>
    <mergeCell ref="A19:B19"/>
    <mergeCell ref="A20:B20"/>
    <mergeCell ref="A21:B21"/>
    <mergeCell ref="A34:B34"/>
    <mergeCell ref="A35:B35"/>
    <mergeCell ref="A37:B37"/>
    <mergeCell ref="A38:B38"/>
    <mergeCell ref="A22:A27"/>
    <mergeCell ref="A28:A30"/>
    <mergeCell ref="A31:A33"/>
  </mergeCells>
  <dataValidations count="1">
    <dataValidation type="list" allowBlank="1" showInputMessage="1" showErrorMessage="1" sqref="C35:M38">
      <formula1>"是,否"</formula1>
    </dataValidation>
  </dataValidations>
  <hyperlinks>
    <hyperlink ref="M3" location="底稿目录!A1" display="='D:\GT_plan\backend\wp_templates\D\[D4-22至D4-32营业收入-IPO 上市 新三板 重组 舞弊应对.xlsx]底稿目录'!F19"/>
  </hyperlinks>
  <pageMargins left="0.708333333333333" right="0.708333333333333" top="0.747916666666667" bottom="0.747916666666667" header="0.314583333333333" footer="0.314583333333333"/>
  <pageSetup paperSize="9" scale="71" orientation="landscape" blackAndWhite="1"/>
  <headerFooter>
    <oddFooter>&amp;C&amp;P/&amp;N</oddFoot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view="pageBreakPreview" zoomScaleNormal="100" workbookViewId="0">
      <selection activeCell="A1" sqref="A1:G1"/>
    </sheetView>
  </sheetViews>
  <sheetFormatPr defaultColWidth="8.72727272727273" defaultRowHeight="20.1" customHeight="1" outlineLevelCol="6"/>
  <cols>
    <col min="1" max="1" width="21.5727272727273" style="242" customWidth="1"/>
    <col min="2" max="4" width="25.5727272727273" style="242" customWidth="1"/>
    <col min="5" max="7" width="22.5454545454545" style="242" customWidth="1"/>
    <col min="8" max="219" width="7.63636363636364" style="242" customWidth="1"/>
    <col min="220" max="221" width="8.72727272727273" style="242" customWidth="1"/>
    <col min="222" max="16384" width="8.72727272727273" style="244"/>
  </cols>
  <sheetData>
    <row r="1" s="242" customFormat="1" customHeight="1" spans="1:7">
      <c r="A1" s="245" t="s">
        <v>985</v>
      </c>
      <c r="B1" s="245"/>
      <c r="C1" s="245"/>
      <c r="D1" s="245"/>
      <c r="E1" s="245"/>
      <c r="F1" s="245"/>
      <c r="G1" s="245"/>
    </row>
    <row r="2" s="242" customFormat="1" customHeight="1" spans="1:7">
      <c r="A2" s="246" t="s">
        <v>733</v>
      </c>
      <c r="B2" s="246"/>
      <c r="C2" s="246"/>
      <c r="D2" s="246"/>
      <c r="E2" s="246"/>
      <c r="F2" s="246"/>
      <c r="G2" s="246"/>
    </row>
    <row r="3" s="243" customFormat="1" customHeight="1" spans="1:7">
      <c r="A3" s="247" t="str">
        <f>[16]底稿目录!A2</f>
        <v>被审计单位名称：</v>
      </c>
      <c r="C3" s="247" t="str">
        <f>[16]底稿目录!A4</f>
        <v>编制人：</v>
      </c>
      <c r="E3" s="247" t="str">
        <f>[16]底稿目录!A5</f>
        <v>编制日期：</v>
      </c>
      <c r="F3" s="248" t="s">
        <v>29</v>
      </c>
      <c r="G3" s="249" t="str">
        <f>[16]底稿目录!F20</f>
        <v>D4-30</v>
      </c>
    </row>
    <row r="4" s="243" customFormat="1" customHeight="1" spans="1:7">
      <c r="A4" s="247" t="str">
        <f>[16]底稿目录!A3</f>
        <v>会计期间：202X年度</v>
      </c>
      <c r="C4" s="247" t="str">
        <f>[16]底稿目录!A6</f>
        <v>复核人：</v>
      </c>
      <c r="E4" s="247" t="str">
        <f>[16]底稿目录!A7</f>
        <v>复核日期：</v>
      </c>
      <c r="F4" s="248" t="s">
        <v>129</v>
      </c>
    </row>
    <row r="5" s="243" customFormat="1" customHeight="1" spans="1:7">
      <c r="A5" s="250" t="s">
        <v>130</v>
      </c>
      <c r="B5" s="250" t="s">
        <v>915</v>
      </c>
      <c r="C5" s="250" t="s">
        <v>986</v>
      </c>
      <c r="D5" s="250" t="s">
        <v>987</v>
      </c>
      <c r="E5" s="250" t="s">
        <v>988</v>
      </c>
      <c r="F5" s="250" t="s">
        <v>989</v>
      </c>
      <c r="G5" s="250" t="s">
        <v>990</v>
      </c>
    </row>
    <row r="6" s="243" customFormat="1" customHeight="1" spans="1:7">
      <c r="A6" s="251" t="s">
        <v>991</v>
      </c>
      <c r="B6" s="252"/>
      <c r="C6" s="252"/>
      <c r="D6" s="252"/>
      <c r="E6" s="252"/>
      <c r="F6" s="252"/>
      <c r="G6" s="252"/>
    </row>
    <row r="7" s="243" customFormat="1" customHeight="1" spans="1:7">
      <c r="A7" s="251" t="s">
        <v>992</v>
      </c>
      <c r="B7" s="252" t="s">
        <v>993</v>
      </c>
      <c r="C7" s="252"/>
      <c r="D7" s="252"/>
      <c r="E7" s="252"/>
      <c r="F7" s="252"/>
      <c r="G7" s="252"/>
    </row>
    <row r="8" s="243" customFormat="1" customHeight="1" spans="1:7">
      <c r="A8" s="251" t="s">
        <v>994</v>
      </c>
      <c r="B8" s="252" t="s">
        <v>995</v>
      </c>
      <c r="C8" s="252"/>
      <c r="D8" s="252"/>
      <c r="E8" s="252"/>
      <c r="F8" s="252"/>
      <c r="G8" s="252"/>
    </row>
    <row r="9" s="243" customFormat="1" customHeight="1" spans="1:7">
      <c r="A9" s="251" t="s">
        <v>996</v>
      </c>
      <c r="B9" s="252"/>
      <c r="C9" s="252"/>
      <c r="D9" s="252"/>
      <c r="E9" s="252"/>
      <c r="F9" s="252"/>
      <c r="G9" s="252"/>
    </row>
    <row r="10" s="243" customFormat="1" customHeight="1" spans="1:7">
      <c r="A10" s="251" t="s">
        <v>997</v>
      </c>
      <c r="B10" s="252"/>
      <c r="C10" s="252"/>
      <c r="D10" s="252"/>
      <c r="E10" s="252"/>
      <c r="F10" s="252"/>
      <c r="G10" s="252"/>
    </row>
    <row r="11" s="243" customFormat="1" customHeight="1" spans="1:7">
      <c r="A11" s="251" t="s">
        <v>998</v>
      </c>
      <c r="B11" s="252" t="s">
        <v>999</v>
      </c>
      <c r="C11" s="252"/>
      <c r="D11" s="252"/>
      <c r="E11" s="252"/>
      <c r="F11" s="252"/>
      <c r="G11" s="252"/>
    </row>
    <row r="12" s="243" customFormat="1" customHeight="1" spans="1:7">
      <c r="A12" s="251" t="s">
        <v>1000</v>
      </c>
      <c r="B12" s="252"/>
      <c r="C12" s="252"/>
      <c r="D12" s="252"/>
      <c r="E12" s="252"/>
      <c r="F12" s="252"/>
      <c r="G12" s="252"/>
    </row>
    <row r="13" s="243" customFormat="1" customHeight="1" spans="1:7">
      <c r="A13" s="251" t="s">
        <v>1001</v>
      </c>
      <c r="B13" s="252"/>
      <c r="C13" s="252"/>
      <c r="D13" s="252"/>
      <c r="E13" s="252"/>
      <c r="F13" s="252"/>
      <c r="G13" s="252"/>
    </row>
    <row r="14" s="243" customFormat="1" customHeight="1" spans="1:7">
      <c r="A14" s="251" t="s">
        <v>1002</v>
      </c>
      <c r="B14" s="252" t="s">
        <v>1003</v>
      </c>
      <c r="C14" s="252"/>
      <c r="D14" s="252"/>
      <c r="E14" s="252"/>
      <c r="F14" s="252"/>
      <c r="G14" s="252"/>
    </row>
    <row r="15" s="243" customFormat="1" customHeight="1" spans="1:7">
      <c r="A15" s="251" t="s">
        <v>1004</v>
      </c>
      <c r="B15" s="252"/>
      <c r="C15" s="252"/>
      <c r="D15" s="252"/>
      <c r="E15" s="252"/>
      <c r="F15" s="252"/>
      <c r="G15" s="252"/>
    </row>
    <row r="16" s="243" customFormat="1" customHeight="1" spans="1:7">
      <c r="A16" s="251" t="s">
        <v>1005</v>
      </c>
      <c r="B16" s="252"/>
      <c r="C16" s="252"/>
      <c r="D16" s="252"/>
      <c r="E16" s="252"/>
      <c r="F16" s="252"/>
      <c r="G16" s="252"/>
    </row>
    <row r="17" s="243" customFormat="1" customHeight="1" spans="1:7">
      <c r="A17" s="251" t="s">
        <v>1006</v>
      </c>
      <c r="B17" s="253"/>
      <c r="C17" s="252"/>
      <c r="D17" s="252"/>
      <c r="E17" s="252"/>
      <c r="F17" s="252"/>
      <c r="G17" s="252"/>
    </row>
    <row r="18" s="243" customFormat="1" customHeight="1" spans="1:7">
      <c r="A18" s="251" t="s">
        <v>1007</v>
      </c>
      <c r="B18" s="253"/>
      <c r="C18" s="252"/>
      <c r="D18" s="252"/>
      <c r="E18" s="252"/>
      <c r="F18" s="252"/>
      <c r="G18" s="252"/>
    </row>
    <row r="19" s="243" customFormat="1" customHeight="1" spans="1:7">
      <c r="A19" s="251" t="s">
        <v>1008</v>
      </c>
      <c r="B19" s="253"/>
      <c r="C19" s="252"/>
      <c r="D19" s="252"/>
      <c r="E19" s="252"/>
      <c r="F19" s="252"/>
      <c r="G19" s="252"/>
    </row>
    <row r="20" s="243" customFormat="1" customHeight="1" spans="1:7">
      <c r="A20" s="254" t="s">
        <v>291</v>
      </c>
      <c r="B20" s="253"/>
      <c r="C20" s="252"/>
      <c r="D20" s="252"/>
      <c r="E20" s="252"/>
      <c r="F20" s="252"/>
      <c r="G20" s="252"/>
    </row>
    <row r="21" s="243" customFormat="1" customHeight="1" spans="1:7">
      <c r="A21" s="251" t="s">
        <v>1009</v>
      </c>
      <c r="B21" s="252"/>
      <c r="C21" s="252"/>
      <c r="D21" s="252"/>
      <c r="E21" s="252"/>
      <c r="F21" s="252"/>
      <c r="G21" s="252"/>
    </row>
    <row r="22" s="243" customFormat="1" customHeight="1" spans="1:7">
      <c r="A22" s="251" t="s">
        <v>1010</v>
      </c>
      <c r="B22" s="253"/>
      <c r="C22" s="253"/>
      <c r="D22" s="253"/>
      <c r="E22" s="253"/>
      <c r="F22" s="253"/>
      <c r="G22" s="253"/>
    </row>
    <row r="23" s="242" customFormat="1" customHeight="1" spans="1:7">
      <c r="A23" s="255" t="s">
        <v>1011</v>
      </c>
      <c r="B23" s="243"/>
      <c r="C23" s="243"/>
      <c r="D23" s="243"/>
      <c r="E23" s="243"/>
      <c r="F23" s="243"/>
      <c r="G23" s="243"/>
    </row>
    <row r="24" s="242" customFormat="1" customHeight="1" spans="1:7">
      <c r="A24" s="255" t="s">
        <v>1012</v>
      </c>
      <c r="B24" s="243"/>
      <c r="C24" s="243"/>
      <c r="D24" s="243"/>
      <c r="E24" s="243"/>
      <c r="F24" s="243"/>
      <c r="G24" s="243"/>
    </row>
    <row r="25" customHeight="1" spans="1:7">
      <c r="A25" s="255" t="s">
        <v>1013</v>
      </c>
    </row>
    <row r="26" customHeight="1" spans="1:7">
      <c r="A26" s="255" t="s">
        <v>1014</v>
      </c>
    </row>
    <row r="27" customHeight="1" spans="1:7">
      <c r="A27" s="255" t="s">
        <v>1015</v>
      </c>
      <c r="B27" s="244"/>
      <c r="C27" s="244"/>
    </row>
    <row r="28" customHeight="1" spans="1:7">
      <c r="A28" s="255" t="s">
        <v>1016</v>
      </c>
      <c r="B28" s="244"/>
      <c r="C28" s="244"/>
    </row>
    <row r="29" customHeight="1" spans="1:7">
      <c r="A29" s="255" t="s">
        <v>1017</v>
      </c>
      <c r="B29" s="244"/>
      <c r="C29" s="244"/>
    </row>
    <row r="30" customHeight="1" spans="1:7">
      <c r="A30" s="255" t="s">
        <v>1018</v>
      </c>
      <c r="B30" s="244"/>
      <c r="C30" s="244"/>
    </row>
    <row r="31" customHeight="1" spans="1:7">
      <c r="A31" s="255" t="s">
        <v>1019</v>
      </c>
      <c r="B31" s="244"/>
      <c r="C31" s="244"/>
    </row>
    <row r="32" customHeight="1" spans="1:7">
      <c r="A32" s="255" t="s">
        <v>1020</v>
      </c>
      <c r="B32" s="244"/>
      <c r="C32" s="244"/>
    </row>
    <row r="33" customHeight="1" spans="1:4">
      <c r="A33" s="255" t="s">
        <v>1021</v>
      </c>
      <c r="B33" s="244"/>
      <c r="C33" s="244"/>
    </row>
    <row r="34" customHeight="1" spans="1:4">
      <c r="A34" s="255" t="s">
        <v>1022</v>
      </c>
      <c r="B34" s="244"/>
      <c r="C34" s="244"/>
    </row>
    <row r="35" customHeight="1" spans="1:4">
      <c r="B35" s="244"/>
      <c r="C35" s="244"/>
    </row>
    <row r="36" customHeight="1" spans="1:4">
      <c r="B36" s="244"/>
      <c r="C36" s="244"/>
      <c r="D36" s="244"/>
    </row>
    <row r="37" customHeight="1" spans="1:4">
      <c r="B37" s="244"/>
      <c r="C37" s="244"/>
    </row>
    <row r="38" customHeight="1" spans="1:4">
      <c r="B38" s="244"/>
    </row>
  </sheetData>
  <mergeCells count="2">
    <mergeCell ref="A1:G1"/>
    <mergeCell ref="A2:G2"/>
  </mergeCells>
  <hyperlinks>
    <hyperlink ref="G3" location="底稿目录!A1" display="='D:\GT_plan\backend\wp_templates\D\[D4-22至D4-32营业收入-IPO 上市 新三板 重组 舞弊应对.xlsx]底稿目录'!F20"/>
  </hyperlinks>
  <pageMargins left="0.708661417322835" right="0.708661417322835" top="0.748031496062992" bottom="0.748031496062992" header="0.31496062992126" footer="0.31496062992126"/>
  <pageSetup paperSize="9" scale="84" orientation="landscape" blackAndWhite="1"/>
  <headerFooter>
    <oddFooter>&amp;C&amp;P/&amp;N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3"/>
  <sheetViews>
    <sheetView showGridLines="0" view="pageBreakPreview" zoomScaleNormal="100" workbookViewId="0">
      <selection activeCell="A1" sqref="A1:G1"/>
    </sheetView>
  </sheetViews>
  <sheetFormatPr defaultColWidth="8.48181818181818" defaultRowHeight="13"/>
  <cols>
    <col min="1" max="1" width="36.9636363636364" style="218" customWidth="1"/>
    <col min="2" max="2" width="8.96363636363636" style="218" customWidth="1"/>
    <col min="3" max="3" width="9.45454545454546" style="218" customWidth="1"/>
    <col min="4" max="4" width="11.0272727272727" style="218" customWidth="1"/>
    <col min="5" max="5" width="6.78181818181818" style="218" customWidth="1"/>
    <col min="6" max="6" width="12.3636363636364" style="218" customWidth="1"/>
    <col min="7" max="7" width="7.39090909090909" style="218" customWidth="1"/>
    <col min="8" max="8" width="8.48181818181818" style="218" customWidth="1"/>
    <col min="9" max="16384" width="8.48181818181818" style="219"/>
  </cols>
  <sheetData>
    <row r="1" s="217" customFormat="1" ht="20.1" customHeight="1" spans="1:10">
      <c r="A1" s="220" t="s">
        <v>27</v>
      </c>
      <c r="B1" s="220"/>
      <c r="C1" s="220"/>
      <c r="D1" s="220"/>
      <c r="E1" s="220"/>
      <c r="F1" s="220"/>
      <c r="G1" s="220"/>
    </row>
    <row r="2" s="217" customFormat="1" ht="24.9" customHeight="1" spans="1:10">
      <c r="A2" s="221" t="s">
        <v>735</v>
      </c>
      <c r="B2" s="221"/>
      <c r="C2" s="221"/>
      <c r="D2" s="221"/>
      <c r="E2" s="221"/>
      <c r="F2" s="221"/>
      <c r="G2" s="221"/>
    </row>
    <row r="3" s="217" customFormat="1" ht="20.1" customHeight="1" spans="1:10">
      <c r="A3" s="222" t="str">
        <f>[16]底稿目录!A2</f>
        <v>被审计单位名称：</v>
      </c>
      <c r="B3" s="222" t="str">
        <f>[16]底稿目录!A4</f>
        <v>编制人：</v>
      </c>
      <c r="D3" s="222" t="str">
        <f>[16]底稿目录!A5</f>
        <v>编制日期：</v>
      </c>
      <c r="F3" s="223" t="s">
        <v>29</v>
      </c>
      <c r="G3" s="224" t="str">
        <f>[16]底稿目录!F21</f>
        <v>D4-31</v>
      </c>
    </row>
    <row r="4" s="217" customFormat="1" ht="20.1" customHeight="1" spans="1:10">
      <c r="A4" s="222" t="str">
        <f>[16]底稿目录!A3</f>
        <v>会计期间：202X年度</v>
      </c>
      <c r="B4" s="222" t="str">
        <f>[16]底稿目录!A6</f>
        <v>复核人：</v>
      </c>
      <c r="D4" s="222" t="str">
        <f>[16]底稿目录!A7</f>
        <v>复核日期：</v>
      </c>
      <c r="F4" s="223" t="s">
        <v>129</v>
      </c>
    </row>
    <row r="5" s="218" customFormat="1" ht="20.1" customHeight="1" spans="1:10">
      <c r="A5" s="225" t="s">
        <v>1023</v>
      </c>
      <c r="B5" s="225"/>
      <c r="C5" s="225"/>
      <c r="D5" s="225"/>
      <c r="E5" s="225"/>
      <c r="F5" s="222"/>
      <c r="G5" s="222"/>
    </row>
    <row r="6" s="218" customFormat="1" ht="20.1" customHeight="1" spans="1:10">
      <c r="A6" s="225" t="s">
        <v>1024</v>
      </c>
      <c r="B6" s="225"/>
      <c r="C6" s="225"/>
      <c r="D6" s="225"/>
      <c r="E6" s="225"/>
      <c r="F6" s="222"/>
      <c r="G6" s="222"/>
    </row>
    <row r="7" s="218" customFormat="1" ht="20.1" customHeight="1" spans="1:10">
      <c r="A7" s="225" t="s">
        <v>1025</v>
      </c>
      <c r="B7" s="225"/>
      <c r="C7" s="225"/>
      <c r="D7" s="225"/>
      <c r="E7" s="225"/>
      <c r="F7" s="222"/>
      <c r="G7" s="222"/>
    </row>
    <row r="8" s="218" customFormat="1" ht="20.1" customHeight="1" spans="1:10">
      <c r="A8" s="225" t="s">
        <v>1026</v>
      </c>
      <c r="B8" s="225"/>
      <c r="C8" s="225"/>
      <c r="D8" s="225"/>
      <c r="E8" s="225"/>
      <c r="F8" s="222"/>
      <c r="G8" s="222"/>
    </row>
    <row r="9" s="218" customFormat="1" ht="20.1" customHeight="1" spans="1:10">
      <c r="A9" s="226" t="s">
        <v>1027</v>
      </c>
      <c r="B9" s="227"/>
      <c r="C9" s="225"/>
      <c r="D9" s="225"/>
      <c r="E9" s="225"/>
      <c r="F9" s="222"/>
      <c r="G9" s="222"/>
    </row>
    <row r="10" s="218" customFormat="1" ht="20.1" customHeight="1" spans="1:10">
      <c r="A10" s="226" t="s">
        <v>1028</v>
      </c>
      <c r="B10" s="227"/>
      <c r="C10" s="225"/>
      <c r="D10" s="225"/>
      <c r="E10" s="225"/>
      <c r="F10" s="222"/>
      <c r="G10" s="222"/>
    </row>
    <row r="11" s="218" customFormat="1" ht="20.1" customHeight="1" spans="1:10">
      <c r="A11" s="226"/>
      <c r="B11" s="227"/>
      <c r="C11" s="225"/>
      <c r="D11" s="225"/>
      <c r="E11" s="225"/>
      <c r="F11" s="222"/>
      <c r="G11" s="222"/>
    </row>
    <row r="12" s="218" customFormat="1" ht="20.1" customHeight="1" spans="1:10">
      <c r="A12" s="225" t="s">
        <v>1029</v>
      </c>
      <c r="B12" s="225"/>
      <c r="C12" s="225"/>
      <c r="D12" s="225"/>
      <c r="E12" s="225"/>
      <c r="F12" s="222"/>
      <c r="G12" s="222"/>
      <c r="J12" s="226"/>
    </row>
    <row r="13" s="218" customFormat="1" ht="20.1" customHeight="1" spans="1:10">
      <c r="A13" s="222" t="s">
        <v>1030</v>
      </c>
      <c r="B13" s="222"/>
      <c r="C13" s="222"/>
      <c r="D13" s="222" t="s">
        <v>1031</v>
      </c>
      <c r="E13" s="222"/>
      <c r="F13" s="222"/>
      <c r="G13" s="222"/>
      <c r="J13" s="226"/>
    </row>
    <row r="14" s="218" customFormat="1" ht="20.1" customHeight="1" spans="1:10">
      <c r="A14" s="222" t="s">
        <v>1032</v>
      </c>
      <c r="B14" s="222"/>
      <c r="C14" s="222"/>
      <c r="D14" s="222" t="s">
        <v>1033</v>
      </c>
      <c r="E14" s="222"/>
      <c r="F14" s="222"/>
      <c r="G14" s="222"/>
    </row>
    <row r="15" s="218" customFormat="1" ht="20.1" customHeight="1" spans="1:10">
      <c r="A15" s="222" t="s">
        <v>1034</v>
      </c>
      <c r="B15" s="222"/>
      <c r="C15" s="222"/>
      <c r="D15" s="222" t="s">
        <v>1035</v>
      </c>
      <c r="E15" s="222"/>
      <c r="F15" s="222"/>
      <c r="G15" s="222"/>
    </row>
    <row r="16" s="218" customFormat="1" ht="20.1" customHeight="1" spans="1:10">
      <c r="A16" s="225" t="s">
        <v>1036</v>
      </c>
      <c r="B16" s="225"/>
      <c r="C16" s="225"/>
      <c r="D16" s="222"/>
      <c r="E16" s="222"/>
      <c r="F16" s="222"/>
      <c r="G16" s="222"/>
    </row>
    <row r="17" s="218" customFormat="1" ht="68.25" customHeight="1" spans="1:7">
      <c r="A17" s="228" t="s">
        <v>1037</v>
      </c>
      <c r="B17" s="228"/>
      <c r="C17" s="228"/>
      <c r="D17" s="229" t="s">
        <v>1038</v>
      </c>
      <c r="E17" s="229"/>
      <c r="F17" s="229"/>
      <c r="G17" s="229"/>
    </row>
    <row r="18" s="218" customFormat="1" ht="20.1" customHeight="1" spans="1:7">
      <c r="A18" s="222" t="s">
        <v>1039</v>
      </c>
      <c r="B18" s="222"/>
      <c r="C18" s="222"/>
      <c r="D18" s="222"/>
      <c r="E18" s="222"/>
      <c r="F18" s="222"/>
      <c r="G18" s="222"/>
    </row>
    <row r="19" s="218" customFormat="1" ht="61.5" customHeight="1" spans="1:7">
      <c r="A19" s="229" t="s">
        <v>1040</v>
      </c>
      <c r="B19" s="229"/>
      <c r="C19" s="229"/>
      <c r="D19" s="229" t="s">
        <v>1041</v>
      </c>
      <c r="E19" s="229"/>
      <c r="F19" s="229"/>
      <c r="G19" s="229"/>
    </row>
    <row r="20" s="218" customFormat="1" ht="59.25" customHeight="1" spans="1:7">
      <c r="A20" s="229" t="s">
        <v>1042</v>
      </c>
      <c r="B20" s="229"/>
      <c r="C20" s="229"/>
      <c r="D20" s="229" t="s">
        <v>1043</v>
      </c>
      <c r="E20" s="229"/>
      <c r="F20" s="229"/>
      <c r="G20" s="229"/>
    </row>
    <row r="21" s="218" customFormat="1" ht="20.1" customHeight="1" spans="1:7">
      <c r="A21" s="222" t="s">
        <v>1044</v>
      </c>
      <c r="B21" s="222"/>
      <c r="C21" s="222"/>
      <c r="D21" s="222"/>
      <c r="E21" s="222"/>
      <c r="F21" s="222"/>
      <c r="G21" s="222"/>
    </row>
    <row r="22" s="218" customFormat="1" ht="32.25" customHeight="1" spans="1:7">
      <c r="A22" s="229" t="s">
        <v>1045</v>
      </c>
      <c r="B22" s="229"/>
      <c r="C22" s="229"/>
      <c r="D22" s="229" t="s">
        <v>1046</v>
      </c>
      <c r="E22" s="229"/>
      <c r="F22" s="229"/>
      <c r="G22" s="229"/>
    </row>
    <row r="23" s="218" customFormat="1" ht="66" customHeight="1" spans="1:7">
      <c r="A23" s="228" t="s">
        <v>1047</v>
      </c>
      <c r="B23" s="228"/>
      <c r="C23" s="228"/>
      <c r="D23" s="229" t="s">
        <v>1048</v>
      </c>
      <c r="E23" s="229"/>
      <c r="F23" s="229"/>
      <c r="G23" s="229"/>
    </row>
    <row r="24" s="218" customFormat="1" ht="38.25" customHeight="1" spans="1:7">
      <c r="A24" s="229" t="s">
        <v>1049</v>
      </c>
      <c r="B24" s="229"/>
      <c r="C24" s="229"/>
      <c r="D24" s="229" t="s">
        <v>1050</v>
      </c>
      <c r="E24" s="229"/>
      <c r="F24" s="229"/>
      <c r="G24" s="229"/>
    </row>
    <row r="25" s="218" customFormat="1" ht="69.75" customHeight="1" spans="1:7">
      <c r="A25" s="229" t="s">
        <v>1051</v>
      </c>
      <c r="B25" s="229"/>
      <c r="C25" s="229"/>
      <c r="D25" s="229" t="s">
        <v>1052</v>
      </c>
      <c r="E25" s="229"/>
      <c r="F25" s="229"/>
      <c r="G25" s="229"/>
    </row>
    <row r="26" s="218" customFormat="1" ht="47.25" customHeight="1" spans="1:7">
      <c r="A26" s="229" t="s">
        <v>1053</v>
      </c>
      <c r="B26" s="229"/>
      <c r="C26" s="229"/>
      <c r="D26" s="229" t="s">
        <v>1054</v>
      </c>
      <c r="E26" s="229"/>
      <c r="F26" s="229"/>
      <c r="G26" s="229"/>
    </row>
    <row r="27" s="218" customFormat="1" ht="33.75" customHeight="1" spans="1:7">
      <c r="A27" s="229" t="s">
        <v>1055</v>
      </c>
      <c r="B27" s="229"/>
      <c r="C27" s="222"/>
      <c r="D27" s="229" t="s">
        <v>1056</v>
      </c>
      <c r="E27" s="229"/>
      <c r="F27" s="229"/>
      <c r="G27" s="229"/>
    </row>
    <row r="28" s="218" customFormat="1" ht="20.1" customHeight="1" spans="1:7">
      <c r="A28" s="229" t="s">
        <v>1057</v>
      </c>
      <c r="B28" s="229"/>
      <c r="C28" s="229"/>
      <c r="D28" s="222"/>
      <c r="E28" s="222"/>
      <c r="F28" s="222"/>
      <c r="G28" s="222"/>
    </row>
    <row r="29" s="218" customFormat="1" ht="32.25" customHeight="1" spans="1:7">
      <c r="A29" s="229" t="s">
        <v>1058</v>
      </c>
      <c r="B29" s="229"/>
      <c r="C29" s="229"/>
      <c r="D29" s="229" t="s">
        <v>1059</v>
      </c>
      <c r="E29" s="229"/>
      <c r="F29" s="229"/>
      <c r="G29" s="229"/>
    </row>
    <row r="30" s="218" customFormat="1" ht="62.25" customHeight="1" spans="1:7">
      <c r="A30" s="229" t="s">
        <v>1060</v>
      </c>
      <c r="B30" s="229"/>
      <c r="C30" s="229"/>
      <c r="D30" s="229" t="s">
        <v>1061</v>
      </c>
      <c r="E30" s="229"/>
      <c r="F30" s="229"/>
      <c r="G30" s="229"/>
    </row>
    <row r="31" s="218" customFormat="1" ht="34.5" customHeight="1" spans="1:7">
      <c r="A31" s="229" t="s">
        <v>1062</v>
      </c>
      <c r="B31" s="229"/>
      <c r="C31" s="229"/>
      <c r="D31" s="229" t="s">
        <v>1063</v>
      </c>
      <c r="E31" s="229"/>
      <c r="F31" s="229"/>
      <c r="G31" s="229"/>
    </row>
    <row r="32" s="218" customFormat="1" ht="34.5" customHeight="1" spans="1:7">
      <c r="A32" s="229" t="s">
        <v>1064</v>
      </c>
      <c r="B32" s="229"/>
      <c r="C32" s="229"/>
      <c r="D32" s="229" t="s">
        <v>1063</v>
      </c>
      <c r="E32" s="229"/>
      <c r="F32" s="229"/>
      <c r="G32" s="229"/>
    </row>
    <row r="33" s="218" customFormat="1" ht="34.5" customHeight="1" spans="1:7">
      <c r="A33" s="230" t="s">
        <v>1065</v>
      </c>
      <c r="B33" s="229"/>
      <c r="C33" s="229"/>
      <c r="D33" s="229"/>
      <c r="E33" s="229"/>
      <c r="F33" s="229"/>
      <c r="G33" s="229"/>
    </row>
    <row r="34" s="218" customFormat="1" ht="20.1" customHeight="1" spans="1:7">
      <c r="A34" s="231" t="s">
        <v>1066</v>
      </c>
      <c r="B34" s="231"/>
      <c r="C34" s="231"/>
      <c r="D34" s="222"/>
      <c r="E34" s="222"/>
      <c r="F34" s="222"/>
      <c r="G34" s="222"/>
    </row>
    <row r="35" s="218" customFormat="1" ht="41.25" customHeight="1" spans="1:7">
      <c r="A35" s="229" t="s">
        <v>1067</v>
      </c>
      <c r="B35" s="229"/>
      <c r="C35" s="229"/>
      <c r="D35" s="229" t="s">
        <v>1068</v>
      </c>
      <c r="E35" s="229"/>
      <c r="F35" s="222"/>
      <c r="G35" s="222"/>
    </row>
    <row r="36" s="218" customFormat="1" ht="25.05" customHeight="1" spans="1:7">
      <c r="A36" s="229" t="s">
        <v>1069</v>
      </c>
      <c r="B36" s="229"/>
      <c r="C36" s="229"/>
      <c r="D36" s="229" t="s">
        <v>1068</v>
      </c>
      <c r="E36" s="229"/>
      <c r="F36" s="222"/>
      <c r="G36" s="222"/>
    </row>
    <row r="37" s="218" customFormat="1" ht="25.05" customHeight="1" spans="1:7">
      <c r="A37" s="229" t="s">
        <v>1070</v>
      </c>
      <c r="B37" s="229"/>
      <c r="C37" s="229"/>
      <c r="D37" s="229" t="s">
        <v>1068</v>
      </c>
      <c r="E37" s="229"/>
      <c r="F37" s="222"/>
      <c r="G37" s="222"/>
    </row>
    <row r="38" s="218" customFormat="1" ht="25.05" customHeight="1" spans="1:7">
      <c r="A38" s="229"/>
      <c r="B38" s="229"/>
      <c r="C38" s="229"/>
      <c r="D38" s="229"/>
      <c r="E38" s="229"/>
      <c r="F38" s="222"/>
      <c r="G38" s="222"/>
    </row>
    <row r="39" s="218" customFormat="1" ht="19.95" customHeight="1" spans="1:7">
      <c r="A39" s="232" t="s">
        <v>1071</v>
      </c>
      <c r="B39" s="229"/>
      <c r="C39" s="229"/>
      <c r="D39" s="229"/>
      <c r="E39" s="229"/>
      <c r="F39" s="222"/>
      <c r="G39" s="222"/>
    </row>
    <row r="40" s="218" customFormat="1" ht="19.95" customHeight="1" spans="1:7">
      <c r="A40" s="233" t="s">
        <v>1072</v>
      </c>
      <c r="B40" s="229"/>
      <c r="C40" s="229"/>
      <c r="D40" s="229"/>
      <c r="E40" s="229"/>
      <c r="F40" s="222"/>
      <c r="G40" s="222"/>
    </row>
    <row r="41" s="218" customFormat="1" ht="19.95" customHeight="1" spans="1:7">
      <c r="A41" s="233" t="s">
        <v>1073</v>
      </c>
      <c r="B41" s="229"/>
      <c r="C41" s="229"/>
      <c r="D41" s="229"/>
      <c r="E41" s="229"/>
      <c r="F41" s="222"/>
      <c r="G41" s="222"/>
    </row>
    <row r="42" s="218" customFormat="1" ht="19.95" customHeight="1" spans="1:7">
      <c r="A42" s="233" t="s">
        <v>1074</v>
      </c>
      <c r="B42" s="229"/>
      <c r="C42" s="229"/>
      <c r="D42" s="229"/>
      <c r="E42" s="229"/>
      <c r="F42" s="222"/>
      <c r="G42" s="222"/>
    </row>
    <row r="43" s="218" customFormat="1" ht="19.95" customHeight="1" spans="1:7">
      <c r="A43" s="234" t="s">
        <v>1075</v>
      </c>
      <c r="B43" s="235"/>
      <c r="C43" s="235"/>
      <c r="D43" s="235"/>
      <c r="E43" s="235"/>
      <c r="F43" s="222"/>
      <c r="G43" s="222"/>
    </row>
    <row r="44" s="218" customFormat="1" ht="19.95" customHeight="1" spans="1:7">
      <c r="A44" s="235" t="s">
        <v>1076</v>
      </c>
      <c r="B44" s="235"/>
      <c r="C44" s="235" t="s">
        <v>1077</v>
      </c>
      <c r="D44" s="235"/>
      <c r="E44" s="235" t="s">
        <v>1078</v>
      </c>
      <c r="F44" s="222"/>
      <c r="G44" s="222"/>
    </row>
    <row r="45" s="218" customFormat="1" ht="19.95" customHeight="1" spans="1:7">
      <c r="A45" s="235"/>
      <c r="B45" s="235"/>
      <c r="C45" s="235"/>
      <c r="D45" s="235"/>
      <c r="E45" s="235"/>
      <c r="F45" s="222"/>
      <c r="G45" s="222"/>
    </row>
    <row r="46" s="218" customFormat="1" ht="19.95" customHeight="1" spans="1:7">
      <c r="A46" s="235" t="s">
        <v>1079</v>
      </c>
      <c r="B46" s="235"/>
      <c r="C46" s="235"/>
      <c r="D46" s="235"/>
      <c r="E46" s="235"/>
      <c r="F46" s="222"/>
      <c r="G46" s="222"/>
    </row>
    <row r="47" ht="19.95" customHeight="1" spans="1:7">
      <c r="A47" s="236" t="s">
        <v>1080</v>
      </c>
      <c r="B47" s="237"/>
      <c r="C47" s="237"/>
      <c r="D47" s="237"/>
      <c r="E47" s="237"/>
      <c r="F47" s="237"/>
      <c r="G47" s="237"/>
    </row>
    <row r="48" ht="19.95" customHeight="1" spans="1:7">
      <c r="A48" s="236" t="s">
        <v>1081</v>
      </c>
      <c r="B48" s="237"/>
      <c r="C48" s="237"/>
      <c r="D48" s="237"/>
      <c r="E48" s="237"/>
      <c r="F48" s="237"/>
      <c r="G48" s="237"/>
    </row>
    <row r="49" ht="19.95" customHeight="1" spans="1:7">
      <c r="A49" s="236" t="s">
        <v>1082</v>
      </c>
      <c r="B49" s="237"/>
      <c r="C49" s="237"/>
      <c r="D49" s="237"/>
      <c r="E49" s="237"/>
      <c r="F49" s="237"/>
      <c r="G49" s="237"/>
    </row>
    <row r="50" ht="19.95" customHeight="1" spans="1:7">
      <c r="A50" s="238" t="s">
        <v>1083</v>
      </c>
      <c r="B50" s="237"/>
      <c r="C50" s="237"/>
      <c r="D50" s="237"/>
      <c r="E50" s="237"/>
      <c r="F50" s="237"/>
      <c r="G50" s="237"/>
    </row>
    <row r="51" ht="19.95" customHeight="1" spans="1:7">
      <c r="A51" s="238" t="s">
        <v>1084</v>
      </c>
      <c r="B51" s="237"/>
      <c r="C51" s="237"/>
      <c r="D51" s="237"/>
      <c r="E51" s="237"/>
      <c r="F51" s="237"/>
      <c r="G51" s="237"/>
    </row>
    <row r="52" ht="19.95" customHeight="1" spans="1:7">
      <c r="A52" s="238"/>
      <c r="B52" s="237"/>
      <c r="C52" s="237"/>
      <c r="D52" s="237"/>
      <c r="E52" s="237"/>
      <c r="F52" s="237"/>
      <c r="G52" s="237"/>
    </row>
    <row r="53" ht="19.95" customHeight="1" spans="1:7">
      <c r="A53" s="235"/>
      <c r="B53" s="237"/>
      <c r="C53" s="237"/>
      <c r="D53" s="237"/>
      <c r="E53" s="237"/>
      <c r="F53" s="237"/>
      <c r="G53" s="239" t="s">
        <v>1085</v>
      </c>
    </row>
    <row r="54" ht="19.95" customHeight="1"/>
    <row r="56" ht="14" spans="1:7">
      <c r="A56" s="240" t="s">
        <v>294</v>
      </c>
    </row>
    <row r="57" ht="14" spans="1:7">
      <c r="A57" s="241" t="s">
        <v>1086</v>
      </c>
    </row>
    <row r="58" ht="14" spans="1:7">
      <c r="A58" s="241" t="s">
        <v>1087</v>
      </c>
    </row>
    <row r="59" ht="14" spans="1:7">
      <c r="A59" s="241" t="s">
        <v>1088</v>
      </c>
    </row>
    <row r="60" ht="14" spans="1:7">
      <c r="A60" s="241" t="s">
        <v>1089</v>
      </c>
    </row>
    <row r="61" ht="14" spans="1:7">
      <c r="A61" s="241" t="s">
        <v>1090</v>
      </c>
    </row>
    <row r="62" ht="14" spans="1:7">
      <c r="A62" s="241" t="s">
        <v>1091</v>
      </c>
    </row>
    <row r="63" ht="14" spans="1:7">
      <c r="A63" s="241" t="s">
        <v>1092</v>
      </c>
    </row>
  </sheetData>
  <mergeCells count="31">
    <mergeCell ref="A1:G1"/>
    <mergeCell ref="A2:G2"/>
    <mergeCell ref="A17:B17"/>
    <mergeCell ref="D17:G17"/>
    <mergeCell ref="A19:B19"/>
    <mergeCell ref="D19:G19"/>
    <mergeCell ref="A20:B20"/>
    <mergeCell ref="D20:G20"/>
    <mergeCell ref="A22:B22"/>
    <mergeCell ref="D22:G22"/>
    <mergeCell ref="A23:B23"/>
    <mergeCell ref="D23:G23"/>
    <mergeCell ref="A24:B24"/>
    <mergeCell ref="D24:G24"/>
    <mergeCell ref="A25:B25"/>
    <mergeCell ref="D25:G25"/>
    <mergeCell ref="A26:B26"/>
    <mergeCell ref="D26:G26"/>
    <mergeCell ref="A27:B27"/>
    <mergeCell ref="D27:G27"/>
    <mergeCell ref="A28:B28"/>
    <mergeCell ref="A29:B29"/>
    <mergeCell ref="D29:G29"/>
    <mergeCell ref="A30:B30"/>
    <mergeCell ref="D30:G30"/>
    <mergeCell ref="A31:B31"/>
    <mergeCell ref="D31:G31"/>
    <mergeCell ref="D32:G32"/>
    <mergeCell ref="A35:B35"/>
    <mergeCell ref="A36:B36"/>
    <mergeCell ref="A37:B37"/>
  </mergeCells>
  <hyperlinks>
    <hyperlink ref="G3" location="底稿目录!A1" display="='D:\GT_plan\backend\wp_templates\D\[D4-22至D4-32营业收入-IPO 上市 新三板 重组 舞弊应对.xlsx]底稿目录'!F21"/>
  </hyperlinks>
  <pageMargins left="0.708333333333333" right="0.708333333333333" top="0.747916666666667" bottom="0.747916666666667" header="0.314583333333333" footer="0.314583333333333"/>
  <pageSetup paperSize="9" orientation="portrait" blackAndWhite="1"/>
  <headerFooter>
    <oddFooter>&amp;C&amp;P/&amp;N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J67"/>
  <sheetViews>
    <sheetView view="pageBreakPreview" zoomScaleNormal="100" topLeftCell="A16" workbookViewId="0">
      <selection activeCell="A1" sqref="A1:I1"/>
    </sheetView>
  </sheetViews>
  <sheetFormatPr defaultColWidth="8.72727272727273" defaultRowHeight="15"/>
  <cols>
    <col min="1" max="1" width="4" style="195" customWidth="1"/>
    <col min="2" max="2" width="14.3" style="195" customWidth="1"/>
    <col min="3" max="3" width="15.2727272727273" style="195" customWidth="1"/>
    <col min="4" max="4" width="18.6636363636364" style="195" customWidth="1"/>
    <col min="5" max="5" width="13.5727272727273" style="195" customWidth="1"/>
    <col min="6" max="6" width="7.63636363636364" style="195" customWidth="1"/>
    <col min="7" max="7" width="13.2090909090909" style="195" customWidth="1"/>
    <col min="8" max="8" width="9.20909090909091" style="195" customWidth="1"/>
    <col min="9" max="9" width="12" style="195" customWidth="1"/>
    <col min="10" max="10" width="44.3636363636364" style="195" customWidth="1"/>
    <col min="11" max="230" width="7.63636363636364" style="195" customWidth="1"/>
    <col min="231" max="232" width="8.72727272727273" style="195" customWidth="1"/>
    <col min="233" max="16384" width="8.72727272727273" style="197"/>
  </cols>
  <sheetData>
    <row r="1" s="195" customFormat="1" ht="19.95" customHeight="1" spans="1:10">
      <c r="A1" s="198" t="s">
        <v>985</v>
      </c>
      <c r="B1" s="198"/>
      <c r="C1" s="198"/>
      <c r="D1" s="198"/>
      <c r="E1" s="198"/>
      <c r="F1" s="198"/>
      <c r="G1" s="198"/>
      <c r="H1" s="198"/>
      <c r="I1" s="198"/>
    </row>
    <row r="2" s="195" customFormat="1" ht="19.95" customHeight="1" spans="1:10">
      <c r="A2" s="199" t="s">
        <v>1093</v>
      </c>
      <c r="B2" s="199"/>
      <c r="C2" s="199"/>
      <c r="D2" s="199"/>
      <c r="E2" s="199"/>
      <c r="F2" s="199"/>
      <c r="G2" s="199"/>
      <c r="H2" s="199"/>
      <c r="I2" s="199"/>
      <c r="J2" s="200"/>
    </row>
    <row r="3" s="196" customFormat="1" ht="19.95" customHeight="1" spans="1:10">
      <c r="A3" s="201" t="str">
        <f>[16]底稿目录!A2</f>
        <v>被审计单位名称：</v>
      </c>
      <c r="B3" s="201"/>
      <c r="C3" s="201"/>
      <c r="E3" s="201" t="str">
        <f>[16]底稿目录!A4</f>
        <v>编制人：</v>
      </c>
      <c r="F3" s="201"/>
      <c r="G3" s="201" t="str">
        <f>[16]底稿目录!A5</f>
        <v>编制日期：</v>
      </c>
      <c r="H3" s="201"/>
      <c r="I3" s="202" t="s">
        <v>1094</v>
      </c>
    </row>
    <row r="4" s="196" customFormat="1" ht="19.95" customHeight="1" spans="1:10">
      <c r="A4" s="201" t="str">
        <f>[16]底稿目录!A3</f>
        <v>会计期间：202X年度</v>
      </c>
      <c r="B4" s="201"/>
      <c r="C4" s="201"/>
      <c r="E4" s="201" t="str">
        <f>[16]底稿目录!A6</f>
        <v>复核人：</v>
      </c>
      <c r="F4" s="201"/>
      <c r="G4" s="201" t="str">
        <f>[16]底稿目录!A7</f>
        <v>复核日期：</v>
      </c>
      <c r="H4" s="201"/>
      <c r="I4" s="201" t="s">
        <v>1095</v>
      </c>
    </row>
    <row r="5" s="196" customFormat="1" ht="19.95" customHeight="1" spans="1:10">
      <c r="A5" s="203" t="s">
        <v>1096</v>
      </c>
      <c r="B5" s="204"/>
      <c r="C5" s="205"/>
      <c r="D5" s="201"/>
      <c r="E5" s="201"/>
      <c r="F5" s="201"/>
      <c r="G5" s="201"/>
      <c r="H5" s="201"/>
      <c r="I5" s="201"/>
    </row>
    <row r="6" s="196" customFormat="1" ht="19.95" customHeight="1" spans="1:10">
      <c r="A6" s="206" t="s">
        <v>1097</v>
      </c>
      <c r="B6" s="206"/>
      <c r="C6" s="206"/>
      <c r="D6" s="206"/>
      <c r="E6" s="206"/>
      <c r="F6" s="206"/>
      <c r="G6" s="206"/>
      <c r="H6" s="207" t="s">
        <v>1098</v>
      </c>
      <c r="I6" s="208"/>
      <c r="J6" s="209"/>
    </row>
    <row r="7" s="196" customFormat="1" ht="30.6" customHeight="1" spans="1:10">
      <c r="A7" s="210" t="s">
        <v>1099</v>
      </c>
      <c r="B7" s="210"/>
      <c r="C7" s="210"/>
      <c r="D7" s="210"/>
      <c r="E7" s="210"/>
      <c r="F7" s="210"/>
      <c r="G7" s="210"/>
      <c r="H7" s="210"/>
      <c r="I7" s="210"/>
    </row>
    <row r="8" s="196" customFormat="1" ht="19.95" customHeight="1" spans="1:10">
      <c r="A8" s="210" t="s">
        <v>1100</v>
      </c>
      <c r="B8" s="210"/>
      <c r="C8" s="210"/>
      <c r="D8" s="210"/>
      <c r="E8" s="210"/>
      <c r="F8" s="210"/>
      <c r="G8" s="210"/>
      <c r="H8" s="210"/>
      <c r="I8" s="210"/>
    </row>
    <row r="9" s="196" customFormat="1" ht="22.2" customHeight="1" spans="1:10">
      <c r="A9" s="210"/>
      <c r="B9" s="210"/>
      <c r="C9" s="210"/>
      <c r="D9" s="210"/>
      <c r="E9" s="210"/>
      <c r="F9" s="210"/>
      <c r="G9" s="210"/>
      <c r="H9" s="210"/>
      <c r="I9" s="210"/>
    </row>
    <row r="10" s="196" customFormat="1" ht="19.95" customHeight="1" spans="1:10">
      <c r="A10" s="210" t="s">
        <v>1101</v>
      </c>
      <c r="B10" s="210"/>
      <c r="C10" s="210"/>
      <c r="D10" s="210"/>
      <c r="E10" s="210"/>
      <c r="F10" s="210"/>
      <c r="G10" s="210"/>
      <c r="H10" s="210"/>
      <c r="I10" s="210"/>
    </row>
    <row r="11" s="196" customFormat="1" ht="27" customHeight="1" spans="1:10">
      <c r="A11" s="210"/>
      <c r="B11" s="210"/>
      <c r="C11" s="210"/>
      <c r="D11" s="210"/>
      <c r="E11" s="210"/>
      <c r="F11" s="210"/>
      <c r="G11" s="210"/>
      <c r="H11" s="210"/>
      <c r="I11" s="210"/>
    </row>
    <row r="12" s="196" customFormat="1" ht="20.1" customHeight="1" spans="1:10">
      <c r="A12" s="206" t="s">
        <v>1102</v>
      </c>
      <c r="B12" s="206"/>
      <c r="C12" s="206"/>
      <c r="D12" s="206"/>
      <c r="E12" s="206"/>
      <c r="F12" s="206"/>
      <c r="G12" s="206"/>
      <c r="H12" s="207" t="s">
        <v>1098</v>
      </c>
      <c r="I12" s="208"/>
    </row>
    <row r="13" s="196" customFormat="1" ht="54.75" customHeight="1" spans="1:10">
      <c r="A13" s="210" t="s">
        <v>1103</v>
      </c>
      <c r="B13" s="210"/>
      <c r="C13" s="210"/>
      <c r="D13" s="210"/>
      <c r="E13" s="210"/>
      <c r="F13" s="210"/>
      <c r="G13" s="210"/>
      <c r="H13" s="210"/>
      <c r="I13" s="210"/>
    </row>
    <row r="14" s="196" customFormat="1" ht="60.75" customHeight="1" spans="1:10">
      <c r="A14" s="211" t="s">
        <v>1104</v>
      </c>
      <c r="B14" s="212" t="s">
        <v>1105</v>
      </c>
      <c r="C14" s="213"/>
      <c r="D14" s="213"/>
      <c r="E14" s="213"/>
      <c r="F14" s="213"/>
      <c r="G14" s="213"/>
      <c r="H14" s="213"/>
      <c r="I14" s="213"/>
    </row>
    <row r="15" s="196" customFormat="1" ht="60.75" customHeight="1" spans="1:10">
      <c r="A15" s="211"/>
      <c r="B15" s="212" t="s">
        <v>1106</v>
      </c>
      <c r="C15" s="213"/>
      <c r="D15" s="213"/>
      <c r="E15" s="213"/>
      <c r="F15" s="213"/>
      <c r="G15" s="213"/>
      <c r="H15" s="213"/>
      <c r="I15" s="213"/>
    </row>
    <row r="16" s="196" customFormat="1" ht="20.1" customHeight="1" spans="1:10">
      <c r="A16" s="211"/>
      <c r="B16" s="212" t="s">
        <v>1107</v>
      </c>
      <c r="C16" s="212"/>
      <c r="D16" s="212"/>
      <c r="E16" s="212"/>
      <c r="F16" s="212"/>
      <c r="G16" s="212"/>
      <c r="H16" s="212"/>
      <c r="I16" s="212"/>
    </row>
    <row r="17" s="196" customFormat="1" ht="20.1" customHeight="1" spans="1:9">
      <c r="A17" s="211"/>
      <c r="B17" s="211" t="s">
        <v>1108</v>
      </c>
      <c r="C17" s="211"/>
      <c r="D17" s="211"/>
      <c r="E17" s="211"/>
      <c r="F17" s="211"/>
      <c r="G17" s="211"/>
      <c r="H17" s="211"/>
      <c r="I17" s="211"/>
    </row>
    <row r="18" s="196" customFormat="1" ht="20.1" customHeight="1" spans="1:9">
      <c r="A18" s="211"/>
      <c r="B18" s="211" t="s">
        <v>1109</v>
      </c>
      <c r="C18" s="211"/>
      <c r="D18" s="211"/>
      <c r="E18" s="211"/>
      <c r="F18" s="211"/>
      <c r="G18" s="211"/>
      <c r="H18" s="211"/>
      <c r="I18" s="211"/>
    </row>
    <row r="19" s="196" customFormat="1" ht="20.1" customHeight="1" spans="1:9">
      <c r="A19" s="211"/>
      <c r="B19" s="211" t="s">
        <v>1110</v>
      </c>
      <c r="C19" s="211"/>
      <c r="D19" s="211"/>
      <c r="E19" s="211"/>
      <c r="F19" s="211"/>
      <c r="G19" s="211"/>
      <c r="H19" s="211"/>
      <c r="I19" s="211"/>
    </row>
    <row r="20" s="196" customFormat="1" ht="20.1" customHeight="1" spans="1:9">
      <c r="A20" s="211"/>
      <c r="B20" s="211" t="s">
        <v>291</v>
      </c>
      <c r="C20" s="211"/>
      <c r="D20" s="211"/>
      <c r="E20" s="211"/>
      <c r="F20" s="211"/>
      <c r="G20" s="211"/>
      <c r="H20" s="211"/>
      <c r="I20" s="211"/>
    </row>
    <row r="21" s="196" customFormat="1" ht="20.1" customHeight="1" spans="1:9">
      <c r="A21" s="206" t="s">
        <v>1111</v>
      </c>
      <c r="B21" s="206"/>
      <c r="C21" s="206"/>
      <c r="D21" s="206"/>
      <c r="E21" s="206"/>
      <c r="F21" s="206"/>
      <c r="G21" s="206"/>
      <c r="H21" s="207" t="s">
        <v>1098</v>
      </c>
      <c r="I21" s="208"/>
    </row>
    <row r="22" s="196" customFormat="1" ht="34.5" customHeight="1" spans="1:9">
      <c r="A22" s="210" t="s">
        <v>1112</v>
      </c>
      <c r="B22" s="210"/>
      <c r="C22" s="210"/>
      <c r="D22" s="210"/>
      <c r="E22" s="210"/>
      <c r="F22" s="210"/>
      <c r="G22" s="210"/>
      <c r="H22" s="210"/>
      <c r="I22" s="210"/>
    </row>
    <row r="23" s="196" customFormat="1" ht="19.95" customHeight="1" spans="1:9">
      <c r="A23" s="211" t="s">
        <v>1104</v>
      </c>
      <c r="B23" s="214" t="s">
        <v>1113</v>
      </c>
      <c r="C23" s="214" t="s">
        <v>1114</v>
      </c>
      <c r="D23" s="214"/>
      <c r="E23" s="214"/>
      <c r="F23" s="214"/>
      <c r="G23" s="214" t="s">
        <v>1115</v>
      </c>
      <c r="H23" s="214"/>
      <c r="I23" s="214"/>
    </row>
    <row r="24" s="196" customFormat="1" ht="19.95" customHeight="1" spans="1:9">
      <c r="A24" s="211"/>
      <c r="B24" s="212" t="s">
        <v>1116</v>
      </c>
      <c r="C24" s="213" t="s">
        <v>1117</v>
      </c>
      <c r="D24" s="213"/>
      <c r="E24" s="213"/>
      <c r="F24" s="213"/>
      <c r="G24" s="213" t="s">
        <v>1118</v>
      </c>
      <c r="H24" s="213"/>
      <c r="I24" s="213"/>
    </row>
    <row r="25" s="196" customFormat="1" ht="19.95" customHeight="1" spans="1:9">
      <c r="A25" s="211"/>
      <c r="B25" s="212" t="s">
        <v>1119</v>
      </c>
      <c r="C25" s="213" t="s">
        <v>1120</v>
      </c>
      <c r="D25" s="213"/>
      <c r="E25" s="213"/>
      <c r="F25" s="213"/>
      <c r="G25" s="213" t="s">
        <v>1118</v>
      </c>
      <c r="H25" s="213"/>
      <c r="I25" s="213"/>
    </row>
    <row r="26" s="196" customFormat="1" ht="19.95" customHeight="1" spans="1:9">
      <c r="A26" s="211"/>
      <c r="B26" s="212" t="s">
        <v>1121</v>
      </c>
      <c r="C26" s="213" t="s">
        <v>1122</v>
      </c>
      <c r="D26" s="213" t="s">
        <v>1122</v>
      </c>
      <c r="E26" s="213"/>
      <c r="F26" s="213"/>
      <c r="G26" s="213" t="s">
        <v>1118</v>
      </c>
      <c r="H26" s="213"/>
      <c r="I26" s="213"/>
    </row>
    <row r="27" s="196" customFormat="1" ht="19.95" customHeight="1" spans="1:9">
      <c r="A27" s="211"/>
      <c r="B27" s="212" t="s">
        <v>1123</v>
      </c>
      <c r="C27" s="213" t="s">
        <v>1124</v>
      </c>
      <c r="D27" s="213"/>
      <c r="E27" s="213"/>
      <c r="F27" s="213"/>
      <c r="G27" s="213" t="s">
        <v>1118</v>
      </c>
      <c r="H27" s="213"/>
      <c r="I27" s="213"/>
    </row>
    <row r="28" s="196" customFormat="1" ht="19.95" customHeight="1" spans="1:9">
      <c r="A28" s="211"/>
      <c r="B28" s="212" t="s">
        <v>1125</v>
      </c>
      <c r="C28" s="213"/>
      <c r="D28" s="213"/>
      <c r="E28" s="213"/>
      <c r="F28" s="213"/>
      <c r="G28" s="213"/>
      <c r="H28" s="213"/>
      <c r="I28" s="213"/>
    </row>
    <row r="29" s="196" customFormat="1" ht="27.6" customHeight="1" spans="1:9">
      <c r="A29" s="211"/>
      <c r="B29" s="212" t="s">
        <v>1126</v>
      </c>
      <c r="C29" s="213" t="s">
        <v>1127</v>
      </c>
      <c r="D29" s="213"/>
      <c r="E29" s="213"/>
      <c r="F29" s="213"/>
      <c r="G29" s="213" t="s">
        <v>1118</v>
      </c>
      <c r="H29" s="213"/>
      <c r="I29" s="213"/>
    </row>
    <row r="30" s="196" customFormat="1" ht="19.95" customHeight="1" spans="1:9">
      <c r="A30" s="211"/>
      <c r="B30" s="212" t="s">
        <v>1128</v>
      </c>
      <c r="C30" s="213" t="s">
        <v>1129</v>
      </c>
      <c r="D30" s="213"/>
      <c r="E30" s="213"/>
      <c r="F30" s="213"/>
      <c r="G30" s="213" t="s">
        <v>1130</v>
      </c>
      <c r="H30" s="213"/>
      <c r="I30" s="213"/>
    </row>
    <row r="31" s="196" customFormat="1" ht="40.2" customHeight="1" spans="1:9">
      <c r="A31" s="211"/>
      <c r="B31" s="212" t="s">
        <v>1131</v>
      </c>
      <c r="C31" s="213" t="s">
        <v>1132</v>
      </c>
      <c r="D31" s="213"/>
      <c r="E31" s="213"/>
      <c r="F31" s="213"/>
      <c r="G31" s="213" t="s">
        <v>1118</v>
      </c>
      <c r="H31" s="213"/>
      <c r="I31" s="213"/>
    </row>
    <row r="32" s="196" customFormat="1" ht="19.95" customHeight="1" spans="1:9">
      <c r="A32" s="211"/>
      <c r="B32" s="212" t="s">
        <v>1133</v>
      </c>
      <c r="C32" s="213" t="s">
        <v>1134</v>
      </c>
      <c r="D32" s="213"/>
      <c r="E32" s="213"/>
      <c r="F32" s="213"/>
      <c r="G32" s="213" t="s">
        <v>1118</v>
      </c>
      <c r="H32" s="213"/>
      <c r="I32" s="213"/>
    </row>
    <row r="33" s="196" customFormat="1" ht="31.2" customHeight="1" spans="1:9">
      <c r="A33" s="211"/>
      <c r="B33" s="212" t="s">
        <v>1135</v>
      </c>
      <c r="C33" s="213" t="s">
        <v>1136</v>
      </c>
      <c r="D33" s="213"/>
      <c r="E33" s="213"/>
      <c r="F33" s="213"/>
      <c r="G33" s="213" t="s">
        <v>1118</v>
      </c>
      <c r="H33" s="213"/>
      <c r="I33" s="213"/>
    </row>
    <row r="34" s="196" customFormat="1" ht="30" customHeight="1" spans="1:9">
      <c r="A34" s="211"/>
      <c r="B34" s="212" t="s">
        <v>1137</v>
      </c>
      <c r="C34" s="213" t="s">
        <v>1138</v>
      </c>
      <c r="D34" s="213"/>
      <c r="E34" s="213"/>
      <c r="F34" s="213"/>
      <c r="G34" s="213" t="s">
        <v>1118</v>
      </c>
      <c r="H34" s="213"/>
      <c r="I34" s="213"/>
    </row>
    <row r="35" s="196" customFormat="1" ht="19.95" customHeight="1" spans="1:9">
      <c r="A35" s="211"/>
      <c r="B35" s="212" t="s">
        <v>1139</v>
      </c>
      <c r="C35" s="213" t="s">
        <v>1140</v>
      </c>
      <c r="D35" s="213"/>
      <c r="E35" s="213"/>
      <c r="F35" s="213"/>
      <c r="G35" s="213" t="s">
        <v>1118</v>
      </c>
      <c r="H35" s="213"/>
      <c r="I35" s="213"/>
    </row>
    <row r="36" s="196" customFormat="1" ht="19.95" customHeight="1" spans="1:9">
      <c r="A36" s="211"/>
      <c r="B36" s="212" t="s">
        <v>1141</v>
      </c>
      <c r="C36" s="213" t="s">
        <v>1142</v>
      </c>
      <c r="D36" s="213"/>
      <c r="E36" s="213"/>
      <c r="F36" s="213"/>
      <c r="G36" s="213" t="s">
        <v>1143</v>
      </c>
      <c r="H36" s="213"/>
      <c r="I36" s="213"/>
    </row>
    <row r="37" s="196" customFormat="1" ht="28.8" customHeight="1" spans="1:9">
      <c r="A37" s="211"/>
      <c r="B37" s="212" t="s">
        <v>1144</v>
      </c>
      <c r="C37" s="213" t="s">
        <v>1145</v>
      </c>
      <c r="D37" s="213"/>
      <c r="E37" s="213"/>
      <c r="F37" s="213"/>
      <c r="G37" s="213" t="s">
        <v>1146</v>
      </c>
      <c r="H37" s="213"/>
      <c r="I37" s="213"/>
    </row>
    <row r="38" s="196" customFormat="1" ht="19.95" customHeight="1" spans="1:9">
      <c r="A38" s="211"/>
      <c r="B38" s="212" t="s">
        <v>1147</v>
      </c>
      <c r="C38" s="213"/>
      <c r="D38" s="213"/>
      <c r="E38" s="213"/>
      <c r="F38" s="213"/>
      <c r="G38" s="213"/>
      <c r="H38" s="213"/>
      <c r="I38" s="213"/>
    </row>
    <row r="39" s="196" customFormat="1" ht="19.95" customHeight="1" spans="1:9">
      <c r="A39" s="211"/>
      <c r="B39" s="212" t="s">
        <v>1148</v>
      </c>
      <c r="C39" s="213"/>
      <c r="D39" s="213"/>
      <c r="E39" s="213"/>
      <c r="F39" s="213"/>
      <c r="G39" s="213"/>
      <c r="H39" s="213"/>
      <c r="I39" s="213"/>
    </row>
    <row r="40" s="196" customFormat="1" ht="19.95" customHeight="1" spans="1:9">
      <c r="A40" s="211"/>
      <c r="B40" s="212" t="s">
        <v>1149</v>
      </c>
      <c r="C40" s="213"/>
      <c r="D40" s="213"/>
      <c r="E40" s="213"/>
      <c r="F40" s="213"/>
      <c r="G40" s="213"/>
      <c r="H40" s="213"/>
      <c r="I40" s="213"/>
    </row>
    <row r="41" s="196" customFormat="1" ht="19.95" customHeight="1" spans="1:9">
      <c r="A41" s="211"/>
      <c r="B41" s="212" t="s">
        <v>1150</v>
      </c>
      <c r="C41" s="213"/>
      <c r="D41" s="213"/>
      <c r="E41" s="213"/>
      <c r="F41" s="213"/>
      <c r="G41" s="213"/>
      <c r="H41" s="213"/>
      <c r="I41" s="213"/>
    </row>
    <row r="42" s="196" customFormat="1" ht="19.95" customHeight="1" spans="1:9">
      <c r="A42" s="211"/>
      <c r="B42" s="212" t="s">
        <v>1151</v>
      </c>
      <c r="C42" s="213"/>
      <c r="D42" s="213"/>
      <c r="E42" s="213"/>
      <c r="F42" s="213"/>
      <c r="G42" s="213"/>
      <c r="H42" s="213"/>
      <c r="I42" s="213"/>
    </row>
    <row r="43" s="196" customFormat="1" ht="19.95" customHeight="1" spans="1:9">
      <c r="A43" s="211"/>
      <c r="B43" s="212" t="s">
        <v>1152</v>
      </c>
      <c r="C43" s="213"/>
      <c r="D43" s="213"/>
      <c r="E43" s="213"/>
      <c r="F43" s="213"/>
      <c r="G43" s="213"/>
      <c r="H43" s="213"/>
      <c r="I43" s="213"/>
    </row>
    <row r="44" s="196" customFormat="1" ht="19.95" customHeight="1" spans="1:9">
      <c r="A44" s="211"/>
      <c r="B44" s="212" t="s">
        <v>1153</v>
      </c>
      <c r="C44" s="213"/>
      <c r="D44" s="213"/>
      <c r="E44" s="213"/>
      <c r="F44" s="213"/>
      <c r="G44" s="213"/>
      <c r="H44" s="213"/>
      <c r="I44" s="213"/>
    </row>
    <row r="45" s="196" customFormat="1" ht="19.95" customHeight="1" spans="1:9">
      <c r="A45" s="211"/>
      <c r="B45" s="215" t="s">
        <v>291</v>
      </c>
      <c r="C45" s="211"/>
      <c r="D45" s="211"/>
      <c r="E45" s="211"/>
      <c r="F45" s="211"/>
      <c r="G45" s="211"/>
      <c r="H45" s="211"/>
      <c r="I45" s="211"/>
    </row>
    <row r="46" s="196" customFormat="1" ht="19.95" customHeight="1" spans="1:9">
      <c r="A46" s="206" t="s">
        <v>1154</v>
      </c>
      <c r="B46" s="206"/>
      <c r="C46" s="206"/>
      <c r="D46" s="206"/>
      <c r="E46" s="206"/>
      <c r="F46" s="206"/>
      <c r="G46" s="206"/>
      <c r="H46" s="207" t="s">
        <v>1098</v>
      </c>
      <c r="I46" s="208"/>
    </row>
    <row r="47" s="196" customFormat="1" ht="20.1" customHeight="1" spans="1:9">
      <c r="A47" s="210" t="s">
        <v>1155</v>
      </c>
      <c r="B47" s="210"/>
      <c r="C47" s="210"/>
      <c r="D47" s="210"/>
      <c r="E47" s="210"/>
      <c r="F47" s="210"/>
      <c r="G47" s="210"/>
      <c r="H47" s="210"/>
      <c r="I47" s="210"/>
    </row>
    <row r="48" s="196" customFormat="1" ht="20.1" customHeight="1" spans="1:9">
      <c r="A48" s="211" t="s">
        <v>1104</v>
      </c>
      <c r="B48" s="212" t="s">
        <v>1156</v>
      </c>
      <c r="C48" s="213"/>
      <c r="D48" s="213"/>
      <c r="E48" s="213"/>
      <c r="F48" s="213"/>
      <c r="G48" s="213"/>
      <c r="H48" s="213"/>
      <c r="I48" s="213"/>
    </row>
    <row r="49" s="196" customFormat="1" ht="20.1" customHeight="1" spans="1:9">
      <c r="A49" s="211"/>
      <c r="B49" s="212" t="s">
        <v>1157</v>
      </c>
      <c r="C49" s="213"/>
      <c r="D49" s="213"/>
      <c r="E49" s="213"/>
      <c r="F49" s="213"/>
      <c r="G49" s="213"/>
      <c r="H49" s="213"/>
      <c r="I49" s="213"/>
    </row>
    <row r="50" s="196" customFormat="1" ht="28.5" customHeight="1" spans="1:9">
      <c r="A50" s="211"/>
      <c r="B50" s="212" t="s">
        <v>1158</v>
      </c>
      <c r="C50" s="213"/>
      <c r="D50" s="213"/>
      <c r="E50" s="213"/>
      <c r="F50" s="213"/>
      <c r="G50" s="213"/>
      <c r="H50" s="213"/>
      <c r="I50" s="213"/>
    </row>
    <row r="51" s="196" customFormat="1" ht="26.4" customHeight="1" spans="1:9">
      <c r="A51" s="211"/>
      <c r="B51" s="212" t="s">
        <v>1159</v>
      </c>
      <c r="C51" s="213"/>
      <c r="D51" s="213"/>
      <c r="E51" s="213"/>
      <c r="F51" s="213"/>
      <c r="G51" s="213"/>
      <c r="H51" s="213"/>
      <c r="I51" s="213"/>
    </row>
    <row r="52" s="196" customFormat="1" ht="20.1" customHeight="1" spans="1:9">
      <c r="A52" s="211"/>
      <c r="B52" s="211" t="s">
        <v>291</v>
      </c>
      <c r="C52" s="211"/>
      <c r="D52" s="211"/>
      <c r="E52" s="211"/>
      <c r="F52" s="211"/>
      <c r="G52" s="211"/>
      <c r="H52" s="211"/>
      <c r="I52" s="211"/>
    </row>
    <row r="53" s="196" customFormat="1" ht="20.1" customHeight="1" spans="1:9">
      <c r="A53" s="210" t="s">
        <v>1160</v>
      </c>
      <c r="B53" s="210"/>
      <c r="C53" s="210"/>
      <c r="D53" s="210"/>
      <c r="E53" s="210"/>
      <c r="F53" s="210"/>
      <c r="G53" s="210"/>
      <c r="H53" s="210"/>
      <c r="I53" s="210"/>
    </row>
    <row r="54" s="196" customFormat="1" ht="44.4" customHeight="1" spans="1:9">
      <c r="A54" s="210"/>
      <c r="B54" s="210"/>
      <c r="C54" s="210"/>
      <c r="D54" s="210"/>
      <c r="E54" s="210"/>
      <c r="F54" s="210"/>
      <c r="G54" s="210"/>
      <c r="H54" s="210"/>
      <c r="I54" s="210"/>
    </row>
    <row r="55" s="196" customFormat="1" ht="20.1" customHeight="1" spans="1:9">
      <c r="A55" s="206" t="s">
        <v>1161</v>
      </c>
      <c r="B55" s="206"/>
      <c r="C55" s="206"/>
      <c r="D55" s="206"/>
      <c r="E55" s="206"/>
      <c r="F55" s="206"/>
      <c r="G55" s="206"/>
      <c r="H55" s="207" t="s">
        <v>1098</v>
      </c>
      <c r="I55" s="208"/>
    </row>
    <row r="56" s="196" customFormat="1" ht="30.75" customHeight="1" spans="1:9">
      <c r="A56" s="210" t="s">
        <v>1162</v>
      </c>
      <c r="B56" s="210"/>
      <c r="C56" s="210"/>
      <c r="D56" s="210"/>
      <c r="E56" s="210"/>
      <c r="F56" s="210"/>
      <c r="G56" s="210"/>
      <c r="H56" s="210"/>
      <c r="I56" s="210"/>
    </row>
    <row r="57" s="196" customFormat="1" ht="32.25" customHeight="1" spans="1:9">
      <c r="A57" s="211" t="s">
        <v>1104</v>
      </c>
      <c r="B57" s="212" t="s">
        <v>1163</v>
      </c>
      <c r="C57" s="213"/>
      <c r="D57" s="213"/>
      <c r="E57" s="213"/>
      <c r="F57" s="213"/>
      <c r="G57" s="213"/>
      <c r="H57" s="213"/>
      <c r="I57" s="213"/>
    </row>
    <row r="58" s="196" customFormat="1" ht="20.1" customHeight="1" spans="1:9">
      <c r="A58" s="211"/>
      <c r="B58" s="211" t="s">
        <v>291</v>
      </c>
      <c r="C58" s="211"/>
      <c r="D58" s="211"/>
      <c r="E58" s="211"/>
      <c r="F58" s="211"/>
      <c r="G58" s="211"/>
      <c r="H58" s="211"/>
      <c r="I58" s="211"/>
    </row>
    <row r="59" s="196" customFormat="1" ht="20.1" customHeight="1" spans="1:9">
      <c r="A59" s="206" t="s">
        <v>1164</v>
      </c>
      <c r="B59" s="206"/>
      <c r="C59" s="206"/>
      <c r="D59" s="206"/>
      <c r="E59" s="206"/>
      <c r="F59" s="206"/>
      <c r="G59" s="206"/>
      <c r="H59" s="207" t="s">
        <v>1098</v>
      </c>
      <c r="I59" s="208"/>
    </row>
    <row r="60" s="196" customFormat="1" ht="20.1" customHeight="1" spans="1:9">
      <c r="A60" s="210" t="s">
        <v>1165</v>
      </c>
      <c r="B60" s="210"/>
      <c r="C60" s="210"/>
      <c r="D60" s="210"/>
      <c r="E60" s="210"/>
      <c r="F60" s="210"/>
      <c r="G60" s="210"/>
      <c r="H60" s="210"/>
      <c r="I60" s="210"/>
    </row>
    <row r="61" s="196" customFormat="1" ht="20.1" customHeight="1" spans="1:9">
      <c r="A61" s="210" t="s">
        <v>1166</v>
      </c>
      <c r="B61" s="210"/>
      <c r="C61" s="210"/>
      <c r="D61" s="210"/>
      <c r="E61" s="210"/>
      <c r="F61" s="210"/>
      <c r="G61" s="210"/>
      <c r="H61" s="210"/>
      <c r="I61" s="210"/>
    </row>
    <row r="62" s="196" customFormat="1" ht="25.2" customHeight="1" spans="1:9">
      <c r="A62" s="210"/>
      <c r="B62" s="210"/>
      <c r="C62" s="210"/>
      <c r="D62" s="210"/>
      <c r="E62" s="210"/>
      <c r="F62" s="210"/>
      <c r="G62" s="210"/>
      <c r="H62" s="210"/>
      <c r="I62" s="210"/>
    </row>
    <row r="63" s="196" customFormat="1" ht="20.1" customHeight="1" spans="1:9">
      <c r="A63" s="206" t="s">
        <v>1167</v>
      </c>
      <c r="B63" s="206"/>
      <c r="C63" s="206"/>
      <c r="D63" s="206"/>
      <c r="E63" s="206"/>
      <c r="F63" s="206"/>
      <c r="G63" s="206"/>
      <c r="H63" s="207" t="s">
        <v>1098</v>
      </c>
      <c r="I63" s="208"/>
    </row>
    <row r="64" s="196" customFormat="1" ht="20.1" customHeight="1" spans="1:9">
      <c r="A64" s="211"/>
      <c r="B64" s="211"/>
      <c r="C64" s="211"/>
      <c r="D64" s="211"/>
      <c r="E64" s="211"/>
      <c r="F64" s="211"/>
      <c r="G64" s="211"/>
      <c r="H64" s="211"/>
      <c r="I64" s="211"/>
    </row>
    <row r="65" s="196" customFormat="1" ht="20.1" customHeight="1" spans="1:9">
      <c r="A65" s="201"/>
      <c r="B65" s="201"/>
      <c r="C65" s="201"/>
      <c r="D65" s="201"/>
      <c r="E65" s="201"/>
      <c r="F65" s="201"/>
      <c r="G65" s="201"/>
      <c r="H65" s="201"/>
      <c r="I65" s="201"/>
    </row>
    <row r="66" s="196" customFormat="1" ht="20.1" customHeight="1" spans="1:9">
      <c r="A66" s="216" t="s">
        <v>1168</v>
      </c>
      <c r="B66" s="201"/>
      <c r="C66" s="201"/>
      <c r="D66" s="201"/>
      <c r="E66" s="201"/>
      <c r="F66" s="201"/>
      <c r="G66" s="201"/>
      <c r="H66" s="201"/>
      <c r="I66" s="201"/>
    </row>
    <row r="67" s="195" customFormat="1" ht="13" spans="1:9">
      <c r="A67" s="196"/>
      <c r="B67" s="196"/>
      <c r="C67" s="196"/>
      <c r="D67" s="196"/>
      <c r="E67" s="196"/>
      <c r="F67" s="196"/>
      <c r="G67" s="196"/>
      <c r="H67" s="196"/>
      <c r="I67" s="196"/>
    </row>
  </sheetData>
  <mergeCells count="75">
    <mergeCell ref="A1:I1"/>
    <mergeCell ref="A2:I2"/>
    <mergeCell ref="A6:G6"/>
    <mergeCell ref="H6:I6"/>
    <mergeCell ref="A7:I7"/>
    <mergeCell ref="A8:I8"/>
    <mergeCell ref="A9:I9"/>
    <mergeCell ref="A10:I10"/>
    <mergeCell ref="A11:I11"/>
    <mergeCell ref="A12:G12"/>
    <mergeCell ref="H12:I12"/>
    <mergeCell ref="A13:I13"/>
    <mergeCell ref="B14:I14"/>
    <mergeCell ref="B15:I15"/>
    <mergeCell ref="B16:I16"/>
    <mergeCell ref="A21:G21"/>
    <mergeCell ref="H21:I21"/>
    <mergeCell ref="A22:I22"/>
    <mergeCell ref="C23:F23"/>
    <mergeCell ref="G23:I23"/>
    <mergeCell ref="C24:F24"/>
    <mergeCell ref="G24:I24"/>
    <mergeCell ref="C25:F25"/>
    <mergeCell ref="G25:I25"/>
    <mergeCell ref="C26:F26"/>
    <mergeCell ref="G26:I26"/>
    <mergeCell ref="C27:F27"/>
    <mergeCell ref="G27:I27"/>
    <mergeCell ref="C28:F28"/>
    <mergeCell ref="G28:I28"/>
    <mergeCell ref="C29:F29"/>
    <mergeCell ref="G29:I29"/>
    <mergeCell ref="C30:F30"/>
    <mergeCell ref="G30:I30"/>
    <mergeCell ref="C31:F31"/>
    <mergeCell ref="G31:I31"/>
    <mergeCell ref="C32:F32"/>
    <mergeCell ref="G32:I32"/>
    <mergeCell ref="C33:F33"/>
    <mergeCell ref="G33:I33"/>
    <mergeCell ref="C34:F34"/>
    <mergeCell ref="G34:I34"/>
    <mergeCell ref="C35:F35"/>
    <mergeCell ref="G35:I35"/>
    <mergeCell ref="C36:F36"/>
    <mergeCell ref="G36:I36"/>
    <mergeCell ref="C37:F37"/>
    <mergeCell ref="G37:I37"/>
    <mergeCell ref="C38:F38"/>
    <mergeCell ref="C39:F39"/>
    <mergeCell ref="C40:F40"/>
    <mergeCell ref="C41:F41"/>
    <mergeCell ref="C42:F42"/>
    <mergeCell ref="C43:F43"/>
    <mergeCell ref="C44:F44"/>
    <mergeCell ref="A46:G46"/>
    <mergeCell ref="H46:I46"/>
    <mergeCell ref="A47:I47"/>
    <mergeCell ref="B48:I48"/>
    <mergeCell ref="B49:I49"/>
    <mergeCell ref="B50:I50"/>
    <mergeCell ref="B51:I51"/>
    <mergeCell ref="A53:I53"/>
    <mergeCell ref="A54:I54"/>
    <mergeCell ref="A55:G55"/>
    <mergeCell ref="H55:I55"/>
    <mergeCell ref="A56:I56"/>
    <mergeCell ref="B57:I57"/>
    <mergeCell ref="A59:G59"/>
    <mergeCell ref="H59:I59"/>
    <mergeCell ref="A60:I60"/>
    <mergeCell ref="A61:I61"/>
    <mergeCell ref="A62:I62"/>
    <mergeCell ref="A63:G63"/>
    <mergeCell ref="H63:I63"/>
  </mergeCells>
  <pageMargins left="0.708333333333333" right="0.708333333333333" top="0.747916666666667" bottom="0.747916666666667" header="0.314583333333333" footer="0.314583333333333"/>
  <pageSetup paperSize="9" scale="75" orientation="portrait" blackAndWhite="1"/>
  <headerFooter>
    <oddFooter>&amp;C&amp;P/&amp;N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view="pageBreakPreview" zoomScaleNormal="100" workbookViewId="0">
      <selection activeCell="A1" sqref="A1:I1"/>
    </sheetView>
  </sheetViews>
  <sheetFormatPr defaultColWidth="9.81818181818182" defaultRowHeight="20.1" customHeight="1"/>
  <cols>
    <col min="1" max="1" width="5.93636363636364" style="168" customWidth="1"/>
    <col min="2" max="2" width="18.3" style="168" customWidth="1"/>
    <col min="3" max="3" width="15.2727272727273" style="168" customWidth="1"/>
    <col min="4" max="4" width="16.2363636363636" style="168" customWidth="1"/>
    <col min="5" max="5" width="20.3636363636364" style="168" customWidth="1"/>
    <col min="6" max="6" width="18.3" style="168" customWidth="1"/>
    <col min="7" max="7" width="17.2090909090909" style="168" customWidth="1"/>
    <col min="8" max="8" width="17.5727272727273" style="168" customWidth="1"/>
    <col min="9" max="9" width="13.2090909090909" style="168" customWidth="1"/>
    <col min="10" max="16384" width="9.81818181818182" style="168"/>
  </cols>
  <sheetData>
    <row r="1" s="166" customFormat="1" customHeight="1" spans="1:9">
      <c r="A1" s="169" t="s">
        <v>27</v>
      </c>
      <c r="B1" s="169"/>
      <c r="C1" s="169"/>
      <c r="D1" s="169"/>
      <c r="E1" s="169"/>
      <c r="F1" s="169"/>
      <c r="G1" s="169"/>
      <c r="H1" s="169"/>
      <c r="I1" s="169"/>
    </row>
    <row r="2" s="166" customFormat="1" customHeight="1" spans="1:9">
      <c r="A2" s="170" t="s">
        <v>737</v>
      </c>
      <c r="B2" s="170"/>
      <c r="C2" s="170"/>
      <c r="D2" s="170"/>
      <c r="E2" s="170"/>
      <c r="F2" s="170"/>
      <c r="G2" s="170"/>
      <c r="H2" s="170"/>
      <c r="I2" s="170"/>
    </row>
    <row r="3" customHeight="1" spans="1:9">
      <c r="A3" s="171" t="str">
        <f>[16]底稿目录!A2</f>
        <v>被审计单位名称：</v>
      </c>
      <c r="C3" s="172" t="str">
        <f>[16]底稿目录!A4</f>
        <v>编制人：</v>
      </c>
      <c r="F3" s="171" t="str">
        <f>[16]底稿目录!A5</f>
        <v>编制日期：</v>
      </c>
      <c r="G3" s="171"/>
      <c r="H3" s="173" t="s">
        <v>29</v>
      </c>
      <c r="I3" s="174" t="str">
        <f>[16]底稿目录!F22</f>
        <v>D4-32</v>
      </c>
    </row>
    <row r="4" customHeight="1" spans="1:9">
      <c r="A4" s="171" t="str">
        <f>[16]底稿目录!A3</f>
        <v>会计期间：202X年度</v>
      </c>
      <c r="C4" s="172" t="str">
        <f>[16]底稿目录!A6</f>
        <v>复核人：</v>
      </c>
      <c r="F4" s="171" t="str">
        <f>[16]底稿目录!A7</f>
        <v>复核日期：</v>
      </c>
      <c r="G4" s="171"/>
      <c r="H4" s="173" t="s">
        <v>129</v>
      </c>
    </row>
    <row r="5" customHeight="1" spans="1:9">
      <c r="A5" s="20" t="s">
        <v>282</v>
      </c>
      <c r="C5" s="175"/>
      <c r="D5" s="176"/>
    </row>
    <row r="6" customHeight="1" spans="1:9">
      <c r="A6" s="177" t="s">
        <v>901</v>
      </c>
      <c r="C6" s="175"/>
      <c r="D6" s="176"/>
    </row>
    <row r="7" customHeight="1" spans="1:9">
      <c r="A7" s="20" t="s">
        <v>604</v>
      </c>
      <c r="B7" s="178"/>
      <c r="C7" s="176"/>
      <c r="D7" s="176"/>
    </row>
    <row r="8" ht="28.2" customHeight="1" spans="1:9">
      <c r="A8" s="179" t="s">
        <v>1169</v>
      </c>
      <c r="B8" s="179"/>
      <c r="C8" s="179"/>
      <c r="D8" s="179"/>
      <c r="E8" s="179"/>
      <c r="F8" s="179"/>
      <c r="G8" s="179"/>
      <c r="H8" s="179"/>
      <c r="I8" s="179"/>
    </row>
    <row r="9" customHeight="1" spans="1:9">
      <c r="A9" s="180" t="s">
        <v>1170</v>
      </c>
      <c r="B9" s="177"/>
      <c r="C9" s="176"/>
      <c r="D9" s="176"/>
    </row>
    <row r="10" customHeight="1" spans="1:9">
      <c r="A10" s="181"/>
      <c r="B10" s="177"/>
      <c r="C10" s="176"/>
      <c r="D10" s="176"/>
    </row>
    <row r="11" s="167" customFormat="1" customHeight="1" spans="1:9">
      <c r="A11" s="182" t="s">
        <v>2</v>
      </c>
      <c r="B11" s="183" t="s">
        <v>1171</v>
      </c>
      <c r="C11" s="183" t="s">
        <v>1172</v>
      </c>
      <c r="D11" s="183" t="s">
        <v>834</v>
      </c>
      <c r="E11" s="183" t="s">
        <v>1173</v>
      </c>
      <c r="F11" s="183" t="s">
        <v>1174</v>
      </c>
      <c r="G11" s="184" t="s">
        <v>1175</v>
      </c>
      <c r="H11" s="183" t="s">
        <v>1176</v>
      </c>
      <c r="I11" s="183" t="s">
        <v>4</v>
      </c>
    </row>
    <row r="12" s="167" customFormat="1" customHeight="1" spans="1:9">
      <c r="B12" s="185" t="s">
        <v>1177</v>
      </c>
      <c r="C12" s="186"/>
      <c r="D12" s="187"/>
      <c r="E12" s="188"/>
      <c r="F12" s="188"/>
      <c r="G12" s="187"/>
      <c r="H12" s="187"/>
      <c r="I12" s="187"/>
    </row>
    <row r="13" customHeight="1" spans="1:9">
      <c r="A13" s="189">
        <v>1</v>
      </c>
      <c r="B13" s="188"/>
      <c r="C13" s="190"/>
      <c r="D13" s="185"/>
      <c r="E13" s="185"/>
      <c r="F13" s="185"/>
      <c r="G13" s="185"/>
      <c r="H13" s="185"/>
      <c r="I13" s="185"/>
    </row>
    <row r="14" customHeight="1" spans="1:9">
      <c r="A14" s="189">
        <v>2</v>
      </c>
      <c r="B14" s="188"/>
      <c r="C14" s="190"/>
      <c r="D14" s="185"/>
      <c r="E14" s="185"/>
      <c r="F14" s="185"/>
      <c r="G14" s="185"/>
      <c r="H14" s="185"/>
      <c r="I14" s="185"/>
    </row>
    <row r="15" customHeight="1" spans="1:9">
      <c r="A15" s="189">
        <v>3</v>
      </c>
      <c r="B15" s="188"/>
      <c r="C15" s="190"/>
      <c r="D15" s="185"/>
      <c r="E15" s="185"/>
      <c r="F15" s="185"/>
      <c r="G15" s="185"/>
      <c r="H15" s="185"/>
      <c r="I15" s="185"/>
    </row>
    <row r="16" customHeight="1" spans="1:9">
      <c r="A16" s="189">
        <v>4</v>
      </c>
      <c r="B16" s="188"/>
      <c r="C16" s="190"/>
      <c r="D16" s="185"/>
      <c r="E16" s="185"/>
      <c r="F16" s="185"/>
      <c r="G16" s="185"/>
      <c r="H16" s="185"/>
      <c r="I16" s="185"/>
    </row>
    <row r="17" customHeight="1" spans="1:9">
      <c r="A17" s="189">
        <v>5</v>
      </c>
      <c r="B17" s="188"/>
      <c r="C17" s="190"/>
      <c r="D17" s="185"/>
      <c r="E17" s="185"/>
      <c r="F17" s="185"/>
      <c r="G17" s="185"/>
      <c r="H17" s="185"/>
      <c r="I17" s="185"/>
    </row>
    <row r="18" customHeight="1" spans="1:9">
      <c r="A18" s="189" t="s">
        <v>291</v>
      </c>
      <c r="B18" s="188"/>
      <c r="C18" s="190"/>
      <c r="D18" s="185"/>
      <c r="E18" s="185"/>
      <c r="F18" s="185"/>
      <c r="G18" s="185"/>
      <c r="H18" s="185"/>
      <c r="I18" s="185"/>
    </row>
    <row r="19" customHeight="1" spans="1:9">
      <c r="B19" s="185" t="s">
        <v>1178</v>
      </c>
      <c r="C19" s="190"/>
      <c r="D19" s="185"/>
      <c r="E19" s="185"/>
      <c r="F19" s="185"/>
      <c r="G19" s="185"/>
      <c r="H19" s="185"/>
      <c r="I19" s="185"/>
    </row>
    <row r="20" customHeight="1" spans="1:9">
      <c r="A20" s="189">
        <v>1</v>
      </c>
      <c r="B20" s="188"/>
      <c r="C20" s="190"/>
      <c r="D20" s="185"/>
      <c r="E20" s="185"/>
      <c r="F20" s="185"/>
      <c r="G20" s="185"/>
      <c r="H20" s="185"/>
      <c r="I20" s="185"/>
    </row>
    <row r="21" customHeight="1" spans="1:9">
      <c r="A21" s="189">
        <v>2</v>
      </c>
      <c r="B21" s="188"/>
      <c r="C21" s="190"/>
      <c r="D21" s="185"/>
      <c r="E21" s="185"/>
      <c r="F21" s="185"/>
      <c r="G21" s="185"/>
      <c r="H21" s="185"/>
      <c r="I21" s="185"/>
    </row>
    <row r="22" customHeight="1" spans="1:9">
      <c r="A22" s="189">
        <v>3</v>
      </c>
      <c r="B22" s="188"/>
      <c r="C22" s="190"/>
      <c r="D22" s="185"/>
      <c r="E22" s="185"/>
      <c r="F22" s="185"/>
      <c r="G22" s="185"/>
      <c r="H22" s="185"/>
      <c r="I22" s="185"/>
    </row>
    <row r="23" customHeight="1" spans="1:9">
      <c r="A23" s="189">
        <v>4</v>
      </c>
      <c r="B23" s="188"/>
      <c r="C23" s="190"/>
      <c r="D23" s="185"/>
      <c r="E23" s="185"/>
      <c r="F23" s="185"/>
      <c r="G23" s="185"/>
      <c r="H23" s="185"/>
      <c r="I23" s="185"/>
    </row>
    <row r="24" customHeight="1" spans="1:9">
      <c r="A24" s="189">
        <v>5</v>
      </c>
      <c r="B24" s="188"/>
      <c r="C24" s="190"/>
      <c r="D24" s="185"/>
      <c r="E24" s="185"/>
      <c r="F24" s="185"/>
      <c r="G24" s="185"/>
      <c r="H24" s="185"/>
      <c r="I24" s="185"/>
    </row>
    <row r="25" customHeight="1" spans="1:9">
      <c r="A25" s="189" t="s">
        <v>291</v>
      </c>
      <c r="B25" s="188"/>
      <c r="C25" s="190"/>
      <c r="D25" s="185"/>
      <c r="E25" s="185"/>
      <c r="F25" s="185"/>
      <c r="G25" s="185"/>
      <c r="H25" s="185"/>
      <c r="I25" s="185"/>
    </row>
    <row r="26" customHeight="1" spans="1:9">
      <c r="B26" s="185" t="s">
        <v>695</v>
      </c>
      <c r="C26" s="190"/>
      <c r="D26" s="185"/>
      <c r="E26" s="185"/>
      <c r="F26" s="185"/>
      <c r="G26" s="185"/>
      <c r="H26" s="185"/>
      <c r="I26" s="185"/>
    </row>
    <row r="27" customHeight="1" spans="1:9">
      <c r="A27" s="189">
        <v>1</v>
      </c>
      <c r="B27" s="188"/>
      <c r="C27" s="190"/>
      <c r="D27" s="185"/>
      <c r="E27" s="185"/>
      <c r="F27" s="185"/>
      <c r="G27" s="185"/>
      <c r="H27" s="185"/>
      <c r="I27" s="185"/>
    </row>
    <row r="28" customHeight="1" spans="1:9">
      <c r="A28" s="189">
        <v>2</v>
      </c>
      <c r="B28" s="188"/>
      <c r="C28" s="190"/>
      <c r="D28" s="185"/>
      <c r="E28" s="185"/>
      <c r="F28" s="185"/>
      <c r="G28" s="185"/>
      <c r="H28" s="185"/>
      <c r="I28" s="185"/>
    </row>
    <row r="29" customHeight="1" spans="1:9">
      <c r="A29" s="189" t="s">
        <v>291</v>
      </c>
      <c r="B29" s="188"/>
      <c r="C29" s="190"/>
      <c r="D29" s="185"/>
      <c r="E29" s="185"/>
      <c r="F29" s="185"/>
      <c r="G29" s="185"/>
      <c r="H29" s="185"/>
      <c r="I29" s="185"/>
    </row>
    <row r="30" customHeight="1" spans="1:9">
      <c r="B30" s="185" t="s">
        <v>694</v>
      </c>
      <c r="C30" s="190"/>
      <c r="D30" s="185"/>
      <c r="E30" s="185"/>
      <c r="F30" s="185"/>
      <c r="G30" s="185"/>
      <c r="H30" s="185"/>
      <c r="I30" s="185"/>
    </row>
    <row r="31" customHeight="1" spans="1:9">
      <c r="A31" s="189">
        <v>1</v>
      </c>
      <c r="B31" s="188"/>
      <c r="C31" s="190"/>
      <c r="D31" s="185"/>
      <c r="E31" s="185"/>
      <c r="F31" s="185"/>
      <c r="G31" s="185"/>
      <c r="H31" s="185"/>
      <c r="I31" s="185"/>
    </row>
    <row r="32" customHeight="1" spans="1:9">
      <c r="A32" s="189">
        <v>2</v>
      </c>
      <c r="B32" s="188"/>
      <c r="C32" s="190"/>
      <c r="D32" s="185"/>
      <c r="E32" s="185"/>
      <c r="F32" s="185"/>
      <c r="G32" s="185"/>
      <c r="H32" s="185"/>
      <c r="I32" s="185"/>
    </row>
    <row r="33" customHeight="1" spans="1:9">
      <c r="A33" s="189" t="s">
        <v>291</v>
      </c>
      <c r="B33" s="188"/>
      <c r="C33" s="190"/>
      <c r="D33" s="185"/>
      <c r="E33" s="185"/>
      <c r="F33" s="185"/>
      <c r="G33" s="185"/>
      <c r="H33" s="185"/>
      <c r="I33" s="185"/>
    </row>
    <row r="34" customHeight="1" spans="1:9">
      <c r="B34" s="185" t="s">
        <v>946</v>
      </c>
      <c r="C34" s="190"/>
      <c r="D34" s="185"/>
      <c r="E34" s="185"/>
      <c r="F34" s="185"/>
      <c r="G34" s="185"/>
      <c r="H34" s="185"/>
      <c r="I34" s="185"/>
    </row>
    <row r="35" customHeight="1" spans="1:9">
      <c r="A35" s="189">
        <v>1</v>
      </c>
      <c r="B35" s="188"/>
      <c r="C35" s="190"/>
      <c r="D35" s="185"/>
      <c r="E35" s="185"/>
      <c r="F35" s="185"/>
      <c r="G35" s="185"/>
      <c r="H35" s="185"/>
      <c r="I35" s="185"/>
    </row>
    <row r="36" customHeight="1" spans="1:9">
      <c r="A36" s="189">
        <v>2</v>
      </c>
      <c r="B36" s="188"/>
      <c r="C36" s="190"/>
      <c r="D36" s="185"/>
      <c r="E36" s="185"/>
      <c r="F36" s="185"/>
      <c r="G36" s="185"/>
      <c r="H36" s="185"/>
      <c r="I36" s="185"/>
    </row>
    <row r="37" customHeight="1" spans="1:9">
      <c r="A37" s="189">
        <v>3</v>
      </c>
      <c r="B37" s="188"/>
      <c r="C37" s="190"/>
      <c r="D37" s="185"/>
      <c r="E37" s="185"/>
      <c r="F37" s="185"/>
      <c r="G37" s="185"/>
      <c r="H37" s="185"/>
      <c r="I37" s="185"/>
    </row>
    <row r="38" customHeight="1" spans="1:9">
      <c r="A38" s="189">
        <v>4</v>
      </c>
      <c r="B38" s="188"/>
      <c r="C38" s="190"/>
      <c r="D38" s="185"/>
      <c r="E38" s="185"/>
      <c r="F38" s="185"/>
      <c r="G38" s="185"/>
      <c r="H38" s="185"/>
      <c r="I38" s="185"/>
    </row>
    <row r="39" customHeight="1" spans="1:9">
      <c r="A39" s="189">
        <v>5</v>
      </c>
      <c r="B39" s="188"/>
      <c r="C39" s="190"/>
      <c r="D39" s="185"/>
      <c r="E39" s="185"/>
      <c r="F39" s="185"/>
      <c r="G39" s="185"/>
      <c r="H39" s="185"/>
      <c r="I39" s="185"/>
    </row>
    <row r="40" customHeight="1" spans="1:9">
      <c r="A40" s="189" t="s">
        <v>291</v>
      </c>
      <c r="B40" s="188"/>
      <c r="C40" s="190"/>
      <c r="D40" s="185"/>
      <c r="E40" s="185"/>
      <c r="F40" s="185"/>
      <c r="G40" s="185"/>
      <c r="H40" s="185"/>
      <c r="I40" s="185"/>
    </row>
    <row r="41" customHeight="1" spans="1:9">
      <c r="B41" s="185" t="s">
        <v>701</v>
      </c>
      <c r="C41" s="190"/>
      <c r="D41" s="185"/>
      <c r="E41" s="185"/>
      <c r="F41" s="185"/>
      <c r="G41" s="185"/>
      <c r="H41" s="185"/>
      <c r="I41" s="185"/>
    </row>
    <row r="42" customHeight="1" spans="1:9">
      <c r="A42" s="189">
        <v>1</v>
      </c>
      <c r="B42" s="188"/>
      <c r="C42" s="190"/>
      <c r="D42" s="185"/>
      <c r="E42" s="185"/>
      <c r="F42" s="185"/>
      <c r="G42" s="185"/>
      <c r="H42" s="185"/>
      <c r="I42" s="185"/>
    </row>
    <row r="43" customHeight="1" spans="1:9">
      <c r="A43" s="189">
        <v>2</v>
      </c>
      <c r="B43" s="188"/>
      <c r="C43" s="190"/>
      <c r="D43" s="185"/>
      <c r="E43" s="185"/>
      <c r="F43" s="185"/>
      <c r="G43" s="185"/>
      <c r="H43" s="185"/>
      <c r="I43" s="185"/>
    </row>
    <row r="44" customHeight="1" spans="1:9">
      <c r="A44" s="189">
        <v>3</v>
      </c>
      <c r="B44" s="188"/>
      <c r="C44" s="190"/>
      <c r="D44" s="185"/>
      <c r="E44" s="185"/>
      <c r="F44" s="185"/>
      <c r="G44" s="185"/>
      <c r="H44" s="185"/>
      <c r="I44" s="185"/>
    </row>
    <row r="45" customHeight="1" spans="1:9">
      <c r="A45" s="189">
        <v>4</v>
      </c>
      <c r="B45" s="188"/>
      <c r="C45" s="190"/>
      <c r="D45" s="185"/>
      <c r="E45" s="185"/>
      <c r="F45" s="185"/>
      <c r="G45" s="185"/>
      <c r="H45" s="185"/>
      <c r="I45" s="185"/>
    </row>
    <row r="46" customHeight="1" spans="1:9">
      <c r="A46" s="189">
        <v>5</v>
      </c>
      <c r="B46" s="185"/>
      <c r="C46" s="190"/>
      <c r="D46" s="185"/>
      <c r="E46" s="185"/>
      <c r="F46" s="185"/>
      <c r="G46" s="185"/>
      <c r="H46" s="185"/>
      <c r="I46" s="185"/>
    </row>
    <row r="47" customHeight="1" spans="1:9">
      <c r="A47" s="191" t="s">
        <v>291</v>
      </c>
      <c r="C47" s="192"/>
    </row>
    <row r="48" customHeight="1" spans="1:9">
      <c r="A48" s="193" t="s">
        <v>278</v>
      </c>
    </row>
    <row r="49" customHeight="1" spans="1:2">
      <c r="A49" s="193"/>
      <c r="B49" s="194"/>
    </row>
    <row r="52" customHeight="1" spans="1:2">
      <c r="A52" s="193" t="s">
        <v>280</v>
      </c>
    </row>
  </sheetData>
  <mergeCells count="3">
    <mergeCell ref="A1:I1"/>
    <mergeCell ref="A2:I2"/>
    <mergeCell ref="A8:I8"/>
  </mergeCells>
  <hyperlinks>
    <hyperlink ref="I3" location="底稿目录!A1" display="='D:\GT_plan\backend\wp_templates\D\[D4-22至D4-32营业收入-IPO 上市 新三板 重组 舞弊应对.xlsx]底稿目录'!F22"/>
  </hyperlinks>
  <pageMargins left="0.708333333333333" right="0.708333333333333" top="0.747916666666667" bottom="0.747916666666667" header="0.314583333333333" footer="0.314583333333333"/>
  <pageSetup paperSize="9" scale="65" orientation="portrait" blackAndWhite="1"/>
  <headerFooter>
    <oddFooter>&amp;C&amp;P/&amp;N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A1" sqref="A1"/>
    </sheetView>
  </sheetViews>
  <sheetFormatPr defaultColWidth="9.81818181818182" defaultRowHeight="20.1" customHeight="1" outlineLevelCol="5"/>
  <cols>
    <col min="1" max="1" width="77.4545454545455" style="108" customWidth="1"/>
    <col min="2" max="2" width="2.94545454545455" style="108" customWidth="1"/>
    <col min="3" max="3" width="2.72727272727273" style="108" customWidth="1"/>
    <col min="4" max="4" width="4.8" style="108" customWidth="1"/>
    <col min="5" max="5" width="23.3454545454545" style="108" customWidth="1"/>
    <col min="6" max="6" width="7.52727272727273" style="108" customWidth="1"/>
    <col min="7" max="16384" width="9.81818181818182" style="108"/>
  </cols>
  <sheetData>
    <row r="1" customHeight="1" spans="1:6">
      <c r="A1" s="152" t="s">
        <v>0</v>
      </c>
      <c r="B1" s="153"/>
      <c r="C1" s="153"/>
      <c r="D1" s="153"/>
      <c r="E1" s="153"/>
      <c r="F1" s="153"/>
    </row>
    <row r="2" customHeight="1" spans="1:6">
      <c r="A2" s="154" t="s">
        <v>1</v>
      </c>
      <c r="B2" s="155"/>
      <c r="C2" s="155"/>
      <c r="D2" s="156" t="s">
        <v>2</v>
      </c>
      <c r="E2" s="156" t="s">
        <v>3</v>
      </c>
      <c r="F2" s="156" t="s">
        <v>4</v>
      </c>
    </row>
    <row r="3" customHeight="1" spans="1:6">
      <c r="A3" s="157" t="s">
        <v>5</v>
      </c>
      <c r="B3" s="155"/>
      <c r="C3" s="155"/>
      <c r="D3" s="158">
        <v>1</v>
      </c>
      <c r="E3" s="159" t="s">
        <v>1179</v>
      </c>
      <c r="F3" s="160" t="s">
        <v>122</v>
      </c>
    </row>
    <row r="4" customHeight="1" spans="1:6">
      <c r="A4" s="154" t="s">
        <v>8</v>
      </c>
      <c r="B4" s="161"/>
      <c r="C4" s="161"/>
      <c r="D4" s="158">
        <v>2</v>
      </c>
      <c r="E4" s="159" t="s">
        <v>1180</v>
      </c>
      <c r="F4" s="160" t="s">
        <v>124</v>
      </c>
    </row>
    <row r="5" customHeight="1" spans="1:6">
      <c r="A5" s="154" t="s">
        <v>11</v>
      </c>
      <c r="B5" s="161"/>
      <c r="C5" s="161"/>
      <c r="D5" s="158">
        <v>3</v>
      </c>
      <c r="E5" s="159" t="s">
        <v>1181</v>
      </c>
      <c r="F5" s="160" t="s">
        <v>126</v>
      </c>
    </row>
    <row r="6" customHeight="1" spans="1:6">
      <c r="A6" s="162" t="s">
        <v>14</v>
      </c>
      <c r="B6" s="161"/>
      <c r="C6" s="161"/>
      <c r="D6" s="158">
        <v>4</v>
      </c>
      <c r="E6" s="159" t="s">
        <v>1182</v>
      </c>
      <c r="F6" s="160" t="s">
        <v>128</v>
      </c>
    </row>
    <row r="7" customHeight="1" spans="1:6">
      <c r="A7" s="162" t="s">
        <v>16</v>
      </c>
      <c r="B7" s="161"/>
      <c r="C7" s="161"/>
      <c r="D7" s="153"/>
      <c r="E7" s="153"/>
      <c r="F7" s="153"/>
    </row>
    <row r="8" customHeight="1" spans="1:6">
      <c r="A8" s="163"/>
      <c r="B8" s="161"/>
      <c r="C8" s="161"/>
      <c r="D8" s="153"/>
      <c r="E8" s="153"/>
      <c r="F8" s="153"/>
    </row>
    <row r="9" customHeight="1" spans="1:6">
      <c r="A9" s="65" t="s">
        <v>21</v>
      </c>
      <c r="B9" s="161"/>
      <c r="C9" s="161"/>
      <c r="D9" s="153"/>
      <c r="E9" s="153"/>
      <c r="F9" s="153"/>
    </row>
    <row r="10" customHeight="1" spans="1:6">
      <c r="A10" s="164" t="s">
        <v>1183</v>
      </c>
      <c r="B10" s="161"/>
      <c r="C10" s="161"/>
      <c r="D10" s="153"/>
      <c r="E10" s="153"/>
      <c r="F10" s="153"/>
    </row>
    <row r="11" customHeight="1" spans="1:6">
      <c r="A11" s="164"/>
      <c r="B11" s="161"/>
      <c r="C11" s="161"/>
      <c r="D11" s="153"/>
      <c r="E11" s="153"/>
      <c r="F11" s="153"/>
    </row>
    <row r="12" customHeight="1" spans="1:6">
      <c r="A12" s="164"/>
    </row>
    <row r="13" customHeight="1" spans="1:6">
      <c r="A13" s="164"/>
    </row>
    <row r="14" customHeight="1" spans="1:6">
      <c r="A14" s="164" t="s">
        <v>1184</v>
      </c>
    </row>
    <row r="15" customHeight="1" spans="1:6">
      <c r="A15" s="164"/>
    </row>
    <row r="16" customHeight="1" spans="1:6">
      <c r="A16" s="164"/>
    </row>
    <row r="17" customHeight="1" spans="1:1">
      <c r="A17" s="165" t="s">
        <v>1185</v>
      </c>
    </row>
    <row r="18" customHeight="1" spans="1:1">
      <c r="A18" s="165"/>
    </row>
    <row r="19" customHeight="1" spans="1:1">
      <c r="A19" s="165"/>
    </row>
  </sheetData>
  <mergeCells count="3">
    <mergeCell ref="A10:A13"/>
    <mergeCell ref="A14:A16"/>
    <mergeCell ref="A17:A19"/>
  </mergeCells>
  <hyperlinks>
    <hyperlink ref="E4" location="'其他业务收入合同测算表D4-34'!A1" display="其他业务收入合同测算表"/>
    <hyperlink ref="E3" location="'其他业务毛利率分析表D4-33'!A1" display="其他业务毛利率分析表"/>
    <hyperlink ref="E5" location="'其他业务收入检查表D4-35'!A1" display="其他业务收入检查表"/>
    <hyperlink ref="E6" location="'其他业务收入截止性测试D4-36'!A1" display="其他业务收入截止性测试"/>
  </hyperlinks>
  <pageMargins left="0.708333333333333" right="0.708333333333333" top="0.747916666666667" bottom="0.747916666666667" header="0.314583333333333" footer="0.314583333333333"/>
  <pageSetup paperSize="9" scale="81" orientation="portrait" blackAndWhite="1"/>
  <headerFooter>
    <oddFooter>&amp;C&amp;P/&amp;N</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view="pageBreakPreview" zoomScaleNormal="100" workbookViewId="0">
      <selection activeCell="A1" sqref="A1:M1"/>
    </sheetView>
  </sheetViews>
  <sheetFormatPr defaultColWidth="9.81818181818182" defaultRowHeight="20.1" customHeight="1"/>
  <cols>
    <col min="1" max="1" width="9.81818181818182" style="106"/>
    <col min="2" max="3" width="11.2363636363636" style="106" customWidth="1"/>
    <col min="4" max="4" width="9.81818181818182" style="106"/>
    <col min="5" max="6" width="11.4545454545455" style="106" customWidth="1"/>
    <col min="7" max="7" width="9.81818181818182" style="106"/>
    <col min="8" max="9" width="11.7818181818182" style="106" customWidth="1"/>
    <col min="10" max="10" width="9.81818181818182" style="106"/>
    <col min="11" max="12" width="11.6727272727273" style="106" customWidth="1"/>
    <col min="13" max="16384" width="9.81818181818182" style="106"/>
  </cols>
  <sheetData>
    <row r="1" customHeight="1" spans="1:13">
      <c r="A1" s="134" t="s">
        <v>27</v>
      </c>
      <c r="B1" s="134"/>
      <c r="C1" s="134"/>
      <c r="D1" s="134"/>
      <c r="E1" s="134"/>
      <c r="F1" s="134"/>
      <c r="G1" s="134"/>
      <c r="H1" s="134"/>
      <c r="I1" s="134"/>
      <c r="J1" s="134"/>
      <c r="K1" s="134"/>
      <c r="L1" s="134"/>
      <c r="M1" s="134"/>
    </row>
    <row r="2" customHeight="1" spans="1:13">
      <c r="A2" s="135" t="s">
        <v>1179</v>
      </c>
      <c r="B2" s="135"/>
      <c r="C2" s="135"/>
      <c r="D2" s="135"/>
      <c r="E2" s="135"/>
      <c r="F2" s="135"/>
      <c r="G2" s="135"/>
      <c r="H2" s="135"/>
      <c r="I2" s="135"/>
      <c r="J2" s="135"/>
      <c r="K2" s="135"/>
      <c r="L2" s="135"/>
      <c r="M2" s="135"/>
    </row>
    <row r="3" customHeight="1" spans="1:13">
      <c r="A3" s="13" t="str">
        <f>[17]底稿目录!A2</f>
        <v>被审计单位：</v>
      </c>
      <c r="B3" s="109"/>
      <c r="C3" s="109"/>
      <c r="D3" s="109"/>
      <c r="E3" s="109"/>
      <c r="F3" s="110" t="str">
        <f>[17]底稿目录!A4</f>
        <v>编制人：</v>
      </c>
      <c r="G3" s="110"/>
      <c r="H3" s="109"/>
      <c r="I3" s="110" t="str">
        <f>[17]底稿目录!A5</f>
        <v>编制日期：</v>
      </c>
      <c r="J3" s="136"/>
      <c r="K3" s="137"/>
      <c r="L3" s="138" t="s">
        <v>1186</v>
      </c>
      <c r="M3" s="9" t="str">
        <f>[17]底稿目录!F3</f>
        <v>D4-33</v>
      </c>
    </row>
    <row r="4" customHeight="1" spans="1:13">
      <c r="A4" s="13" t="str">
        <f>[17]底稿目录!A3</f>
        <v>会计期间：202X年度</v>
      </c>
      <c r="B4" s="109"/>
      <c r="C4" s="109"/>
      <c r="D4" s="109"/>
      <c r="E4" s="109"/>
      <c r="F4" s="110" t="str">
        <f>[17]底稿目录!A6</f>
        <v>复核人：</v>
      </c>
      <c r="G4" s="110"/>
      <c r="H4" s="109"/>
      <c r="I4" s="110" t="str">
        <f>[17]底稿目录!A7</f>
        <v>复核日期：</v>
      </c>
      <c r="J4" s="136"/>
      <c r="K4" s="137"/>
      <c r="L4" s="138" t="s">
        <v>129</v>
      </c>
      <c r="M4" s="110"/>
    </row>
    <row r="5" s="62" customFormat="1" customHeight="1" spans="1:13">
      <c r="A5" s="113" t="s">
        <v>282</v>
      </c>
      <c r="B5" s="114"/>
      <c r="C5" s="114"/>
      <c r="D5" s="114"/>
      <c r="E5" s="114"/>
      <c r="F5" s="114"/>
      <c r="G5" s="114"/>
      <c r="H5" s="114"/>
      <c r="I5" s="114"/>
      <c r="J5" s="114"/>
      <c r="K5" s="114"/>
      <c r="L5" s="139"/>
      <c r="M5" s="139"/>
    </row>
    <row r="6" s="62" customFormat="1" customHeight="1" spans="1:13">
      <c r="A6" s="116" t="s">
        <v>1187</v>
      </c>
      <c r="B6" s="116"/>
      <c r="C6" s="116"/>
      <c r="D6" s="116"/>
      <c r="E6" s="116"/>
      <c r="F6" s="116"/>
      <c r="G6" s="116"/>
      <c r="H6" s="116"/>
      <c r="I6" s="116"/>
      <c r="J6" s="116"/>
      <c r="K6" s="116"/>
      <c r="L6" s="139"/>
      <c r="M6" s="139"/>
    </row>
    <row r="7" s="62" customFormat="1" customHeight="1" spans="1:13">
      <c r="A7" s="116" t="s">
        <v>1188</v>
      </c>
      <c r="B7" s="116"/>
      <c r="C7" s="116"/>
      <c r="D7" s="116"/>
      <c r="E7" s="116"/>
      <c r="F7" s="116"/>
      <c r="G7" s="116"/>
      <c r="H7" s="116"/>
      <c r="I7" s="116"/>
      <c r="J7" s="116"/>
      <c r="K7" s="116"/>
      <c r="L7" s="139"/>
      <c r="M7" s="139"/>
    </row>
    <row r="8" s="62" customFormat="1" customHeight="1" spans="1:13">
      <c r="A8" s="71" t="s">
        <v>1189</v>
      </c>
      <c r="B8" s="71"/>
      <c r="C8" s="71"/>
      <c r="D8" s="71"/>
      <c r="E8" s="71"/>
      <c r="F8" s="71"/>
      <c r="G8" s="71"/>
      <c r="H8" s="71"/>
      <c r="I8" s="71"/>
      <c r="J8" s="71"/>
      <c r="K8" s="71"/>
    </row>
    <row r="9" s="62" customFormat="1" customHeight="1" spans="1:13">
      <c r="A9" s="118" t="s">
        <v>604</v>
      </c>
      <c r="B9" s="70"/>
      <c r="C9" s="70"/>
      <c r="D9" s="70"/>
      <c r="E9" s="70"/>
      <c r="F9" s="70"/>
      <c r="G9" s="70"/>
      <c r="H9" s="70"/>
      <c r="I9" s="70"/>
      <c r="J9" s="70"/>
      <c r="K9" s="70"/>
    </row>
    <row r="10" customHeight="1" spans="1:13">
      <c r="A10" s="140" t="s">
        <v>385</v>
      </c>
      <c r="B10" s="140" t="s">
        <v>140</v>
      </c>
      <c r="C10" s="140"/>
      <c r="D10" s="140"/>
      <c r="E10" s="141" t="s">
        <v>157</v>
      </c>
      <c r="F10" s="141"/>
      <c r="G10" s="141"/>
      <c r="H10" s="141" t="s">
        <v>158</v>
      </c>
      <c r="I10" s="141"/>
      <c r="J10" s="141"/>
      <c r="K10" s="141" t="s">
        <v>160</v>
      </c>
      <c r="L10" s="141"/>
      <c r="M10" s="141"/>
    </row>
    <row r="11" customHeight="1" spans="1:13">
      <c r="A11" s="140"/>
      <c r="B11" s="140" t="s">
        <v>173</v>
      </c>
      <c r="C11" s="140" t="s">
        <v>174</v>
      </c>
      <c r="D11" s="140" t="s">
        <v>401</v>
      </c>
      <c r="E11" s="140" t="s">
        <v>173</v>
      </c>
      <c r="F11" s="140" t="s">
        <v>174</v>
      </c>
      <c r="G11" s="140" t="s">
        <v>401</v>
      </c>
      <c r="H11" s="140" t="s">
        <v>173</v>
      </c>
      <c r="I11" s="140" t="s">
        <v>174</v>
      </c>
      <c r="J11" s="140" t="s">
        <v>401</v>
      </c>
      <c r="K11" s="140" t="s">
        <v>173</v>
      </c>
      <c r="L11" s="140" t="s">
        <v>174</v>
      </c>
      <c r="M11" s="142" t="s">
        <v>1190</v>
      </c>
    </row>
    <row r="12" customHeight="1" spans="1:13">
      <c r="A12" s="143">
        <v>1</v>
      </c>
      <c r="B12" s="144">
        <f t="shared" ref="B12:B23" si="0">E12+H12+K12</f>
        <v>0</v>
      </c>
      <c r="C12" s="144">
        <f t="shared" ref="C12:C23" si="1">F12+I12+L12</f>
        <v>0</v>
      </c>
      <c r="D12" s="145" t="e">
        <f t="shared" ref="D12:D25" si="2">(B12-C12)/B12</f>
        <v>#DIV/0!</v>
      </c>
      <c r="E12" s="146"/>
      <c r="F12" s="146"/>
      <c r="G12" s="145" t="e">
        <f t="shared" ref="G12:G25" si="3">(E12-F12)/E12</f>
        <v>#DIV/0!</v>
      </c>
      <c r="H12" s="146"/>
      <c r="I12" s="146"/>
      <c r="J12" s="145" t="e">
        <f t="shared" ref="J12:J25" si="4">(H12-I12)/H12</f>
        <v>#DIV/0!</v>
      </c>
      <c r="K12" s="146"/>
      <c r="L12" s="146"/>
      <c r="M12" s="145" t="e">
        <f t="shared" ref="M12:M25" si="5">(K12-L12)/K12</f>
        <v>#DIV/0!</v>
      </c>
    </row>
    <row r="13" customHeight="1" spans="1:13">
      <c r="A13" s="143">
        <v>2</v>
      </c>
      <c r="B13" s="144">
        <f t="shared" si="0"/>
        <v>0</v>
      </c>
      <c r="C13" s="144">
        <f t="shared" si="1"/>
        <v>0</v>
      </c>
      <c r="D13" s="145" t="e">
        <f t="shared" si="2"/>
        <v>#DIV/0!</v>
      </c>
      <c r="E13" s="146"/>
      <c r="F13" s="146"/>
      <c r="G13" s="145" t="e">
        <f t="shared" si="3"/>
        <v>#DIV/0!</v>
      </c>
      <c r="H13" s="146"/>
      <c r="I13" s="146"/>
      <c r="J13" s="145" t="e">
        <f t="shared" si="4"/>
        <v>#DIV/0!</v>
      </c>
      <c r="K13" s="146"/>
      <c r="L13" s="146"/>
      <c r="M13" s="145" t="e">
        <f t="shared" si="5"/>
        <v>#DIV/0!</v>
      </c>
    </row>
    <row r="14" customHeight="1" spans="1:13">
      <c r="A14" s="143">
        <v>3</v>
      </c>
      <c r="B14" s="144">
        <f t="shared" si="0"/>
        <v>0</v>
      </c>
      <c r="C14" s="144">
        <f t="shared" si="1"/>
        <v>0</v>
      </c>
      <c r="D14" s="145" t="e">
        <f t="shared" si="2"/>
        <v>#DIV/0!</v>
      </c>
      <c r="E14" s="146"/>
      <c r="F14" s="146"/>
      <c r="G14" s="145" t="e">
        <f t="shared" si="3"/>
        <v>#DIV/0!</v>
      </c>
      <c r="H14" s="146"/>
      <c r="I14" s="146"/>
      <c r="J14" s="145" t="e">
        <f t="shared" si="4"/>
        <v>#DIV/0!</v>
      </c>
      <c r="K14" s="146"/>
      <c r="L14" s="146"/>
      <c r="M14" s="145" t="e">
        <f t="shared" si="5"/>
        <v>#DIV/0!</v>
      </c>
    </row>
    <row r="15" customHeight="1" spans="1:13">
      <c r="A15" s="143">
        <v>4</v>
      </c>
      <c r="B15" s="144">
        <f t="shared" si="0"/>
        <v>0</v>
      </c>
      <c r="C15" s="144">
        <f t="shared" si="1"/>
        <v>0</v>
      </c>
      <c r="D15" s="145" t="e">
        <f t="shared" si="2"/>
        <v>#DIV/0!</v>
      </c>
      <c r="E15" s="146"/>
      <c r="F15" s="146"/>
      <c r="G15" s="145" t="e">
        <f t="shared" si="3"/>
        <v>#DIV/0!</v>
      </c>
      <c r="H15" s="146"/>
      <c r="I15" s="146"/>
      <c r="J15" s="145" t="e">
        <f t="shared" si="4"/>
        <v>#DIV/0!</v>
      </c>
      <c r="K15" s="146"/>
      <c r="L15" s="146"/>
      <c r="M15" s="145" t="e">
        <f t="shared" si="5"/>
        <v>#DIV/0!</v>
      </c>
    </row>
    <row r="16" customHeight="1" spans="1:13">
      <c r="A16" s="143">
        <v>5</v>
      </c>
      <c r="B16" s="144">
        <f t="shared" si="0"/>
        <v>0</v>
      </c>
      <c r="C16" s="144">
        <f t="shared" si="1"/>
        <v>0</v>
      </c>
      <c r="D16" s="145" t="e">
        <f t="shared" si="2"/>
        <v>#DIV/0!</v>
      </c>
      <c r="E16" s="146"/>
      <c r="F16" s="146"/>
      <c r="G16" s="145" t="e">
        <f t="shared" si="3"/>
        <v>#DIV/0!</v>
      </c>
      <c r="H16" s="146"/>
      <c r="I16" s="146"/>
      <c r="J16" s="145" t="e">
        <f t="shared" si="4"/>
        <v>#DIV/0!</v>
      </c>
      <c r="K16" s="146"/>
      <c r="L16" s="146"/>
      <c r="M16" s="145" t="e">
        <f t="shared" si="5"/>
        <v>#DIV/0!</v>
      </c>
    </row>
    <row r="17" customHeight="1" spans="1:13">
      <c r="A17" s="143">
        <v>6</v>
      </c>
      <c r="B17" s="144">
        <f t="shared" si="0"/>
        <v>0</v>
      </c>
      <c r="C17" s="144">
        <f t="shared" si="1"/>
        <v>0</v>
      </c>
      <c r="D17" s="145" t="e">
        <f t="shared" si="2"/>
        <v>#DIV/0!</v>
      </c>
      <c r="E17" s="146"/>
      <c r="F17" s="146"/>
      <c r="G17" s="145" t="e">
        <f t="shared" si="3"/>
        <v>#DIV/0!</v>
      </c>
      <c r="H17" s="146"/>
      <c r="I17" s="146"/>
      <c r="J17" s="145" t="e">
        <f t="shared" si="4"/>
        <v>#DIV/0!</v>
      </c>
      <c r="K17" s="146"/>
      <c r="L17" s="146"/>
      <c r="M17" s="145" t="e">
        <f t="shared" si="5"/>
        <v>#DIV/0!</v>
      </c>
    </row>
    <row r="18" customHeight="1" spans="1:13">
      <c r="A18" s="143">
        <v>7</v>
      </c>
      <c r="B18" s="144">
        <f t="shared" si="0"/>
        <v>0</v>
      </c>
      <c r="C18" s="144">
        <f t="shared" si="1"/>
        <v>0</v>
      </c>
      <c r="D18" s="145" t="e">
        <f t="shared" si="2"/>
        <v>#DIV/0!</v>
      </c>
      <c r="E18" s="146"/>
      <c r="F18" s="146"/>
      <c r="G18" s="145" t="e">
        <f t="shared" si="3"/>
        <v>#DIV/0!</v>
      </c>
      <c r="H18" s="146"/>
      <c r="I18" s="146"/>
      <c r="J18" s="145" t="e">
        <f t="shared" si="4"/>
        <v>#DIV/0!</v>
      </c>
      <c r="K18" s="146"/>
      <c r="L18" s="146"/>
      <c r="M18" s="145" t="e">
        <f t="shared" si="5"/>
        <v>#DIV/0!</v>
      </c>
    </row>
    <row r="19" customHeight="1" spans="1:13">
      <c r="A19" s="143">
        <v>8</v>
      </c>
      <c r="B19" s="144">
        <f t="shared" si="0"/>
        <v>0</v>
      </c>
      <c r="C19" s="144">
        <f t="shared" si="1"/>
        <v>0</v>
      </c>
      <c r="D19" s="145" t="e">
        <f t="shared" si="2"/>
        <v>#DIV/0!</v>
      </c>
      <c r="E19" s="146"/>
      <c r="F19" s="146"/>
      <c r="G19" s="145" t="e">
        <f t="shared" si="3"/>
        <v>#DIV/0!</v>
      </c>
      <c r="H19" s="146"/>
      <c r="I19" s="146"/>
      <c r="J19" s="145" t="e">
        <f t="shared" si="4"/>
        <v>#DIV/0!</v>
      </c>
      <c r="K19" s="146"/>
      <c r="L19" s="146"/>
      <c r="M19" s="145" t="e">
        <f t="shared" si="5"/>
        <v>#DIV/0!</v>
      </c>
    </row>
    <row r="20" customHeight="1" spans="1:13">
      <c r="A20" s="143">
        <v>9</v>
      </c>
      <c r="B20" s="144">
        <f t="shared" si="0"/>
        <v>0</v>
      </c>
      <c r="C20" s="144">
        <f t="shared" si="1"/>
        <v>0</v>
      </c>
      <c r="D20" s="145" t="e">
        <f t="shared" si="2"/>
        <v>#DIV/0!</v>
      </c>
      <c r="E20" s="146"/>
      <c r="F20" s="146"/>
      <c r="G20" s="145" t="e">
        <f t="shared" si="3"/>
        <v>#DIV/0!</v>
      </c>
      <c r="H20" s="146"/>
      <c r="I20" s="146"/>
      <c r="J20" s="145" t="e">
        <f t="shared" si="4"/>
        <v>#DIV/0!</v>
      </c>
      <c r="K20" s="146"/>
      <c r="L20" s="146"/>
      <c r="M20" s="145" t="e">
        <f t="shared" si="5"/>
        <v>#DIV/0!</v>
      </c>
    </row>
    <row r="21" customHeight="1" spans="1:13">
      <c r="A21" s="143">
        <v>10</v>
      </c>
      <c r="B21" s="144">
        <f t="shared" si="0"/>
        <v>0</v>
      </c>
      <c r="C21" s="144">
        <f t="shared" si="1"/>
        <v>0</v>
      </c>
      <c r="D21" s="145" t="e">
        <f t="shared" si="2"/>
        <v>#DIV/0!</v>
      </c>
      <c r="E21" s="146"/>
      <c r="F21" s="146"/>
      <c r="G21" s="145" t="e">
        <f t="shared" si="3"/>
        <v>#DIV/0!</v>
      </c>
      <c r="H21" s="146"/>
      <c r="I21" s="147"/>
      <c r="J21" s="145" t="e">
        <f t="shared" si="4"/>
        <v>#DIV/0!</v>
      </c>
      <c r="K21" s="147"/>
      <c r="L21" s="147"/>
      <c r="M21" s="145" t="e">
        <f t="shared" si="5"/>
        <v>#DIV/0!</v>
      </c>
    </row>
    <row r="22" customHeight="1" spans="1:13">
      <c r="A22" s="143">
        <v>11</v>
      </c>
      <c r="B22" s="144">
        <f t="shared" si="0"/>
        <v>0</v>
      </c>
      <c r="C22" s="144">
        <f t="shared" si="1"/>
        <v>0</v>
      </c>
      <c r="D22" s="145" t="e">
        <f t="shared" si="2"/>
        <v>#DIV/0!</v>
      </c>
      <c r="E22" s="146"/>
      <c r="F22" s="146"/>
      <c r="G22" s="145" t="e">
        <f t="shared" si="3"/>
        <v>#DIV/0!</v>
      </c>
      <c r="H22" s="146"/>
      <c r="I22" s="147"/>
      <c r="J22" s="145" t="e">
        <f t="shared" si="4"/>
        <v>#DIV/0!</v>
      </c>
      <c r="K22" s="147"/>
      <c r="L22" s="147"/>
      <c r="M22" s="145" t="e">
        <f t="shared" si="5"/>
        <v>#DIV/0!</v>
      </c>
    </row>
    <row r="23" customHeight="1" spans="1:13">
      <c r="A23" s="143">
        <v>12</v>
      </c>
      <c r="B23" s="144">
        <f t="shared" si="0"/>
        <v>0</v>
      </c>
      <c r="C23" s="144">
        <f t="shared" si="1"/>
        <v>0</v>
      </c>
      <c r="D23" s="145" t="e">
        <f t="shared" si="2"/>
        <v>#DIV/0!</v>
      </c>
      <c r="E23" s="147"/>
      <c r="F23" s="147"/>
      <c r="G23" s="145" t="e">
        <f t="shared" si="3"/>
        <v>#DIV/0!</v>
      </c>
      <c r="H23" s="147"/>
      <c r="I23" s="147"/>
      <c r="J23" s="145" t="e">
        <f t="shared" si="4"/>
        <v>#DIV/0!</v>
      </c>
      <c r="K23" s="147"/>
      <c r="L23" s="147"/>
      <c r="M23" s="145" t="e">
        <f t="shared" si="5"/>
        <v>#DIV/0!</v>
      </c>
    </row>
    <row r="24" customHeight="1" spans="1:13">
      <c r="A24" s="148" t="s">
        <v>1191</v>
      </c>
      <c r="B24" s="144">
        <f t="shared" ref="B24:F24" si="6">SUM(B12:B23)</f>
        <v>0</v>
      </c>
      <c r="C24" s="144">
        <f t="shared" si="6"/>
        <v>0</v>
      </c>
      <c r="D24" s="145" t="e">
        <f t="shared" si="2"/>
        <v>#DIV/0!</v>
      </c>
      <c r="E24" s="144">
        <f t="shared" si="6"/>
        <v>0</v>
      </c>
      <c r="F24" s="144">
        <f t="shared" si="6"/>
        <v>0</v>
      </c>
      <c r="G24" s="145" t="e">
        <f t="shared" si="3"/>
        <v>#DIV/0!</v>
      </c>
      <c r="H24" s="144">
        <f t="shared" ref="H24:L24" si="7">SUM(H12:H23)</f>
        <v>0</v>
      </c>
      <c r="I24" s="144">
        <f t="shared" si="7"/>
        <v>0</v>
      </c>
      <c r="J24" s="145" t="e">
        <f t="shared" si="4"/>
        <v>#DIV/0!</v>
      </c>
      <c r="K24" s="144">
        <f t="shared" si="7"/>
        <v>0</v>
      </c>
      <c r="L24" s="144">
        <f t="shared" si="7"/>
        <v>0</v>
      </c>
      <c r="M24" s="145" t="e">
        <f t="shared" si="5"/>
        <v>#DIV/0!</v>
      </c>
    </row>
    <row r="25" customHeight="1" spans="1:13">
      <c r="A25" s="149" t="s">
        <v>1192</v>
      </c>
      <c r="B25" s="144">
        <f>E25+H25+K25</f>
        <v>0</v>
      </c>
      <c r="C25" s="144">
        <f>F25+I25+L25</f>
        <v>0</v>
      </c>
      <c r="D25" s="145" t="e">
        <f t="shared" si="2"/>
        <v>#DIV/0!</v>
      </c>
      <c r="E25" s="150"/>
      <c r="F25" s="150"/>
      <c r="G25" s="145" t="e">
        <f t="shared" si="3"/>
        <v>#DIV/0!</v>
      </c>
      <c r="H25" s="150"/>
      <c r="I25" s="150"/>
      <c r="J25" s="145" t="e">
        <f t="shared" si="4"/>
        <v>#DIV/0!</v>
      </c>
      <c r="K25" s="150"/>
      <c r="L25" s="150"/>
      <c r="M25" s="145" t="e">
        <f t="shared" si="5"/>
        <v>#DIV/0!</v>
      </c>
    </row>
    <row r="26" customHeight="1" spans="1:13">
      <c r="A26" s="149" t="s">
        <v>289</v>
      </c>
      <c r="B26" s="144">
        <f t="shared" ref="B26:M26" si="8">B24-B25</f>
        <v>0</v>
      </c>
      <c r="C26" s="144">
        <f t="shared" si="8"/>
        <v>0</v>
      </c>
      <c r="D26" s="145" t="e">
        <f t="shared" si="8"/>
        <v>#DIV/0!</v>
      </c>
      <c r="E26" s="144">
        <f t="shared" si="8"/>
        <v>0</v>
      </c>
      <c r="F26" s="144">
        <f t="shared" si="8"/>
        <v>0</v>
      </c>
      <c r="G26" s="145" t="e">
        <f t="shared" si="8"/>
        <v>#DIV/0!</v>
      </c>
      <c r="H26" s="144">
        <f t="shared" si="8"/>
        <v>0</v>
      </c>
      <c r="I26" s="144">
        <f t="shared" si="8"/>
        <v>0</v>
      </c>
      <c r="J26" s="145" t="e">
        <f t="shared" si="8"/>
        <v>#DIV/0!</v>
      </c>
      <c r="K26" s="144">
        <f t="shared" si="8"/>
        <v>0</v>
      </c>
      <c r="L26" s="144">
        <f t="shared" si="8"/>
        <v>0</v>
      </c>
      <c r="M26" s="145" t="e">
        <f t="shared" si="8"/>
        <v>#DIV/0!</v>
      </c>
    </row>
    <row r="27" customHeight="1" spans="1:13">
      <c r="A27" s="151" t="s">
        <v>404</v>
      </c>
      <c r="B27" s="144">
        <f t="shared" ref="B27:M27" si="9">IF(AND(B25=0,B24=0),0,IF(B25&lt;=0,"不适用",B26/B25))</f>
        <v>0</v>
      </c>
      <c r="C27" s="144">
        <f t="shared" si="9"/>
        <v>0</v>
      </c>
      <c r="D27" s="145" t="e">
        <f t="shared" si="9"/>
        <v>#DIV/0!</v>
      </c>
      <c r="E27" s="144">
        <f t="shared" si="9"/>
        <v>0</v>
      </c>
      <c r="F27" s="144">
        <f t="shared" si="9"/>
        <v>0</v>
      </c>
      <c r="G27" s="145" t="e">
        <f t="shared" si="9"/>
        <v>#DIV/0!</v>
      </c>
      <c r="H27" s="144">
        <f t="shared" si="9"/>
        <v>0</v>
      </c>
      <c r="I27" s="144">
        <f t="shared" si="9"/>
        <v>0</v>
      </c>
      <c r="J27" s="145" t="e">
        <f t="shared" si="9"/>
        <v>#DIV/0!</v>
      </c>
      <c r="K27" s="144">
        <f t="shared" si="9"/>
        <v>0</v>
      </c>
      <c r="L27" s="144">
        <f t="shared" si="9"/>
        <v>0</v>
      </c>
      <c r="M27" s="145" t="e">
        <f t="shared" si="9"/>
        <v>#DIV/0!</v>
      </c>
    </row>
    <row r="28" customHeight="1" spans="1:13">
      <c r="A28" s="130" t="s">
        <v>292</v>
      </c>
      <c r="B28" s="130"/>
      <c r="C28" s="130"/>
      <c r="D28" s="130"/>
      <c r="E28" s="56"/>
      <c r="F28" s="56"/>
      <c r="G28" s="56"/>
      <c r="H28" s="56"/>
      <c r="I28" s="56"/>
      <c r="J28" s="56"/>
      <c r="K28" s="56"/>
      <c r="L28" s="56"/>
      <c r="M28" s="56"/>
    </row>
    <row r="29" customHeight="1" spans="1:13">
      <c r="A29" s="132"/>
      <c r="B29" s="132"/>
      <c r="C29" s="132"/>
      <c r="D29" s="132"/>
      <c r="E29" s="58"/>
      <c r="F29" s="58"/>
      <c r="G29" s="58"/>
      <c r="H29" s="58"/>
      <c r="I29" s="58"/>
      <c r="J29" s="58"/>
      <c r="K29" s="58"/>
      <c r="L29" s="58"/>
      <c r="M29" s="58"/>
    </row>
    <row r="30" customHeight="1" spans="1:13">
      <c r="A30" s="133" t="s">
        <v>293</v>
      </c>
      <c r="B30" s="58"/>
      <c r="C30" s="58"/>
      <c r="D30" s="58"/>
      <c r="E30" s="58"/>
      <c r="F30" s="58"/>
      <c r="G30" s="58"/>
      <c r="H30" s="58"/>
      <c r="I30" s="58"/>
      <c r="J30" s="58"/>
      <c r="K30" s="58"/>
      <c r="L30" s="58"/>
      <c r="M30" s="58"/>
    </row>
    <row r="31" s="1" customFormat="1" customHeight="1" spans="1:13">
      <c r="A31" s="13"/>
      <c r="B31" s="13"/>
      <c r="C31" s="13"/>
      <c r="D31" s="13"/>
      <c r="E31" s="13"/>
      <c r="F31" s="13"/>
      <c r="G31" s="13"/>
      <c r="H31" s="13"/>
      <c r="I31" s="13"/>
      <c r="J31" s="13"/>
      <c r="K31" s="13"/>
      <c r="L31" s="13"/>
      <c r="M31" s="13"/>
    </row>
  </sheetData>
  <mergeCells count="7">
    <mergeCell ref="A1:M1"/>
    <mergeCell ref="A2:M2"/>
    <mergeCell ref="B10:D10"/>
    <mergeCell ref="E10:G10"/>
    <mergeCell ref="H10:J10"/>
    <mergeCell ref="K10:M10"/>
    <mergeCell ref="A10:A11"/>
  </mergeCells>
  <hyperlinks>
    <hyperlink ref="M3" location="底稿目录!A1" display="='D:\GT_plan\backend\wp_templates\D\[D4-33至D4-36 其他业务收入.xlsx]底稿目录'!F3"/>
  </hyperlinks>
  <pageMargins left="0.708661417322835" right="0.708661417322835" top="0.748031496062992" bottom="0.748031496062992" header="0.31496062992126" footer="0.31496062992126"/>
  <pageSetup paperSize="9" scale="81" orientation="landscape" blackAndWhite="1"/>
  <headerFooter>
    <oddFooter>&amp;C&amp;P/&amp;N</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view="pageBreakPreview" zoomScaleNormal="100" workbookViewId="0">
      <selection activeCell="A1" sqref="A1:K1"/>
    </sheetView>
  </sheetViews>
  <sheetFormatPr defaultColWidth="9.81818181818182" defaultRowHeight="20.1" customHeight="1"/>
  <cols>
    <col min="1" max="1" width="5.34545454545455" style="108" customWidth="1"/>
    <col min="2" max="16384" width="9.81818181818182" style="108"/>
  </cols>
  <sheetData>
    <row r="1" s="106" customFormat="1" customHeight="1" spans="1:11">
      <c r="A1" s="3" t="s">
        <v>27</v>
      </c>
      <c r="B1" s="3"/>
      <c r="C1" s="3"/>
      <c r="D1" s="3"/>
      <c r="E1" s="3"/>
      <c r="F1" s="3"/>
      <c r="G1" s="3"/>
      <c r="H1" s="3"/>
      <c r="I1" s="3"/>
      <c r="J1" s="3"/>
      <c r="K1" s="3"/>
    </row>
    <row r="2" s="106" customFormat="1" customHeight="1" spans="1:11">
      <c r="A2" s="5" t="s">
        <v>1180</v>
      </c>
      <c r="B2" s="5"/>
      <c r="C2" s="5"/>
      <c r="D2" s="5"/>
      <c r="E2" s="5"/>
      <c r="F2" s="5"/>
      <c r="G2" s="5"/>
      <c r="H2" s="5"/>
      <c r="I2" s="5"/>
      <c r="J2" s="5"/>
      <c r="K2" s="5"/>
    </row>
    <row r="3" s="106" customFormat="1" customHeight="1" spans="1:11">
      <c r="A3" s="13" t="str">
        <f>[17]底稿目录!A2</f>
        <v>被审计单位：</v>
      </c>
      <c r="B3" s="109"/>
      <c r="C3" s="109"/>
      <c r="D3" s="109"/>
      <c r="E3" s="110" t="str">
        <f>[17]底稿目录!A4</f>
        <v>编制人：</v>
      </c>
      <c r="F3" s="111"/>
      <c r="G3" s="111"/>
      <c r="H3" s="110" t="str">
        <f>[17]底稿目录!A5</f>
        <v>编制日期：</v>
      </c>
      <c r="I3" s="111"/>
      <c r="J3" s="112" t="s">
        <v>1186</v>
      </c>
      <c r="K3" s="9" t="str">
        <f>[17]底稿目录!F4</f>
        <v>D4-34</v>
      </c>
    </row>
    <row r="4" s="106" customFormat="1" customHeight="1" spans="1:11">
      <c r="A4" s="13" t="str">
        <f>[17]底稿目录!A3</f>
        <v>会计期间：202X年度</v>
      </c>
      <c r="B4" s="109"/>
      <c r="C4" s="109"/>
      <c r="D4" s="109"/>
      <c r="E4" s="110" t="str">
        <f>[17]底稿目录!A6</f>
        <v>复核人：</v>
      </c>
      <c r="F4" s="111"/>
      <c r="G4" s="111"/>
      <c r="H4" s="110" t="str">
        <f>[17]底稿目录!A7</f>
        <v>复核日期：</v>
      </c>
      <c r="I4" s="111"/>
      <c r="J4" s="112" t="s">
        <v>129</v>
      </c>
      <c r="K4" s="110"/>
    </row>
    <row r="5" s="62" customFormat="1" customHeight="1" spans="1:11">
      <c r="A5" s="113" t="s">
        <v>282</v>
      </c>
      <c r="B5" s="114"/>
      <c r="C5" s="114"/>
      <c r="D5" s="114"/>
      <c r="E5" s="114"/>
      <c r="F5" s="114"/>
      <c r="G5" s="114"/>
      <c r="H5" s="114"/>
      <c r="I5" s="114"/>
      <c r="J5" s="114"/>
      <c r="K5" s="114"/>
    </row>
    <row r="6" s="62" customFormat="1" customHeight="1" spans="1:11">
      <c r="A6" s="115" t="s">
        <v>1193</v>
      </c>
      <c r="B6" s="116"/>
      <c r="C6" s="116"/>
      <c r="D6" s="116"/>
      <c r="E6" s="116"/>
      <c r="F6" s="116"/>
      <c r="G6" s="116"/>
      <c r="H6" s="116"/>
      <c r="I6" s="116"/>
      <c r="J6" s="116"/>
      <c r="K6" s="116"/>
    </row>
    <row r="7" s="62" customFormat="1" customHeight="1" spans="1:11">
      <c r="A7" s="115" t="s">
        <v>1194</v>
      </c>
      <c r="B7" s="116"/>
      <c r="C7" s="116"/>
      <c r="D7" s="116"/>
      <c r="E7" s="116"/>
      <c r="F7" s="116"/>
      <c r="G7" s="116"/>
      <c r="H7" s="116"/>
      <c r="I7" s="116"/>
      <c r="J7" s="116"/>
      <c r="K7" s="116"/>
    </row>
    <row r="8" s="62" customFormat="1" customHeight="1" spans="1:11">
      <c r="A8" s="115" t="s">
        <v>1195</v>
      </c>
      <c r="B8" s="116"/>
      <c r="C8" s="116"/>
      <c r="D8" s="116"/>
      <c r="E8" s="116"/>
      <c r="F8" s="116"/>
      <c r="G8" s="116"/>
      <c r="H8" s="116"/>
      <c r="I8" s="116"/>
      <c r="J8" s="116"/>
      <c r="K8" s="116"/>
    </row>
    <row r="9" s="62" customFormat="1" customHeight="1" spans="1:11">
      <c r="A9" s="117" t="s">
        <v>1196</v>
      </c>
      <c r="B9" s="71"/>
      <c r="C9" s="71"/>
      <c r="D9" s="71"/>
      <c r="E9" s="71"/>
      <c r="F9" s="71"/>
      <c r="G9" s="71"/>
      <c r="H9" s="71"/>
      <c r="I9" s="71"/>
      <c r="J9" s="71"/>
      <c r="K9" s="71"/>
    </row>
    <row r="10" s="62" customFormat="1" customHeight="1" spans="1:11">
      <c r="A10" s="118" t="s">
        <v>604</v>
      </c>
      <c r="B10" s="70"/>
      <c r="C10" s="70"/>
      <c r="D10" s="70"/>
      <c r="E10" s="70"/>
      <c r="F10" s="70"/>
      <c r="G10" s="70"/>
      <c r="H10" s="70"/>
      <c r="I10" s="70"/>
      <c r="J10" s="70"/>
      <c r="K10" s="70"/>
    </row>
    <row r="11" customHeight="1" spans="1:11">
      <c r="A11" s="119" t="s">
        <v>1197</v>
      </c>
      <c r="B11" s="119"/>
      <c r="C11" s="119"/>
      <c r="D11" s="119"/>
      <c r="E11" s="119"/>
      <c r="F11" s="119"/>
      <c r="G11" s="119"/>
      <c r="H11" s="119"/>
      <c r="I11" s="119"/>
      <c r="J11" s="119"/>
      <c r="K11" s="119"/>
    </row>
    <row r="12" ht="30.75" customHeight="1" spans="1:11">
      <c r="A12" s="120" t="s">
        <v>2</v>
      </c>
      <c r="B12" s="120" t="s">
        <v>1198</v>
      </c>
      <c r="C12" s="121" t="s">
        <v>1199</v>
      </c>
      <c r="D12" s="121" t="s">
        <v>1200</v>
      </c>
      <c r="E12" s="121" t="s">
        <v>1201</v>
      </c>
      <c r="F12" s="121" t="s">
        <v>1202</v>
      </c>
      <c r="G12" s="121" t="s">
        <v>1203</v>
      </c>
      <c r="H12" s="121" t="s">
        <v>1204</v>
      </c>
      <c r="I12" s="121" t="s">
        <v>1205</v>
      </c>
      <c r="J12" s="121" t="s">
        <v>610</v>
      </c>
      <c r="K12" s="121" t="s">
        <v>4</v>
      </c>
    </row>
    <row r="13" customHeight="1" spans="1:11">
      <c r="A13" s="122">
        <v>1</v>
      </c>
      <c r="B13" s="123"/>
      <c r="C13" s="124"/>
      <c r="D13" s="125"/>
      <c r="E13" s="125"/>
      <c r="F13" s="124"/>
      <c r="G13" s="125"/>
      <c r="H13" s="125"/>
      <c r="I13" s="125"/>
      <c r="J13" s="126">
        <f t="shared" ref="J13:J17" si="0">H13-I13</f>
        <v>0</v>
      </c>
      <c r="K13" s="124"/>
    </row>
    <row r="14" customHeight="1" spans="1:11">
      <c r="A14" s="122">
        <v>2</v>
      </c>
      <c r="B14" s="123"/>
      <c r="C14" s="124"/>
      <c r="D14" s="125"/>
      <c r="E14" s="125"/>
      <c r="F14" s="124"/>
      <c r="G14" s="125"/>
      <c r="H14" s="125"/>
      <c r="I14" s="125"/>
      <c r="J14" s="126">
        <f t="shared" si="0"/>
        <v>0</v>
      </c>
      <c r="K14" s="124"/>
    </row>
    <row r="15" customHeight="1" spans="1:11">
      <c r="A15" s="122">
        <v>3</v>
      </c>
      <c r="B15" s="123"/>
      <c r="C15" s="124"/>
      <c r="D15" s="125"/>
      <c r="E15" s="125"/>
      <c r="F15" s="124"/>
      <c r="G15" s="125"/>
      <c r="H15" s="125"/>
      <c r="I15" s="125"/>
      <c r="J15" s="126">
        <f t="shared" si="0"/>
        <v>0</v>
      </c>
      <c r="K15" s="124"/>
    </row>
    <row r="16" customHeight="1" spans="1:11">
      <c r="A16" s="122">
        <v>4</v>
      </c>
      <c r="B16" s="123"/>
      <c r="C16" s="124"/>
      <c r="D16" s="125"/>
      <c r="E16" s="125"/>
      <c r="F16" s="124"/>
      <c r="G16" s="125"/>
      <c r="H16" s="125"/>
      <c r="I16" s="125"/>
      <c r="J16" s="126">
        <f t="shared" si="0"/>
        <v>0</v>
      </c>
      <c r="K16" s="124"/>
    </row>
    <row r="17" customHeight="1" spans="1:11">
      <c r="A17" s="122">
        <v>5</v>
      </c>
      <c r="B17" s="123"/>
      <c r="C17" s="124"/>
      <c r="D17" s="125"/>
      <c r="E17" s="125"/>
      <c r="F17" s="124"/>
      <c r="G17" s="125"/>
      <c r="H17" s="125"/>
      <c r="I17" s="125"/>
      <c r="J17" s="126">
        <f t="shared" si="0"/>
        <v>0</v>
      </c>
      <c r="K17" s="124"/>
    </row>
    <row r="18" customHeight="1" spans="1:11">
      <c r="A18" s="119" t="s">
        <v>1206</v>
      </c>
      <c r="B18" s="119"/>
      <c r="C18" s="119"/>
      <c r="D18" s="119"/>
      <c r="E18" s="119"/>
      <c r="F18" s="119"/>
      <c r="G18" s="119"/>
      <c r="H18" s="119"/>
      <c r="I18" s="119"/>
      <c r="J18" s="127"/>
      <c r="K18" s="119"/>
    </row>
    <row r="19" customHeight="1" spans="1:11">
      <c r="A19" s="120" t="s">
        <v>2</v>
      </c>
      <c r="B19" s="120" t="s">
        <v>1207</v>
      </c>
      <c r="C19" s="120"/>
      <c r="D19" s="121" t="s">
        <v>1208</v>
      </c>
      <c r="E19" s="121" t="s">
        <v>1209</v>
      </c>
      <c r="F19" s="121" t="s">
        <v>496</v>
      </c>
      <c r="G19" s="121" t="s">
        <v>1202</v>
      </c>
      <c r="H19" s="121" t="s">
        <v>1204</v>
      </c>
      <c r="I19" s="121" t="s">
        <v>1205</v>
      </c>
      <c r="J19" s="121" t="s">
        <v>610</v>
      </c>
      <c r="K19" s="121" t="s">
        <v>4</v>
      </c>
    </row>
    <row r="20" customHeight="1" spans="1:11">
      <c r="A20" s="122">
        <v>1</v>
      </c>
      <c r="B20" s="128"/>
      <c r="C20" s="128"/>
      <c r="D20" s="122"/>
      <c r="E20" s="124"/>
      <c r="F20" s="125"/>
      <c r="G20" s="129"/>
      <c r="H20" s="125"/>
      <c r="I20" s="125"/>
      <c r="J20" s="126">
        <f t="shared" ref="J20:J24" si="1">H20-I20</f>
        <v>0</v>
      </c>
      <c r="K20" s="124"/>
    </row>
    <row r="21" customHeight="1" spans="1:11">
      <c r="A21" s="122">
        <v>2</v>
      </c>
      <c r="B21" s="128"/>
      <c r="C21" s="128"/>
      <c r="D21" s="122"/>
      <c r="E21" s="124"/>
      <c r="F21" s="125"/>
      <c r="G21" s="129"/>
      <c r="H21" s="125"/>
      <c r="I21" s="125"/>
      <c r="J21" s="126">
        <f t="shared" si="1"/>
        <v>0</v>
      </c>
      <c r="K21" s="124"/>
    </row>
    <row r="22" customHeight="1" spans="1:11">
      <c r="A22" s="122">
        <v>3</v>
      </c>
      <c r="B22" s="128"/>
      <c r="C22" s="128"/>
      <c r="D22" s="122"/>
      <c r="E22" s="124"/>
      <c r="F22" s="125"/>
      <c r="G22" s="129"/>
      <c r="H22" s="125"/>
      <c r="I22" s="125"/>
      <c r="J22" s="126">
        <f t="shared" si="1"/>
        <v>0</v>
      </c>
      <c r="K22" s="124"/>
    </row>
    <row r="23" customHeight="1" spans="1:11">
      <c r="A23" s="122">
        <v>4</v>
      </c>
      <c r="B23" s="128"/>
      <c r="C23" s="128"/>
      <c r="D23" s="122"/>
      <c r="E23" s="124"/>
      <c r="F23" s="125"/>
      <c r="G23" s="129"/>
      <c r="H23" s="125"/>
      <c r="I23" s="125"/>
      <c r="J23" s="126">
        <f t="shared" si="1"/>
        <v>0</v>
      </c>
      <c r="K23" s="124"/>
    </row>
    <row r="24" customHeight="1" spans="1:11">
      <c r="A24" s="122">
        <v>5</v>
      </c>
      <c r="B24" s="128"/>
      <c r="C24" s="128"/>
      <c r="D24" s="122"/>
      <c r="E24" s="124"/>
      <c r="F24" s="125"/>
      <c r="G24" s="129"/>
      <c r="H24" s="125"/>
      <c r="I24" s="125"/>
      <c r="J24" s="126">
        <f t="shared" si="1"/>
        <v>0</v>
      </c>
      <c r="K24" s="124"/>
    </row>
    <row r="25" s="107" customFormat="1" customHeight="1" spans="1:11">
      <c r="A25" s="130" t="s">
        <v>292</v>
      </c>
      <c r="B25" s="131"/>
      <c r="C25" s="131"/>
      <c r="D25" s="131"/>
      <c r="E25" s="131"/>
      <c r="F25" s="131"/>
      <c r="G25" s="131"/>
      <c r="H25" s="131"/>
      <c r="I25" s="131"/>
      <c r="J25" s="131"/>
      <c r="K25" s="131"/>
    </row>
    <row r="26" s="107" customFormat="1" customHeight="1" spans="1:11">
      <c r="A26" s="132"/>
      <c r="B26" s="8"/>
      <c r="C26" s="8"/>
      <c r="D26" s="8"/>
      <c r="E26" s="8"/>
      <c r="F26" s="8"/>
      <c r="G26" s="8"/>
      <c r="H26" s="8"/>
      <c r="I26" s="8"/>
      <c r="J26" s="8"/>
      <c r="K26" s="8"/>
    </row>
    <row r="27" s="107" customFormat="1" customHeight="1" spans="1:11">
      <c r="A27" s="58"/>
      <c r="B27" s="8"/>
      <c r="C27" s="8"/>
      <c r="D27" s="8"/>
      <c r="E27" s="8"/>
      <c r="F27" s="8"/>
      <c r="G27" s="8"/>
      <c r="H27" s="8"/>
      <c r="I27" s="8"/>
      <c r="J27" s="8"/>
      <c r="K27" s="8"/>
    </row>
    <row r="28" s="107" customFormat="1" customHeight="1" spans="1:11">
      <c r="A28" s="133" t="s">
        <v>293</v>
      </c>
      <c r="B28" s="8"/>
      <c r="C28" s="8"/>
      <c r="D28" s="8"/>
      <c r="E28" s="8"/>
      <c r="F28" s="8"/>
      <c r="G28" s="8"/>
      <c r="H28" s="8"/>
      <c r="I28" s="8"/>
      <c r="J28" s="8"/>
      <c r="K28" s="8"/>
    </row>
    <row r="29" s="107" customFormat="1" customHeight="1" spans="1:11">
      <c r="A29" s="2"/>
      <c r="B29" s="2"/>
      <c r="C29" s="2"/>
      <c r="D29" s="2"/>
      <c r="E29" s="2"/>
      <c r="F29" s="2"/>
      <c r="G29" s="2"/>
      <c r="H29" s="2"/>
      <c r="I29" s="2"/>
      <c r="J29" s="2"/>
      <c r="K29" s="2"/>
    </row>
  </sheetData>
  <mergeCells count="8">
    <mergeCell ref="A1:K1"/>
    <mergeCell ref="A2:K2"/>
    <mergeCell ref="B19:C19"/>
    <mergeCell ref="B20:C20"/>
    <mergeCell ref="B21:C21"/>
    <mergeCell ref="B22:C22"/>
    <mergeCell ref="B23:C23"/>
    <mergeCell ref="B24:C24"/>
  </mergeCells>
  <hyperlinks>
    <hyperlink ref="K3" location="底稿目录!A1" display="='D:\GT_plan\backend\wp_templates\D\[D4-33至D4-36 其他业务收入.xlsx]底稿目录'!F4"/>
  </hyperlinks>
  <pageMargins left="0.708333333333333" right="0.708333333333333" top="0.747916666666667" bottom="0.747916666666667" header="0.314583333333333" footer="0.314583333333333"/>
  <pageSetup paperSize="9" scale="85" orientation="portrait" blackAndWhite="1"/>
  <headerFooter>
    <oddFooter>&amp;C&amp;P/&amp;N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6"/>
  <sheetViews>
    <sheetView view="pageBreakPreview" zoomScaleNormal="100" workbookViewId="0">
      <selection activeCell="A1" sqref="A1:Q1"/>
    </sheetView>
  </sheetViews>
  <sheetFormatPr defaultColWidth="9.81818181818182" defaultRowHeight="13"/>
  <cols>
    <col min="1" max="1" width="10.2545454545455" style="2" customWidth="1"/>
    <col min="2" max="2" width="9.81818181818182" style="2"/>
    <col min="3" max="3" width="21.4909090909091" style="2" customWidth="1"/>
    <col min="4" max="4" width="10.4727272727273" style="2" customWidth="1"/>
    <col min="5" max="5" width="10.5818181818182" style="2" customWidth="1"/>
    <col min="6" max="6" width="12.5454545454545" style="2" customWidth="1"/>
    <col min="7" max="7" width="28.0363636363636" style="2" customWidth="1"/>
    <col min="8" max="14" width="3.81818181818182" style="2" customWidth="1"/>
    <col min="15" max="15" width="10.8" style="2" customWidth="1"/>
    <col min="16" max="16" width="5.56363636363636" style="2" customWidth="1"/>
    <col min="17" max="17" width="12.5454545454545" style="2" customWidth="1"/>
    <col min="18" max="16384" width="9.81818181818182" style="2"/>
  </cols>
  <sheetData>
    <row r="1" s="61" customFormat="1" ht="20.1" customHeight="1" spans="1:34">
      <c r="A1" s="64" t="s">
        <v>27</v>
      </c>
      <c r="B1" s="64"/>
      <c r="C1" s="64"/>
      <c r="D1" s="64"/>
      <c r="E1" s="64"/>
      <c r="F1" s="64"/>
      <c r="G1" s="64"/>
      <c r="H1" s="64"/>
      <c r="I1" s="64"/>
      <c r="J1" s="64"/>
      <c r="K1" s="64"/>
      <c r="L1" s="64"/>
      <c r="M1" s="64"/>
      <c r="N1" s="64"/>
      <c r="O1" s="64"/>
      <c r="P1" s="64"/>
      <c r="Q1" s="64"/>
    </row>
    <row r="2" s="61" customFormat="1" ht="25.2" customHeight="1" spans="1:34">
      <c r="A2" s="65" t="s">
        <v>1210</v>
      </c>
      <c r="B2" s="65"/>
      <c r="C2" s="65"/>
      <c r="D2" s="65"/>
      <c r="E2" s="65"/>
      <c r="F2" s="65"/>
      <c r="G2" s="65"/>
      <c r="H2" s="65"/>
      <c r="I2" s="65"/>
      <c r="J2" s="65"/>
      <c r="K2" s="65"/>
      <c r="L2" s="65"/>
      <c r="M2" s="65"/>
      <c r="N2" s="65"/>
      <c r="O2" s="65"/>
      <c r="P2" s="65"/>
      <c r="Q2" s="65"/>
    </row>
    <row r="3" ht="20.1" customHeight="1" spans="1:34">
      <c r="A3" s="2" t="str">
        <f>[17]底稿目录!A2</f>
        <v>被审计单位：</v>
      </c>
      <c r="B3" s="66"/>
      <c r="C3" s="66"/>
      <c r="D3" s="66" t="str">
        <f>[17]底稿目录!A4</f>
        <v>编制人：</v>
      </c>
      <c r="G3" s="66" t="str">
        <f>[17]底稿目录!A5</f>
        <v>编制日期：</v>
      </c>
      <c r="P3" s="67" t="s">
        <v>29</v>
      </c>
      <c r="Q3" s="68" t="str">
        <f>[17]底稿目录!F5</f>
        <v>D4-35</v>
      </c>
    </row>
    <row r="4" ht="20.1" customHeight="1" spans="1:34">
      <c r="A4" s="2" t="str">
        <f>[17]底稿目录!A3</f>
        <v>会计期间：202X年度</v>
      </c>
      <c r="B4" s="66"/>
      <c r="C4" s="66"/>
      <c r="D4" s="66" t="str">
        <f>[17]底稿目录!A6</f>
        <v>复核人：</v>
      </c>
      <c r="G4" s="66" t="str">
        <f>[17]底稿目录!A7</f>
        <v>复核日期：</v>
      </c>
      <c r="P4" s="67" t="s">
        <v>129</v>
      </c>
    </row>
    <row r="5" s="62" customFormat="1" ht="20.1" customHeight="1" spans="1:34">
      <c r="A5" s="69" t="s">
        <v>282</v>
      </c>
      <c r="B5" s="70"/>
      <c r="C5" s="70"/>
      <c r="D5" s="70"/>
      <c r="E5" s="70"/>
      <c r="F5" s="70"/>
      <c r="G5" s="70"/>
      <c r="H5" s="70"/>
      <c r="I5" s="70"/>
      <c r="J5" s="70"/>
      <c r="K5" s="70"/>
    </row>
    <row r="6" s="62" customFormat="1" ht="20.1" customHeight="1" spans="1:34">
      <c r="A6" s="71" t="s">
        <v>1211</v>
      </c>
      <c r="B6" s="71"/>
      <c r="C6" s="71"/>
      <c r="D6" s="71"/>
      <c r="E6" s="71"/>
      <c r="F6" s="71"/>
      <c r="G6" s="71"/>
      <c r="H6" s="71"/>
      <c r="I6" s="71"/>
      <c r="J6" s="71"/>
      <c r="K6" s="71"/>
      <c r="U6" s="71"/>
    </row>
    <row r="7" s="62" customFormat="1" ht="20.1" customHeight="1" spans="1:34">
      <c r="A7" s="70" t="s">
        <v>549</v>
      </c>
      <c r="B7" s="70"/>
      <c r="C7" s="70"/>
      <c r="D7" s="70"/>
      <c r="E7" s="70"/>
      <c r="F7" s="70"/>
      <c r="G7" s="70"/>
      <c r="H7" s="70"/>
      <c r="I7" s="70"/>
      <c r="J7" s="70"/>
      <c r="K7" s="70"/>
      <c r="U7" s="71"/>
    </row>
    <row r="8" s="62" customFormat="1" ht="20.1" customHeight="1" spans="1:34">
      <c r="A8" s="72" t="s">
        <v>550</v>
      </c>
      <c r="B8" s="73" t="s">
        <v>1212</v>
      </c>
      <c r="C8" s="74"/>
      <c r="D8" s="74"/>
      <c r="E8" s="74"/>
      <c r="F8" s="72" t="s">
        <v>552</v>
      </c>
      <c r="G8" s="73" t="s">
        <v>553</v>
      </c>
      <c r="H8" s="70"/>
      <c r="I8" s="70"/>
      <c r="J8" s="70"/>
    </row>
    <row r="9" s="62" customFormat="1" ht="20.1" customHeight="1" spans="1:34">
      <c r="A9" s="72" t="s">
        <v>554</v>
      </c>
      <c r="B9" s="73" t="s">
        <v>555</v>
      </c>
      <c r="C9" s="74"/>
      <c r="D9" s="74"/>
      <c r="E9" s="74"/>
      <c r="F9" s="72" t="s">
        <v>556</v>
      </c>
      <c r="G9" s="73" t="s">
        <v>1213</v>
      </c>
      <c r="H9" s="70"/>
      <c r="I9" s="70"/>
      <c r="J9" s="70"/>
    </row>
    <row r="10" s="62" customFormat="1" ht="20.1" customHeight="1" spans="1:34">
      <c r="A10" s="72" t="s">
        <v>559</v>
      </c>
      <c r="B10" s="73" t="s">
        <v>560</v>
      </c>
      <c r="C10" s="74"/>
      <c r="D10" s="74"/>
      <c r="E10" s="74"/>
      <c r="F10" s="72" t="s">
        <v>561</v>
      </c>
      <c r="G10" s="73" t="s">
        <v>562</v>
      </c>
      <c r="H10" s="70"/>
      <c r="I10" s="70"/>
      <c r="J10" s="70"/>
    </row>
    <row r="11" s="62" customFormat="1" ht="20.1" customHeight="1" spans="1:34">
      <c r="A11" s="75" t="s">
        <v>563</v>
      </c>
      <c r="B11" s="61"/>
      <c r="C11" s="71"/>
      <c r="D11" s="71"/>
      <c r="E11" s="71"/>
      <c r="F11" s="71"/>
      <c r="G11" s="71"/>
    </row>
    <row r="12" s="62" customFormat="1" ht="20.1" customHeight="1" spans="1:34">
      <c r="A12" s="76" t="s">
        <v>1214</v>
      </c>
      <c r="B12" s="77"/>
      <c r="C12" s="77"/>
      <c r="D12" s="78"/>
      <c r="E12" s="79"/>
    </row>
    <row r="13" ht="20.1" customHeight="1" spans="1:34">
      <c r="A13" s="80" t="s">
        <v>576</v>
      </c>
      <c r="B13" s="80" t="s">
        <v>1215</v>
      </c>
      <c r="C13" s="80" t="s">
        <v>665</v>
      </c>
      <c r="D13" s="80" t="s">
        <v>1216</v>
      </c>
      <c r="E13" s="80" t="s">
        <v>632</v>
      </c>
      <c r="F13" s="81" t="s">
        <v>417</v>
      </c>
      <c r="G13" s="82" t="s">
        <v>1217</v>
      </c>
      <c r="H13" s="80" t="s">
        <v>1218</v>
      </c>
      <c r="I13" s="80"/>
      <c r="J13" s="80"/>
      <c r="K13" s="80"/>
      <c r="L13" s="80"/>
      <c r="M13" s="80"/>
      <c r="N13" s="80"/>
      <c r="O13" s="83" t="s">
        <v>4</v>
      </c>
      <c r="P13" s="29" t="s">
        <v>575</v>
      </c>
      <c r="Q13" s="84" t="s">
        <v>1219</v>
      </c>
    </row>
    <row r="14" ht="20.1" customHeight="1" spans="1:34">
      <c r="A14" s="80"/>
      <c r="B14" s="80"/>
      <c r="C14" s="80"/>
      <c r="D14" s="80"/>
      <c r="E14" s="80"/>
      <c r="F14" s="81"/>
      <c r="G14" s="82"/>
      <c r="H14" s="80">
        <v>1</v>
      </c>
      <c r="I14" s="80">
        <v>2</v>
      </c>
      <c r="J14" s="80">
        <v>3</v>
      </c>
      <c r="K14" s="80">
        <v>4</v>
      </c>
      <c r="L14" s="80">
        <v>5</v>
      </c>
      <c r="M14" s="80">
        <v>6</v>
      </c>
      <c r="N14" s="80"/>
      <c r="O14" s="83"/>
      <c r="P14" s="32"/>
      <c r="Q14" s="84"/>
    </row>
    <row r="15" ht="20.1" customHeight="1" spans="1:34">
      <c r="A15" s="85"/>
      <c r="B15" s="86"/>
      <c r="C15" s="87"/>
      <c r="D15" s="86"/>
      <c r="E15" s="86"/>
      <c r="F15" s="88"/>
      <c r="G15" s="89"/>
      <c r="H15" s="90"/>
      <c r="I15" s="90"/>
      <c r="J15" s="90"/>
      <c r="K15" s="90"/>
      <c r="L15" s="90"/>
      <c r="M15" s="90"/>
      <c r="N15" s="90"/>
      <c r="O15" s="91"/>
      <c r="P15" s="91"/>
      <c r="Q15" s="87"/>
      <c r="U15" s="70"/>
      <c r="V15" s="70"/>
      <c r="W15" s="70"/>
      <c r="X15" s="70"/>
      <c r="Y15" s="62"/>
      <c r="Z15" s="70"/>
      <c r="AA15" s="70"/>
      <c r="AB15" s="70"/>
      <c r="AC15" s="70"/>
      <c r="AD15" s="62"/>
      <c r="AE15" s="62"/>
      <c r="AF15" s="62"/>
      <c r="AG15" s="62"/>
      <c r="AH15" s="62"/>
    </row>
    <row r="16" ht="20.1" customHeight="1" spans="1:34">
      <c r="A16" s="85"/>
      <c r="B16" s="86"/>
      <c r="C16" s="87"/>
      <c r="D16" s="86"/>
      <c r="E16" s="86"/>
      <c r="F16" s="88"/>
      <c r="G16" s="89"/>
      <c r="H16" s="90"/>
      <c r="I16" s="90"/>
      <c r="J16" s="90"/>
      <c r="K16" s="90"/>
      <c r="L16" s="90"/>
      <c r="M16" s="90"/>
      <c r="N16" s="90"/>
      <c r="O16" s="91"/>
      <c r="P16" s="91"/>
      <c r="Q16" s="87"/>
      <c r="AB16" s="74"/>
      <c r="AC16" s="62"/>
      <c r="AD16" s="62"/>
      <c r="AE16" s="92"/>
      <c r="AF16" s="92"/>
      <c r="AG16" s="92"/>
      <c r="AH16" s="62"/>
    </row>
    <row r="17" ht="20.1" customHeight="1" spans="1:34">
      <c r="A17" s="85"/>
      <c r="B17" s="86"/>
      <c r="C17" s="87"/>
      <c r="D17" s="86"/>
      <c r="E17" s="86"/>
      <c r="F17" s="88"/>
      <c r="G17" s="89"/>
      <c r="H17" s="90"/>
      <c r="I17" s="90"/>
      <c r="J17" s="90"/>
      <c r="K17" s="90"/>
      <c r="L17" s="90"/>
      <c r="M17" s="90"/>
      <c r="N17" s="90"/>
      <c r="O17" s="91"/>
      <c r="P17" s="91"/>
      <c r="Q17" s="87"/>
      <c r="AB17" s="74"/>
      <c r="AC17" s="62"/>
      <c r="AD17" s="62"/>
      <c r="AE17" s="92"/>
      <c r="AF17" s="92"/>
      <c r="AG17" s="92"/>
      <c r="AH17" s="62"/>
    </row>
    <row r="18" ht="20.1" customHeight="1" spans="1:34">
      <c r="A18" s="85"/>
      <c r="B18" s="86"/>
      <c r="C18" s="87"/>
      <c r="D18" s="86"/>
      <c r="E18" s="86"/>
      <c r="F18" s="88"/>
      <c r="G18" s="89"/>
      <c r="H18" s="90"/>
      <c r="I18" s="90"/>
      <c r="J18" s="90"/>
      <c r="K18" s="90"/>
      <c r="L18" s="90"/>
      <c r="M18" s="90"/>
      <c r="N18" s="90"/>
      <c r="O18" s="91"/>
      <c r="P18" s="91"/>
      <c r="Q18" s="87"/>
      <c r="AB18" s="74"/>
      <c r="AC18" s="62"/>
      <c r="AD18" s="62"/>
      <c r="AE18" s="92"/>
      <c r="AF18" s="92"/>
      <c r="AG18" s="92"/>
      <c r="AH18" s="62"/>
    </row>
    <row r="19" ht="20.1" customHeight="1" spans="1:34">
      <c r="A19" s="85"/>
      <c r="B19" s="86"/>
      <c r="C19" s="87"/>
      <c r="D19" s="86"/>
      <c r="E19" s="86"/>
      <c r="F19" s="88"/>
      <c r="G19" s="89"/>
      <c r="H19" s="90"/>
      <c r="I19" s="90"/>
      <c r="J19" s="90"/>
      <c r="K19" s="90"/>
      <c r="L19" s="90"/>
      <c r="M19" s="90"/>
      <c r="N19" s="90"/>
      <c r="O19" s="91"/>
      <c r="P19" s="91"/>
      <c r="Q19" s="87"/>
      <c r="AB19" s="74"/>
      <c r="AC19" s="62"/>
      <c r="AD19" s="62"/>
      <c r="AE19" s="92"/>
      <c r="AF19" s="92"/>
      <c r="AG19" s="92"/>
      <c r="AH19" s="62"/>
    </row>
    <row r="20" ht="20.1" customHeight="1" spans="1:34">
      <c r="A20" s="85"/>
      <c r="B20" s="86"/>
      <c r="C20" s="87"/>
      <c r="D20" s="86"/>
      <c r="E20" s="86"/>
      <c r="F20" s="88"/>
      <c r="G20" s="89"/>
      <c r="H20" s="90"/>
      <c r="I20" s="90"/>
      <c r="J20" s="90"/>
      <c r="K20" s="90"/>
      <c r="L20" s="90"/>
      <c r="M20" s="90"/>
      <c r="N20" s="90"/>
      <c r="O20" s="91"/>
      <c r="P20" s="91"/>
      <c r="Q20" s="87"/>
      <c r="AB20" s="74"/>
      <c r="AC20" s="62"/>
      <c r="AD20" s="62"/>
      <c r="AE20" s="92"/>
      <c r="AF20" s="92"/>
      <c r="AG20" s="92"/>
      <c r="AH20" s="62"/>
    </row>
    <row r="21" ht="20.1" customHeight="1" spans="1:34">
      <c r="A21" s="85"/>
      <c r="B21" s="86"/>
      <c r="C21" s="87"/>
      <c r="D21" s="86"/>
      <c r="E21" s="86"/>
      <c r="F21" s="88"/>
      <c r="G21" s="89"/>
      <c r="H21" s="90"/>
      <c r="I21" s="90"/>
      <c r="J21" s="90"/>
      <c r="K21" s="90"/>
      <c r="L21" s="90"/>
      <c r="M21" s="90"/>
      <c r="N21" s="90"/>
      <c r="O21" s="91"/>
      <c r="P21" s="91"/>
      <c r="Q21" s="87"/>
      <c r="AC21" s="73"/>
      <c r="AD21" s="62"/>
      <c r="AE21" s="92"/>
      <c r="AF21" s="72"/>
      <c r="AG21" s="73"/>
      <c r="AH21" s="62"/>
    </row>
    <row r="22" ht="20.1" customHeight="1" spans="1:34">
      <c r="A22" s="85"/>
      <c r="B22" s="86"/>
      <c r="C22" s="87"/>
      <c r="D22" s="86"/>
      <c r="E22" s="86"/>
      <c r="F22" s="88"/>
      <c r="G22" s="89"/>
      <c r="H22" s="90"/>
      <c r="I22" s="90"/>
      <c r="J22" s="90"/>
      <c r="K22" s="90"/>
      <c r="L22" s="90"/>
      <c r="M22" s="90"/>
      <c r="N22" s="90"/>
      <c r="O22" s="91"/>
      <c r="P22" s="91"/>
      <c r="Q22" s="87"/>
      <c r="AC22" s="73"/>
      <c r="AD22" s="62"/>
      <c r="AE22" s="92"/>
      <c r="AF22" s="72"/>
      <c r="AG22" s="73"/>
      <c r="AH22" s="62"/>
    </row>
    <row r="23" ht="20.1" customHeight="1" spans="1:34">
      <c r="A23" s="85"/>
      <c r="B23" s="86"/>
      <c r="C23" s="87"/>
      <c r="D23" s="86"/>
      <c r="E23" s="86"/>
      <c r="F23" s="88"/>
      <c r="G23" s="89"/>
      <c r="H23" s="90"/>
      <c r="I23" s="90"/>
      <c r="J23" s="90"/>
      <c r="K23" s="90"/>
      <c r="L23" s="90"/>
      <c r="M23" s="90"/>
      <c r="N23" s="90"/>
      <c r="O23" s="91"/>
      <c r="P23" s="91"/>
      <c r="Q23" s="87"/>
      <c r="AC23" s="73"/>
      <c r="AD23" s="62"/>
      <c r="AE23" s="92"/>
      <c r="AF23" s="72"/>
      <c r="AG23" s="73"/>
      <c r="AH23" s="62"/>
    </row>
    <row r="24" ht="20.1" customHeight="1" spans="1:34">
      <c r="A24" s="85"/>
      <c r="B24" s="86"/>
      <c r="C24" s="87"/>
      <c r="D24" s="86"/>
      <c r="E24" s="86"/>
      <c r="F24" s="88"/>
      <c r="G24" s="89"/>
      <c r="H24" s="90"/>
      <c r="I24" s="90"/>
      <c r="J24" s="90"/>
      <c r="K24" s="90"/>
      <c r="L24" s="90"/>
      <c r="M24" s="90"/>
      <c r="N24" s="90"/>
      <c r="O24" s="91"/>
      <c r="P24" s="91"/>
      <c r="Q24" s="87"/>
      <c r="AC24" s="73"/>
      <c r="AD24" s="62"/>
      <c r="AE24" s="92"/>
      <c r="AF24" s="72"/>
      <c r="AG24" s="73"/>
      <c r="AH24" s="62"/>
    </row>
    <row r="25" ht="20.1" customHeight="1" spans="1:34">
      <c r="A25" s="85"/>
      <c r="B25" s="86"/>
      <c r="C25" s="87"/>
      <c r="D25" s="86"/>
      <c r="E25" s="86"/>
      <c r="F25" s="88"/>
      <c r="G25" s="89"/>
      <c r="H25" s="90"/>
      <c r="I25" s="90"/>
      <c r="J25" s="90"/>
      <c r="K25" s="90"/>
      <c r="L25" s="90"/>
      <c r="M25" s="90"/>
      <c r="N25" s="90"/>
      <c r="O25" s="91"/>
      <c r="P25" s="91"/>
      <c r="Q25" s="87"/>
      <c r="AB25" s="74"/>
      <c r="AC25" s="62"/>
      <c r="AD25" s="92" t="s">
        <v>1220</v>
      </c>
      <c r="AE25" s="92"/>
      <c r="AF25" s="72"/>
      <c r="AG25" s="73"/>
      <c r="AH25" s="62"/>
    </row>
    <row r="26" s="63" customFormat="1" ht="20.1" customHeight="1" spans="1:34">
      <c r="A26" s="93" t="s">
        <v>140</v>
      </c>
      <c r="B26" s="93"/>
      <c r="C26" s="93"/>
      <c r="D26" s="93"/>
      <c r="E26" s="94"/>
      <c r="F26" s="95">
        <f>SUM(F15:F25)</f>
        <v>0</v>
      </c>
      <c r="G26" s="96"/>
      <c r="H26" s="97"/>
      <c r="I26" s="97"/>
      <c r="J26" s="97"/>
      <c r="K26" s="97"/>
      <c r="L26" s="97"/>
      <c r="M26" s="97"/>
      <c r="N26" s="97"/>
      <c r="O26" s="80"/>
      <c r="P26" s="80"/>
      <c r="Q26" s="98"/>
      <c r="U26" s="99"/>
      <c r="V26" s="99"/>
      <c r="W26" s="100"/>
      <c r="X26" s="101"/>
      <c r="Y26" s="102"/>
      <c r="Z26" s="103"/>
      <c r="AA26" s="103"/>
      <c r="AB26" s="103"/>
      <c r="AC26" s="103"/>
      <c r="AD26" s="103"/>
      <c r="AE26" s="103"/>
      <c r="AF26" s="103"/>
      <c r="AG26" s="103"/>
      <c r="AH26" s="103"/>
    </row>
    <row r="27" s="63" customFormat="1" ht="20.1" customHeight="1" spans="1:34">
      <c r="A27" s="93" t="s">
        <v>171</v>
      </c>
      <c r="B27" s="93"/>
      <c r="C27" s="93"/>
      <c r="D27" s="93"/>
      <c r="E27" s="94"/>
      <c r="F27" s="95">
        <f>'[17]其他业务毛利率分析表D4-33'!B24</f>
        <v>0</v>
      </c>
      <c r="G27" s="96"/>
      <c r="H27" s="97"/>
      <c r="I27" s="97"/>
      <c r="J27" s="97"/>
      <c r="K27" s="97"/>
      <c r="L27" s="97"/>
      <c r="M27" s="97"/>
      <c r="N27" s="97"/>
      <c r="O27" s="80"/>
      <c r="P27" s="80"/>
      <c r="Q27" s="98"/>
      <c r="U27" s="99"/>
      <c r="V27" s="99"/>
      <c r="W27" s="100"/>
      <c r="X27" s="101"/>
      <c r="Y27" s="102"/>
      <c r="Z27" s="103"/>
      <c r="AA27" s="103"/>
      <c r="AB27" s="103"/>
      <c r="AC27" s="103"/>
      <c r="AD27" s="103"/>
      <c r="AE27" s="103"/>
      <c r="AF27" s="103"/>
      <c r="AG27" s="103"/>
      <c r="AH27" s="103"/>
    </row>
    <row r="28" s="63" customFormat="1" ht="20.1" customHeight="1" spans="1:34">
      <c r="A28" s="93" t="s">
        <v>586</v>
      </c>
      <c r="B28" s="93"/>
      <c r="C28" s="93"/>
      <c r="D28" s="93"/>
      <c r="E28" s="94"/>
      <c r="F28" s="104" t="e">
        <f>F26/F27</f>
        <v>#DIV/0!</v>
      </c>
      <c r="G28" s="96"/>
      <c r="H28" s="97"/>
      <c r="I28" s="97"/>
      <c r="J28" s="97"/>
      <c r="K28" s="97"/>
      <c r="L28" s="97"/>
      <c r="M28" s="97"/>
      <c r="N28" s="97"/>
      <c r="O28" s="80"/>
      <c r="P28" s="80"/>
      <c r="Q28" s="98"/>
    </row>
    <row r="29" ht="20.1" customHeight="1" spans="1:34">
      <c r="A29" s="75" t="s">
        <v>587</v>
      </c>
      <c r="H29" s="61"/>
      <c r="I29" s="105"/>
      <c r="J29" s="105"/>
      <c r="K29" s="105"/>
      <c r="L29" s="105"/>
      <c r="M29" s="105"/>
      <c r="N29" s="105"/>
      <c r="O29" s="105"/>
      <c r="P29" s="105"/>
      <c r="Q29" s="66"/>
    </row>
    <row r="30" ht="20.1" customHeight="1" spans="1:34">
      <c r="H30" s="66"/>
      <c r="J30" s="66"/>
      <c r="K30" s="66"/>
      <c r="L30" s="66"/>
      <c r="M30" s="66"/>
      <c r="N30" s="66"/>
      <c r="O30" s="66"/>
      <c r="P30" s="66"/>
      <c r="Q30" s="66"/>
    </row>
    <row r="31" ht="20.1" customHeight="1" spans="1:34">
      <c r="H31" s="66"/>
      <c r="I31" s="66"/>
      <c r="J31" s="66"/>
      <c r="K31" s="66"/>
      <c r="L31" s="66"/>
      <c r="M31" s="66"/>
      <c r="N31" s="66"/>
      <c r="O31" s="66"/>
      <c r="P31" s="66"/>
      <c r="Q31" s="66"/>
    </row>
    <row r="32" ht="20.1" customHeight="1" spans="1:34">
      <c r="H32" s="66"/>
      <c r="I32" s="66"/>
      <c r="J32" s="66"/>
      <c r="K32" s="66"/>
      <c r="L32" s="66"/>
      <c r="M32" s="66"/>
      <c r="N32" s="66"/>
      <c r="O32" s="66"/>
      <c r="P32" s="66"/>
      <c r="Q32" s="66"/>
    </row>
    <row r="33" ht="20.1" customHeight="1" spans="1:17">
      <c r="A33" s="61" t="s">
        <v>589</v>
      </c>
      <c r="H33" s="66"/>
      <c r="I33" s="66"/>
      <c r="J33" s="66"/>
      <c r="K33" s="66"/>
      <c r="L33" s="66"/>
      <c r="M33" s="66"/>
      <c r="N33" s="66"/>
      <c r="O33" s="66"/>
      <c r="P33" s="66"/>
      <c r="Q33" s="66"/>
    </row>
    <row r="34" ht="20.1" customHeight="1" spans="1:17">
      <c r="H34" s="66"/>
      <c r="I34" s="66"/>
      <c r="J34" s="66"/>
      <c r="K34" s="66"/>
      <c r="L34" s="66"/>
      <c r="M34" s="66"/>
      <c r="N34" s="66"/>
      <c r="O34" s="66"/>
      <c r="P34" s="66"/>
      <c r="Q34" s="66"/>
    </row>
    <row r="35" ht="18" customHeight="1" spans="1:17">
      <c r="A35" s="105"/>
      <c r="C35" s="66"/>
      <c r="D35" s="66"/>
      <c r="E35" s="66"/>
      <c r="F35" s="66"/>
      <c r="G35" s="66"/>
      <c r="H35" s="66"/>
      <c r="I35" s="66"/>
      <c r="J35" s="66"/>
      <c r="K35" s="66"/>
      <c r="L35" s="66"/>
      <c r="M35" s="66"/>
      <c r="N35" s="66"/>
      <c r="O35" s="66"/>
      <c r="P35" s="66"/>
      <c r="Q35" s="66"/>
    </row>
    <row r="36" ht="18" customHeight="1" spans="1:17">
      <c r="A36" s="105"/>
      <c r="C36" s="66"/>
      <c r="D36" s="66"/>
      <c r="E36" s="66"/>
      <c r="F36" s="66"/>
      <c r="G36" s="66"/>
      <c r="H36" s="66"/>
      <c r="I36" s="66"/>
      <c r="J36" s="66"/>
      <c r="K36" s="66"/>
      <c r="L36" s="66"/>
      <c r="M36" s="66"/>
      <c r="N36" s="66"/>
      <c r="O36" s="66"/>
      <c r="P36" s="66"/>
      <c r="Q36" s="66"/>
    </row>
  </sheetData>
  <mergeCells count="16">
    <mergeCell ref="A1:Q1"/>
    <mergeCell ref="A2:Q2"/>
    <mergeCell ref="H13:N13"/>
    <mergeCell ref="A26:D26"/>
    <mergeCell ref="A27:D27"/>
    <mergeCell ref="A28:D28"/>
    <mergeCell ref="A13:A14"/>
    <mergeCell ref="B13:B14"/>
    <mergeCell ref="C13:C14"/>
    <mergeCell ref="D13:D14"/>
    <mergeCell ref="E13:E14"/>
    <mergeCell ref="F13:F14"/>
    <mergeCell ref="G13:G14"/>
    <mergeCell ref="O13:O14"/>
    <mergeCell ref="P13:P14"/>
    <mergeCell ref="Q13:Q14"/>
  </mergeCells>
  <dataValidations count="1">
    <dataValidation type="list" allowBlank="1" showInputMessage="1" showErrorMessage="1" sqref="H15:N28">
      <formula1>"√,×"</formula1>
    </dataValidation>
  </dataValidations>
  <hyperlinks>
    <hyperlink ref="Q3" location="底稿目录!A1" display="='D:\GT_plan\backend\wp_templates\D\[D4-33至D4-36 其他业务收入.xlsx]底稿目录'!F5"/>
  </hyperlinks>
  <pageMargins left="0.708661417322835" right="0.708661417322835" top="0.748031496062992" bottom="0.748031496062992" header="0.31496062992126" footer="0.31496062992126"/>
  <pageSetup paperSize="9" scale="80" orientation="landscape" blackAndWhite="1"/>
  <headerFooter>
    <oddFooter>&amp;C&amp;P/&amp;N</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view="pageBreakPreview" zoomScaleNormal="100" workbookViewId="0">
      <selection activeCell="A1" sqref="A1:K1"/>
    </sheetView>
  </sheetViews>
  <sheetFormatPr defaultColWidth="9.81818181818182" defaultRowHeight="20.1" customHeight="1"/>
  <cols>
    <col min="1" max="11" width="9.81818181818182" style="2"/>
    <col min="12" max="12" width="9.49090909090909" style="2" customWidth="1"/>
    <col min="13" max="16384" width="9.81818181818182" style="2"/>
  </cols>
  <sheetData>
    <row r="1" customHeight="1" spans="1:13">
      <c r="A1" s="3" t="s">
        <v>27</v>
      </c>
      <c r="B1" s="3"/>
      <c r="C1" s="3"/>
      <c r="D1" s="3"/>
      <c r="E1" s="3"/>
      <c r="F1" s="3"/>
      <c r="G1" s="3"/>
      <c r="H1" s="3"/>
      <c r="I1" s="3"/>
      <c r="J1" s="3"/>
      <c r="K1" s="3"/>
      <c r="L1" s="4"/>
      <c r="M1" s="4"/>
    </row>
    <row r="2" customHeight="1" spans="1:13">
      <c r="A2" s="5" t="s">
        <v>1182</v>
      </c>
      <c r="B2" s="5"/>
      <c r="C2" s="5"/>
      <c r="D2" s="5"/>
      <c r="E2" s="5"/>
      <c r="F2" s="5"/>
      <c r="G2" s="5"/>
      <c r="H2" s="5"/>
      <c r="I2" s="5"/>
      <c r="J2" s="5"/>
      <c r="K2" s="5"/>
      <c r="L2" s="4"/>
      <c r="M2" s="4"/>
    </row>
    <row r="3" customHeight="1" spans="1:13">
      <c r="A3" s="6" t="str">
        <f>[17]底稿目录!A2</f>
        <v>被审计单位：</v>
      </c>
      <c r="B3" s="6"/>
      <c r="C3" s="6"/>
      <c r="D3" s="6"/>
      <c r="E3" s="7" t="str">
        <f>[17]底稿目录!A4</f>
        <v>编制人：</v>
      </c>
      <c r="F3" s="8"/>
      <c r="G3" s="8"/>
      <c r="H3" s="7" t="str">
        <f>[17]底稿目录!A5</f>
        <v>编制日期：</v>
      </c>
      <c r="I3" s="8"/>
      <c r="J3" s="7" t="s">
        <v>1221</v>
      </c>
      <c r="K3" s="9" t="str">
        <f>[17]底稿目录!F6</f>
        <v>D4-36</v>
      </c>
    </row>
    <row r="4" customHeight="1" spans="1:13">
      <c r="A4" s="6" t="str">
        <f>[17]底稿目录!A3</f>
        <v>会计期间：202X年度</v>
      </c>
      <c r="B4" s="6"/>
      <c r="C4" s="6"/>
      <c r="D4" s="6"/>
      <c r="E4" s="7" t="str">
        <f>[17]底稿目录!A6</f>
        <v>复核人：</v>
      </c>
      <c r="F4" s="8"/>
      <c r="G4" s="8"/>
      <c r="H4" s="7" t="str">
        <f>[17]底稿目录!A7</f>
        <v>复核日期：</v>
      </c>
      <c r="I4" s="8"/>
      <c r="J4" s="10" t="s">
        <v>129</v>
      </c>
      <c r="K4" s="8"/>
    </row>
    <row r="5" s="1" customFormat="1" customHeight="1" spans="1:13">
      <c r="A5" s="11" t="s">
        <v>252</v>
      </c>
      <c r="B5" s="12"/>
      <c r="C5" s="12"/>
      <c r="D5" s="12"/>
      <c r="E5" s="12"/>
      <c r="F5" s="12"/>
      <c r="G5" s="12"/>
      <c r="H5" s="12"/>
      <c r="I5" s="12"/>
      <c r="J5" s="12"/>
      <c r="K5" s="13"/>
    </row>
    <row r="6" s="1" customFormat="1" customHeight="1" spans="1:13">
      <c r="A6" s="14" t="s">
        <v>1222</v>
      </c>
      <c r="B6" s="15"/>
      <c r="C6" s="14"/>
      <c r="D6" s="14"/>
      <c r="E6" s="14"/>
      <c r="F6" s="14"/>
      <c r="G6" s="14"/>
      <c r="H6" s="14"/>
      <c r="I6" s="14"/>
      <c r="J6" s="14"/>
      <c r="K6" s="13"/>
    </row>
    <row r="7" s="1" customFormat="1" customHeight="1" spans="1:13">
      <c r="A7" s="11" t="s">
        <v>254</v>
      </c>
      <c r="B7" s="12"/>
      <c r="C7" s="12"/>
      <c r="D7" s="12"/>
      <c r="E7" s="12"/>
      <c r="F7" s="12"/>
      <c r="G7" s="12"/>
      <c r="H7" s="12"/>
      <c r="I7" s="12"/>
      <c r="J7" s="12"/>
      <c r="K7" s="13"/>
    </row>
    <row r="8" s="1" customFormat="1" customHeight="1" spans="1:13">
      <c r="A8" s="16" t="s">
        <v>1223</v>
      </c>
      <c r="B8" s="17"/>
      <c r="C8" s="18"/>
      <c r="D8" s="18"/>
      <c r="E8" s="18"/>
      <c r="F8" s="18"/>
      <c r="G8" s="18"/>
      <c r="H8" s="18"/>
      <c r="I8" s="18"/>
      <c r="J8" s="18"/>
      <c r="K8" s="13"/>
    </row>
    <row r="9" s="1" customFormat="1" customHeight="1" spans="1:13">
      <c r="A9" s="16" t="s">
        <v>1224</v>
      </c>
      <c r="B9" s="17"/>
      <c r="C9" s="18"/>
      <c r="D9" s="18"/>
      <c r="E9" s="18"/>
      <c r="F9" s="18"/>
      <c r="G9" s="18"/>
      <c r="H9" s="18"/>
      <c r="I9" s="18"/>
      <c r="J9" s="18"/>
      <c r="K9" s="13"/>
    </row>
    <row r="10" s="1" customFormat="1" customHeight="1" spans="1:13">
      <c r="A10" s="16" t="s">
        <v>1225</v>
      </c>
      <c r="B10" s="14"/>
      <c r="C10" s="12"/>
      <c r="D10" s="12"/>
      <c r="E10" s="12"/>
      <c r="F10" s="12"/>
      <c r="G10" s="12"/>
      <c r="H10" s="12"/>
      <c r="I10" s="12"/>
      <c r="J10" s="12"/>
      <c r="K10" s="13"/>
    </row>
    <row r="11" s="1" customFormat="1" customHeight="1" spans="1:13">
      <c r="A11" s="16" t="s">
        <v>1224</v>
      </c>
      <c r="B11" s="14"/>
      <c r="C11" s="12"/>
      <c r="D11" s="12"/>
      <c r="E11" s="12"/>
      <c r="F11" s="12"/>
      <c r="G11" s="12"/>
      <c r="H11" s="12"/>
      <c r="I11" s="12"/>
      <c r="J11" s="12"/>
      <c r="K11" s="13"/>
    </row>
    <row r="12" s="1" customFormat="1" ht="36" customHeight="1" spans="1:13">
      <c r="A12" s="19" t="s">
        <v>1226</v>
      </c>
      <c r="B12" s="19"/>
      <c r="C12" s="19"/>
      <c r="D12" s="19"/>
      <c r="E12" s="19"/>
      <c r="F12" s="19"/>
      <c r="G12" s="19"/>
      <c r="H12" s="19"/>
      <c r="I12" s="19"/>
      <c r="J12" s="19"/>
      <c r="K12" s="19"/>
    </row>
    <row r="13" s="1" customFormat="1" customHeight="1" spans="1:13">
      <c r="A13" s="20" t="s">
        <v>1227</v>
      </c>
      <c r="B13" s="21"/>
      <c r="C13" s="22"/>
      <c r="D13" s="22"/>
      <c r="E13" s="22"/>
      <c r="F13" s="22"/>
      <c r="G13" s="22"/>
      <c r="H13" s="22"/>
      <c r="I13" s="22"/>
      <c r="J13" s="22"/>
    </row>
    <row r="14" customHeight="1" spans="1:13">
      <c r="A14" s="23" t="s">
        <v>566</v>
      </c>
      <c r="B14" s="24"/>
      <c r="C14" s="24"/>
      <c r="D14" s="24"/>
      <c r="E14" s="25"/>
      <c r="F14" s="26" t="s">
        <v>1228</v>
      </c>
      <c r="G14" s="27"/>
      <c r="H14" s="27"/>
      <c r="I14" s="27"/>
      <c r="J14" s="28"/>
      <c r="K14" s="29" t="s">
        <v>1229</v>
      </c>
    </row>
    <row r="15" customHeight="1" spans="1:13">
      <c r="A15" s="30" t="s">
        <v>576</v>
      </c>
      <c r="B15" s="30" t="s">
        <v>577</v>
      </c>
      <c r="C15" s="30" t="s">
        <v>578</v>
      </c>
      <c r="D15" s="30" t="s">
        <v>405</v>
      </c>
      <c r="E15" s="30" t="s">
        <v>417</v>
      </c>
      <c r="F15" s="30" t="s">
        <v>576</v>
      </c>
      <c r="G15" s="30" t="s">
        <v>577</v>
      </c>
      <c r="H15" s="31" t="s">
        <v>578</v>
      </c>
      <c r="I15" s="31" t="s">
        <v>405</v>
      </c>
      <c r="J15" s="31" t="s">
        <v>417</v>
      </c>
      <c r="K15" s="32"/>
    </row>
    <row r="16" customHeight="1" spans="1:13">
      <c r="A16" s="33"/>
      <c r="B16" s="34"/>
      <c r="C16" s="34"/>
      <c r="D16" s="35"/>
      <c r="E16" s="35"/>
      <c r="F16" s="35"/>
      <c r="G16" s="36"/>
      <c r="H16" s="37"/>
      <c r="I16" s="37"/>
      <c r="J16" s="37"/>
      <c r="K16" s="35"/>
    </row>
    <row r="17" customHeight="1" spans="1:11">
      <c r="A17" s="33"/>
      <c r="B17" s="34"/>
      <c r="C17" s="34"/>
      <c r="D17" s="35"/>
      <c r="E17" s="35"/>
      <c r="F17" s="35"/>
      <c r="G17" s="36"/>
      <c r="H17" s="37"/>
      <c r="I17" s="37"/>
      <c r="J17" s="37"/>
      <c r="K17" s="35"/>
    </row>
    <row r="18" customHeight="1" spans="1:11">
      <c r="A18" s="33"/>
      <c r="B18" s="34"/>
      <c r="C18" s="34"/>
      <c r="D18" s="35"/>
      <c r="E18" s="35"/>
      <c r="F18" s="35"/>
      <c r="G18" s="36"/>
      <c r="H18" s="37"/>
      <c r="I18" s="37"/>
      <c r="J18" s="37"/>
      <c r="K18" s="35"/>
    </row>
    <row r="19" customHeight="1" spans="1:11">
      <c r="A19" s="33"/>
      <c r="B19" s="34"/>
      <c r="C19" s="34"/>
      <c r="D19" s="35"/>
      <c r="E19" s="35"/>
      <c r="F19" s="35"/>
      <c r="G19" s="36"/>
      <c r="H19" s="37"/>
      <c r="I19" s="37"/>
      <c r="J19" s="37"/>
      <c r="K19" s="35"/>
    </row>
    <row r="20" customHeight="1" spans="1:11">
      <c r="A20" s="33"/>
      <c r="B20" s="34"/>
      <c r="C20" s="34"/>
      <c r="D20" s="35"/>
      <c r="E20" s="35"/>
      <c r="F20" s="35"/>
      <c r="G20" s="36"/>
      <c r="H20" s="37"/>
      <c r="I20" s="37"/>
      <c r="J20" s="37"/>
      <c r="K20" s="35"/>
    </row>
    <row r="21" customHeight="1" spans="1:11">
      <c r="A21" s="33"/>
      <c r="B21" s="34"/>
      <c r="C21" s="34"/>
      <c r="D21" s="35"/>
      <c r="E21" s="35"/>
      <c r="F21" s="35"/>
      <c r="G21" s="36"/>
      <c r="H21" s="37"/>
      <c r="I21" s="37"/>
      <c r="J21" s="37"/>
      <c r="K21" s="35"/>
    </row>
    <row r="22" customHeight="1" spans="1:11">
      <c r="A22" s="33"/>
      <c r="B22" s="34"/>
      <c r="C22" s="34"/>
      <c r="D22" s="35"/>
      <c r="E22" s="35"/>
      <c r="F22" s="35"/>
      <c r="G22" s="36"/>
      <c r="H22" s="37"/>
      <c r="I22" s="37"/>
      <c r="J22" s="37"/>
      <c r="K22" s="35"/>
    </row>
    <row r="23" customHeight="1" spans="1:11">
      <c r="A23" s="33"/>
      <c r="B23" s="34"/>
      <c r="C23" s="34"/>
      <c r="D23" s="35"/>
      <c r="E23" s="35"/>
      <c r="F23" s="35"/>
      <c r="G23" s="36"/>
      <c r="H23" s="37"/>
      <c r="I23" s="37"/>
      <c r="J23" s="37"/>
      <c r="K23" s="35"/>
    </row>
    <row r="24" customHeight="1" spans="1:11">
      <c r="A24" s="38" t="s">
        <v>1230</v>
      </c>
      <c r="B24" s="38"/>
      <c r="C24" s="38"/>
      <c r="D24" s="38"/>
      <c r="E24" s="38"/>
      <c r="F24" s="38"/>
      <c r="G24" s="38"/>
      <c r="H24" s="38"/>
      <c r="I24" s="38"/>
      <c r="J24" s="38"/>
      <c r="K24" s="38"/>
    </row>
    <row r="25" customHeight="1" spans="1:11">
      <c r="A25" s="33"/>
      <c r="B25" s="34"/>
      <c r="C25" s="34"/>
      <c r="D25" s="35"/>
      <c r="E25" s="35"/>
      <c r="F25" s="35"/>
      <c r="G25" s="36"/>
      <c r="H25" s="37"/>
      <c r="I25" s="37"/>
      <c r="J25" s="37"/>
      <c r="K25" s="35"/>
    </row>
    <row r="26" customHeight="1" spans="1:11">
      <c r="A26" s="33"/>
      <c r="B26" s="34"/>
      <c r="C26" s="34"/>
      <c r="D26" s="35"/>
      <c r="E26" s="35"/>
      <c r="F26" s="35"/>
      <c r="G26" s="36"/>
      <c r="H26" s="37"/>
      <c r="I26" s="37"/>
      <c r="J26" s="37"/>
      <c r="K26" s="35"/>
    </row>
    <row r="27" customHeight="1" spans="1:11">
      <c r="A27" s="33"/>
      <c r="B27" s="34"/>
      <c r="C27" s="34"/>
      <c r="D27" s="35"/>
      <c r="E27" s="35"/>
      <c r="F27" s="35"/>
      <c r="G27" s="36"/>
      <c r="H27" s="37"/>
      <c r="I27" s="37"/>
      <c r="J27" s="37"/>
      <c r="K27" s="35"/>
    </row>
    <row r="28" customHeight="1" spans="1:11">
      <c r="A28" s="33"/>
      <c r="B28" s="34"/>
      <c r="C28" s="34"/>
      <c r="D28" s="35"/>
      <c r="E28" s="35"/>
      <c r="F28" s="35"/>
      <c r="G28" s="36"/>
      <c r="H28" s="37"/>
      <c r="I28" s="37"/>
      <c r="J28" s="37"/>
      <c r="K28" s="35"/>
    </row>
    <row r="29" customHeight="1" spans="1:11">
      <c r="A29" s="33"/>
      <c r="B29" s="34"/>
      <c r="C29" s="34"/>
      <c r="D29" s="35"/>
      <c r="E29" s="35"/>
      <c r="F29" s="35"/>
      <c r="G29" s="36"/>
      <c r="H29" s="37"/>
      <c r="I29" s="37"/>
      <c r="J29" s="37"/>
      <c r="K29" s="35"/>
    </row>
    <row r="30" customHeight="1" spans="1:11">
      <c r="A30" s="33"/>
      <c r="B30" s="34"/>
      <c r="C30" s="34"/>
      <c r="D30" s="35"/>
      <c r="E30" s="35"/>
      <c r="F30" s="35"/>
      <c r="G30" s="36"/>
      <c r="H30" s="37"/>
      <c r="I30" s="37"/>
      <c r="J30" s="37"/>
      <c r="K30" s="35"/>
    </row>
    <row r="31" customHeight="1" spans="1:11">
      <c r="A31" s="33"/>
      <c r="B31" s="34"/>
      <c r="C31" s="34"/>
      <c r="D31" s="35"/>
      <c r="E31" s="35"/>
      <c r="F31" s="35"/>
      <c r="G31" s="36"/>
      <c r="H31" s="37"/>
      <c r="I31" s="37"/>
      <c r="J31" s="37"/>
      <c r="K31" s="35"/>
    </row>
    <row r="32" customHeight="1" spans="1:11">
      <c r="A32" s="33"/>
      <c r="B32" s="34"/>
      <c r="C32" s="34"/>
      <c r="D32" s="35"/>
      <c r="E32" s="35"/>
      <c r="F32" s="35"/>
      <c r="G32" s="36"/>
      <c r="H32" s="37"/>
      <c r="I32" s="37"/>
      <c r="J32" s="37"/>
      <c r="K32" s="35"/>
    </row>
    <row r="33" customHeight="1" spans="1:11">
      <c r="A33" s="39" t="s">
        <v>1231</v>
      </c>
      <c r="B33" s="40"/>
      <c r="C33" s="40"/>
      <c r="D33" s="41"/>
      <c r="E33" s="41"/>
      <c r="F33" s="41"/>
      <c r="G33" s="42"/>
      <c r="H33" s="42"/>
      <c r="I33" s="42"/>
      <c r="J33" s="42"/>
      <c r="K33" s="41"/>
    </row>
    <row r="34" customHeight="1" spans="1:11">
      <c r="A34" s="43" t="s">
        <v>1228</v>
      </c>
      <c r="B34" s="43"/>
      <c r="C34" s="43"/>
      <c r="D34" s="43"/>
      <c r="E34" s="43"/>
      <c r="F34" s="31" t="s">
        <v>566</v>
      </c>
      <c r="G34" s="31"/>
      <c r="H34" s="31"/>
      <c r="I34" s="31"/>
      <c r="J34" s="31"/>
      <c r="K34" s="44" t="s">
        <v>616</v>
      </c>
    </row>
    <row r="35" customHeight="1" spans="1:11">
      <c r="A35" s="31" t="s">
        <v>576</v>
      </c>
      <c r="B35" s="31" t="s">
        <v>577</v>
      </c>
      <c r="C35" s="31" t="s">
        <v>578</v>
      </c>
      <c r="D35" s="31" t="s">
        <v>405</v>
      </c>
      <c r="E35" s="31" t="s">
        <v>417</v>
      </c>
      <c r="F35" s="44" t="s">
        <v>576</v>
      </c>
      <c r="G35" s="45" t="s">
        <v>577</v>
      </c>
      <c r="H35" s="31" t="s">
        <v>578</v>
      </c>
      <c r="I35" s="31" t="s">
        <v>405</v>
      </c>
      <c r="J35" s="31" t="s">
        <v>417</v>
      </c>
      <c r="K35" s="44" t="s">
        <v>617</v>
      </c>
    </row>
    <row r="36" customHeight="1" spans="1:11">
      <c r="A36" s="46"/>
      <c r="B36" s="47"/>
      <c r="C36" s="48"/>
      <c r="D36" s="49"/>
      <c r="E36" s="49"/>
      <c r="F36" s="46"/>
      <c r="G36" s="36"/>
      <c r="H36" s="47"/>
      <c r="I36" s="47"/>
      <c r="J36" s="49"/>
      <c r="K36" s="50"/>
    </row>
    <row r="37" customHeight="1" spans="1:11">
      <c r="A37" s="46"/>
      <c r="B37" s="47"/>
      <c r="C37" s="48"/>
      <c r="D37" s="49"/>
      <c r="E37" s="49"/>
      <c r="F37" s="46"/>
      <c r="G37" s="36"/>
      <c r="H37" s="47"/>
      <c r="I37" s="47"/>
      <c r="J37" s="49"/>
      <c r="K37" s="50"/>
    </row>
    <row r="38" customHeight="1" spans="1:11">
      <c r="A38" s="46"/>
      <c r="B38" s="47"/>
      <c r="C38" s="48"/>
      <c r="D38" s="49"/>
      <c r="E38" s="49"/>
      <c r="F38" s="46"/>
      <c r="G38" s="36"/>
      <c r="H38" s="47"/>
      <c r="I38" s="47"/>
      <c r="J38" s="49"/>
      <c r="K38" s="50"/>
    </row>
    <row r="39" customHeight="1" spans="1:11">
      <c r="A39" s="46"/>
      <c r="B39" s="47"/>
      <c r="C39" s="48"/>
      <c r="D39" s="49"/>
      <c r="E39" s="49"/>
      <c r="F39" s="46"/>
      <c r="G39" s="36"/>
      <c r="H39" s="47"/>
      <c r="I39" s="47"/>
      <c r="J39" s="49"/>
      <c r="K39" s="50"/>
    </row>
    <row r="40" customHeight="1" spans="1:11">
      <c r="A40" s="46"/>
      <c r="B40" s="47"/>
      <c r="C40" s="48"/>
      <c r="D40" s="49"/>
      <c r="E40" s="49"/>
      <c r="F40" s="46"/>
      <c r="G40" s="36"/>
      <c r="H40" s="47"/>
      <c r="I40" s="47"/>
      <c r="J40" s="49"/>
      <c r="K40" s="50"/>
    </row>
    <row r="41" customHeight="1" spans="1:11">
      <c r="A41" s="46"/>
      <c r="B41" s="47"/>
      <c r="C41" s="48"/>
      <c r="D41" s="49"/>
      <c r="E41" s="49"/>
      <c r="F41" s="46"/>
      <c r="G41" s="36"/>
      <c r="H41" s="47"/>
      <c r="I41" s="47"/>
      <c r="J41" s="49"/>
      <c r="K41" s="50"/>
    </row>
    <row r="42" customHeight="1" spans="1:11">
      <c r="A42" s="46"/>
      <c r="B42" s="47"/>
      <c r="C42" s="48"/>
      <c r="D42" s="49"/>
      <c r="E42" s="49"/>
      <c r="F42" s="46"/>
      <c r="G42" s="36"/>
      <c r="H42" s="47"/>
      <c r="I42" s="47"/>
      <c r="J42" s="49"/>
      <c r="K42" s="50"/>
    </row>
    <row r="43" customHeight="1" spans="1:11">
      <c r="A43" s="46"/>
      <c r="B43" s="47"/>
      <c r="C43" s="48"/>
      <c r="D43" s="49"/>
      <c r="E43" s="49"/>
      <c r="F43" s="46"/>
      <c r="G43" s="36"/>
      <c r="H43" s="47"/>
      <c r="I43" s="47"/>
      <c r="J43" s="49"/>
      <c r="K43" s="50"/>
    </row>
    <row r="44" customHeight="1" spans="1:11">
      <c r="A44" s="51" t="s">
        <v>618</v>
      </c>
      <c r="B44" s="52"/>
      <c r="C44" s="53"/>
      <c r="D44" s="52"/>
      <c r="E44" s="52"/>
      <c r="F44" s="51"/>
      <c r="G44" s="52"/>
      <c r="H44" s="52"/>
      <c r="I44" s="52"/>
      <c r="J44" s="52"/>
      <c r="K44" s="54"/>
    </row>
    <row r="45" customHeight="1" spans="1:11">
      <c r="A45" s="46"/>
      <c r="B45" s="47"/>
      <c r="C45" s="48"/>
      <c r="D45" s="49"/>
      <c r="E45" s="49"/>
      <c r="F45" s="46"/>
      <c r="G45" s="36"/>
      <c r="H45" s="47"/>
      <c r="I45" s="47"/>
      <c r="J45" s="49"/>
      <c r="K45" s="50"/>
    </row>
    <row r="46" customHeight="1" spans="1:11">
      <c r="A46" s="46"/>
      <c r="B46" s="47"/>
      <c r="C46" s="48"/>
      <c r="D46" s="49"/>
      <c r="E46" s="49"/>
      <c r="F46" s="46"/>
      <c r="G46" s="36"/>
      <c r="H46" s="47"/>
      <c r="I46" s="47"/>
      <c r="J46" s="49"/>
      <c r="K46" s="50"/>
    </row>
    <row r="47" customHeight="1" spans="1:11">
      <c r="A47" s="46"/>
      <c r="B47" s="47"/>
      <c r="C47" s="48"/>
      <c r="D47" s="49"/>
      <c r="E47" s="49"/>
      <c r="F47" s="46"/>
      <c r="G47" s="36"/>
      <c r="H47" s="47"/>
      <c r="I47" s="47"/>
      <c r="J47" s="49"/>
      <c r="K47" s="50"/>
    </row>
    <row r="48" customHeight="1" spans="1:11">
      <c r="A48" s="46"/>
      <c r="B48" s="47"/>
      <c r="C48" s="48"/>
      <c r="D48" s="49"/>
      <c r="E48" s="49"/>
      <c r="F48" s="46"/>
      <c r="G48" s="36"/>
      <c r="H48" s="47"/>
      <c r="I48" s="47"/>
      <c r="J48" s="49"/>
      <c r="K48" s="50"/>
    </row>
    <row r="49" customHeight="1" spans="1:11">
      <c r="A49" s="46"/>
      <c r="B49" s="47"/>
      <c r="C49" s="48"/>
      <c r="D49" s="49"/>
      <c r="E49" s="49"/>
      <c r="F49" s="46"/>
      <c r="G49" s="36"/>
      <c r="H49" s="47"/>
      <c r="I49" s="47"/>
      <c r="J49" s="49"/>
      <c r="K49" s="50"/>
    </row>
    <row r="50" customHeight="1" spans="1:11">
      <c r="A50" s="46"/>
      <c r="B50" s="47"/>
      <c r="C50" s="48"/>
      <c r="D50" s="49"/>
      <c r="E50" s="49"/>
      <c r="F50" s="46"/>
      <c r="G50" s="36"/>
      <c r="H50" s="47"/>
      <c r="I50" s="47"/>
      <c r="J50" s="49"/>
      <c r="K50" s="50"/>
    </row>
    <row r="51" customHeight="1" spans="1:11">
      <c r="A51" s="46"/>
      <c r="B51" s="47"/>
      <c r="C51" s="48"/>
      <c r="D51" s="49"/>
      <c r="E51" s="49"/>
      <c r="F51" s="46"/>
      <c r="G51" s="36"/>
      <c r="H51" s="47"/>
      <c r="I51" s="47"/>
      <c r="J51" s="49"/>
      <c r="K51" s="50"/>
    </row>
    <row r="52" customHeight="1" spans="1:11">
      <c r="A52" s="46"/>
      <c r="B52" s="47"/>
      <c r="C52" s="48"/>
      <c r="D52" s="49"/>
      <c r="E52" s="49"/>
      <c r="F52" s="46"/>
      <c r="G52" s="36"/>
      <c r="H52" s="47"/>
      <c r="I52" s="47"/>
      <c r="J52" s="49"/>
      <c r="K52" s="50"/>
    </row>
    <row r="53" s="1" customFormat="1" customHeight="1" spans="1:11">
      <c r="A53" s="55" t="s">
        <v>292</v>
      </c>
      <c r="B53" s="56"/>
      <c r="C53" s="56"/>
      <c r="D53" s="56"/>
      <c r="E53" s="56"/>
      <c r="F53" s="56"/>
      <c r="G53" s="56"/>
      <c r="H53" s="56"/>
      <c r="I53" s="56"/>
      <c r="J53" s="56"/>
      <c r="K53" s="56"/>
    </row>
    <row r="54" s="1" customFormat="1" customHeight="1" spans="1:11">
      <c r="A54" s="57"/>
      <c r="B54" s="58"/>
      <c r="C54" s="58"/>
      <c r="D54" s="58"/>
      <c r="E54" s="58"/>
      <c r="F54" s="58"/>
      <c r="G54" s="58"/>
      <c r="H54" s="58"/>
      <c r="I54" s="58"/>
      <c r="J54" s="58"/>
      <c r="K54" s="58"/>
    </row>
    <row r="55" s="1" customFormat="1" customHeight="1" spans="1:11">
      <c r="A55" s="58"/>
      <c r="B55" s="58"/>
      <c r="C55" s="58"/>
      <c r="D55" s="58"/>
      <c r="E55" s="58"/>
      <c r="F55" s="58"/>
      <c r="G55" s="58"/>
      <c r="H55" s="58"/>
      <c r="I55" s="58"/>
      <c r="J55" s="58"/>
      <c r="K55" s="58"/>
    </row>
    <row r="56" s="1" customFormat="1" customHeight="1" spans="1:11">
      <c r="A56" s="59" t="s">
        <v>293</v>
      </c>
      <c r="B56" s="58"/>
      <c r="C56" s="58"/>
      <c r="D56" s="58"/>
      <c r="E56" s="58"/>
      <c r="F56" s="58"/>
      <c r="G56" s="58"/>
      <c r="H56" s="58"/>
      <c r="I56" s="58"/>
      <c r="J56" s="58"/>
      <c r="K56" s="58"/>
    </row>
    <row r="57" s="1" customFormat="1" customHeight="1" spans="1:11">
      <c r="A57" s="13"/>
      <c r="B57" s="58"/>
      <c r="C57" s="58"/>
      <c r="D57" s="58"/>
      <c r="E57" s="58"/>
      <c r="F57" s="58"/>
      <c r="G57" s="58"/>
      <c r="H57" s="58"/>
      <c r="I57" s="58"/>
      <c r="J57" s="58"/>
      <c r="K57" s="58"/>
    </row>
    <row r="58" customHeight="1" spans="1:11">
      <c r="A58" s="60" t="s">
        <v>619</v>
      </c>
    </row>
    <row r="59" customHeight="1" spans="1:11">
      <c r="A59" s="60" t="s">
        <v>1232</v>
      </c>
    </row>
  </sheetData>
  <mergeCells count="8">
    <mergeCell ref="A1:K1"/>
    <mergeCell ref="A2:K2"/>
    <mergeCell ref="A12:K12"/>
    <mergeCell ref="A14:E14"/>
    <mergeCell ref="F14:J14"/>
    <mergeCell ref="A34:E34"/>
    <mergeCell ref="F34:J34"/>
    <mergeCell ref="K14:K15"/>
  </mergeCells>
  <dataValidations count="1">
    <dataValidation type="list" allowBlank="1" showInputMessage="1" showErrorMessage="1" sqref="K16:K23 K25:K33 K36:K44 K51:K52">
      <formula1>"√,×"</formula1>
    </dataValidation>
  </dataValidations>
  <hyperlinks>
    <hyperlink ref="K3" location="底稿目录!A1" display="='D:\GT_plan\backend\wp_templates\D\[D4-33至D4-36 其他业务收入.xlsx]底稿目录'!F6"/>
  </hyperlinks>
  <pageMargins left="0.708333333333333" right="0.708333333333333" top="0.747916666666667" bottom="0.747916666666667" header="0.314583333333333" footer="0.314583333333333"/>
  <pageSetup paperSize="9" scale="82" orientation="portrait" blackAndWhite="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46</vt:i4>
      </vt:variant>
    </vt:vector>
  </HeadingPairs>
  <TitlesOfParts>
    <vt:vector size="46" baseType="lpstr">
      <vt:lpstr>底稿目录</vt:lpstr>
      <vt:lpstr>营业收入审计程序表D4A</vt:lpstr>
      <vt:lpstr>营业收入审定表D4-1</vt:lpstr>
      <vt:lpstr>附注披露信息（上市公司）</vt:lpstr>
      <vt:lpstr>附注披露信息（国企）</vt:lpstr>
      <vt:lpstr>主营业务收入明细表D4-2</vt:lpstr>
      <vt:lpstr>其他业务收入明细表D4-3</vt:lpstr>
      <vt:lpstr>营业收入调整分录汇总D4-4</vt:lpstr>
      <vt:lpstr>营业收入会计政策检查D4-5</vt:lpstr>
      <vt:lpstr>底稿目录 (2)</vt:lpstr>
      <vt:lpstr>重要指标分析D4-6</vt:lpstr>
      <vt:lpstr>毛利率分析表D4-7</vt:lpstr>
      <vt:lpstr>重要产品毛利分析D4-8</vt:lpstr>
      <vt:lpstr>重要客户结构分析D4-9</vt:lpstr>
      <vt:lpstr>重要客户销售价格分析D4-10</vt:lpstr>
      <vt:lpstr>产品销售价格分析D4-11</vt:lpstr>
      <vt:lpstr>合同检查表D4-12</vt:lpstr>
      <vt:lpstr>底稿目录 (3)</vt:lpstr>
      <vt:lpstr>营业收入账面金额与ERP系统核对记录D4-13</vt:lpstr>
      <vt:lpstr>营业收入发生检查表D4-14</vt:lpstr>
      <vt:lpstr>营业收入完整性检查表D4-15</vt:lpstr>
      <vt:lpstr>出口收入电子口岸系统核对D4-16</vt:lpstr>
      <vt:lpstr>营业收入截止测试（账到单据）D4-17</vt:lpstr>
      <vt:lpstr>营业收入截止测试（单据到账）D4-18</vt:lpstr>
      <vt:lpstr>销售折扣与折让检查D4-19</vt:lpstr>
      <vt:lpstr>销售退货检查表 D4-20</vt:lpstr>
      <vt:lpstr>关联方销售情况及价格分析D4-21</vt:lpstr>
      <vt:lpstr>底稿目录 (4)</vt:lpstr>
      <vt:lpstr>程序表D4-22A</vt:lpstr>
      <vt:lpstr>重要指标分析表D4-22</vt:lpstr>
      <vt:lpstr>收入与开具发票金额比较分析D4-23</vt:lpstr>
      <vt:lpstr>第三方回款检查D4-24</vt:lpstr>
      <vt:lpstr>经销商检查D4-25</vt:lpstr>
      <vt:lpstr>境外销售收入检查D4-26</vt:lpstr>
      <vt:lpstr>识别未披露的关联方D4-27</vt:lpstr>
      <vt:lpstr>客户信息核查清单D4-28</vt:lpstr>
      <vt:lpstr>客户信息检查表D4-29</vt:lpstr>
      <vt:lpstr>客户访谈记录汇总表D4-30</vt:lpstr>
      <vt:lpstr>客户访谈记录 D4-31</vt:lpstr>
      <vt:lpstr>访谈记录与核对示例</vt:lpstr>
      <vt:lpstr>客户、供应商等资金流水检查D4-32</vt:lpstr>
      <vt:lpstr>底稿目录 (5)</vt:lpstr>
      <vt:lpstr>其他业务毛利率分析表D4-33</vt:lpstr>
      <vt:lpstr>其他业务收入合同测算表D4-34</vt:lpstr>
      <vt:lpstr>其他业务收入检查表D4-35</vt:lpstr>
      <vt:lpstr>其他业务收入截止性测试D4-36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杨志</cp:lastModifiedBy>
  <dcterms:created xsi:type="dcterms:W3CDTF">2026-07-15T13:17:05Z</dcterms:created>
  <dcterms:modified xsi:type="dcterms:W3CDTF">2026-07-15T13:17:08Z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705586423C6E42219A525541CFB40F33_13</vt:lpwstr>
  </property>
  <property fmtid="{D5CDD505-2E9C-101B-9397-08002B2CF9AE}" pid="3" name="KSOProductBuildVer">
    <vt:lpwstr>2052-12.1.0.26895</vt:lpwstr>
  </property>
  <property fmtid="{D5CDD505-2E9C-101B-9397-08002B2CF9AE}" pid="4" name="CalculationRule">
    <vt:i4>1</vt:i4>
  </property>
</Properties>
</file>