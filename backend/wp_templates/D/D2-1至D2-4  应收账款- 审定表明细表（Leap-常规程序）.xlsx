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2应收账款\"/>
    </mc:Choice>
  </mc:AlternateContent>
  <bookViews>
    <workbookView xWindow="0" yWindow="0" windowWidth="22188" windowHeight="9180" tabRatio="770"/>
  </bookViews>
  <sheets>
    <sheet name="底稿目录" sheetId="1" r:id="rId1"/>
    <sheet name="应收账款实质性程序表D2A" sheetId="79" r:id="rId2"/>
    <sheet name="审定表D2-1" sheetId="29" r:id="rId3"/>
    <sheet name="附注披露信息(上市公司）D2-1" sheetId="41" state="hidden" r:id="rId4"/>
    <sheet name="附注披露信息（国企）D2-1" sheetId="40" state="hidden" r:id="rId5"/>
    <sheet name="附注披露信息(上市公司)" sheetId="82" r:id="rId6"/>
    <sheet name="附注披露信息(国企)" sheetId="83" r:id="rId7"/>
    <sheet name="明细表D2-2" sheetId="30" r:id="rId8"/>
    <sheet name="坏账准备明细表D2-3" sheetId="85" r:id="rId9"/>
    <sheet name="调整分录汇总表D2-4" sheetId="81" r:id="rId10"/>
    <sheet name="GT_Custom" sheetId="43" state="hidden" r:id="rId11"/>
  </sheets>
  <definedNames>
    <definedName name="_xlnm._FilterDatabase" localSheetId="7" hidden="1">'明细表D2-2'!$A$1:$AK$31</definedName>
    <definedName name="_xlnm._FilterDatabase" localSheetId="1" hidden="1">应收账款实质性程序表D2A!$A$15:$I$36</definedName>
    <definedName name="_jds82" localSheetId="5">'附注披露信息(上市公司)'!$A$7</definedName>
    <definedName name="_jds83" localSheetId="5">'附注披露信息(上市公司)'!$A$22</definedName>
    <definedName name="_jds85" localSheetId="5">'附注披露信息(上市公司)'!$A$66</definedName>
    <definedName name="_jds86" localSheetId="5">'附注披露信息(上市公司)'!$A$76</definedName>
    <definedName name="_jds87" localSheetId="5">'附注披露信息(上市公司)'!$A$86</definedName>
    <definedName name="_jds88" localSheetId="5">'附注披露信息(上市公司)'!$A$96</definedName>
    <definedName name="_jds89" localSheetId="5">'附注披露信息(上市公司)'!$A$106</definedName>
    <definedName name="_jds91" localSheetId="5">'附注披露信息(上市公司)'!$A$116</definedName>
    <definedName name="_jds92" localSheetId="5">'附注披露信息(上市公司)'!$A$125</definedName>
    <definedName name="_jds93" localSheetId="5">'附注披露信息(上市公司)'!$A$137</definedName>
    <definedName name="_jds94" localSheetId="5">'附注披露信息(上市公司)'!$A$140</definedName>
    <definedName name="_jds95" localSheetId="5">'附注披露信息(上市公司)'!$A$153</definedName>
    <definedName name="_jds96" localSheetId="5">'附注披露信息(上市公司)'!$A$162</definedName>
    <definedName name="_jds97" localSheetId="5">'附注披露信息(上市公司)'!$A$174</definedName>
    <definedName name="_jds98" localSheetId="5">'附注披露信息(上市公司)'!$A$51</definedName>
    <definedName name="_Ref82415221" localSheetId="5">'附注披露信息(上市公司)'!$A$21</definedName>
    <definedName name="_Ref82415222" localSheetId="5">'附注披露信息(上市公司)'!$A$115</definedName>
    <definedName name="_xlnm.Print_Area" localSheetId="9">'调整分录汇总表D2-4'!$A$1:$J$20</definedName>
    <definedName name="_xlnm.Print_Area" localSheetId="6">'附注披露信息(国企)'!$A$1:$K$138</definedName>
    <definedName name="_xlnm.Print_Area" localSheetId="4">'附注披露信息（国企）D2-1'!$A$1:$G$102</definedName>
    <definedName name="_xlnm.Print_Area" localSheetId="5">'附注披露信息(上市公司)'!$A$1:$I$181</definedName>
    <definedName name="_xlnm.Print_Area" localSheetId="3">'附注披露信息(上市公司）D2-1'!$A$1:$F$134</definedName>
    <definedName name="_xlnm.Print_Area" localSheetId="8">'坏账准备明细表D2-3'!$A$1:$N$28</definedName>
    <definedName name="_xlnm.Print_Area" localSheetId="7">'明细表D2-2'!$A$1:$AM$34</definedName>
    <definedName name="_xlnm.Print_Area" localSheetId="2">'审定表D2-1'!$A$1:$L$59</definedName>
    <definedName name="_xlnm.Print_Area" localSheetId="1">应收账款实质性程序表D2A!$A$1:$I$36</definedName>
    <definedName name="_xlnm.Print_Titles" localSheetId="7">'明细表D2-2'!$2:$6</definedName>
    <definedName name="_xlnm.Print_Titles" localSheetId="2">'审定表D2-1'!$2:$6</definedName>
    <definedName name="_xlnm.Print_Titles" localSheetId="1">应收账款实质性程序表D2A!$15:$16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6" i="30" l="1"/>
  <c r="S14" i="30"/>
  <c r="S15" i="30"/>
  <c r="S16" i="30"/>
  <c r="S17" i="30"/>
  <c r="S18" i="30"/>
  <c r="S19" i="30"/>
  <c r="S20" i="30"/>
  <c r="S21" i="30"/>
  <c r="S22" i="30"/>
  <c r="S23" i="30"/>
  <c r="S24" i="30"/>
  <c r="S25" i="30"/>
  <c r="S13" i="30"/>
  <c r="Q26" i="30"/>
  <c r="R26" i="30"/>
  <c r="Q14" i="30"/>
  <c r="Q15" i="30"/>
  <c r="Q16" i="30"/>
  <c r="Q17" i="30"/>
  <c r="Q18" i="30"/>
  <c r="Q19" i="30"/>
  <c r="Q20" i="30"/>
  <c r="Q21" i="30"/>
  <c r="Q22" i="30"/>
  <c r="Q23" i="30"/>
  <c r="Q24" i="30"/>
  <c r="Q25" i="30"/>
  <c r="Q13" i="30"/>
  <c r="AH28" i="30" l="1"/>
  <c r="AG28" i="30"/>
  <c r="G4" i="81" l="1"/>
  <c r="D4" i="81"/>
  <c r="A4" i="81"/>
  <c r="G3" i="81"/>
  <c r="D3" i="81"/>
  <c r="A3" i="81"/>
  <c r="K21" i="85"/>
  <c r="N21" i="85" s="1"/>
  <c r="E21" i="85"/>
  <c r="K20" i="85"/>
  <c r="N20" i="85" s="1"/>
  <c r="E20" i="85"/>
  <c r="K19" i="85"/>
  <c r="N19" i="85" s="1"/>
  <c r="E19" i="85"/>
  <c r="K18" i="85"/>
  <c r="K17" i="85" s="1"/>
  <c r="E18" i="85"/>
  <c r="E17" i="85" s="1"/>
  <c r="M17" i="85"/>
  <c r="L17" i="85"/>
  <c r="J17" i="85"/>
  <c r="I17" i="85"/>
  <c r="H17" i="85"/>
  <c r="G17" i="85"/>
  <c r="F17" i="85"/>
  <c r="D17" i="85"/>
  <c r="C17" i="85"/>
  <c r="B17" i="85"/>
  <c r="K16" i="85"/>
  <c r="N16" i="85" s="1"/>
  <c r="E16" i="85"/>
  <c r="K15" i="85"/>
  <c r="N15" i="85" s="1"/>
  <c r="E15" i="85"/>
  <c r="K14" i="85"/>
  <c r="N14" i="85" s="1"/>
  <c r="E14" i="85"/>
  <c r="K13" i="85"/>
  <c r="K12" i="85" s="1"/>
  <c r="K22" i="85" s="1"/>
  <c r="E13" i="85"/>
  <c r="E12" i="85" s="1"/>
  <c r="M12" i="85"/>
  <c r="M22" i="85" s="1"/>
  <c r="L12" i="85"/>
  <c r="L22" i="85" s="1"/>
  <c r="J12" i="85"/>
  <c r="J22" i="85" s="1"/>
  <c r="I12" i="85"/>
  <c r="I22" i="85" s="1"/>
  <c r="H12" i="85"/>
  <c r="H22" i="85" s="1"/>
  <c r="G12" i="85"/>
  <c r="G22" i="85" s="1"/>
  <c r="F12" i="85"/>
  <c r="F22" i="85" s="1"/>
  <c r="D12" i="85"/>
  <c r="D22" i="85" s="1"/>
  <c r="C12" i="85"/>
  <c r="C22" i="85" s="1"/>
  <c r="B12" i="85"/>
  <c r="B22" i="85" s="1"/>
  <c r="I4" i="85"/>
  <c r="E4" i="85"/>
  <c r="A4" i="85"/>
  <c r="I3" i="85"/>
  <c r="E3" i="85"/>
  <c r="A3" i="85"/>
  <c r="AF28" i="30"/>
  <c r="AE28" i="30"/>
  <c r="AD28" i="30"/>
  <c r="X27" i="30"/>
  <c r="N27" i="30"/>
  <c r="M27" i="30"/>
  <c r="L27" i="30"/>
  <c r="K27" i="30"/>
  <c r="J27" i="30"/>
  <c r="I27" i="30"/>
  <c r="H27" i="30"/>
  <c r="AH26" i="30"/>
  <c r="AG26" i="30"/>
  <c r="AF26" i="30"/>
  <c r="AE26" i="30"/>
  <c r="AD26" i="30"/>
  <c r="AC26" i="30"/>
  <c r="AA26" i="30"/>
  <c r="Z26" i="30"/>
  <c r="Y26" i="30"/>
  <c r="X26" i="30"/>
  <c r="W26" i="30"/>
  <c r="V26" i="30"/>
  <c r="U26" i="30"/>
  <c r="T26" i="30"/>
  <c r="V27" i="30"/>
  <c r="P26" i="30"/>
  <c r="O26" i="30"/>
  <c r="N26" i="30"/>
  <c r="M26" i="30"/>
  <c r="L26" i="30"/>
  <c r="K26" i="30"/>
  <c r="J26" i="30"/>
  <c r="I26" i="30"/>
  <c r="H26" i="30"/>
  <c r="G26" i="30"/>
  <c r="F26" i="30"/>
  <c r="E26" i="30"/>
  <c r="AB25" i="30"/>
  <c r="AB24" i="30"/>
  <c r="AB23" i="30"/>
  <c r="AB22" i="30"/>
  <c r="AB21" i="30"/>
  <c r="AB20" i="30"/>
  <c r="AB19" i="30"/>
  <c r="AB18" i="30"/>
  <c r="AB17" i="30"/>
  <c r="AB16" i="30"/>
  <c r="AB15" i="30"/>
  <c r="AB14" i="30"/>
  <c r="AB13" i="30"/>
  <c r="AB26" i="30" s="1"/>
  <c r="AG4" i="30"/>
  <c r="AB4" i="30"/>
  <c r="T4" i="30"/>
  <c r="J4" i="30"/>
  <c r="F4" i="30"/>
  <c r="A4" i="30"/>
  <c r="AG3" i="30"/>
  <c r="AB3" i="30"/>
  <c r="T3" i="30"/>
  <c r="J3" i="30"/>
  <c r="F3" i="30"/>
  <c r="A3" i="30"/>
  <c r="B136" i="83"/>
  <c r="B133" i="83"/>
  <c r="C124" i="83"/>
  <c r="B124" i="83"/>
  <c r="D118" i="83"/>
  <c r="C118" i="83"/>
  <c r="B118" i="83"/>
  <c r="C104" i="83"/>
  <c r="B104" i="83"/>
  <c r="F99" i="83"/>
  <c r="E99" i="83"/>
  <c r="D99" i="83"/>
  <c r="C99" i="83"/>
  <c r="B99" i="83"/>
  <c r="F98" i="83"/>
  <c r="F97" i="83"/>
  <c r="F96" i="83"/>
  <c r="G90" i="83"/>
  <c r="F90" i="83"/>
  <c r="E90" i="83"/>
  <c r="D90" i="83"/>
  <c r="C90" i="83"/>
  <c r="B90" i="83"/>
  <c r="D79" i="83"/>
  <c r="B79" i="83"/>
  <c r="C78" i="83"/>
  <c r="C77" i="83"/>
  <c r="C76" i="83"/>
  <c r="C75" i="83"/>
  <c r="C74" i="83"/>
  <c r="C73" i="83"/>
  <c r="B45" i="83"/>
  <c r="C33" i="83"/>
  <c r="B33" i="83"/>
  <c r="K28" i="83"/>
  <c r="J28" i="83"/>
  <c r="I28" i="83"/>
  <c r="H28" i="83"/>
  <c r="G28" i="83"/>
  <c r="F28" i="83"/>
  <c r="E28" i="83"/>
  <c r="D28" i="83"/>
  <c r="C28" i="83"/>
  <c r="B28" i="83"/>
  <c r="K27" i="83"/>
  <c r="J27" i="83"/>
  <c r="H27" i="83"/>
  <c r="F27" i="83"/>
  <c r="E27" i="83"/>
  <c r="C27" i="83"/>
  <c r="A27" i="83"/>
  <c r="K26" i="83"/>
  <c r="J26" i="83"/>
  <c r="H26" i="83"/>
  <c r="F26" i="83"/>
  <c r="E26" i="83"/>
  <c r="C26" i="83"/>
  <c r="A26" i="83"/>
  <c r="K25" i="83"/>
  <c r="J25" i="83"/>
  <c r="H25" i="83"/>
  <c r="F25" i="83"/>
  <c r="E25" i="83"/>
  <c r="C25" i="83"/>
  <c r="A25" i="83"/>
  <c r="K24" i="83"/>
  <c r="J24" i="83"/>
  <c r="H24" i="83"/>
  <c r="F24" i="83"/>
  <c r="E24" i="83"/>
  <c r="C24" i="83"/>
  <c r="A24" i="83"/>
  <c r="K23" i="83"/>
  <c r="J23" i="83"/>
  <c r="H23" i="83"/>
  <c r="F23" i="83"/>
  <c r="E23" i="83"/>
  <c r="C23" i="83"/>
  <c r="A23" i="83"/>
  <c r="K21" i="83"/>
  <c r="J21" i="83"/>
  <c r="H21" i="83"/>
  <c r="F21" i="83"/>
  <c r="E21" i="83"/>
  <c r="C21" i="83"/>
  <c r="K20" i="83"/>
  <c r="J20" i="83"/>
  <c r="H20" i="83"/>
  <c r="F20" i="83"/>
  <c r="E20" i="83"/>
  <c r="C20" i="83"/>
  <c r="C12" i="83"/>
  <c r="B12" i="83"/>
  <c r="C11" i="83"/>
  <c r="B11" i="83"/>
  <c r="C10" i="83"/>
  <c r="B10" i="83"/>
  <c r="C9" i="83"/>
  <c r="B9" i="83"/>
  <c r="C8" i="83"/>
  <c r="B8" i="83"/>
  <c r="C7" i="83"/>
  <c r="B7" i="83"/>
  <c r="E4" i="83"/>
  <c r="C4" i="83"/>
  <c r="A4" i="83"/>
  <c r="E3" i="83"/>
  <c r="C3" i="83"/>
  <c r="A3" i="83"/>
  <c r="D166" i="82"/>
  <c r="C166" i="82"/>
  <c r="F159" i="82"/>
  <c r="B159" i="82"/>
  <c r="C144" i="82"/>
  <c r="B138" i="82"/>
  <c r="B123" i="82"/>
  <c r="B117" i="82"/>
  <c r="G114" i="82"/>
  <c r="F114" i="82"/>
  <c r="E114" i="82"/>
  <c r="D114" i="82"/>
  <c r="G113" i="82"/>
  <c r="D113" i="82"/>
  <c r="G112" i="82"/>
  <c r="D112" i="82"/>
  <c r="G109" i="82"/>
  <c r="D109" i="82"/>
  <c r="G108" i="82"/>
  <c r="D108" i="82"/>
  <c r="G104" i="82"/>
  <c r="F104" i="82"/>
  <c r="E104" i="82"/>
  <c r="D104" i="82"/>
  <c r="G103" i="82"/>
  <c r="D103" i="82"/>
  <c r="G102" i="82"/>
  <c r="D102" i="82"/>
  <c r="G99" i="82"/>
  <c r="D99" i="82"/>
  <c r="G98" i="82"/>
  <c r="D98" i="82"/>
  <c r="G94" i="82"/>
  <c r="F94" i="82"/>
  <c r="E94" i="82"/>
  <c r="D94" i="82"/>
  <c r="G93" i="82"/>
  <c r="D93" i="82"/>
  <c r="G92" i="82"/>
  <c r="D92" i="82"/>
  <c r="G90" i="82"/>
  <c r="D90" i="82"/>
  <c r="G88" i="82"/>
  <c r="D88" i="82"/>
  <c r="G84" i="82"/>
  <c r="F84" i="82"/>
  <c r="E84" i="82"/>
  <c r="D84" i="82"/>
  <c r="G83" i="82"/>
  <c r="D83" i="82"/>
  <c r="G82" i="82"/>
  <c r="D82" i="82"/>
  <c r="G79" i="82"/>
  <c r="D79" i="82"/>
  <c r="G78" i="82"/>
  <c r="D78" i="82"/>
  <c r="G74" i="82"/>
  <c r="F74" i="82"/>
  <c r="E74" i="82"/>
  <c r="D74" i="82"/>
  <c r="G73" i="82"/>
  <c r="D73" i="82"/>
  <c r="G72" i="82"/>
  <c r="D72" i="82"/>
  <c r="G69" i="82"/>
  <c r="D69" i="82"/>
  <c r="G68" i="82"/>
  <c r="D68" i="82"/>
  <c r="D63" i="82"/>
  <c r="C63" i="82"/>
  <c r="B63" i="82"/>
  <c r="D62" i="82"/>
  <c r="D61" i="82"/>
  <c r="D60" i="82"/>
  <c r="D56" i="82"/>
  <c r="C56" i="82"/>
  <c r="B56" i="82"/>
  <c r="D55" i="82"/>
  <c r="D54" i="82"/>
  <c r="D53" i="82"/>
  <c r="F49" i="82"/>
  <c r="E49" i="82"/>
  <c r="D49" i="82"/>
  <c r="B49" i="82"/>
  <c r="F48" i="82"/>
  <c r="E48" i="82"/>
  <c r="C48" i="82"/>
  <c r="F47" i="82"/>
  <c r="E47" i="82"/>
  <c r="C47" i="82"/>
  <c r="F46" i="82"/>
  <c r="E46" i="82"/>
  <c r="C46" i="82"/>
  <c r="F45" i="82"/>
  <c r="E45" i="82"/>
  <c r="C45" i="82"/>
  <c r="F44" i="82"/>
  <c r="E44" i="82"/>
  <c r="C44" i="82"/>
  <c r="F43" i="82"/>
  <c r="E43" i="82"/>
  <c r="C43" i="82"/>
  <c r="F42" i="82"/>
  <c r="E42" i="82"/>
  <c r="C42" i="82"/>
  <c r="F41" i="82"/>
  <c r="E41" i="82"/>
  <c r="C41" i="82"/>
  <c r="F36" i="82"/>
  <c r="E36" i="82"/>
  <c r="D36" i="82"/>
  <c r="B36" i="82"/>
  <c r="F35" i="82"/>
  <c r="E35" i="82"/>
  <c r="C35" i="82"/>
  <c r="C34" i="82"/>
  <c r="C33" i="82"/>
  <c r="C32" i="82"/>
  <c r="F31" i="82"/>
  <c r="E31" i="82"/>
  <c r="C31" i="82"/>
  <c r="F30" i="82"/>
  <c r="F29" i="82"/>
  <c r="E29" i="82"/>
  <c r="C29" i="82"/>
  <c r="F28" i="82"/>
  <c r="E28" i="82"/>
  <c r="C28" i="82"/>
  <c r="F27" i="82"/>
  <c r="E27" i="82"/>
  <c r="C27" i="82"/>
  <c r="F25" i="82"/>
  <c r="E25" i="82"/>
  <c r="C25" i="82"/>
  <c r="C17" i="82"/>
  <c r="B17" i="82"/>
  <c r="C16" i="82"/>
  <c r="B16" i="82"/>
  <c r="C15" i="82"/>
  <c r="B15" i="82"/>
  <c r="C14" i="82"/>
  <c r="B14" i="82"/>
  <c r="C13" i="82"/>
  <c r="B13" i="82"/>
  <c r="C12" i="82"/>
  <c r="B12" i="82"/>
  <c r="C8" i="82"/>
  <c r="B8" i="82"/>
  <c r="E4" i="82"/>
  <c r="C4" i="82"/>
  <c r="A4" i="82"/>
  <c r="E3" i="82"/>
  <c r="C3" i="82"/>
  <c r="A3" i="82"/>
  <c r="B101" i="40"/>
  <c r="B98" i="40"/>
  <c r="C93" i="40"/>
  <c r="B93" i="40"/>
  <c r="C91" i="40"/>
  <c r="B91" i="40"/>
  <c r="A91" i="40"/>
  <c r="C90" i="40"/>
  <c r="B90" i="40"/>
  <c r="A90" i="40"/>
  <c r="C87" i="40"/>
  <c r="E86" i="40"/>
  <c r="D86" i="40"/>
  <c r="C86" i="40"/>
  <c r="B86" i="40"/>
  <c r="A86" i="40"/>
  <c r="E85" i="40"/>
  <c r="D85" i="40"/>
  <c r="C85" i="40"/>
  <c r="B85" i="40"/>
  <c r="A85" i="40"/>
  <c r="E84" i="40"/>
  <c r="D84" i="40"/>
  <c r="C84" i="40"/>
  <c r="B84" i="40"/>
  <c r="A84" i="40"/>
  <c r="E80" i="40"/>
  <c r="D80" i="40"/>
  <c r="E79" i="40"/>
  <c r="D79" i="40"/>
  <c r="C79" i="40"/>
  <c r="B79" i="40"/>
  <c r="A79" i="40"/>
  <c r="E78" i="40"/>
  <c r="D78" i="40"/>
  <c r="C78" i="40"/>
  <c r="B78" i="40"/>
  <c r="A78" i="40"/>
  <c r="E77" i="40"/>
  <c r="D77" i="40"/>
  <c r="C77" i="40"/>
  <c r="B77" i="40"/>
  <c r="A77" i="40"/>
  <c r="C74" i="40"/>
  <c r="B74" i="40"/>
  <c r="E73" i="40"/>
  <c r="E72" i="40"/>
  <c r="E71" i="40"/>
  <c r="E70" i="40"/>
  <c r="E69" i="40"/>
  <c r="G65" i="40"/>
  <c r="F65" i="40"/>
  <c r="E65" i="40"/>
  <c r="D65" i="40"/>
  <c r="C65" i="40"/>
  <c r="B65" i="40"/>
  <c r="F64" i="40"/>
  <c r="C64" i="40"/>
  <c r="F63" i="40"/>
  <c r="C63" i="40"/>
  <c r="F62" i="40"/>
  <c r="C62" i="40"/>
  <c r="G57" i="40"/>
  <c r="F57" i="40"/>
  <c r="E57" i="40"/>
  <c r="D57" i="40"/>
  <c r="C57" i="40"/>
  <c r="B57" i="40"/>
  <c r="F56" i="40"/>
  <c r="C56" i="40"/>
  <c r="F55" i="40"/>
  <c r="C55" i="40"/>
  <c r="F54" i="40"/>
  <c r="C54" i="40"/>
  <c r="G49" i="40"/>
  <c r="F49" i="40"/>
  <c r="E49" i="40"/>
  <c r="D49" i="40"/>
  <c r="C49" i="40"/>
  <c r="B49" i="40"/>
  <c r="F48" i="40"/>
  <c r="C48" i="40"/>
  <c r="F47" i="40"/>
  <c r="C47" i="40"/>
  <c r="F46" i="40"/>
  <c r="C46" i="40"/>
  <c r="G41" i="40"/>
  <c r="F41" i="40"/>
  <c r="E41" i="40"/>
  <c r="D41" i="40"/>
  <c r="C41" i="40"/>
  <c r="B41" i="40"/>
  <c r="F40" i="40"/>
  <c r="D40" i="40"/>
  <c r="C40" i="40"/>
  <c r="B40" i="40"/>
  <c r="A40" i="40"/>
  <c r="F39" i="40"/>
  <c r="D39" i="40"/>
  <c r="C39" i="40"/>
  <c r="B39" i="40"/>
  <c r="A39" i="40"/>
  <c r="F38" i="40"/>
  <c r="D38" i="40"/>
  <c r="C38" i="40"/>
  <c r="B38" i="40"/>
  <c r="A38" i="40"/>
  <c r="F37" i="40"/>
  <c r="D37" i="40"/>
  <c r="C37" i="40"/>
  <c r="B37" i="40"/>
  <c r="A37" i="40"/>
  <c r="F36" i="40"/>
  <c r="D36" i="40"/>
  <c r="C36" i="40"/>
  <c r="B36" i="40"/>
  <c r="A36" i="40"/>
  <c r="F35" i="40"/>
  <c r="D35" i="40"/>
  <c r="C35" i="40"/>
  <c r="B35" i="40"/>
  <c r="A35" i="40"/>
  <c r="E28" i="40"/>
  <c r="D28" i="40"/>
  <c r="C28" i="40"/>
  <c r="B28" i="40"/>
  <c r="E27" i="40"/>
  <c r="D27" i="40"/>
  <c r="C27" i="40"/>
  <c r="B27" i="40"/>
  <c r="E26" i="40"/>
  <c r="C26" i="40"/>
  <c r="E25" i="40"/>
  <c r="C25" i="40"/>
  <c r="E24" i="40"/>
  <c r="C24" i="40"/>
  <c r="E23" i="40"/>
  <c r="C23" i="40"/>
  <c r="E21" i="40"/>
  <c r="C21" i="40"/>
  <c r="E17" i="40"/>
  <c r="D17" i="40"/>
  <c r="C17" i="40"/>
  <c r="B17" i="40"/>
  <c r="E16" i="40"/>
  <c r="D16" i="40"/>
  <c r="C16" i="40"/>
  <c r="B16" i="40"/>
  <c r="E15" i="40"/>
  <c r="C15" i="40"/>
  <c r="E14" i="40"/>
  <c r="C14" i="40"/>
  <c r="E13" i="40"/>
  <c r="D13" i="40"/>
  <c r="C13" i="40"/>
  <c r="B13" i="40"/>
  <c r="E12" i="40"/>
  <c r="D12" i="40"/>
  <c r="C12" i="40"/>
  <c r="B12" i="40"/>
  <c r="E10" i="40"/>
  <c r="D10" i="40"/>
  <c r="C10" i="40"/>
  <c r="B10" i="40"/>
  <c r="E4" i="40"/>
  <c r="C4" i="40"/>
  <c r="A4" i="40"/>
  <c r="E3" i="40"/>
  <c r="C3" i="40"/>
  <c r="A3" i="40"/>
  <c r="B133" i="41"/>
  <c r="B129" i="41"/>
  <c r="D122" i="41"/>
  <c r="C122" i="41"/>
  <c r="F114" i="41"/>
  <c r="C114" i="41"/>
  <c r="F113" i="41"/>
  <c r="D113" i="41"/>
  <c r="C113" i="41"/>
  <c r="B113" i="41"/>
  <c r="A113" i="41"/>
  <c r="F112" i="41"/>
  <c r="D112" i="41"/>
  <c r="C112" i="41"/>
  <c r="B112" i="41"/>
  <c r="A112" i="41"/>
  <c r="F111" i="41"/>
  <c r="D111" i="41"/>
  <c r="C111" i="41"/>
  <c r="B111" i="41"/>
  <c r="A111" i="41"/>
  <c r="F110" i="41"/>
  <c r="D110" i="41"/>
  <c r="C110" i="41"/>
  <c r="B110" i="41"/>
  <c r="A110" i="41"/>
  <c r="F109" i="41"/>
  <c r="D109" i="41"/>
  <c r="C109" i="41"/>
  <c r="B109" i="41"/>
  <c r="A109" i="41"/>
  <c r="C104" i="41"/>
  <c r="B98" i="41"/>
  <c r="E94" i="41"/>
  <c r="B86" i="41"/>
  <c r="D76" i="41"/>
  <c r="C76" i="41"/>
  <c r="B76" i="41"/>
  <c r="D75" i="41"/>
  <c r="D74" i="41"/>
  <c r="D73" i="41"/>
  <c r="D70" i="41"/>
  <c r="C70" i="41"/>
  <c r="B70" i="41"/>
  <c r="D69" i="41"/>
  <c r="D68" i="41"/>
  <c r="D67" i="41"/>
  <c r="D64" i="41"/>
  <c r="C64" i="41"/>
  <c r="B64" i="41"/>
  <c r="D63" i="41"/>
  <c r="D62" i="41"/>
  <c r="D61" i="41"/>
  <c r="F58" i="41"/>
  <c r="E58" i="41"/>
  <c r="D58" i="41"/>
  <c r="C58" i="41"/>
  <c r="B58" i="41"/>
  <c r="F57" i="41"/>
  <c r="E57" i="41"/>
  <c r="C57" i="41"/>
  <c r="E56" i="41"/>
  <c r="C56" i="41"/>
  <c r="F55" i="41"/>
  <c r="E55" i="41"/>
  <c r="C55" i="41"/>
  <c r="F54" i="41"/>
  <c r="E54" i="41"/>
  <c r="C54" i="41"/>
  <c r="F53" i="41"/>
  <c r="E53" i="41"/>
  <c r="C53" i="41"/>
  <c r="F52" i="41"/>
  <c r="E52" i="41"/>
  <c r="C52" i="41"/>
  <c r="F48" i="41"/>
  <c r="E48" i="41"/>
  <c r="D48" i="41"/>
  <c r="C48" i="41"/>
  <c r="B48" i="41"/>
  <c r="F47" i="41"/>
  <c r="E47" i="41"/>
  <c r="D47" i="41"/>
  <c r="C47" i="41"/>
  <c r="B47" i="41"/>
  <c r="A47" i="41"/>
  <c r="E46" i="41"/>
  <c r="D46" i="41"/>
  <c r="C46" i="41"/>
  <c r="B46" i="41"/>
  <c r="A46" i="41"/>
  <c r="F45" i="41"/>
  <c r="E45" i="41"/>
  <c r="D45" i="41"/>
  <c r="C45" i="41"/>
  <c r="B45" i="41"/>
  <c r="A45" i="41"/>
  <c r="F44" i="41"/>
  <c r="E44" i="41"/>
  <c r="D44" i="41"/>
  <c r="C44" i="41"/>
  <c r="B44" i="41"/>
  <c r="A44" i="41"/>
  <c r="F43" i="41"/>
  <c r="E43" i="41"/>
  <c r="D43" i="41"/>
  <c r="C43" i="41"/>
  <c r="B43" i="41"/>
  <c r="A43" i="41"/>
  <c r="F42" i="41"/>
  <c r="E42" i="41"/>
  <c r="D42" i="41"/>
  <c r="C42" i="41"/>
  <c r="B42" i="41"/>
  <c r="A42" i="41"/>
  <c r="D38" i="41"/>
  <c r="C38" i="41"/>
  <c r="B38" i="41"/>
  <c r="D37" i="41"/>
  <c r="D36" i="41"/>
  <c r="D35" i="41"/>
  <c r="D34" i="41"/>
  <c r="D33" i="41"/>
  <c r="F28" i="41"/>
  <c r="E28" i="41"/>
  <c r="D28" i="41"/>
  <c r="C28" i="41"/>
  <c r="B28" i="41"/>
  <c r="F27" i="41"/>
  <c r="E27" i="41"/>
  <c r="D27" i="41"/>
  <c r="C27" i="41"/>
  <c r="B27" i="41"/>
  <c r="F26" i="41"/>
  <c r="E26" i="41"/>
  <c r="C26" i="41"/>
  <c r="F25" i="41"/>
  <c r="E25" i="41"/>
  <c r="C25" i="41"/>
  <c r="F24" i="41"/>
  <c r="E24" i="41"/>
  <c r="C24" i="41"/>
  <c r="F23" i="41"/>
  <c r="E23" i="41"/>
  <c r="C23" i="41"/>
  <c r="F21" i="41"/>
  <c r="E21" i="41"/>
  <c r="C21" i="41"/>
  <c r="F17" i="41"/>
  <c r="E17" i="41"/>
  <c r="D17" i="41"/>
  <c r="C17" i="41"/>
  <c r="B17" i="41"/>
  <c r="F16" i="41"/>
  <c r="E16" i="41"/>
  <c r="D16" i="41"/>
  <c r="C16" i="41"/>
  <c r="B16" i="41"/>
  <c r="F15" i="41"/>
  <c r="E15" i="41"/>
  <c r="C15" i="41"/>
  <c r="F14" i="41"/>
  <c r="E14" i="41"/>
  <c r="C14" i="41"/>
  <c r="F13" i="41"/>
  <c r="E13" i="41"/>
  <c r="D13" i="41"/>
  <c r="C13" i="41"/>
  <c r="B13" i="41"/>
  <c r="F12" i="41"/>
  <c r="E12" i="41"/>
  <c r="D12" i="41"/>
  <c r="C12" i="41"/>
  <c r="B12" i="41"/>
  <c r="F10" i="41"/>
  <c r="E10" i="41"/>
  <c r="D10" i="41"/>
  <c r="C10" i="41"/>
  <c r="B10" i="41"/>
  <c r="E4" i="41"/>
  <c r="C4" i="41"/>
  <c r="A4" i="41"/>
  <c r="E3" i="41"/>
  <c r="C3" i="41"/>
  <c r="A3" i="41"/>
  <c r="E53" i="29"/>
  <c r="K51" i="29"/>
  <c r="J51" i="29"/>
  <c r="I51" i="29"/>
  <c r="H51" i="29"/>
  <c r="G51" i="29"/>
  <c r="F51" i="29"/>
  <c r="E51" i="29"/>
  <c r="D51" i="29"/>
  <c r="C51" i="29"/>
  <c r="B51" i="29"/>
  <c r="K50" i="29"/>
  <c r="J50" i="29"/>
  <c r="I50" i="29"/>
  <c r="H50" i="29"/>
  <c r="G50" i="29"/>
  <c r="F50" i="29"/>
  <c r="E50" i="29"/>
  <c r="D50" i="29"/>
  <c r="C50" i="29"/>
  <c r="B50" i="29"/>
  <c r="A50" i="29"/>
  <c r="K49" i="29"/>
  <c r="J49" i="29"/>
  <c r="I49" i="29"/>
  <c r="H49" i="29"/>
  <c r="G49" i="29"/>
  <c r="F49" i="29"/>
  <c r="E49" i="29"/>
  <c r="D49" i="29"/>
  <c r="C49" i="29"/>
  <c r="B49" i="29"/>
  <c r="A49" i="29"/>
  <c r="K48" i="29"/>
  <c r="J48" i="29"/>
  <c r="I48" i="29"/>
  <c r="H48" i="29"/>
  <c r="G48" i="29"/>
  <c r="F48" i="29"/>
  <c r="E48" i="29"/>
  <c r="D48" i="29"/>
  <c r="C48" i="29"/>
  <c r="B48" i="29"/>
  <c r="A48" i="29"/>
  <c r="K47" i="29"/>
  <c r="J47" i="29"/>
  <c r="I47" i="29"/>
  <c r="H47" i="29"/>
  <c r="G47" i="29"/>
  <c r="F47" i="29"/>
  <c r="E47" i="29"/>
  <c r="D47" i="29"/>
  <c r="C47" i="29"/>
  <c r="B47" i="29"/>
  <c r="A47" i="29"/>
  <c r="K46" i="29"/>
  <c r="J46" i="29"/>
  <c r="I46" i="29"/>
  <c r="H46" i="29"/>
  <c r="G46" i="29"/>
  <c r="F46" i="29"/>
  <c r="E46" i="29"/>
  <c r="D46" i="29"/>
  <c r="C46" i="29"/>
  <c r="B46" i="29"/>
  <c r="A46" i="29"/>
  <c r="K45" i="29"/>
  <c r="J45" i="29"/>
  <c r="I45" i="29"/>
  <c r="H45" i="29"/>
  <c r="G45" i="29"/>
  <c r="F45" i="29"/>
  <c r="E45" i="29"/>
  <c r="D45" i="29"/>
  <c r="C45" i="29"/>
  <c r="B45" i="29"/>
  <c r="A45" i="29"/>
  <c r="K43" i="29"/>
  <c r="J43" i="29"/>
  <c r="I43" i="29"/>
  <c r="H43" i="29"/>
  <c r="G43" i="29"/>
  <c r="F43" i="29"/>
  <c r="E43" i="29"/>
  <c r="D43" i="29"/>
  <c r="C43" i="29"/>
  <c r="B43" i="29"/>
  <c r="K42" i="29"/>
  <c r="J42" i="29"/>
  <c r="I42" i="29"/>
  <c r="E42" i="29"/>
  <c r="A42" i="29"/>
  <c r="K41" i="29"/>
  <c r="J41" i="29"/>
  <c r="I41" i="29"/>
  <c r="E41" i="29"/>
  <c r="A41" i="29"/>
  <c r="K40" i="29"/>
  <c r="J40" i="29"/>
  <c r="I40" i="29"/>
  <c r="E40" i="29"/>
  <c r="A40" i="29"/>
  <c r="K39" i="29"/>
  <c r="J39" i="29"/>
  <c r="I39" i="29"/>
  <c r="E39" i="29"/>
  <c r="A39" i="29"/>
  <c r="K38" i="29"/>
  <c r="J38" i="29"/>
  <c r="I38" i="29"/>
  <c r="E38" i="29"/>
  <c r="A38" i="29"/>
  <c r="K37" i="29"/>
  <c r="J37" i="29"/>
  <c r="I37" i="29"/>
  <c r="E37" i="29"/>
  <c r="A37" i="29"/>
  <c r="K35" i="29"/>
  <c r="J35" i="29"/>
  <c r="I35" i="29"/>
  <c r="H35" i="29"/>
  <c r="G35" i="29"/>
  <c r="F35" i="29"/>
  <c r="E35" i="29"/>
  <c r="D35" i="29"/>
  <c r="C35" i="29"/>
  <c r="B35" i="29"/>
  <c r="K34" i="29"/>
  <c r="J34" i="29"/>
  <c r="I34" i="29"/>
  <c r="E34" i="29"/>
  <c r="K33" i="29"/>
  <c r="J33" i="29"/>
  <c r="I33" i="29"/>
  <c r="E33" i="29"/>
  <c r="K32" i="29"/>
  <c r="J32" i="29"/>
  <c r="I32" i="29"/>
  <c r="E32" i="29"/>
  <c r="K31" i="29"/>
  <c r="J31" i="29"/>
  <c r="I31" i="29"/>
  <c r="E31" i="29"/>
  <c r="K30" i="29"/>
  <c r="J30" i="29"/>
  <c r="I30" i="29"/>
  <c r="E30" i="29"/>
  <c r="K29" i="29"/>
  <c r="J29" i="29"/>
  <c r="I29" i="29"/>
  <c r="E29" i="29"/>
  <c r="E27" i="29"/>
  <c r="D27" i="29"/>
  <c r="C27" i="29"/>
  <c r="B27" i="29"/>
  <c r="K26" i="29"/>
  <c r="J26" i="29"/>
  <c r="I26" i="29"/>
  <c r="H26" i="29"/>
  <c r="G26" i="29"/>
  <c r="F26" i="29"/>
  <c r="E26" i="29"/>
  <c r="D26" i="29"/>
  <c r="C26" i="29"/>
  <c r="B26" i="29"/>
  <c r="A26" i="29"/>
  <c r="E25" i="29"/>
  <c r="D25" i="29"/>
  <c r="C25" i="29"/>
  <c r="B25" i="29"/>
  <c r="A25" i="29"/>
  <c r="E24" i="29"/>
  <c r="D24" i="29"/>
  <c r="C24" i="29"/>
  <c r="B24" i="29"/>
  <c r="A24" i="29"/>
  <c r="E23" i="29"/>
  <c r="D23" i="29"/>
  <c r="C23" i="29"/>
  <c r="B23" i="29"/>
  <c r="A23" i="29"/>
  <c r="E22" i="29"/>
  <c r="D22" i="29"/>
  <c r="C22" i="29"/>
  <c r="B22" i="29"/>
  <c r="A22" i="29"/>
  <c r="K20" i="29"/>
  <c r="J20" i="29"/>
  <c r="I20" i="29"/>
  <c r="H20" i="29"/>
  <c r="G20" i="29"/>
  <c r="F20" i="29"/>
  <c r="E20" i="29"/>
  <c r="D20" i="29"/>
  <c r="C20" i="29"/>
  <c r="B20" i="29"/>
  <c r="K19" i="29"/>
  <c r="J19" i="29"/>
  <c r="I19" i="29"/>
  <c r="E19" i="29"/>
  <c r="A19" i="29"/>
  <c r="K18" i="29"/>
  <c r="J18" i="29"/>
  <c r="I18" i="29"/>
  <c r="E18" i="29"/>
  <c r="A18" i="29"/>
  <c r="K17" i="29"/>
  <c r="J17" i="29"/>
  <c r="I17" i="29"/>
  <c r="E17" i="29"/>
  <c r="A17" i="29"/>
  <c r="K16" i="29"/>
  <c r="J16" i="29"/>
  <c r="I16" i="29"/>
  <c r="H16" i="29"/>
  <c r="G16" i="29"/>
  <c r="F16" i="29"/>
  <c r="E16" i="29"/>
  <c r="D16" i="29"/>
  <c r="C16" i="29"/>
  <c r="B16" i="29"/>
  <c r="A16" i="29"/>
  <c r="K15" i="29"/>
  <c r="J15" i="29"/>
  <c r="I15" i="29"/>
  <c r="E15" i="29"/>
  <c r="A15" i="29"/>
  <c r="E13" i="29"/>
  <c r="D13" i="29"/>
  <c r="C13" i="29"/>
  <c r="B13" i="29"/>
  <c r="K12" i="29"/>
  <c r="J12" i="29"/>
  <c r="I12" i="29"/>
  <c r="E12" i="29"/>
  <c r="H11" i="29"/>
  <c r="H25" i="29" s="1"/>
  <c r="G11" i="29"/>
  <c r="G25" i="29" s="1"/>
  <c r="F11" i="29"/>
  <c r="F25" i="29" s="1"/>
  <c r="E11" i="29"/>
  <c r="H10" i="29"/>
  <c r="H24" i="29" s="1"/>
  <c r="H23" i="29" s="1"/>
  <c r="G10" i="29"/>
  <c r="G24" i="29" s="1"/>
  <c r="G23" i="29" s="1"/>
  <c r="F10" i="29"/>
  <c r="F24" i="29" s="1"/>
  <c r="E10" i="29"/>
  <c r="E9" i="29"/>
  <c r="D9" i="29"/>
  <c r="C9" i="29"/>
  <c r="B9" i="29"/>
  <c r="H8" i="29"/>
  <c r="G8" i="29"/>
  <c r="G22" i="29" s="1"/>
  <c r="G27" i="29" s="1"/>
  <c r="F8" i="29"/>
  <c r="F22" i="29" s="1"/>
  <c r="E8" i="29"/>
  <c r="H4" i="29"/>
  <c r="E4" i="29"/>
  <c r="A4" i="29"/>
  <c r="L3" i="29"/>
  <c r="H3" i="29"/>
  <c r="E3" i="29"/>
  <c r="A3" i="29"/>
  <c r="F4" i="79"/>
  <c r="C4" i="79"/>
  <c r="A4" i="79"/>
  <c r="F3" i="79"/>
  <c r="C3" i="79"/>
  <c r="A3" i="79"/>
  <c r="E22" i="85" l="1"/>
  <c r="N13" i="85"/>
  <c r="N12" i="85" s="1"/>
  <c r="N18" i="85"/>
  <c r="N17" i="85" s="1"/>
  <c r="B18" i="82"/>
  <c r="B20" i="82" s="1"/>
  <c r="W27" i="30"/>
  <c r="AF27" i="30"/>
  <c r="AG27" i="30"/>
  <c r="AE27" i="30"/>
  <c r="AD27" i="30"/>
  <c r="AH27" i="30"/>
  <c r="AC27" i="30"/>
  <c r="AB27" i="30"/>
  <c r="Y27" i="30"/>
  <c r="S27" i="30"/>
  <c r="T27" i="30"/>
  <c r="U27" i="30"/>
  <c r="C18" i="82"/>
  <c r="C20" i="82" s="1"/>
  <c r="F23" i="29"/>
  <c r="F27" i="29" s="1"/>
  <c r="B13" i="83"/>
  <c r="C13" i="83"/>
  <c r="C15" i="83" s="1"/>
  <c r="G9" i="29"/>
  <c r="G13" i="29" s="1"/>
  <c r="H9" i="29"/>
  <c r="H13" i="29" s="1"/>
  <c r="I10" i="29"/>
  <c r="H22" i="29"/>
  <c r="H27" i="29" s="1"/>
  <c r="I8" i="29"/>
  <c r="F9" i="29"/>
  <c r="F13" i="29" s="1"/>
  <c r="I11" i="29"/>
  <c r="N22" i="85" l="1"/>
  <c r="B15" i="83"/>
  <c r="I25" i="29"/>
  <c r="K11" i="29"/>
  <c r="J11" i="29"/>
  <c r="I24" i="29"/>
  <c r="K10" i="29"/>
  <c r="J10" i="29"/>
  <c r="I9" i="29"/>
  <c r="I13" i="29" s="1"/>
  <c r="I22" i="29"/>
  <c r="K8" i="29"/>
  <c r="J8" i="29"/>
  <c r="E110" i="41" l="1"/>
  <c r="K13" i="29"/>
  <c r="J13" i="29"/>
  <c r="E111" i="41"/>
  <c r="E112" i="41"/>
  <c r="E113" i="41"/>
  <c r="E109" i="41"/>
  <c r="E114" i="41" s="1"/>
  <c r="K9" i="29"/>
  <c r="J9" i="29"/>
  <c r="I23" i="29"/>
  <c r="K24" i="29"/>
  <c r="J24" i="29"/>
  <c r="I27" i="29"/>
  <c r="K22" i="29"/>
  <c r="J22" i="29"/>
  <c r="K25" i="29"/>
  <c r="J25" i="29"/>
  <c r="E56" i="29" l="1"/>
  <c r="I53" i="29"/>
  <c r="K27" i="29"/>
  <c r="J27" i="29"/>
  <c r="K23" i="29"/>
  <c r="J23" i="2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C11" authorId="0" shapeId="0">
      <text>
        <r>
          <rPr>
            <b/>
            <sz val="9"/>
            <color indexed="81"/>
            <rFont val="宋体"/>
            <family val="3"/>
            <charset val="134"/>
          </rPr>
          <t>Windows 用户:</t>
        </r>
        <r>
          <rPr>
            <sz val="9"/>
            <color indexed="81"/>
            <rFont val="宋体"/>
            <family val="3"/>
            <charset val="134"/>
          </rPr>
          <t xml:space="preserve">
可填写客户的唯一识别编码，如被审计单位财务或业务系统中的公司编码</t>
        </r>
      </text>
    </comment>
  </commentList>
</comments>
</file>

<file path=xl/sharedStrings.xml><?xml version="1.0" encoding="utf-8"?>
<sst xmlns="http://schemas.openxmlformats.org/spreadsheetml/2006/main" count="1057" uniqueCount="498">
  <si>
    <t>底稿开列时，可先在以下单元格填写有关内容，以便其他底稿引用有关数据：</t>
  </si>
  <si>
    <t>被审计单位名称：</t>
  </si>
  <si>
    <t>序号</t>
  </si>
  <si>
    <t>内容</t>
  </si>
  <si>
    <t>索引号</t>
  </si>
  <si>
    <t>编制人：</t>
  </si>
  <si>
    <t>应收账款实质性程序表</t>
  </si>
  <si>
    <t>D2A</t>
  </si>
  <si>
    <t>编制日期：</t>
  </si>
  <si>
    <t>应收账款审定表</t>
  </si>
  <si>
    <t>D2-1</t>
  </si>
  <si>
    <t>复核人：</t>
  </si>
  <si>
    <t>附注披露信息（上市公司）</t>
  </si>
  <si>
    <t>无需打印</t>
  </si>
  <si>
    <t>复核日期：</t>
  </si>
  <si>
    <t>附注披露信息(国企)</t>
  </si>
  <si>
    <t>明细表</t>
  </si>
  <si>
    <t>D2-2</t>
  </si>
  <si>
    <t>坏账准备明细表</t>
  </si>
  <si>
    <t>D2-3</t>
  </si>
  <si>
    <t>调整分录汇总表</t>
  </si>
  <si>
    <t>D2-4</t>
  </si>
  <si>
    <t>致同会计师事务所</t>
  </si>
  <si>
    <t>索引号：</t>
  </si>
  <si>
    <t>页次：</t>
  </si>
  <si>
    <t>一、本账户涉及的科目</t>
  </si>
  <si>
    <t>应收账款</t>
  </si>
  <si>
    <t>二、审计目标和财务报表的认定</t>
  </si>
  <si>
    <t>审计目标</t>
  </si>
  <si>
    <t>财务报表的认定　</t>
  </si>
  <si>
    <t>存在</t>
  </si>
  <si>
    <t>完整性</t>
  </si>
  <si>
    <t>权利和义务</t>
  </si>
  <si>
    <t xml:space="preserve">D.应收账款以恰当的金额包括在财务报表中，与之相关的计价或分摊调整已恰当记录，相关披露已得到恰当计量和描述 </t>
  </si>
  <si>
    <t>准确性、计价和分摊</t>
  </si>
  <si>
    <t>列报</t>
  </si>
  <si>
    <t>三、计划实施的实质性程序</t>
  </si>
  <si>
    <t>程序分类</t>
  </si>
  <si>
    <t>底稿索引号</t>
  </si>
  <si>
    <t>1</t>
  </si>
  <si>
    <t>常规★</t>
  </si>
  <si>
    <t>√</t>
  </si>
  <si>
    <t>D2-1
/D2-2
/D2-3</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</si>
  <si>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</si>
  <si>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</si>
  <si>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
/D2-0
/</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</si>
  <si>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</si>
  <si>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</si>
  <si>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rFont val="宋体"/>
        <family val="3"/>
        <charset val="134"/>
      </rPr>
      <t>取得应收账款期初余额明细表复核加计是否正确，与总账、明细账合计数是否相符；检查上期应收账款在本期收回情况；函证期初余额以及其他必要追加的审计程序。</t>
    </r>
    <r>
      <rPr>
        <sz val="10"/>
        <color rgb="FFFF0000"/>
        <rFont val="宋体"/>
        <family val="3"/>
        <charset val="134"/>
      </rPr>
      <t>（适用于首次承接）</t>
    </r>
  </si>
  <si>
    <t>备选</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</si>
  <si>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</si>
  <si>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</si>
  <si>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获取应收账款账龄明细表：
(1）确定计算准确性并与总账核对一致；
(2）对重要应收账款账龄进行重新计算，与被审计单位提供的账龄表进行比较；
(3）对于发现的重大不一致，询问客户内部适当人员，并检查原始凭证，测试账龄划分的准确性。</t>
  </si>
  <si>
    <r>
      <rPr>
        <b/>
        <sz val="10"/>
        <color theme="1"/>
        <rFont val="宋体"/>
        <family val="3"/>
        <charset val="134"/>
      </rPr>
      <t>√</t>
    </r>
  </si>
  <si>
    <t>5</t>
  </si>
  <si>
    <t>实施分析性程序：
（1）计算除销比例、应收账款周转率及应收账款周转天数等指标，与被审计单位以前年度指标、同行业同期相关指标对比分析，检查是否存在异常；
（2）分析借贷方发生额，与对应科目比较是否存在异常；
（3）比较主要客户应收账款余额变动情况，分析合理性；
（4）与期初余额账龄比较，分析变动合理性。</t>
  </si>
  <si>
    <r>
      <rPr>
        <sz val="10"/>
        <color theme="1"/>
        <rFont val="宋体"/>
        <family val="3"/>
        <charset val="134"/>
      </rPr>
      <t>√</t>
    </r>
  </si>
  <si>
    <t>D2-5</t>
  </si>
  <si>
    <t>6</t>
  </si>
  <si>
    <r>
      <rPr>
        <sz val="10"/>
        <color theme="1"/>
        <rFont val="宋体"/>
        <family val="3"/>
        <charset val="134"/>
      </rPr>
      <t>实施函证程序：
（</t>
    </r>
    <r>
      <rPr>
        <sz val="10"/>
        <color theme="1"/>
        <rFont val="Arial Narrow"/>
        <family val="2"/>
      </rPr>
      <t>1</t>
    </r>
    <r>
      <rPr>
        <sz val="10"/>
        <color theme="1"/>
        <rFont val="宋体"/>
        <family val="3"/>
        <charset val="134"/>
      </rPr>
      <t>）以积极方式对预付账款进行函证，设计询证函、发函前核实被函证单位信息；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</si>
  <si>
    <t>D2-0</t>
  </si>
  <si>
    <t>7</t>
  </si>
  <si>
    <t>对未函证的应收账款，抽取适当的样本检查相关支持性文件（如销售合同、销售订单、销售发票副本、发运凭证及回款单据），确定会计处理是否正确。</t>
  </si>
  <si>
    <t>D2-7</t>
  </si>
  <si>
    <t>8</t>
  </si>
  <si>
    <t>浏览应收账款发生额，关注有无不属于结算业务的债权。如有，检查至相关支持性文件，确定债权性质。</t>
  </si>
  <si>
    <t>9</t>
  </si>
  <si>
    <t>10</t>
  </si>
  <si>
    <t>检查应收账款坏账准备计提是否正确：
（1）了解应收票据坏账准备计提会计政策，确定应收账款坏账准备是否以预期信用损失为基础计提，计提政策是否恰当，是否一贯执行。必要时，与同行业其他公司的会计政策进行对比，关注其是否利用会计政策和会计估计变更操纵利润
（2）重新计算应计提的坏账准备，与被审计单位已记录的坏账准备进行比较。
（3）关注大额坏账准备转回是否合理。实际发生坏账损失的，检查转销依据是否符合有关规定，会计处理是否正确。已经确认并转销的坏账重新收回的，检查其会计处理是否正确。</t>
  </si>
  <si>
    <t>D2-9
/D2-10
/D2-11</t>
  </si>
  <si>
    <t>11</t>
  </si>
  <si>
    <t>检查应收账款中是否存在债务人破产或者死亡，以其破产财产或者遗产清偿后仍无法收回，或者债务人长期未履行偿债义务的情况，如是，应提请被审计单位处理。</t>
  </si>
  <si>
    <t>12</t>
  </si>
  <si>
    <t>IPO/上市/新三板/重组/舞弊应对</t>
  </si>
  <si>
    <t>13</t>
  </si>
  <si>
    <t>对于大额应收账款客户：
(1)检查报告期公司应收账款（含余额及发生额）主要客户与营业收入主要客户是否匹配，新增客户的应收账款余额与向该客户的销售是否匹配；
(2)检查大额应收款项是否能够按合同约定期收回以及期末收到的销售款项是否存在期后不正常流出的情况。
（3）检查是否存在改变客户信用期、放宽付款条件以促进短期销售增长，从而导致应收账款增加，分析判断是否属于人为改变正常经营活动，是否满足收入确认条件。</t>
  </si>
  <si>
    <t>14</t>
  </si>
  <si>
    <t>结合销售合同中与收款、验收相关的主要条款，对于大额应收账长期未收回的客户，分析被审计单位仍向其进行销售的合理性和真实性。</t>
  </si>
  <si>
    <t>15</t>
  </si>
  <si>
    <t>D2-12</t>
  </si>
  <si>
    <t>16</t>
  </si>
  <si>
    <t>检查应收账款询证函回函、会议纪要、借款协议和其他文件，确定应收账款是否已被质押或出售。</t>
  </si>
  <si>
    <t>17</t>
  </si>
  <si>
    <t>了解被审计单位管理应收账款的业务模式，判断应收账款分类是否正确。</t>
  </si>
  <si>
    <t>D2-13</t>
  </si>
  <si>
    <t>18</t>
  </si>
  <si>
    <t>19</t>
  </si>
  <si>
    <t>针对评估的舞弊风险等因素增加的审计程序。</t>
  </si>
  <si>
    <t>20</t>
  </si>
  <si>
    <t>检查应收账款是否已按企业会计准则或其他适用的规定在财务报表中做出恰当列报和披露。</t>
  </si>
  <si>
    <r>
      <rPr>
        <sz val="10"/>
        <rFont val="Arial Narrow"/>
        <family val="2"/>
      </rPr>
      <t>A 1-1</t>
    </r>
    <r>
      <rPr>
        <sz val="10"/>
        <color rgb="FFFF0000"/>
        <rFont val="Arial Narrow"/>
        <family val="2"/>
      </rPr>
      <t>/A1-15 /A1-16</t>
    </r>
  </si>
  <si>
    <t>项目</t>
  </si>
  <si>
    <t>期初数</t>
  </si>
  <si>
    <t>期末数</t>
  </si>
  <si>
    <t>本期与上期审定数比较</t>
  </si>
  <si>
    <t>原因分析</t>
  </si>
  <si>
    <t>未审数</t>
  </si>
  <si>
    <t>账项调整</t>
  </si>
  <si>
    <t>重分类调整</t>
  </si>
  <si>
    <t>审定数</t>
  </si>
  <si>
    <t>变动额</t>
  </si>
  <si>
    <t>变动率</t>
  </si>
  <si>
    <t>一、应收账款原值</t>
  </si>
  <si>
    <t>单项计提坏账准备</t>
  </si>
  <si>
    <t>按组合计提坏账准备</t>
  </si>
  <si>
    <t>账龄组合</t>
  </si>
  <si>
    <t>客户类型组合</t>
  </si>
  <si>
    <t>……组合</t>
  </si>
  <si>
    <t>小计</t>
  </si>
  <si>
    <t>二、应收账款坏账准备</t>
  </si>
  <si>
    <t>三、应收账款净值</t>
  </si>
  <si>
    <t>合计</t>
  </si>
  <si>
    <t>（一）账龄组合原值</t>
  </si>
  <si>
    <t>一年以内</t>
  </si>
  <si>
    <t>一到二年</t>
  </si>
  <si>
    <t>二到三年</t>
  </si>
  <si>
    <t>三到四年</t>
  </si>
  <si>
    <t>四到五年</t>
  </si>
  <si>
    <t>五年以上</t>
  </si>
  <si>
    <t>（二）账龄组合坏账准备</t>
  </si>
  <si>
    <t>（三）账龄组合净值</t>
  </si>
  <si>
    <t>试算平衡表数</t>
  </si>
  <si>
    <t>差异数</t>
  </si>
  <si>
    <r>
      <rPr>
        <b/>
        <sz val="10"/>
        <rFont val="宋体"/>
        <family val="3"/>
        <charset val="134"/>
      </rPr>
      <t>1.审计说明</t>
    </r>
  </si>
  <si>
    <t>2.审计结论</t>
  </si>
  <si>
    <t>（1）应收账款本期较上期增加（负数为减少）：</t>
  </si>
  <si>
    <r>
      <rPr>
        <sz val="10"/>
        <rFont val="宋体"/>
        <family val="3"/>
        <charset val="134"/>
      </rPr>
      <t>主要原因</t>
    </r>
    <r>
      <rPr>
        <sz val="10"/>
        <color indexed="10"/>
        <rFont val="宋体"/>
        <family val="3"/>
        <charset val="134"/>
      </rPr>
      <t>（比例超过30%的）</t>
    </r>
    <r>
      <rPr>
        <sz val="10"/>
        <rFont val="宋体"/>
        <family val="3"/>
        <charset val="134"/>
      </rPr>
      <t>：</t>
    </r>
  </si>
  <si>
    <t>（2）情况说明</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</si>
  <si>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</si>
  <si>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</si>
  <si>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索引：D2</t>
    </r>
    <r>
      <rPr>
        <sz val="10"/>
        <rFont val="Arial Narrow"/>
        <family val="2"/>
      </rPr>
      <t>-1</t>
    </r>
  </si>
  <si>
    <r>
      <rPr>
        <sz val="10"/>
        <rFont val="宋体"/>
        <family val="3"/>
        <charset val="134"/>
      </rPr>
      <t>页次：</t>
    </r>
  </si>
  <si>
    <r>
      <rPr>
        <sz val="12"/>
        <rFont val="仿宋_GB2312"/>
        <family val="3"/>
        <charset val="134"/>
      </rPr>
      <t>附注披露信息：</t>
    </r>
  </si>
  <si>
    <r>
      <rPr>
        <b/>
        <sz val="12"/>
        <rFont val="仿宋_GB2312"/>
        <family val="3"/>
        <charset val="134"/>
      </rPr>
      <t>应收账款</t>
    </r>
    <r>
      <rPr>
        <b/>
        <sz val="12"/>
        <color rgb="FF0000FF"/>
        <rFont val="仿宋_GB2312"/>
        <family val="3"/>
        <charset val="134"/>
      </rPr>
      <t>（以下不适用的，请删除）</t>
    </r>
  </si>
  <si>
    <r>
      <rPr>
        <b/>
        <sz val="12"/>
        <rFont val="仿宋_GB2312"/>
        <family val="3"/>
        <charset val="134"/>
      </rPr>
      <t>（</t>
    </r>
    <r>
      <rPr>
        <b/>
        <sz val="12"/>
        <rFont val="Arial Narrow"/>
        <family val="2"/>
      </rPr>
      <t>1</t>
    </r>
    <r>
      <rPr>
        <b/>
        <sz val="12"/>
        <rFont val="仿宋_GB2312"/>
        <family val="3"/>
        <charset val="134"/>
      </rPr>
      <t>）应收账款按种类披露</t>
    </r>
  </si>
  <si>
    <r>
      <rPr>
        <b/>
        <sz val="12"/>
        <rFont val="仿宋_GB2312"/>
        <family val="3"/>
        <charset val="134"/>
      </rPr>
      <t>种</t>
    </r>
    <r>
      <rPr>
        <b/>
        <sz val="12"/>
        <rFont val="仿宋_GB2312"/>
        <family val="3"/>
        <charset val="134"/>
      </rPr>
      <t>类</t>
    </r>
  </si>
  <si>
    <r>
      <rPr>
        <b/>
        <sz val="12"/>
        <rFont val="仿宋_GB2312"/>
        <family val="3"/>
        <charset val="134"/>
      </rPr>
      <t>期末数</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</si>
  <si>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</si>
  <si>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</si>
  <si>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</si>
  <si>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</si>
  <si>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净额</t>
    </r>
  </si>
  <si>
    <t>单项计提坏账准备的应收账款</t>
  </si>
  <si>
    <r>
      <rPr>
        <sz val="12"/>
        <rFont val="仿宋_GB2312"/>
        <family val="3"/>
        <charset val="134"/>
      </rPr>
      <t>按组合计提坏账准备的应收账款</t>
    </r>
  </si>
  <si>
    <t>其中：账龄组合</t>
  </si>
  <si>
    <t xml:space="preserve">      客户类型组合</t>
  </si>
  <si>
    <t xml:space="preserve">      产品类型组合</t>
  </si>
  <si>
    <t xml:space="preserve">      ……组合</t>
  </si>
  <si>
    <r>
      <rPr>
        <sz val="12"/>
        <rFont val="仿宋_GB2312"/>
        <family val="3"/>
        <charset val="134"/>
      </rPr>
      <t>组合小计</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</si>
  <si>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</si>
  <si>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应收账款按种类披露（续）</t>
    </r>
  </si>
  <si>
    <r>
      <rPr>
        <b/>
        <sz val="12"/>
        <rFont val="仿宋_GB2312"/>
        <family val="3"/>
        <charset val="134"/>
      </rPr>
      <t>期初数</t>
    </r>
  </si>
  <si>
    <r>
      <rPr>
        <sz val="12"/>
        <color rgb="FF0000FF"/>
        <rFont val="仿宋_GB2312"/>
        <family val="3"/>
        <charset val="134"/>
      </rPr>
      <t>注：填写组合名称。账面余额中的比例按期末该类应收账款除以应收账款合计数计算，坏账准备比例按该类应收账款期末已计提坏账准备除以期末该类应收账款余额计算。</t>
    </r>
  </si>
  <si>
    <r>
      <rPr>
        <sz val="12"/>
        <rFont val="仿宋_GB2312"/>
        <family val="3"/>
        <charset val="134"/>
      </rPr>
      <t>说明：</t>
    </r>
  </si>
  <si>
    <t>①期末单项计提坏账准备的应收账款</t>
  </si>
  <si>
    <r>
      <rPr>
        <b/>
        <sz val="12"/>
        <rFont val="仿宋_GB2312"/>
        <family val="3"/>
        <charset val="134"/>
      </rPr>
      <t>应收账款（按单位）</t>
    </r>
  </si>
  <si>
    <r>
      <rPr>
        <b/>
        <sz val="12"/>
        <rFont val="仿宋_GB2312"/>
        <family val="3"/>
        <charset val="134"/>
      </rPr>
      <t>账面余额</t>
    </r>
  </si>
  <si>
    <r>
      <rPr>
        <b/>
        <sz val="12"/>
        <rFont val="仿宋_GB2312"/>
        <family val="3"/>
        <charset val="134"/>
      </rPr>
      <t>计提理由</t>
    </r>
  </si>
  <si>
    <t>②按账龄组合计提坏账准备的应收账款：（不适用的删除）</t>
  </si>
  <si>
    <r>
      <rPr>
        <b/>
        <sz val="12"/>
        <rFont val="仿宋_GB2312"/>
        <family val="3"/>
        <charset val="134"/>
      </rPr>
      <t>账</t>
    </r>
    <r>
      <rPr>
        <b/>
        <sz val="12"/>
        <rFont val="Arial Narrow"/>
        <family val="2"/>
      </rPr>
      <t xml:space="preserve">  </t>
    </r>
    <r>
      <rPr>
        <b/>
        <sz val="12"/>
        <rFont val="仿宋_GB2312"/>
        <family val="3"/>
        <charset val="134"/>
      </rPr>
      <t>龄</t>
    </r>
  </si>
  <si>
    <r>
      <rPr>
        <sz val="12"/>
        <color rgb="FF0000FF"/>
        <rFont val="仿宋_GB2312"/>
        <family val="3"/>
        <charset val="134"/>
      </rPr>
      <t>（</t>
    </r>
    <r>
      <rPr>
        <sz val="12"/>
        <color indexed="12"/>
        <rFont val="仿宋_GB2312"/>
        <family val="3"/>
        <charset val="134"/>
      </rPr>
      <t>可根据企业具体会计政策，相应修改账龄组合的划分）</t>
    </r>
  </si>
  <si>
    <t>③组合中，采用客户类型组合计提坏账准备的应收账款：（不适用的删除）</t>
  </si>
  <si>
    <r>
      <rPr>
        <b/>
        <sz val="12"/>
        <rFont val="仿宋_GB2312"/>
        <family val="3"/>
        <charset val="134"/>
      </rPr>
      <t>组合名称</t>
    </r>
  </si>
  <si>
    <t>计提比例</t>
  </si>
  <si>
    <r>
      <rPr>
        <sz val="12"/>
        <color rgb="FF0000FF"/>
        <rFont val="仿宋_GB2312"/>
        <family val="3"/>
        <charset val="134"/>
      </rPr>
      <t>组合</t>
    </r>
    <r>
      <rPr>
        <sz val="12"/>
        <color indexed="12"/>
        <rFont val="Arial Narrow"/>
        <family val="2"/>
      </rPr>
      <t>1</t>
    </r>
    <r>
      <rPr>
        <sz val="12"/>
        <color indexed="12"/>
        <rFont val="仿宋_GB2312"/>
        <family val="3"/>
        <charset val="134"/>
      </rPr>
      <t>（注明具体组合名称）</t>
    </r>
  </si>
  <si>
    <r>
      <rPr>
        <sz val="12"/>
        <color rgb="FF0000FF"/>
        <rFont val="仿宋_GB2312"/>
        <family val="3"/>
        <charset val="134"/>
      </rPr>
      <t>组合</t>
    </r>
    <r>
      <rPr>
        <sz val="12"/>
        <color indexed="12"/>
        <rFont val="Arial Narrow"/>
        <family val="2"/>
      </rPr>
      <t>2</t>
    </r>
    <r>
      <rPr>
        <sz val="12"/>
        <color indexed="12"/>
        <rFont val="仿宋_GB2312"/>
        <family val="3"/>
        <charset val="134"/>
      </rPr>
      <t>（注明具体组合名称）</t>
    </r>
  </si>
  <si>
    <t>……</t>
  </si>
  <si>
    <t>④组合中，采用产品类型组合计提坏账准备的应收账款：（不适用的删除）</t>
  </si>
  <si>
    <t>⑤组合中，采用……组合计提坏账准备的应收账款：（不适用的删除）</t>
  </si>
  <si>
    <r>
      <rPr>
        <sz val="12"/>
        <color rgb="FF0000FF"/>
        <rFont val="仿宋_GB2312"/>
        <family val="3"/>
        <charset val="134"/>
      </rPr>
      <t>注：填写具体组合名称。</t>
    </r>
  </si>
  <si>
    <r>
      <rPr>
        <b/>
        <sz val="12"/>
        <rFont val="仿宋_GB2312"/>
        <family val="3"/>
        <charset val="134"/>
      </rPr>
      <t>（</t>
    </r>
    <r>
      <rPr>
        <b/>
        <sz val="12"/>
        <rFont val="Arial Narrow"/>
        <family val="2"/>
      </rPr>
      <t>2</t>
    </r>
    <r>
      <rPr>
        <b/>
        <sz val="12"/>
        <rFont val="仿宋_GB2312"/>
        <family val="3"/>
        <charset val="134"/>
      </rPr>
      <t>）本期计提、收回或转回的坏账准备情况</t>
    </r>
  </si>
  <si>
    <t>坏账准备金额</t>
  </si>
  <si>
    <t>本期计提</t>
  </si>
  <si>
    <t>本期收回或转回</t>
  </si>
  <si>
    <t>本期核销</t>
  </si>
  <si>
    <r>
      <rPr>
        <sz val="12"/>
        <color rgb="FFFF0000"/>
        <rFont val="Arial Narrow"/>
        <family val="2"/>
      </rPr>
      <t>[</t>
    </r>
    <r>
      <rPr>
        <sz val="12"/>
        <color rgb="FFFF0000"/>
        <rFont val="仿宋_GB2312"/>
        <family val="3"/>
        <charset val="134"/>
      </rPr>
      <t>本期转销</t>
    </r>
    <r>
      <rPr>
        <sz val="12"/>
        <color rgb="FFFF0000"/>
        <rFont val="Arial Narrow"/>
        <family val="2"/>
      </rPr>
      <t>]</t>
    </r>
  </si>
  <si>
    <r>
      <rPr>
        <sz val="12"/>
        <color rgb="FFFF0000"/>
        <rFont val="Arial Narrow"/>
        <family val="2"/>
      </rPr>
      <t>[</t>
    </r>
    <r>
      <rPr>
        <sz val="12"/>
        <color rgb="FFFF0000"/>
        <rFont val="仿宋_GB2312"/>
        <family val="3"/>
        <charset val="134"/>
      </rPr>
      <t>其他</t>
    </r>
    <r>
      <rPr>
        <sz val="12"/>
        <color rgb="FFFF0000"/>
        <rFont val="Arial Narrow"/>
        <family val="2"/>
      </rPr>
      <t>]</t>
    </r>
  </si>
  <si>
    <r>
      <rPr>
        <sz val="12"/>
        <rFont val="仿宋_GB2312"/>
        <family val="3"/>
        <charset val="134"/>
      </rPr>
      <t>其中，本期坏账准备转回或收回金额重要的：</t>
    </r>
  </si>
  <si>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</si>
  <si>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</si>
  <si>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</si>
  <si>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</si>
  <si>
    <r>
      <rPr>
        <b/>
        <sz val="12"/>
        <rFont val="仿宋_GB2312"/>
        <family val="3"/>
        <charset val="134"/>
      </rPr>
      <t>转回或收回金额</t>
    </r>
  </si>
  <si>
    <r>
      <rPr>
        <sz val="12"/>
        <color rgb="FF0000FF"/>
        <rFont val="仿宋_GB2312"/>
        <family val="3"/>
        <charset val="134"/>
      </rPr>
      <t>注：本期坏账准备收回或转回金额重要的，应披露转回原因、收回方式、确定原坏账准备计提比例的依据及其合理性；</t>
    </r>
  </si>
  <si>
    <r>
      <rPr>
        <b/>
        <sz val="12"/>
        <rFont val="仿宋_GB2312"/>
        <family val="3"/>
        <charset val="134"/>
      </rPr>
      <t>（</t>
    </r>
    <r>
      <rPr>
        <b/>
        <sz val="12"/>
        <rFont val="Arial Narrow"/>
        <family val="2"/>
      </rPr>
      <t>3</t>
    </r>
    <r>
      <rPr>
        <b/>
        <sz val="12"/>
        <rFont val="仿宋_GB2312"/>
        <family val="3"/>
        <charset val="134"/>
      </rPr>
      <t>）本期实际核销的应收账款情况</t>
    </r>
  </si>
  <si>
    <r>
      <rPr>
        <b/>
        <sz val="12"/>
        <rFont val="仿宋_GB2312"/>
        <family val="3"/>
        <charset val="134"/>
      </rPr>
      <t>项目</t>
    </r>
  </si>
  <si>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</si>
  <si>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</si>
  <si>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其中，重要的应收账款核销情况（逐项披露）：</t>
    </r>
  </si>
  <si>
    <r>
      <rPr>
        <b/>
        <sz val="12"/>
        <rFont val="仿宋_GB2312"/>
        <family val="3"/>
        <charset val="134"/>
      </rPr>
      <t>应收账款的性质</t>
    </r>
  </si>
  <si>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</si>
  <si>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</si>
  <si>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</si>
  <si>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r>
      <rPr>
        <sz val="12"/>
        <color rgb="FF0000FF"/>
        <rFont val="仿宋_GB2312"/>
        <family val="3"/>
        <charset val="134"/>
      </rPr>
      <t>（对于其中重要的应收账款，应逐项披露款项性质、核销原因、履行的核销程序及核销金额。实际核销的款项由关联交易产生的，应单独披露；）</t>
    </r>
  </si>
  <si>
    <r>
      <rPr>
        <sz val="12"/>
        <color rgb="FF000000"/>
        <rFont val="仿宋_GB2312"/>
        <family val="3"/>
        <charset val="134"/>
      </rPr>
      <t>说明：</t>
    </r>
  </si>
  <si>
    <r>
      <rPr>
        <b/>
        <sz val="12"/>
        <rFont val="仿宋_GB2312"/>
        <family val="3"/>
        <charset val="134"/>
      </rPr>
      <t>（</t>
    </r>
    <r>
      <rPr>
        <b/>
        <sz val="12"/>
        <rFont val="Arial Narrow"/>
        <family val="2"/>
      </rPr>
      <t>4</t>
    </r>
    <r>
      <rPr>
        <b/>
        <sz val="12"/>
        <rFont val="仿宋_GB2312"/>
        <family val="3"/>
        <charset val="134"/>
      </rPr>
      <t>）按欠款方归集的应收账款期末余额前五名单位情况</t>
    </r>
  </si>
  <si>
    <r>
      <rPr>
        <b/>
        <sz val="12"/>
        <rFont val="仿宋_GB2312"/>
        <family val="3"/>
        <charset val="134"/>
      </rPr>
      <t>款项性质</t>
    </r>
  </si>
  <si>
    <r>
      <rPr>
        <b/>
        <sz val="12"/>
        <rFont val="仿宋_GB2312"/>
        <family val="3"/>
        <charset val="134"/>
      </rPr>
      <t>应收账款期末余额</t>
    </r>
  </si>
  <si>
    <r>
      <rPr>
        <b/>
        <sz val="12"/>
        <rFont val="仿宋_GB2312"/>
        <family val="3"/>
        <charset val="134"/>
      </rPr>
      <t>账龄</t>
    </r>
  </si>
  <si>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</si>
  <si>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</si>
  <si>
    <r>
      <rPr>
        <sz val="12"/>
        <color rgb="FF0000FF"/>
        <rFont val="仿宋_GB2312"/>
        <family val="3"/>
        <charset val="134"/>
      </rPr>
      <t>【按欠款方归集的期末余额前五名的其他应收款，应分别披露欠款方名称、期末余额及占其他应收款期末余额合计数的比例、款项的性质、对应的账龄、坏账准备期末余额；】</t>
    </r>
  </si>
  <si>
    <r>
      <rPr>
        <b/>
        <sz val="12"/>
        <rFont val="仿宋_GB2312"/>
        <family val="3"/>
        <charset val="134"/>
      </rPr>
      <t>（</t>
    </r>
    <r>
      <rPr>
        <b/>
        <sz val="12"/>
        <rFont val="Arial Narrow"/>
        <family val="2"/>
      </rPr>
      <t>5</t>
    </r>
    <r>
      <rPr>
        <b/>
        <sz val="12"/>
        <rFont val="仿宋_GB2312"/>
        <family val="3"/>
        <charset val="134"/>
      </rPr>
      <t>）因金融资产转移而终止确认的其他应收款情况</t>
    </r>
  </si>
  <si>
    <r>
      <rPr>
        <sz val="12"/>
        <color rgb="FF0000FF"/>
        <rFont val="仿宋_GB2312"/>
        <family val="3"/>
        <charset val="134"/>
      </rPr>
      <t>【因金融资产转移而终止确认的应收款项，应列示金融资产转移的方式、终止确认的应收款项金额，及与终止确认相关的利得或损失；】</t>
    </r>
  </si>
  <si>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</si>
  <si>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</si>
  <si>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</si>
  <si>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</si>
  <si>
    <r>
      <rPr>
        <b/>
        <sz val="12"/>
        <rFont val="仿宋_GB2312"/>
        <family val="3"/>
        <charset val="134"/>
      </rPr>
      <t>（</t>
    </r>
    <r>
      <rPr>
        <b/>
        <sz val="12"/>
        <rFont val="Arial Narrow"/>
        <family val="2"/>
      </rPr>
      <t>6</t>
    </r>
    <r>
      <rPr>
        <b/>
        <sz val="12"/>
        <rFont val="仿宋_GB2312"/>
        <family val="3"/>
        <charset val="134"/>
      </rPr>
      <t>）转移其他应收款且继续涉入形成的资产、负债的金额</t>
    </r>
  </si>
  <si>
    <r>
      <rPr>
        <sz val="12"/>
        <color rgb="FF0000FF"/>
        <rFont val="仿宋_GB2312"/>
        <family val="3"/>
        <charset val="134"/>
      </rPr>
      <t>【转移应收款项且继续涉入的，应披露资产转移方式、分项列示继续涉入形成的资产、负债的金额。】</t>
    </r>
  </si>
  <si>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</si>
  <si>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</si>
  <si>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</si>
  <si>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</si>
  <si>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</si>
  <si>
    <t>附注披露信息（国企）</t>
  </si>
  <si>
    <r>
      <rPr>
        <sz val="10"/>
        <rFont val="宋体"/>
        <family val="3"/>
        <charset val="134"/>
      </rPr>
      <t>索引：</t>
    </r>
    <r>
      <rPr>
        <sz val="10"/>
        <rFont val="Arial Narrow"/>
        <family val="2"/>
      </rPr>
      <t>D2-1</t>
    </r>
  </si>
  <si>
    <r>
      <rPr>
        <sz val="10"/>
        <rFont val="宋体"/>
        <family val="3"/>
        <charset val="134"/>
      </rPr>
      <t>页次：</t>
    </r>
    <r>
      <rPr>
        <sz val="10"/>
        <rFont val="Arial Narrow"/>
        <family val="2"/>
      </rPr>
      <t>1</t>
    </r>
  </si>
  <si>
    <r>
      <rPr>
        <sz val="12"/>
        <rFont val="仿宋_GB2312"/>
        <family val="3"/>
        <charset val="134"/>
      </rPr>
      <t>应收账款</t>
    </r>
  </si>
  <si>
    <r>
      <rPr>
        <sz val="12"/>
        <rFont val="仿宋_GB2312"/>
        <family val="3"/>
        <charset val="134"/>
      </rPr>
      <t>应收账款按种类披露</t>
    </r>
  </si>
  <si>
    <r>
      <rPr>
        <b/>
        <sz val="12"/>
        <rFont val="仿宋_GB2312"/>
        <family val="3"/>
        <charset val="134"/>
      </rPr>
      <t>种</t>
    </r>
    <r>
      <rPr>
        <b/>
        <sz val="12"/>
        <rFont val="Arial Narrow"/>
        <family val="2"/>
      </rPr>
      <t xml:space="preserve">  </t>
    </r>
    <r>
      <rPr>
        <b/>
        <sz val="12"/>
        <rFont val="仿宋_GB2312"/>
        <family val="3"/>
        <charset val="134"/>
      </rPr>
      <t>类</t>
    </r>
  </si>
  <si>
    <r>
      <rPr>
        <b/>
        <sz val="12"/>
        <rFont val="仿宋_GB2312"/>
        <family val="3"/>
        <charset val="134"/>
      </rPr>
      <t>年初数</t>
    </r>
  </si>
  <si>
    <r>
      <rPr>
        <sz val="12"/>
        <color rgb="FF0000FF"/>
        <rFont val="仿宋_GB2312"/>
        <family val="3"/>
        <charset val="134"/>
      </rPr>
      <t>（注：①填写组合名称。②账面余额中的比例按年末该类应收账款除以应收账款余额合计数计算，坏账准备比例按该类应收账款年末已计提坏账准备除以年末该类应收账款余额计算。）</t>
    </r>
  </si>
  <si>
    <r>
      <rPr>
        <sz val="12"/>
        <rFont val="仿宋_GB2312"/>
        <family val="3"/>
        <charset val="134"/>
      </rPr>
      <t>（</t>
    </r>
    <r>
      <rPr>
        <sz val="12"/>
        <rFont val="Arial Narrow"/>
        <family val="2"/>
      </rPr>
      <t>1</t>
    </r>
    <r>
      <rPr>
        <sz val="12"/>
        <rFont val="仿宋_GB2312"/>
        <family val="3"/>
        <charset val="134"/>
      </rPr>
      <t>）按组合计提坏账准备的应收账款</t>
    </r>
  </si>
  <si>
    <r>
      <rPr>
        <sz val="12"/>
        <rFont val="Arial Narrow"/>
        <family val="2"/>
      </rPr>
      <t>A</t>
    </r>
    <r>
      <rPr>
        <sz val="12"/>
        <rFont val="仿宋_GB2312"/>
        <family val="3"/>
        <charset val="134"/>
      </rPr>
      <t>、采用账龄分析法计提坏账准备的应收账款</t>
    </r>
  </si>
  <si>
    <r>
      <rPr>
        <b/>
        <sz val="12"/>
        <rFont val="仿宋_GB2312"/>
        <family val="3"/>
        <charset val="134"/>
      </rPr>
      <t>金额</t>
    </r>
  </si>
  <si>
    <r>
      <rPr>
        <b/>
        <sz val="12"/>
        <rFont val="仿宋_GB2312"/>
        <family val="3"/>
        <charset val="134"/>
      </rPr>
      <t>比例</t>
    </r>
    <r>
      <rPr>
        <b/>
        <sz val="12"/>
        <rFont val="Arial Narrow"/>
        <family val="2"/>
      </rPr>
      <t>(%)</t>
    </r>
  </si>
  <si>
    <r>
      <rPr>
        <sz val="12"/>
        <rFont val="Arial Narrow"/>
        <family val="2"/>
      </rPr>
      <t>B</t>
    </r>
    <r>
      <rPr>
        <sz val="12"/>
        <rFont val="仿宋_GB2312"/>
        <family val="3"/>
        <charset val="134"/>
      </rPr>
      <t>、采用客户类型组合计提坏账准备的应收账款</t>
    </r>
  </si>
  <si>
    <r>
      <rPr>
        <b/>
        <sz val="12"/>
        <rFont val="仿宋_GB2312"/>
        <family val="3"/>
        <charset val="134"/>
      </rPr>
      <t>计提比例</t>
    </r>
    <r>
      <rPr>
        <b/>
        <sz val="12"/>
        <rFont val="Arial Narrow"/>
        <family val="2"/>
      </rPr>
      <t>(%)</t>
    </r>
  </si>
  <si>
    <r>
      <rPr>
        <sz val="12"/>
        <color rgb="FFFF0000"/>
        <rFont val="仿宋_GB2312"/>
        <family val="3"/>
        <charset val="134"/>
      </rPr>
      <t>组合</t>
    </r>
    <r>
      <rPr>
        <sz val="12"/>
        <color rgb="FFFF0000"/>
        <rFont val="Arial Narrow"/>
        <family val="2"/>
      </rPr>
      <t>1</t>
    </r>
  </si>
  <si>
    <r>
      <rPr>
        <sz val="12"/>
        <color rgb="FFFF0000"/>
        <rFont val="仿宋_GB2312"/>
        <family val="3"/>
        <charset val="134"/>
      </rPr>
      <t>组合</t>
    </r>
    <r>
      <rPr>
        <sz val="12"/>
        <color rgb="FFFF0000"/>
        <rFont val="Arial Narrow"/>
        <family val="2"/>
      </rPr>
      <t>2</t>
    </r>
  </si>
  <si>
    <r>
      <rPr>
        <sz val="12"/>
        <rFont val="Arial Narrow"/>
        <family val="2"/>
      </rPr>
      <t>C</t>
    </r>
    <r>
      <rPr>
        <sz val="12"/>
        <rFont val="仿宋_GB2312"/>
        <family val="3"/>
        <charset val="134"/>
      </rPr>
      <t>、采用产品类型组合计提坏账准备的应收账款</t>
    </r>
  </si>
  <si>
    <r>
      <rPr>
        <sz val="12"/>
        <rFont val="Arial Narrow"/>
        <family val="2"/>
      </rPr>
      <t>D</t>
    </r>
    <r>
      <rPr>
        <sz val="12"/>
        <rFont val="仿宋_GB2312"/>
        <family val="3"/>
        <charset val="134"/>
      </rPr>
      <t>、采用</t>
    </r>
    <r>
      <rPr>
        <sz val="12"/>
        <color rgb="FFFF0000"/>
        <rFont val="仿宋_GB2312"/>
        <family val="3"/>
        <charset val="134"/>
      </rPr>
      <t>……组合</t>
    </r>
    <r>
      <rPr>
        <sz val="12"/>
        <rFont val="仿宋_GB2312"/>
        <family val="3"/>
        <charset val="134"/>
      </rPr>
      <t>计提坏账准备的应收账款</t>
    </r>
  </si>
  <si>
    <r>
      <rPr>
        <sz val="12"/>
        <rFont val="仿宋_GB2312"/>
        <family val="3"/>
        <charset val="134"/>
      </rPr>
      <t>（</t>
    </r>
    <r>
      <rPr>
        <sz val="12"/>
        <rFont val="Arial Narrow"/>
        <family val="2"/>
      </rPr>
      <t>2</t>
    </r>
    <r>
      <rPr>
        <sz val="12"/>
        <rFont val="仿宋_GB2312"/>
        <family val="3"/>
        <charset val="134"/>
      </rPr>
      <t>）单项计提坏账准备的应收账款</t>
    </r>
  </si>
  <si>
    <r>
      <rPr>
        <b/>
        <sz val="12"/>
        <rFont val="仿宋_GB2312"/>
        <family val="3"/>
        <charset val="134"/>
      </rPr>
      <t>债务人名称</t>
    </r>
  </si>
  <si>
    <r>
      <rPr>
        <b/>
        <sz val="12"/>
        <rFont val="仿宋_GB2312"/>
        <family val="3"/>
        <charset val="134"/>
      </rPr>
      <t>计提比例</t>
    </r>
  </si>
  <si>
    <r>
      <rPr>
        <sz val="12"/>
        <rFont val="仿宋_GB2312"/>
        <family val="3"/>
        <charset val="134"/>
      </rPr>
      <t>（</t>
    </r>
    <r>
      <rPr>
        <sz val="12"/>
        <rFont val="Arial Narrow"/>
        <family val="2"/>
      </rPr>
      <t>3</t>
    </r>
    <r>
      <rPr>
        <sz val="12"/>
        <rFont val="仿宋_GB2312"/>
        <family val="3"/>
        <charset val="134"/>
      </rPr>
      <t>）本期转回或收回情况</t>
    </r>
    <r>
      <rPr>
        <sz val="12"/>
        <color indexed="12"/>
        <rFont val="仿宋_GB2312"/>
        <family val="3"/>
        <charset val="134"/>
      </rPr>
      <t>（非上市公司可参照选择披露）</t>
    </r>
  </si>
  <si>
    <r>
      <rPr>
        <b/>
        <sz val="12"/>
        <rFont val="仿宋_GB2312"/>
        <family val="3"/>
        <charset val="134"/>
      </rPr>
      <t>转回或收回原因</t>
    </r>
  </si>
  <si>
    <r>
      <rPr>
        <b/>
        <sz val="12"/>
        <rFont val="仿宋_GB2312"/>
        <family val="3"/>
        <charset val="134"/>
      </rPr>
      <t>确定原坏账准备的依据</t>
    </r>
  </si>
  <si>
    <r>
      <rPr>
        <b/>
        <sz val="12"/>
        <rFont val="仿宋_GB2312"/>
        <family val="3"/>
        <charset val="134"/>
      </rPr>
      <t>转回或收回前累计已计提坏账准备金额</t>
    </r>
  </si>
  <si>
    <r>
      <rPr>
        <b/>
        <sz val="12"/>
        <rFont val="仿宋_GB2312"/>
        <family val="3"/>
        <charset val="134"/>
      </rPr>
      <t>合计</t>
    </r>
  </si>
  <si>
    <r>
      <rPr>
        <sz val="12"/>
        <color rgb="FF0000FF"/>
        <rFont val="仿宋_GB2312"/>
        <family val="3"/>
        <charset val="134"/>
      </rPr>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r>
  </si>
  <si>
    <r>
      <rPr>
        <sz val="12"/>
        <rFont val="仿宋_GB2312"/>
        <family val="3"/>
        <charset val="134"/>
      </rPr>
      <t>（</t>
    </r>
    <r>
      <rPr>
        <sz val="12"/>
        <rFont val="Arial Narrow"/>
        <family val="2"/>
      </rPr>
      <t>4</t>
    </r>
    <r>
      <rPr>
        <sz val="12"/>
        <rFont val="仿宋_GB2312"/>
        <family val="3"/>
        <charset val="134"/>
      </rPr>
      <t>）本报告期实际核销的应收账款（非上市公司可参照选择披露）</t>
    </r>
  </si>
  <si>
    <r>
      <rPr>
        <b/>
        <sz val="12"/>
        <rFont val="仿宋_GB2312"/>
        <family val="3"/>
        <charset val="134"/>
      </rPr>
      <t>应收账款性质</t>
    </r>
  </si>
  <si>
    <r>
      <rPr>
        <b/>
        <sz val="12"/>
        <rFont val="仿宋_GB2312"/>
        <family val="3"/>
        <charset val="134"/>
      </rPr>
      <t>是否因关联交易产生</t>
    </r>
  </si>
  <si>
    <t>--</t>
  </si>
  <si>
    <r>
      <rPr>
        <sz val="12"/>
        <rFont val="仿宋_GB2312"/>
        <family val="3"/>
        <charset val="134"/>
      </rPr>
      <t>（</t>
    </r>
    <r>
      <rPr>
        <sz val="12"/>
        <rFont val="Arial Narrow"/>
        <family val="2"/>
      </rPr>
      <t>5</t>
    </r>
    <r>
      <rPr>
        <sz val="12"/>
        <rFont val="仿宋_GB2312"/>
        <family val="3"/>
        <charset val="134"/>
      </rPr>
      <t>）由金融资产转移而终止确认的应收账款情况</t>
    </r>
  </si>
  <si>
    <r>
      <rPr>
        <b/>
        <sz val="12"/>
        <rFont val="仿宋_GB2312"/>
        <family val="3"/>
        <charset val="134"/>
      </rPr>
      <t>与终止确认相关的利得或损失（损失以</t>
    </r>
    <r>
      <rPr>
        <b/>
        <sz val="12"/>
        <rFont val="Arial Narrow"/>
        <family val="2"/>
      </rPr>
      <t>“-”</t>
    </r>
    <r>
      <rPr>
        <b/>
        <sz val="12"/>
        <rFont val="仿宋_GB2312"/>
        <family val="3"/>
        <charset val="134"/>
      </rPr>
      <t>填列）</t>
    </r>
  </si>
  <si>
    <r>
      <rPr>
        <sz val="12"/>
        <rFont val="仿宋_GB2312"/>
        <family val="3"/>
        <charset val="134"/>
      </rPr>
      <t>（</t>
    </r>
    <r>
      <rPr>
        <sz val="12"/>
        <rFont val="Arial Narrow"/>
        <family val="2"/>
      </rPr>
      <t>6</t>
    </r>
    <r>
      <rPr>
        <sz val="12"/>
        <rFont val="仿宋_GB2312"/>
        <family val="3"/>
        <charset val="134"/>
      </rPr>
      <t>）应收账款转移，如证券化、保理等，继续涉入形成的资产、负债的金额</t>
    </r>
  </si>
  <si>
    <r>
      <rPr>
        <b/>
        <sz val="12"/>
        <rFont val="仿宋_GB2312"/>
        <family val="3"/>
        <charset val="134"/>
      </rPr>
      <t>期末金额</t>
    </r>
  </si>
  <si>
    <r>
      <rPr>
        <b/>
        <sz val="11"/>
        <rFont val="宋体"/>
        <family val="3"/>
        <charset val="134"/>
      </rPr>
      <t>致同会计师事务所</t>
    </r>
  </si>
  <si>
    <r>
      <rPr>
        <sz val="11"/>
        <rFont val="宋体"/>
        <family val="3"/>
        <charset val="134"/>
      </rPr>
      <t>页</t>
    </r>
    <r>
      <rPr>
        <sz val="11"/>
        <rFont val="Arial Narrow"/>
        <family val="2"/>
      </rPr>
      <t xml:space="preserve">  </t>
    </r>
    <r>
      <rPr>
        <sz val="11"/>
        <rFont val="宋体"/>
        <family val="3"/>
        <charset val="134"/>
      </rPr>
      <t>次：</t>
    </r>
  </si>
  <si>
    <t>应收账款附注</t>
  </si>
  <si>
    <t>（1）按账龄披露</t>
  </si>
  <si>
    <t>账 龄</t>
  </si>
  <si>
    <t>期末余额</t>
  </si>
  <si>
    <t>上年年末余额</t>
  </si>
  <si>
    <t>1年以内</t>
  </si>
  <si>
    <t>其中：0-X个月</t>
  </si>
  <si>
    <t xml:space="preserve">      X-Y个月</t>
  </si>
  <si>
    <t xml:space="preserve">      </t>
  </si>
  <si>
    <t>1年以内小计：</t>
  </si>
  <si>
    <t>1至2年</t>
  </si>
  <si>
    <t>2至3年</t>
  </si>
  <si>
    <t>3至4年</t>
  </si>
  <si>
    <t>4至5年</t>
  </si>
  <si>
    <t>5年以上</t>
  </si>
  <si>
    <t>小  计</t>
  </si>
  <si>
    <t>减：坏账准备</t>
  </si>
  <si>
    <t>合  计</t>
  </si>
  <si>
    <t>（2）按坏账计提方法分类披露</t>
  </si>
  <si>
    <t>类 别</t>
  </si>
  <si>
    <t>账面余额</t>
  </si>
  <si>
    <t>坏账准备</t>
  </si>
  <si>
    <t>账面价值</t>
  </si>
  <si>
    <t>金额</t>
  </si>
  <si>
    <t>比例(%)</t>
  </si>
  <si>
    <t>预期信用损失率(%)</t>
  </si>
  <si>
    <t>按单项计提坏账准备</t>
  </si>
  <si>
    <t>其中：</t>
  </si>
  <si>
    <t xml:space="preserve">  </t>
  </si>
  <si>
    <t>按组合计提坏账准备【注意：与会计政策中披露的组合保持一致】</t>
  </si>
  <si>
    <t>续：</t>
  </si>
  <si>
    <t xml:space="preserve">  应收中央企业客户</t>
  </si>
  <si>
    <t xml:space="preserve">  应收海外企业客户</t>
  </si>
  <si>
    <t>按单项计提坏账准备的应收账款：</t>
  </si>
  <si>
    <t>名 称</t>
  </si>
  <si>
    <t>预期信用损失率（%）</t>
  </si>
  <si>
    <t>计提依据</t>
  </si>
  <si>
    <t>/</t>
  </si>
  <si>
    <t>按组合计提坏账准备的应收账款：</t>
  </si>
  <si>
    <t>组合计提项目：组合1</t>
  </si>
  <si>
    <t>1-2年</t>
  </si>
  <si>
    <t>2-3年</t>
  </si>
  <si>
    <t>3-4年</t>
  </si>
  <si>
    <t>4-5年</t>
  </si>
  <si>
    <t>组合计提项目：组合2</t>
  </si>
  <si>
    <t>组合计提项目：应收海外企业客户</t>
  </si>
  <si>
    <t>组合计提项目：组合4</t>
  </si>
  <si>
    <t>组合计提项目：组合5</t>
  </si>
  <si>
    <t>（3）本期计提、收回或转回的坏账准备情况</t>
  </si>
  <si>
    <t>[本期转销]</t>
  </si>
  <si>
    <t>[其他]</t>
  </si>
  <si>
    <t>转回或收回金额重要的坏账准备如下：</t>
  </si>
  <si>
    <t>单位名称</t>
  </si>
  <si>
    <t>转回原因</t>
  </si>
  <si>
    <t>收回方式</t>
  </si>
  <si>
    <t>原确定坏账准备的依据</t>
  </si>
  <si>
    <t>转回或收回金额</t>
  </si>
  <si>
    <t>【15号文第十九条（四）4，本期坏账准备收回或转回金额重要的，应披露转回原因、收回方式、确定原坏账准备计提比例的依据及其合理性；】</t>
  </si>
  <si>
    <t xml:space="preserve">说明：【为有助于财务报表使用者了解企业损失准备变动信息，企业应当对本期发生损失准备变动的金融工具账面余额显著变动情况作出说明，这些说明信息应当包括定性和定量信息。例如： </t>
  </si>
  <si>
    <t xml:space="preserve">下述应收账款账面余额的显著变动导致2023年应收账款坏账准备的增加： </t>
  </si>
  <si>
    <t xml:space="preserve">   [XX]业务增长导致应收账款账面余额增加人民币[XX]元，相应地，坏账准备增加人民币[XX]元； </t>
  </si>
  <si>
    <t xml:space="preserve">   逾期超过30天的应收账款账面余额增加，导致坏账准备增加人民币[XX]元； </t>
  </si>
  <si>
    <r>
      <rPr>
        <sz val="11"/>
        <color rgb="FFFF0000"/>
        <rFont val="宋体"/>
        <family val="3"/>
        <charset val="134"/>
        <scheme val="minor"/>
      </rPr>
      <t>   本年核销应收账款人民币[XX]元，导致坏账准备减少人民币[XX]元。</t>
    </r>
    <r>
      <rPr>
        <sz val="11"/>
        <color rgb="FF0000FF"/>
        <rFont val="宋体"/>
        <family val="3"/>
        <charset val="134"/>
        <scheme val="minor"/>
      </rPr>
      <t>】</t>
    </r>
    <r>
      <rPr>
        <sz val="11"/>
        <color rgb="FFFF0000"/>
        <rFont val="宋体"/>
        <family val="3"/>
        <charset val="134"/>
        <scheme val="minor"/>
      </rPr>
      <t xml:space="preserve"> </t>
    </r>
  </si>
  <si>
    <t>（4）本期实际核销的应收账款情况</t>
  </si>
  <si>
    <t>项  目</t>
  </si>
  <si>
    <t>核销金额</t>
  </si>
  <si>
    <t>实际核销的应收账款</t>
  </si>
  <si>
    <t>重要的应收账款核销情况（逐项披露）：</t>
  </si>
  <si>
    <t>应收账款性质</t>
  </si>
  <si>
    <t>核销原因</t>
  </si>
  <si>
    <t>履行的核销程序</t>
  </si>
  <si>
    <t>款项是否由关联交易产生</t>
  </si>
  <si>
    <t>【15号文第十九条（四）6，对于其中重要的款项，应逐项披露款项性质、核销原因、履行的核销程序及核销金额。实际核销的款项由关联交易产生的，应单独披露；】</t>
  </si>
  <si>
    <t>说明：</t>
  </si>
  <si>
    <t>（5）按欠款方归集的应收账款和合同资产期末余额前五名单位情况</t>
  </si>
  <si>
    <t>【15号文第十九条（四）7，按欠款方集中度，汇总或分别披露期末余额前5名的应收账款和合同资产的期末余额及占应收账款和合同资产期末余额合计数的比例，以及相应计提的坏账准备期末余额。如果公司对同一客户存在合同资产的，应将合同资产与应收账款合并计算。】</t>
  </si>
  <si>
    <t>【提示：15号文第七条 公司在编制和披露财务报告时应当严格遵守保密相关法律法规。】</t>
  </si>
  <si>
    <t>汇总披露格式：</t>
  </si>
  <si>
    <t>分别披露格式：</t>
  </si>
  <si>
    <t>应收账款期末余额</t>
  </si>
  <si>
    <t>合同资产期末余额</t>
  </si>
  <si>
    <t>应收账款和合同资产期末余额</t>
  </si>
  <si>
    <t>占应收账款和合同资产期末余额合计数的比例%</t>
  </si>
  <si>
    <t>应收账款坏账准备和合同资产减值准备期末余额</t>
  </si>
  <si>
    <t>（6）因金融资产转移而终止确认的应收账款情况</t>
  </si>
  <si>
    <t>【15号文第五十一条 公司发生金融资产转移的，应按照金融资产转移方式分类列示已转移金融资产性质及金额、终止确认情况及其判断依据。
因转移而终止确认的金融资产，应分项列示金融资产转移的方式、终止确认的金融资产金额，及与终止确认相关的利得或损失。】</t>
  </si>
  <si>
    <t>转移方式</t>
  </si>
  <si>
    <t>终止确认金额</t>
  </si>
  <si>
    <t>与终止确认相关的利得或损失</t>
  </si>
  <si>
    <t>A、期末，本公司因办理了不附追索权的应收账款保理，保理金额为XXX元，同时终止确认应收账款账面价值为XXX元，账面余额为XXX元，账龄为一年以内，已计提坏账</t>
  </si>
  <si>
    <t>B、【不符合终止确认条件的应收账款的转移，应在附注中单独列示其金额。参考披露格式：</t>
  </si>
  <si>
    <t>期末，本公司共有账面价值为XXX元的应收账款，办理了附追索权的应收账款保理，账面余额为XXX元，已计提坏账准备XXX元，应收账款质押给银行取得短期借款XXX元。】</t>
  </si>
  <si>
    <t>C、本公司已背书给供应商用于结算应付账款及已向银行贴现的银行承兑汇票账面价值合计为XX元，本公司认为，其中账面价值为XXX元（2022年12月31日：XX元）的应收票据于贴现时已经转移了几乎所有的风险与报酬，符合金融资产终止确认条件，因此，终止确认相关应收票据。这些已终止确认的应收票据继续涉入的风险最大敞口与回购该票据的未折现现金流量，与应收票据的账面价值相等。本公司认为继续涉入已终止确认的应收票据的公允价值并不重大。</t>
  </si>
  <si>
    <t>（7）转移应收账款且继续涉入形成的资产、负债的金额</t>
  </si>
  <si>
    <t>【转移金融资产且继续涉入的，应披露资产转移方式、分项列示继续涉入形成的资产、负债的金额。】</t>
  </si>
  <si>
    <t>资产转移方式</t>
  </si>
  <si>
    <t>继续涉入形成的资产金额</t>
  </si>
  <si>
    <t>继续涉入形成的负债金额</t>
  </si>
  <si>
    <t>说明：（资产转移方式；未全部终止确认的被转移金融资产与相关负债之间的关系，已终止确认的金融资产继续涉入的性质及相关风险的信息。）</t>
  </si>
  <si>
    <t>页  次：</t>
  </si>
  <si>
    <t>账  龄</t>
  </si>
  <si>
    <t>1年以内（含1年）</t>
  </si>
  <si>
    <t>（1）按坏账准备计提方法分类披露应收账款</t>
  </si>
  <si>
    <t>类  别</t>
  </si>
  <si>
    <t>账面</t>
  </si>
  <si>
    <t>价值</t>
  </si>
  <si>
    <t>期末，按单项计提坏账准备的应收账款：</t>
  </si>
  <si>
    <t>债务人名称</t>
  </si>
  <si>
    <t>账龄</t>
  </si>
  <si>
    <t>——</t>
  </si>
  <si>
    <t>按信用风险特征组合计提坏账准备的应收账款：</t>
  </si>
  <si>
    <t>比例（%）</t>
  </si>
  <si>
    <t>采用余额百分比或其他组合方法计提坏账准备的应收账款</t>
  </si>
  <si>
    <t>组合名称</t>
  </si>
  <si>
    <t xml:space="preserve">期初数 </t>
  </si>
  <si>
    <t>计提比例（%）</t>
  </si>
  <si>
    <t>（注：填写具体组合名称。）</t>
  </si>
  <si>
    <t>（2）本期计提、收回或转回的坏账准备情况</t>
  </si>
  <si>
    <t>本期变动金额</t>
  </si>
  <si>
    <t>计提</t>
  </si>
  <si>
    <t>收回或转回</t>
  </si>
  <si>
    <t>转销或核销</t>
  </si>
  <si>
    <t>单项</t>
  </si>
  <si>
    <t>组合：</t>
  </si>
  <si>
    <t xml:space="preserve">  ……</t>
  </si>
  <si>
    <t>收回或转回的坏账准备：</t>
  </si>
  <si>
    <t>转回或收回前累计已计提坏账准备金额</t>
  </si>
  <si>
    <t>转回或收回原因、方式</t>
  </si>
  <si>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</si>
  <si>
    <t>（3）本期实际核销的应收账款</t>
  </si>
  <si>
    <t>是否因关联交易产生</t>
  </si>
  <si>
    <t>（4）按欠款方归集的期末余额前五名的应收账款</t>
  </si>
  <si>
    <t>占应收账款合计的比例（%）</t>
  </si>
  <si>
    <t>（5）由金融资产转移而终止确认的应收账款</t>
  </si>
  <si>
    <t>与终止确认相关的利得或损失（损失以“-”填列）</t>
  </si>
  <si>
    <t>A、期末，本公司因办理了不附追索权的应收账款贴现，贴现金额为XXX元，同时终止确认应收账款账面价值为XXX元，账面余额为XXX元，账龄为一年以内，已计提坏账准备XXX元。</t>
  </si>
  <si>
    <t>B、（不符合终止确认条件的应收账款的转移，应在附注中单独列示其金额。）参考披露格式：</t>
  </si>
  <si>
    <t>期末，本公司共有账面价值为XXX元的应收账款，账面余额为XXX元，已计提坏账准备XXX元，质押给银行取得短期借款XXX元。</t>
  </si>
  <si>
    <t>（6）应收账款转移继续涉入形成的资产、负债的金额【如证券化、保理等】</t>
  </si>
  <si>
    <t>期末金额</t>
  </si>
  <si>
    <t>资产：</t>
  </si>
  <si>
    <t>资产小计</t>
  </si>
  <si>
    <t>负债：</t>
  </si>
  <si>
    <t>负债小计</t>
  </si>
  <si>
    <t>（资产转移方式；未全部终止确认的被转移金融资产与相关负债之间的关系，已终止确认的金融资产继续涉入的性质及相关风险的信息。）</t>
  </si>
  <si>
    <t>应收账款原值明细表</t>
  </si>
  <si>
    <t>一、审计目标:</t>
  </si>
  <si>
    <t>应收账款以恰当的金额包括在财务报表中，与之相关的计价调整已恰当记录。</t>
  </si>
  <si>
    <t>二、审计过程：</t>
  </si>
  <si>
    <t>客户名称</t>
  </si>
  <si>
    <t>关联方类型</t>
  </si>
  <si>
    <t>期初未审余额</t>
  </si>
  <si>
    <t>期初账项调整</t>
  </si>
  <si>
    <t>期初重分类调整</t>
  </si>
  <si>
    <t>期初审定余额</t>
  </si>
  <si>
    <t>期初审定账龄</t>
  </si>
  <si>
    <t>借方发生</t>
  </si>
  <si>
    <t>贷方发生</t>
  </si>
  <si>
    <t>期末未审账龄</t>
  </si>
  <si>
    <t>期末审定余额</t>
  </si>
  <si>
    <t>期末审定账龄</t>
  </si>
  <si>
    <t>信用风险组合方式</t>
  </si>
  <si>
    <t>是否函证</t>
  </si>
  <si>
    <t>期后回款</t>
  </si>
  <si>
    <t>备注</t>
  </si>
  <si>
    <t>单项计提</t>
  </si>
  <si>
    <t>组合1</t>
  </si>
  <si>
    <t>组合2</t>
  </si>
  <si>
    <t>组合3</t>
  </si>
  <si>
    <t>组合4</t>
  </si>
  <si>
    <t>组合X</t>
  </si>
  <si>
    <t>账龄占比</t>
  </si>
  <si>
    <t>账龄逻辑校验</t>
  </si>
  <si>
    <r>
      <rPr>
        <b/>
        <sz val="10"/>
        <rFont val="宋体"/>
        <family val="3"/>
        <charset val="134"/>
        <scheme val="minor"/>
      </rPr>
      <t>三、审计说明：</t>
    </r>
  </si>
  <si>
    <t>四、审计结论：</t>
  </si>
  <si>
    <t>应收账款坏账准备明细表</t>
  </si>
  <si>
    <t>1.……</t>
  </si>
  <si>
    <t>本期增加</t>
  </si>
  <si>
    <t>本期减少</t>
  </si>
  <si>
    <t>期初未审数</t>
  </si>
  <si>
    <t>期初审定数</t>
  </si>
  <si>
    <t>其他增加</t>
  </si>
  <si>
    <t>转回</t>
  </si>
  <si>
    <t>核销</t>
  </si>
  <si>
    <t>其他减少</t>
  </si>
  <si>
    <t>期末未审数</t>
  </si>
  <si>
    <t>期末账项调整</t>
  </si>
  <si>
    <t>期末审定数</t>
  </si>
  <si>
    <t>按单项评估计提</t>
  </si>
  <si>
    <t>信用风险组合计提</t>
  </si>
  <si>
    <t xml:space="preserve">合计 </t>
  </si>
  <si>
    <r>
      <rPr>
        <b/>
        <sz val="10"/>
        <rFont val="宋体"/>
        <family val="3"/>
        <charset val="134"/>
      </rPr>
      <t>三、审计说明：</t>
    </r>
  </si>
  <si>
    <t>应收账款调整分录汇总表</t>
  </si>
  <si>
    <t>调整事项说明</t>
  </si>
  <si>
    <t>类别（报表调整/账项调整/其他）</t>
  </si>
  <si>
    <t>报表项目</t>
  </si>
  <si>
    <t>科目名称</t>
  </si>
  <si>
    <t>附注项目</t>
  </si>
  <si>
    <t>借方调整金额</t>
  </si>
  <si>
    <t>贷方调整金额</t>
  </si>
  <si>
    <t>索引</t>
  </si>
  <si>
    <t>提示：本底稿适用于调整分录较多、较复杂的项目，且仅列示与本报表项目相关的审计调整。项目组可根据项目实际情况选择是否使用该底稿。</t>
  </si>
  <si>
    <t>C1</t>
  </si>
  <si>
    <t>Custom 1</t>
  </si>
  <si>
    <t>C2</t>
  </si>
  <si>
    <t>Custom 2</t>
  </si>
  <si>
    <t>C3</t>
  </si>
  <si>
    <t>Custom 3</t>
  </si>
  <si>
    <t>C4</t>
  </si>
  <si>
    <t>Custom 4</t>
  </si>
  <si>
    <t>C5</t>
  </si>
  <si>
    <t>Custom 5</t>
  </si>
  <si>
    <t>C6</t>
  </si>
  <si>
    <t>Custom 6</t>
  </si>
  <si>
    <t>C7</t>
  </si>
  <si>
    <t>Custom 7</t>
  </si>
  <si>
    <t>C8</t>
  </si>
  <si>
    <t>Custom 8</t>
  </si>
  <si>
    <t>A.资产负债表中记录的应收账款是存在的，且已经记录在恰当的账户中</t>
    <phoneticPr fontId="168" type="noConversion"/>
  </si>
  <si>
    <t>B.所有应记录的应收账款均已记录，所有应当包括在财务报表中的相关披露均已包括</t>
    <phoneticPr fontId="168" type="noConversion"/>
  </si>
  <si>
    <t>C.记录的应收账款由被审计单位拥有或控制</t>
    <phoneticPr fontId="168" type="noConversion"/>
  </si>
  <si>
    <t>E.应收账款已被恰当地汇总或分解且表述清楚，相关披露在按照企业会计准则的编制基础下是相关的、可理解的</t>
    <phoneticPr fontId="168" type="noConversion"/>
  </si>
  <si>
    <t>获取或编制应收账款明细表，执行以下程序，并编制审定表：
（1）复核加计是否正确，与总账、明细账合计数核对是否相符，期初余额与上期审定期末余额是否相符；
（3）检查非记账本位币应收账款的折算汇率及折算是否正确。
（4）分析有贷方余额的项目，查明原因，必要时，作重分类调整。
（5）结合其他应收款、合同负债、预收款项等往来项目的明细余额，调查有无同一客户多处挂账、异常余额或与销售无关的其他款项（如代销账户、关联方账户或雇员账户）。如有，应做出记录，必要时作调整。
（6）请被审计单位协助，在应收账款明细表上标出至审计时已收到的应收账款金额，对已收回金额较大的款项进行检查至支持性文件。</t>
    <phoneticPr fontId="168" type="noConversion"/>
  </si>
  <si>
    <t>结合营业收入审计，对重要的客户进行背景调查、电话访谈、实地走访等，核实应收账款真实性。</t>
    <phoneticPr fontId="168" type="noConversion"/>
  </si>
  <si>
    <t>D2-6
/D2-7
/D0</t>
    <phoneticPr fontId="168" type="noConversion"/>
  </si>
  <si>
    <t>通过检查自资产负债表日至___日止被审计单位授予欠款单位的、金额大于___的减免应收账款的支持性文件，以及资产负债表日前后销售退回和赊销水平，确定应收账款是否真实存在。</t>
    <phoneticPr fontId="168" type="noConversion"/>
  </si>
  <si>
    <t>对于应收账款保理、出售、资产证券化等业务：检查保理、资产证券化等交易的整套协议和相关会计处理是否恰当，关注交易的真实性；考虑函证重要项目。</t>
    <phoneticPr fontId="168" type="noConversion"/>
  </si>
  <si>
    <t>检查应收关联方款项：
（1）了解交易的商业理由、交易事项的目的、价格和条件，考虑对关联方应收账款的合理性、合法性；
（2）检查证实交易的支持性文件（例如，发票、合同、协议和运输单据等相关文件）、检查会计处理是否正确；
（3）考虑向关联方或其他注册会计师函证重大的关联销售交易（包括担保和其他重要信息）；
（4）必要时，向与交易相关的人员和机构（如银行、律师）函证或与其讨论有关信息。
（5）考虑是否存在未识别的关联方，关联交易和余额披露是否正确。</t>
    <phoneticPr fontId="168" type="noConversion"/>
  </si>
  <si>
    <t>D4-28
/D4-29
/D4-30
/D4-31
/D4-32</t>
    <phoneticPr fontId="2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</si>
  <si>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8" type="noConversion"/>
  </si>
  <si>
    <t>关于工作底稿与审计程序索引号对应的说明</t>
    <phoneticPr fontId="16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</si>
  <si>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</si>
  <si>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6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</si>
  <si>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68" type="noConversion"/>
  </si>
  <si>
    <t>根据被审计单位实际情况和风险评估情况裁剪、修改或增加审计程序</t>
    <phoneticPr fontId="168" type="noConversion"/>
  </si>
  <si>
    <t>审计程序</t>
    <phoneticPr fontId="169" type="noConversion"/>
  </si>
  <si>
    <r>
      <t>1.</t>
    </r>
    <r>
      <rPr>
        <sz val="9"/>
        <color rgb="FFFF0000"/>
        <rFont val="宋体"/>
        <family val="3"/>
        <charset val="134"/>
      </rPr>
      <t>列示科目明细表，关注应收账款贷方非收款减少和借方其他调整的情况。</t>
    </r>
  </si>
  <si>
    <r>
      <t xml:space="preserve">4. </t>
    </r>
    <r>
      <rPr>
        <sz val="9"/>
        <color rgb="FFFF0000"/>
        <rFont val="宋体"/>
        <family val="3"/>
        <charset val="134"/>
      </rPr>
      <t>对挂账时间超过三年以上本期又没有发生额或发生额很小的应收账款，要求企业说明原因提供对方单位情况，根据情况进行调整。</t>
    </r>
  </si>
  <si>
    <r>
      <t>2.</t>
    </r>
    <r>
      <rPr>
        <sz val="9"/>
        <color rgb="FFFF0000"/>
        <rFont val="宋体"/>
        <family val="3"/>
        <charset val="134"/>
      </rPr>
      <t>与客户讨论并记录各主要明细项目的性质，并对波动较大的内容进行分析。根据相关审计情况，确定调整事项。</t>
    </r>
  </si>
  <si>
    <r>
      <t>3.</t>
    </r>
    <r>
      <rPr>
        <sz val="9"/>
        <color rgb="FFFF0000"/>
        <rFont val="宋体"/>
        <family val="3"/>
        <charset val="134"/>
      </rPr>
      <t>对应收账款进行账龄分析，结合账龄的分析关注长期收不回款项的性质。</t>
    </r>
  </si>
  <si>
    <r>
      <t xml:space="preserve">5. </t>
    </r>
    <r>
      <rPr>
        <sz val="9"/>
        <color rgb="FFFF0000"/>
        <rFont val="宋体"/>
        <family val="3"/>
        <charset val="134"/>
      </rPr>
      <t>关注关联方（包括持股</t>
    </r>
    <r>
      <rPr>
        <sz val="9"/>
        <color rgb="FFFF0000"/>
        <rFont val="Arial Narrow"/>
        <family val="2"/>
      </rPr>
      <t>5%</t>
    </r>
    <r>
      <rPr>
        <sz val="9"/>
        <color rgb="FFFF0000"/>
        <rFont val="宋体"/>
        <family val="3"/>
        <charset val="134"/>
      </rPr>
      <t>以上</t>
    </r>
    <r>
      <rPr>
        <sz val="9"/>
        <color rgb="FFFF0000"/>
        <rFont val="Arial Narrow"/>
        <family val="2"/>
      </rPr>
      <t>(</t>
    </r>
    <r>
      <rPr>
        <sz val="9"/>
        <color rgb="FFFF0000"/>
        <rFont val="宋体"/>
        <family val="3"/>
        <charset val="134"/>
      </rPr>
      <t>含</t>
    </r>
    <r>
      <rPr>
        <sz val="9"/>
        <color rgb="FFFF0000"/>
        <rFont val="Arial Narrow"/>
        <family val="2"/>
      </rPr>
      <t>5%)</t>
    </r>
    <r>
      <rPr>
        <sz val="9"/>
        <color rgb="FFFF0000"/>
        <rFont val="宋体"/>
        <family val="3"/>
        <charset val="134"/>
      </rPr>
      <t>股东）款项的变动情况，对异常情况要查明原因。</t>
    </r>
  </si>
  <si>
    <t>公司代码</t>
    <phoneticPr fontId="168" type="noConversion"/>
  </si>
  <si>
    <t>期末余额</t>
    <phoneticPr fontId="168" type="noConversion"/>
  </si>
  <si>
    <t>被审计单位重分类调整</t>
    <phoneticPr fontId="168" type="noConversion"/>
  </si>
  <si>
    <t>期末未审余额</t>
    <phoneticPr fontId="168" type="noConversion"/>
  </si>
  <si>
    <r>
      <rPr>
        <b/>
        <sz val="10"/>
        <rFont val="宋体"/>
        <family val="3"/>
        <charset val="134"/>
      </rPr>
      <t>期末余额</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</si>
</sst>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00_ "/>
  </numFmts>
  <fonts count="176">
    <font>
      <sz val="12"/>
      <name val="宋体"/>
      <charset val="134"/>
    </font>
    <font>
      <sz val="11"/>
      <color theme="1"/>
      <name val="宋体"/>
      <family val="2"/>
      <charset val="134"/>
      <scheme val="minor"/>
    </font>
    <font>
      <sz val="10"/>
      <name val="宋体"/>
      <family val="3"/>
      <charset val="134"/>
    </font>
    <font>
      <b/>
      <sz val="12"/>
      <name val="宋体"/>
      <family val="3"/>
      <charset val="134"/>
    </font>
    <font>
      <b/>
      <sz val="14"/>
      <name val="宋体"/>
      <family val="3"/>
      <charset val="134"/>
    </font>
    <font>
      <b/>
      <sz val="10"/>
      <color indexed="8"/>
      <name val="宋体"/>
      <family val="3"/>
      <charset val="134"/>
    </font>
    <font>
      <b/>
      <sz val="10"/>
      <name val="宋体"/>
      <family val="3"/>
      <charset val="134"/>
    </font>
    <font>
      <sz val="10"/>
      <color indexed="8"/>
      <name val="宋体"/>
      <family val="3"/>
      <charset val="134"/>
    </font>
    <font>
      <sz val="10"/>
      <color indexed="8"/>
      <name val="Arial Narrow"/>
      <family val="2"/>
    </font>
    <font>
      <sz val="10"/>
      <color rgb="FFFF0000"/>
      <name val="宋体"/>
      <family val="3"/>
      <charset val="134"/>
    </font>
    <font>
      <sz val="10"/>
      <color indexed="12"/>
      <name val="宋体"/>
      <family val="3"/>
      <charset val="134"/>
    </font>
    <font>
      <sz val="10"/>
      <name val="Arial Narrow"/>
      <family val="2"/>
    </font>
    <font>
      <b/>
      <sz val="10"/>
      <name val="Arial Narrow"/>
      <family val="2"/>
    </font>
    <font>
      <sz val="10"/>
      <color indexed="10"/>
      <name val="宋体"/>
      <family val="3"/>
      <charset val="134"/>
    </font>
    <font>
      <sz val="10"/>
      <name val="宋体"/>
      <family val="3"/>
      <charset val="134"/>
      <scheme val="minor"/>
    </font>
    <font>
      <b/>
      <sz val="10"/>
      <name val="宋体"/>
      <family val="3"/>
      <charset val="134"/>
      <scheme val="minor"/>
    </font>
    <font>
      <b/>
      <sz val="12"/>
      <name val="宋体"/>
      <family val="3"/>
      <charset val="134"/>
      <scheme val="minor"/>
    </font>
    <font>
      <b/>
      <sz val="14"/>
      <name val="宋体"/>
      <family val="3"/>
      <charset val="134"/>
      <scheme val="minor"/>
    </font>
    <font>
      <b/>
      <sz val="10"/>
      <color indexed="8"/>
      <name val="宋体"/>
      <family val="3"/>
      <charset val="134"/>
      <scheme val="minor"/>
    </font>
    <font>
      <b/>
      <u/>
      <sz val="10"/>
      <color indexed="10"/>
      <name val="宋体"/>
      <family val="3"/>
      <charset val="134"/>
      <scheme val="minor"/>
    </font>
    <font>
      <sz val="9"/>
      <color indexed="8"/>
      <name val="宋体"/>
      <family val="3"/>
      <charset val="134"/>
      <scheme val="minor"/>
    </font>
    <font>
      <sz val="9"/>
      <color rgb="FFFF0000"/>
      <name val="宋体"/>
      <family val="3"/>
      <charset val="134"/>
    </font>
    <font>
      <sz val="12"/>
      <name val="宋体"/>
      <family val="3"/>
      <charset val="134"/>
      <scheme val="minor"/>
    </font>
    <font>
      <sz val="9"/>
      <name val="宋体"/>
      <family val="3"/>
      <charset val="134"/>
      <scheme val="minor"/>
    </font>
    <font>
      <sz val="9"/>
      <name val="Arial Narrow"/>
      <family val="2"/>
    </font>
    <font>
      <b/>
      <sz val="9"/>
      <name val="宋体"/>
      <family val="3"/>
      <charset val="134"/>
      <scheme val="minor"/>
    </font>
    <font>
      <sz val="10"/>
      <color rgb="FFFF0000"/>
      <name val="Arial Narrow"/>
      <family val="2"/>
    </font>
    <font>
      <sz val="10"/>
      <color indexed="10"/>
      <name val="宋体"/>
      <family val="3"/>
      <charset val="134"/>
      <scheme val="minor"/>
    </font>
    <font>
      <b/>
      <sz val="10"/>
      <color rgb="FFFF0000"/>
      <name val="宋体"/>
      <family val="3"/>
      <charset val="134"/>
      <scheme val="minor"/>
    </font>
    <font>
      <b/>
      <sz val="11"/>
      <name val="宋体"/>
      <family val="3"/>
      <charset val="134"/>
      <scheme val="minor"/>
    </font>
    <font>
      <sz val="11"/>
      <name val="宋体"/>
      <family val="3"/>
      <charset val="134"/>
      <scheme val="minor"/>
    </font>
    <font>
      <b/>
      <u/>
      <sz val="11"/>
      <color indexed="12"/>
      <name val="宋体"/>
      <family val="3"/>
      <charset val="134"/>
      <scheme val="minor"/>
    </font>
    <font>
      <u/>
      <sz val="11"/>
      <color indexed="12"/>
      <name val="宋体"/>
      <family val="3"/>
      <charset val="134"/>
      <scheme val="minor"/>
    </font>
    <font>
      <sz val="11"/>
      <color rgb="FFFF0000"/>
      <name val="宋体"/>
      <family val="3"/>
      <charset val="134"/>
      <scheme val="minor"/>
    </font>
    <font>
      <b/>
      <sz val="11"/>
      <color rgb="FF000000"/>
      <name val="宋体"/>
      <family val="3"/>
      <charset val="134"/>
      <scheme val="minor"/>
    </font>
    <font>
      <sz val="11"/>
      <color rgb="FF0000FF"/>
      <name val="宋体"/>
      <family val="3"/>
      <charset val="134"/>
      <scheme val="minor"/>
    </font>
    <font>
      <b/>
      <sz val="11"/>
      <color rgb="FF0000FF"/>
      <name val="宋体"/>
      <family val="3"/>
      <charset val="134"/>
      <scheme val="minor"/>
    </font>
    <font>
      <b/>
      <sz val="11"/>
      <name val="Arial Narrow"/>
      <family val="2"/>
    </font>
    <font>
      <b/>
      <sz val="11"/>
      <name val="宋体"/>
      <family val="3"/>
      <charset val="134"/>
    </font>
    <font>
      <sz val="11"/>
      <name val="Arial Narrow"/>
      <family val="2"/>
    </font>
    <font>
      <sz val="11"/>
      <name val="宋体"/>
      <family val="3"/>
      <charset val="134"/>
    </font>
    <font>
      <sz val="11"/>
      <color rgb="FF000000"/>
      <name val="宋体"/>
      <family val="3"/>
      <charset val="134"/>
      <scheme val="minor"/>
    </font>
    <font>
      <sz val="12"/>
      <name val="Arial Narrow"/>
      <family val="2"/>
    </font>
    <font>
      <b/>
      <sz val="12"/>
      <name val="Arial Narrow"/>
      <family val="2"/>
    </font>
    <font>
      <sz val="12"/>
      <name val="仿宋_GB2312"/>
      <family val="3"/>
      <charset val="134"/>
    </font>
    <font>
      <sz val="12"/>
      <color rgb="FFFF0000"/>
      <name val="仿宋_GB2312"/>
      <family val="3"/>
      <charset val="134"/>
    </font>
    <font>
      <b/>
      <sz val="12"/>
      <color rgb="FF000000"/>
      <name val="Arial Narrow"/>
      <family val="2"/>
    </font>
    <font>
      <sz val="12"/>
      <color rgb="FF0000FF"/>
      <name val="Arial Narrow"/>
      <family val="2"/>
    </font>
    <font>
      <sz val="12"/>
      <color rgb="FF0000FF"/>
      <name val="仿宋_GB2312"/>
      <family val="3"/>
      <charset val="134"/>
    </font>
    <font>
      <sz val="12"/>
      <color rgb="FFFF0000"/>
      <name val="Arial Narrow"/>
      <family val="2"/>
    </font>
    <font>
      <b/>
      <sz val="12"/>
      <name val="仿宋_GB2312"/>
      <family val="3"/>
      <charset val="134"/>
    </font>
    <font>
      <sz val="12"/>
      <color rgb="FF000000"/>
      <name val="Arial Narrow"/>
      <family val="2"/>
    </font>
    <font>
      <b/>
      <sz val="12"/>
      <color rgb="FF000000"/>
      <name val="仿宋_GB2312"/>
      <family val="3"/>
      <charset val="134"/>
    </font>
    <font>
      <i/>
      <u/>
      <sz val="10"/>
      <color indexed="12"/>
      <name val="宋体"/>
      <family val="3"/>
      <charset val="134"/>
    </font>
    <font>
      <u/>
      <sz val="10"/>
      <name val="宋体"/>
      <family val="3"/>
      <charset val="134"/>
    </font>
    <font>
      <u/>
      <sz val="10"/>
      <name val="Arial Narrow"/>
      <family val="2"/>
    </font>
    <font>
      <u/>
      <sz val="10"/>
      <color indexed="12"/>
      <name val="宋体"/>
      <family val="3"/>
      <charset val="134"/>
    </font>
    <font>
      <sz val="10"/>
      <color theme="1"/>
      <name val="宋体"/>
      <family val="3"/>
      <charset val="134"/>
    </font>
    <font>
      <b/>
      <sz val="10"/>
      <color theme="1"/>
      <name val="宋体"/>
      <family val="3"/>
      <charset val="134"/>
    </font>
    <font>
      <sz val="10"/>
      <color theme="1"/>
      <name val="Arial Narrow"/>
      <family val="2"/>
    </font>
    <font>
      <b/>
      <sz val="10"/>
      <color theme="1"/>
      <name val="Arial Narrow"/>
      <family val="2"/>
    </font>
    <font>
      <sz val="10"/>
      <color rgb="FF0000FF"/>
      <name val="Arial Narrow"/>
      <family val="2"/>
    </font>
    <font>
      <sz val="10"/>
      <color rgb="FF0000FF"/>
      <name val="宋体"/>
      <family val="3"/>
      <charset val="134"/>
    </font>
    <font>
      <sz val="11"/>
      <color theme="1"/>
      <name val="宋体"/>
      <family val="3"/>
      <charset val="134"/>
      <scheme val="minor"/>
    </font>
    <font>
      <u/>
      <sz val="12"/>
      <color indexed="12"/>
      <name val="宋体"/>
      <family val="3"/>
      <charset val="134"/>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sz val="12"/>
      <color indexed="12"/>
      <name val="仿宋_GB2312"/>
      <family val="3"/>
      <charset val="134"/>
    </font>
    <font>
      <sz val="12"/>
      <color indexed="12"/>
      <name val="Arial Narrow"/>
      <family val="2"/>
    </font>
    <font>
      <b/>
      <sz val="12"/>
      <color rgb="FF0000FF"/>
      <name val="仿宋_GB2312"/>
      <family val="3"/>
      <charset val="134"/>
    </font>
    <font>
      <sz val="12"/>
      <color rgb="FF000000"/>
      <name val="仿宋_GB2312"/>
      <family val="3"/>
      <charset val="134"/>
    </font>
    <font>
      <sz val="12"/>
      <name val="宋体"/>
      <family val="3"/>
      <charset val="134"/>
    </font>
    <font>
      <sz val="10"/>
      <name val="宋体"/>
      <family val="3"/>
      <charset val="134"/>
    </font>
    <font>
      <sz val="9"/>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sz val="9"/>
      <color rgb="FFFF0000"/>
      <name val="Arial Narrow"/>
      <family val="2"/>
    </font>
    <font>
      <sz val="9"/>
      <color indexed="8"/>
      <name val="Arial Narrow"/>
      <family val="2"/>
    </font>
    <font>
      <sz val="10"/>
      <color indexed="12"/>
      <name val="Arial Narrow"/>
      <family val="2"/>
    </font>
    <font>
      <u/>
      <sz val="10"/>
      <color rgb="FF0000FF"/>
      <name val="宋体"/>
      <family val="3"/>
      <charset val="134"/>
    </font>
  </fonts>
  <fills count="60">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theme="0" tint="-0.14996795556505021"/>
        <bgColor indexed="64"/>
      </patternFill>
    </fill>
    <fill>
      <patternFill patternType="solid">
        <fgColor rgb="FFFFFFFF"/>
        <bgColor indexed="64"/>
      </patternFill>
    </fill>
    <fill>
      <patternFill patternType="solid">
        <fgColor theme="0"/>
        <bgColor indexed="64"/>
      </patternFill>
    </fill>
    <fill>
      <patternFill patternType="solid">
        <fgColor rgb="FFDCD5E5"/>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28">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medium">
        <color auto="1"/>
      </top>
      <bottom style="medium">
        <color auto="1"/>
      </bottom>
      <diagonal/>
    </border>
    <border>
      <left/>
      <right/>
      <top/>
      <bottom style="medium">
        <color rgb="FF000000"/>
      </bottom>
      <diagonal/>
    </border>
    <border>
      <left/>
      <right/>
      <top style="medium">
        <color auto="1"/>
      </top>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702">
    <xf numFmtId="0" fontId="0" fillId="0" borderId="0">
      <protection locked="0"/>
    </xf>
    <xf numFmtId="43" fontId="166" fillId="0" borderId="0" applyFont="0" applyFill="0" applyBorder="0" applyAlignment="0" applyProtection="0"/>
    <xf numFmtId="9" fontId="166" fillId="0" borderId="0" applyFont="0" applyFill="0" applyBorder="0" applyAlignment="0" applyProtection="0"/>
    <xf numFmtId="0" fontId="64" fillId="0" borderId="0" applyNumberFormat="0" applyFill="0" applyBorder="0" applyAlignment="0" applyProtection="0">
      <alignment vertical="top"/>
      <protection locked="0"/>
    </xf>
    <xf numFmtId="0" fontId="65" fillId="0" borderId="0"/>
    <xf numFmtId="0" fontId="65" fillId="0" borderId="0"/>
    <xf numFmtId="0" fontId="166" fillId="0" borderId="0" applyNumberFormat="0" applyFill="0" applyBorder="0" applyAlignment="0" applyProtection="0"/>
    <xf numFmtId="176" fontId="65" fillId="0" borderId="0"/>
    <xf numFmtId="0" fontId="65" fillId="0" borderId="0"/>
    <xf numFmtId="0" fontId="66" fillId="0" borderId="0" applyFont="0" applyFill="0" applyBorder="0" applyAlignment="0" applyProtection="0"/>
    <xf numFmtId="0" fontId="66" fillId="0" borderId="0" applyFont="0" applyFill="0" applyBorder="0" applyAlignment="0" applyProtection="0"/>
    <xf numFmtId="0" fontId="67" fillId="0" borderId="0"/>
    <xf numFmtId="176" fontId="65" fillId="0" borderId="0"/>
    <xf numFmtId="0" fontId="65" fillId="0" borderId="0"/>
    <xf numFmtId="176" fontId="65" fillId="0" borderId="0"/>
    <xf numFmtId="0" fontId="65" fillId="0" borderId="0"/>
    <xf numFmtId="176" fontId="65" fillId="0" borderId="0"/>
    <xf numFmtId="0" fontId="65" fillId="0" borderId="0"/>
    <xf numFmtId="49" fontId="68" fillId="0" borderId="0" applyProtection="0">
      <alignment horizontal="left"/>
    </xf>
    <xf numFmtId="49" fontId="68" fillId="0" borderId="0" applyProtection="0">
      <alignment horizontal="left"/>
    </xf>
    <xf numFmtId="0" fontId="69" fillId="0" borderId="0">
      <alignment vertical="top"/>
      <protection locked="0"/>
    </xf>
    <xf numFmtId="0" fontId="69" fillId="0" borderId="0">
      <alignment vertical="top"/>
    </xf>
    <xf numFmtId="0" fontId="65" fillId="0" borderId="0" applyNumberFormat="0" applyFill="0" applyBorder="0" applyAlignment="0">
      <protection locked="0"/>
    </xf>
    <xf numFmtId="0" fontId="69" fillId="0" borderId="0">
      <alignment vertical="top"/>
      <protection locked="0"/>
    </xf>
    <xf numFmtId="0" fontId="69" fillId="0" borderId="0">
      <alignment vertical="top"/>
    </xf>
    <xf numFmtId="0" fontId="69" fillId="0" borderId="0">
      <alignment vertical="top"/>
    </xf>
    <xf numFmtId="0"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5" fillId="0" borderId="0" applyNumberFormat="0" applyFill="0" applyBorder="0" applyAlignment="0">
      <protection locked="0"/>
    </xf>
    <xf numFmtId="0" fontId="70" fillId="0" borderId="0"/>
    <xf numFmtId="0" fontId="70" fillId="0" borderId="0"/>
    <xf numFmtId="0" fontId="70" fillId="0" borderId="0"/>
    <xf numFmtId="0" fontId="70" fillId="0" borderId="0"/>
    <xf numFmtId="0" fontId="70"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70" fillId="0" borderId="0"/>
    <xf numFmtId="0" fontId="70" fillId="0" borderId="0"/>
    <xf numFmtId="0" fontId="70" fillId="0" borderId="0"/>
    <xf numFmtId="0" fontId="70" fillId="0" borderId="0"/>
    <xf numFmtId="0" fontId="70" fillId="0" borderId="0"/>
    <xf numFmtId="176" fontId="69" fillId="0" borderId="0">
      <alignment vertical="top"/>
    </xf>
    <xf numFmtId="0" fontId="69" fillId="0" borderId="0">
      <alignment vertical="top"/>
    </xf>
    <xf numFmtId="0" fontId="69" fillId="0" borderId="0">
      <alignment vertical="top"/>
    </xf>
    <xf numFmtId="0" fontId="70" fillId="0" borderId="0"/>
    <xf numFmtId="0" fontId="70" fillId="0" borderId="0"/>
    <xf numFmtId="0" fontId="70" fillId="0" borderId="0"/>
    <xf numFmtId="0" fontId="70" fillId="0" borderId="0"/>
    <xf numFmtId="0" fontId="70" fillId="0" borderId="0"/>
    <xf numFmtId="0" fontId="69" fillId="0" borderId="0">
      <alignment vertical="top"/>
    </xf>
    <xf numFmtId="0" fontId="65" fillId="0" borderId="0" applyNumberFormat="0" applyFill="0" applyBorder="0" applyAlignment="0" applyProtection="0"/>
    <xf numFmtId="0"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xf>
    <xf numFmtId="0" fontId="69" fillId="0" borderId="0">
      <alignment vertical="top"/>
    </xf>
    <xf numFmtId="0" fontId="71" fillId="0" borderId="0"/>
    <xf numFmtId="176" fontId="69" fillId="0" borderId="0">
      <alignment vertical="top"/>
    </xf>
    <xf numFmtId="0"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xf>
    <xf numFmtId="0" fontId="69" fillId="0" borderId="0">
      <alignment vertical="top"/>
    </xf>
    <xf numFmtId="176" fontId="69" fillId="0" borderId="0">
      <alignment vertical="top"/>
      <protection locked="0"/>
    </xf>
    <xf numFmtId="0" fontId="69" fillId="0" borderId="0">
      <alignment vertical="top"/>
      <protection locked="0"/>
    </xf>
    <xf numFmtId="0" fontId="70" fillId="0" borderId="0"/>
    <xf numFmtId="176" fontId="69" fillId="0" borderId="0">
      <alignment vertical="top"/>
    </xf>
    <xf numFmtId="0" fontId="69" fillId="0" borderId="0">
      <alignment vertical="top"/>
    </xf>
    <xf numFmtId="0" fontId="70" fillId="0" borderId="0"/>
    <xf numFmtId="0" fontId="70" fillId="0" borderId="0"/>
    <xf numFmtId="0" fontId="70"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70" fillId="0" borderId="0"/>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176"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176" fontId="69" fillId="0" borderId="0">
      <alignment vertical="top"/>
    </xf>
    <xf numFmtId="0" fontId="69" fillId="0" borderId="0">
      <alignment vertical="top"/>
    </xf>
    <xf numFmtId="0" fontId="69" fillId="0" borderId="0">
      <alignment vertical="top"/>
    </xf>
    <xf numFmtId="0" fontId="69" fillId="0" borderId="0">
      <alignment vertical="top"/>
      <protection locked="0"/>
    </xf>
    <xf numFmtId="0" fontId="70" fillId="0" borderId="0"/>
    <xf numFmtId="176" fontId="69" fillId="0" borderId="0">
      <alignment vertical="top"/>
    </xf>
    <xf numFmtId="0" fontId="69" fillId="0" borderId="0">
      <alignment vertical="top"/>
    </xf>
    <xf numFmtId="0" fontId="69" fillId="0" borderId="0">
      <alignment vertical="top"/>
      <protection locked="0"/>
    </xf>
    <xf numFmtId="176" fontId="69" fillId="0" borderId="0">
      <alignment vertical="top"/>
    </xf>
    <xf numFmtId="0" fontId="69" fillId="0" borderId="0">
      <alignment vertical="top"/>
    </xf>
    <xf numFmtId="0" fontId="69" fillId="0" borderId="0">
      <alignment vertical="top"/>
      <protection locked="0"/>
    </xf>
    <xf numFmtId="0" fontId="69" fillId="0" borderId="0">
      <alignment vertical="top"/>
      <protection locked="0"/>
    </xf>
    <xf numFmtId="0" fontId="69" fillId="0" borderId="0">
      <alignment vertical="top"/>
    </xf>
    <xf numFmtId="0" fontId="69" fillId="0" borderId="0">
      <alignment vertical="top"/>
      <protection locked="0"/>
    </xf>
    <xf numFmtId="0" fontId="69" fillId="0" borderId="0">
      <alignment vertical="top"/>
    </xf>
    <xf numFmtId="176" fontId="69" fillId="0" borderId="0">
      <alignment vertical="top"/>
      <protection locked="0"/>
    </xf>
    <xf numFmtId="0" fontId="69" fillId="0" borderId="0">
      <alignment vertical="top"/>
      <protection locked="0"/>
    </xf>
    <xf numFmtId="176" fontId="69" fillId="0" borderId="0">
      <alignment vertical="top"/>
      <protection locked="0"/>
    </xf>
    <xf numFmtId="0" fontId="69" fillId="0" borderId="0">
      <alignment vertical="top"/>
      <protection locked="0"/>
    </xf>
    <xf numFmtId="0" fontId="69" fillId="0" borderId="0">
      <alignment vertical="top"/>
      <protection locked="0"/>
    </xf>
    <xf numFmtId="0" fontId="70" fillId="0" borderId="0"/>
    <xf numFmtId="176" fontId="69" fillId="0" borderId="0">
      <alignment vertical="top"/>
    </xf>
    <xf numFmtId="0" fontId="69" fillId="0" borderId="0">
      <alignment vertical="top"/>
    </xf>
    <xf numFmtId="0" fontId="69" fillId="0" borderId="0">
      <alignment vertical="top"/>
      <protection locked="0"/>
    </xf>
    <xf numFmtId="176" fontId="69" fillId="0" borderId="0">
      <alignment vertical="top"/>
      <protection locked="0"/>
    </xf>
    <xf numFmtId="0" fontId="69" fillId="0" borderId="0">
      <alignment vertical="top"/>
      <protection locked="0"/>
    </xf>
    <xf numFmtId="0" fontId="70" fillId="0" borderId="0"/>
    <xf numFmtId="177" fontId="68" fillId="0" borderId="0" applyFill="0" applyBorder="0" applyProtection="0">
      <alignment horizontal="right"/>
    </xf>
    <xf numFmtId="178" fontId="68" fillId="0" borderId="0" applyFill="0" applyBorder="0" applyProtection="0">
      <alignment horizontal="right"/>
    </xf>
    <xf numFmtId="179" fontId="72" fillId="0" borderId="0" applyFill="0" applyBorder="0" applyProtection="0">
      <alignment horizontal="center"/>
    </xf>
    <xf numFmtId="180" fontId="72" fillId="0" borderId="0" applyFill="0" applyBorder="0" applyProtection="0">
      <alignment horizontal="center"/>
    </xf>
    <xf numFmtId="181" fontId="73" fillId="0" borderId="0" applyFill="0" applyBorder="0" applyProtection="0">
      <alignment horizontal="right"/>
    </xf>
    <xf numFmtId="182" fontId="68" fillId="0" borderId="0" applyFill="0" applyBorder="0" applyProtection="0">
      <alignment horizontal="right"/>
    </xf>
    <xf numFmtId="183" fontId="68" fillId="0" borderId="0" applyFill="0" applyBorder="0" applyProtection="0">
      <alignment horizontal="right"/>
    </xf>
    <xf numFmtId="184" fontId="68" fillId="0" borderId="0" applyFill="0" applyBorder="0" applyProtection="0">
      <alignment horizontal="right"/>
    </xf>
    <xf numFmtId="185" fontId="68" fillId="0" borderId="0" applyFill="0" applyBorder="0" applyProtection="0">
      <alignment horizontal="right"/>
    </xf>
    <xf numFmtId="186" fontId="74" fillId="0" borderId="0" applyFont="0" applyFill="0" applyBorder="0" applyAlignment="0" applyProtection="0"/>
    <xf numFmtId="0" fontId="71" fillId="0" borderId="0"/>
    <xf numFmtId="187" fontId="74" fillId="0" borderId="0" applyFont="0" applyFill="0" applyBorder="0" applyAlignment="0" applyProtection="0"/>
    <xf numFmtId="10" fontId="74" fillId="0" borderId="0" applyFont="0" applyFill="0" applyBorder="0" applyAlignment="0" applyProtection="0"/>
    <xf numFmtId="188" fontId="166" fillId="0" borderId="0" applyFont="0" applyFill="0" applyBorder="0" applyAlignment="0" applyProtection="0"/>
    <xf numFmtId="176" fontId="75" fillId="11" borderId="0" applyNumberFormat="0" applyBorder="0" applyAlignment="0" applyProtection="0"/>
    <xf numFmtId="176" fontId="75" fillId="12" borderId="0" applyNumberFormat="0" applyBorder="0" applyAlignment="0" applyProtection="0"/>
    <xf numFmtId="176" fontId="75" fillId="13" borderId="0" applyNumberFormat="0" applyBorder="0" applyAlignment="0" applyProtection="0"/>
    <xf numFmtId="176" fontId="75" fillId="14" borderId="0" applyNumberFormat="0" applyBorder="0" applyAlignment="0" applyProtection="0"/>
    <xf numFmtId="176" fontId="75" fillId="15" borderId="0" applyNumberFormat="0" applyBorder="0" applyAlignment="0" applyProtection="0"/>
    <xf numFmtId="176" fontId="75" fillId="16" borderId="0" applyNumberFormat="0" applyBorder="0" applyAlignment="0" applyProtection="0"/>
    <xf numFmtId="176" fontId="75" fillId="17" borderId="0" applyNumberFormat="0" applyBorder="0" applyAlignment="0" applyProtection="0"/>
    <xf numFmtId="176" fontId="75" fillId="18" borderId="0" applyNumberFormat="0" applyBorder="0" applyAlignment="0" applyProtection="0"/>
    <xf numFmtId="176" fontId="75" fillId="19" borderId="0" applyNumberFormat="0" applyBorder="0" applyAlignment="0" applyProtection="0"/>
    <xf numFmtId="176" fontId="75" fillId="14" borderId="0" applyNumberFormat="0" applyBorder="0" applyAlignment="0" applyProtection="0"/>
    <xf numFmtId="176" fontId="75" fillId="17" borderId="0" applyNumberFormat="0" applyBorder="0" applyAlignment="0" applyProtection="0"/>
    <xf numFmtId="176" fontId="75" fillId="20" borderId="0" applyNumberFormat="0" applyBorder="0" applyAlignment="0" applyProtection="0"/>
    <xf numFmtId="176" fontId="76" fillId="21" borderId="0" applyNumberFormat="0" applyBorder="0" applyAlignment="0" applyProtection="0"/>
    <xf numFmtId="176" fontId="76" fillId="18" borderId="0" applyNumberFormat="0" applyBorder="0" applyAlignment="0" applyProtection="0"/>
    <xf numFmtId="176" fontId="76" fillId="19" borderId="0" applyNumberFormat="0" applyBorder="0" applyAlignment="0" applyProtection="0"/>
    <xf numFmtId="176" fontId="76" fillId="22" borderId="0" applyNumberFormat="0" applyBorder="0" applyAlignment="0" applyProtection="0"/>
    <xf numFmtId="176" fontId="76" fillId="23" borderId="0" applyNumberFormat="0" applyBorder="0" applyAlignment="0" applyProtection="0"/>
    <xf numFmtId="176" fontId="76" fillId="24" borderId="0" applyNumberFormat="0" applyBorder="0" applyAlignment="0" applyProtection="0"/>
    <xf numFmtId="0" fontId="77" fillId="0" borderId="12">
      <alignment horizontal="center"/>
    </xf>
    <xf numFmtId="0" fontId="78" fillId="0" borderId="0"/>
    <xf numFmtId="0" fontId="78" fillId="0" borderId="8" applyFill="0">
      <alignment horizontal="center"/>
      <protection locked="0"/>
    </xf>
    <xf numFmtId="0" fontId="78" fillId="0" borderId="8" applyFill="0">
      <alignment horizontal="center"/>
      <protection locked="0"/>
    </xf>
    <xf numFmtId="0" fontId="77" fillId="0" borderId="0" applyFill="0">
      <alignment horizontal="center"/>
      <protection locked="0"/>
    </xf>
    <xf numFmtId="0" fontId="77" fillId="25" borderId="0"/>
    <xf numFmtId="0" fontId="77" fillId="0" borderId="0">
      <protection locked="0"/>
    </xf>
    <xf numFmtId="0" fontId="77" fillId="0" borderId="0"/>
    <xf numFmtId="189" fontId="77" fillId="0" borderId="0"/>
    <xf numFmtId="190" fontId="77" fillId="0" borderId="0"/>
    <xf numFmtId="0" fontId="78" fillId="26" borderId="0">
      <alignment horizontal="right"/>
    </xf>
    <xf numFmtId="0" fontId="77" fillId="0" borderId="0"/>
    <xf numFmtId="176" fontId="76" fillId="27"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80" fillId="29" borderId="0" applyNumberFormat="0" applyBorder="0" applyAlignment="0" applyProtection="0"/>
    <xf numFmtId="176" fontId="76" fillId="30" borderId="0" applyNumberFormat="0" applyBorder="0" applyAlignment="0" applyProtection="0"/>
    <xf numFmtId="0" fontId="79" fillId="31" borderId="0" applyNumberFormat="0" applyBorder="0" applyAlignment="0" applyProtection="0"/>
    <xf numFmtId="0" fontId="79" fillId="32" borderId="0" applyNumberFormat="0" applyBorder="0" applyAlignment="0" applyProtection="0"/>
    <xf numFmtId="0" fontId="80" fillId="33" borderId="0" applyNumberFormat="0" applyBorder="0" applyAlignment="0" applyProtection="0"/>
    <xf numFmtId="176" fontId="76" fillId="34" borderId="0" applyNumberFormat="0" applyBorder="0" applyAlignment="0" applyProtection="0"/>
    <xf numFmtId="0" fontId="79" fillId="31" borderId="0" applyNumberFormat="0" applyBorder="0" applyAlignment="0" applyProtection="0"/>
    <xf numFmtId="0" fontId="79" fillId="35" borderId="0" applyNumberFormat="0" applyBorder="0" applyAlignment="0" applyProtection="0"/>
    <xf numFmtId="0" fontId="80" fillId="32" borderId="0" applyNumberFormat="0" applyBorder="0" applyAlignment="0" applyProtection="0"/>
    <xf numFmtId="176" fontId="76" fillId="22" borderId="0" applyNumberFormat="0" applyBorder="0" applyAlignment="0" applyProtection="0"/>
    <xf numFmtId="0" fontId="79" fillId="28" borderId="0" applyNumberFormat="0" applyBorder="0" applyAlignment="0" applyProtection="0"/>
    <xf numFmtId="0" fontId="79" fillId="32" borderId="0" applyNumberFormat="0" applyBorder="0" applyAlignment="0" applyProtection="0"/>
    <xf numFmtId="0" fontId="80" fillId="32" borderId="0" applyNumberFormat="0" applyBorder="0" applyAlignment="0" applyProtection="0"/>
    <xf numFmtId="176" fontId="76" fillId="23" borderId="0" applyNumberFormat="0" applyBorder="0" applyAlignment="0" applyProtection="0"/>
    <xf numFmtId="0" fontId="79" fillId="36" borderId="0" applyNumberFormat="0" applyBorder="0" applyAlignment="0" applyProtection="0"/>
    <xf numFmtId="0" fontId="79" fillId="28" borderId="0" applyNumberFormat="0" applyBorder="0" applyAlignment="0" applyProtection="0"/>
    <xf numFmtId="0" fontId="80" fillId="29" borderId="0" applyNumberFormat="0" applyBorder="0" applyAlignment="0" applyProtection="0"/>
    <xf numFmtId="176" fontId="76" fillId="37" borderId="0" applyNumberFormat="0" applyBorder="0" applyAlignment="0" applyProtection="0"/>
    <xf numFmtId="0" fontId="79" fillId="31" borderId="0" applyNumberFormat="0" applyBorder="0" applyAlignment="0" applyProtection="0"/>
    <xf numFmtId="0" fontId="79" fillId="38" borderId="0" applyNumberFormat="0" applyBorder="0" applyAlignment="0" applyProtection="0"/>
    <xf numFmtId="0" fontId="80" fillId="38" borderId="0" applyNumberFormat="0" applyBorder="0" applyAlignment="0" applyProtection="0"/>
    <xf numFmtId="0" fontId="81" fillId="0" borderId="0">
      <alignment horizontal="center" wrapText="1"/>
      <protection locked="0"/>
    </xf>
    <xf numFmtId="176" fontId="82" fillId="12" borderId="0" applyNumberFormat="0" applyBorder="0" applyAlignment="0" applyProtection="0"/>
    <xf numFmtId="3" fontId="83" fillId="0" borderId="0"/>
    <xf numFmtId="191" fontId="84" fillId="0" borderId="13" applyAlignment="0" applyProtection="0"/>
    <xf numFmtId="192" fontId="69" fillId="0" borderId="0" applyFill="0" applyBorder="0" applyAlignment="0"/>
    <xf numFmtId="193" fontId="65" fillId="0" borderId="0" applyFill="0" applyBorder="0" applyAlignment="0"/>
    <xf numFmtId="194" fontId="65" fillId="0" borderId="0" applyFill="0" applyBorder="0" applyAlignment="0"/>
    <xf numFmtId="195" fontId="65" fillId="0" borderId="0" applyFill="0" applyBorder="0" applyAlignment="0"/>
    <xf numFmtId="196"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176" fontId="85" fillId="39" borderId="14" applyNumberFormat="0" applyAlignment="0" applyProtection="0"/>
    <xf numFmtId="0" fontId="86" fillId="0" borderId="0"/>
    <xf numFmtId="176" fontId="87" fillId="40" borderId="15" applyNumberFormat="0" applyAlignment="0" applyProtection="0"/>
    <xf numFmtId="0" fontId="88" fillId="0" borderId="16" applyNumberFormat="0" applyFill="0" applyProtection="0">
      <alignment horizontal="center"/>
    </xf>
    <xf numFmtId="176" fontId="89" fillId="0" borderId="17">
      <alignment horizontal="center"/>
    </xf>
    <xf numFmtId="199" fontId="65" fillId="0" borderId="0"/>
    <xf numFmtId="199" fontId="65" fillId="0" borderId="0"/>
    <xf numFmtId="199" fontId="65" fillId="0" borderId="0"/>
    <xf numFmtId="199" fontId="65" fillId="0" borderId="0"/>
    <xf numFmtId="199" fontId="65" fillId="0" borderId="0"/>
    <xf numFmtId="199" fontId="65" fillId="0" borderId="0"/>
    <xf numFmtId="199" fontId="65" fillId="0" borderId="0"/>
    <xf numFmtId="199" fontId="65" fillId="0" borderId="0"/>
    <xf numFmtId="200" fontId="166" fillId="0" borderId="0" applyFont="0" applyFill="0" applyBorder="0" applyAlignment="0" applyProtection="0"/>
    <xf numFmtId="197" fontId="65"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201" fontId="68" fillId="0" borderId="0"/>
    <xf numFmtId="37" fontId="74" fillId="0" borderId="0" applyFont="0" applyFill="0" applyBorder="0" applyAlignment="0" applyProtection="0"/>
    <xf numFmtId="202" fontId="74" fillId="0" borderId="0" applyFont="0" applyFill="0" applyBorder="0" applyAlignment="0" applyProtection="0"/>
    <xf numFmtId="39" fontId="74" fillId="0" borderId="0" applyFont="0" applyFill="0" applyBorder="0" applyAlignment="0" applyProtection="0"/>
    <xf numFmtId="40" fontId="90" fillId="0" borderId="0" applyFont="0" applyFill="0" applyBorder="0" applyAlignment="0" applyProtection="0"/>
    <xf numFmtId="0" fontId="91" fillId="0" borderId="0" applyNumberFormat="0" applyAlignment="0">
      <alignment horizontal="left"/>
    </xf>
    <xf numFmtId="0" fontId="92" fillId="0" borderId="0" applyNumberFormat="0" applyAlignment="0"/>
    <xf numFmtId="200" fontId="93" fillId="0" borderId="0" applyFont="0" applyFill="0" applyBorder="0" applyAlignment="0" applyProtection="0"/>
    <xf numFmtId="193" fontId="65" fillId="0" borderId="0" applyFont="0" applyFill="0" applyBorder="0" applyAlignment="0" applyProtection="0"/>
    <xf numFmtId="191" fontId="74" fillId="0" borderId="0" applyFont="0" applyFill="0" applyBorder="0" applyAlignment="0" applyProtection="0"/>
    <xf numFmtId="203" fontId="74" fillId="0" borderId="0" applyFont="0" applyFill="0" applyBorder="0" applyAlignment="0" applyProtection="0"/>
    <xf numFmtId="204" fontId="166" fillId="0" borderId="0" applyFont="0" applyFill="0" applyBorder="0" applyAlignment="0" applyProtection="0"/>
    <xf numFmtId="205" fontId="68" fillId="0" borderId="0"/>
    <xf numFmtId="206" fontId="65" fillId="0" borderId="0">
      <protection locked="0"/>
    </xf>
    <xf numFmtId="15" fontId="90" fillId="0" borderId="0"/>
    <xf numFmtId="14" fontId="69" fillId="0" borderId="0" applyFill="0" applyBorder="0" applyAlignment="0"/>
    <xf numFmtId="206" fontId="65" fillId="0" borderId="0">
      <protection locked="0"/>
    </xf>
    <xf numFmtId="41" fontId="65" fillId="0" borderId="0" applyFont="0" applyFill="0" applyBorder="0" applyAlignment="0" applyProtection="0"/>
    <xf numFmtId="43" fontId="65" fillId="0" borderId="0" applyFont="0" applyFill="0" applyBorder="0" applyAlignment="0" applyProtection="0"/>
    <xf numFmtId="207" fontId="68" fillId="0" borderId="0"/>
    <xf numFmtId="0" fontId="94" fillId="0" borderId="0" applyNumberFormat="0" applyFill="0" applyBorder="0" applyAlignment="0" applyProtection="0"/>
    <xf numFmtId="197" fontId="65" fillId="0" borderId="0" applyFill="0" applyBorder="0" applyAlignment="0"/>
    <xf numFmtId="193"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0" fontId="95" fillId="0" borderId="0" applyNumberFormat="0" applyAlignment="0">
      <alignment horizontal="left"/>
    </xf>
    <xf numFmtId="176" fontId="96" fillId="0" borderId="0">
      <alignment horizontal="left"/>
    </xf>
    <xf numFmtId="0" fontId="96" fillId="0" borderId="0">
      <alignment horizontal="left"/>
    </xf>
    <xf numFmtId="176" fontId="97" fillId="41" borderId="12"/>
    <xf numFmtId="0" fontId="97" fillId="41" borderId="12"/>
    <xf numFmtId="176" fontId="68" fillId="0" borderId="0" applyFont="0" applyFill="0" applyBorder="0" applyAlignment="0" applyProtection="0"/>
    <xf numFmtId="176" fontId="98" fillId="0" borderId="0" applyNumberFormat="0" applyFill="0" applyBorder="0" applyAlignment="0" applyProtection="0"/>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206" fontId="65" fillId="0" borderId="0">
      <protection locked="0"/>
    </xf>
    <xf numFmtId="0" fontId="99" fillId="0" borderId="0" applyNumberFormat="0" applyFill="0" applyBorder="0" applyAlignment="0" applyProtection="0">
      <alignment vertical="top"/>
      <protection locked="0"/>
    </xf>
    <xf numFmtId="176" fontId="100" fillId="13" borderId="0" applyNumberFormat="0" applyBorder="0" applyAlignment="0" applyProtection="0"/>
    <xf numFmtId="38" fontId="97" fillId="39" borderId="0" applyNumberFormat="0" applyBorder="0" applyAlignment="0" applyProtection="0"/>
    <xf numFmtId="0" fontId="101" fillId="0" borderId="0">
      <alignment horizontal="left"/>
    </xf>
    <xf numFmtId="176" fontId="102" fillId="0" borderId="5" applyNumberFormat="0" applyAlignment="0" applyProtection="0">
      <alignment horizontal="left" vertical="center"/>
    </xf>
    <xf numFmtId="0" fontId="102" fillId="0" borderId="5" applyNumberFormat="0" applyAlignment="0" applyProtection="0">
      <alignment horizontal="left" vertical="center"/>
    </xf>
    <xf numFmtId="0" fontId="102" fillId="0" borderId="5" applyNumberFormat="0" applyAlignment="0" applyProtection="0">
      <alignment horizontal="left" vertical="center"/>
    </xf>
    <xf numFmtId="176" fontId="102" fillId="0" borderId="5" applyNumberFormat="0" applyAlignment="0" applyProtection="0">
      <alignment horizontal="left" vertical="center"/>
    </xf>
    <xf numFmtId="176" fontId="102" fillId="0" borderId="18">
      <alignment horizontal="left" vertical="center"/>
    </xf>
    <xf numFmtId="0" fontId="102" fillId="0" borderId="18">
      <alignment horizontal="left" vertical="center"/>
    </xf>
    <xf numFmtId="14" fontId="103" fillId="15" borderId="8">
      <alignment horizontal="center" vertical="center" wrapText="1"/>
    </xf>
    <xf numFmtId="176" fontId="104" fillId="0" borderId="19" applyNumberFormat="0" applyFill="0" applyAlignment="0" applyProtection="0"/>
    <xf numFmtId="176" fontId="105" fillId="0" borderId="20" applyNumberFormat="0" applyFill="0" applyAlignment="0" applyProtection="0"/>
    <xf numFmtId="176" fontId="106" fillId="0" borderId="21" applyNumberFormat="0" applyFill="0" applyAlignment="0" applyProtection="0"/>
    <xf numFmtId="176" fontId="106" fillId="0" borderId="21" applyNumberFormat="0" applyFill="0" applyAlignment="0" applyProtection="0"/>
    <xf numFmtId="176" fontId="106" fillId="0" borderId="0" applyNumberFormat="0" applyFill="0" applyBorder="0" applyAlignment="0" applyProtection="0"/>
    <xf numFmtId="14" fontId="103" fillId="15" borderId="8">
      <alignment horizontal="center" vertical="center" wrapText="1"/>
    </xf>
    <xf numFmtId="206" fontId="65" fillId="0" borderId="0">
      <protection locked="0"/>
    </xf>
    <xf numFmtId="206" fontId="65" fillId="0" borderId="0">
      <protection locked="0"/>
    </xf>
    <xf numFmtId="0" fontId="107" fillId="0" borderId="0" applyNumberFormat="0" applyFill="0" applyBorder="0" applyAlignment="0" applyProtection="0">
      <alignment vertical="top"/>
      <protection locked="0"/>
    </xf>
    <xf numFmtId="176" fontId="108" fillId="16" borderId="14" applyNumberFormat="0" applyAlignment="0" applyProtection="0"/>
    <xf numFmtId="10" fontId="97" fillId="42" borderId="12" applyNumberFormat="0" applyBorder="0" applyAlignment="0" applyProtection="0"/>
    <xf numFmtId="202" fontId="109" fillId="43" borderId="0"/>
    <xf numFmtId="208" fontId="166" fillId="43" borderId="0"/>
    <xf numFmtId="176" fontId="68" fillId="0" borderId="0" applyNumberFormat="0" applyFont="0" applyFill="0" applyBorder="0" applyProtection="0">
      <alignment horizontal="left" vertical="center"/>
    </xf>
    <xf numFmtId="0" fontId="68" fillId="0" borderId="0" applyNumberFormat="0" applyFont="0" applyFill="0" applyBorder="0" applyProtection="0">
      <alignment horizontal="left" vertical="center"/>
    </xf>
    <xf numFmtId="197" fontId="65" fillId="0" borderId="0" applyFill="0" applyBorder="0" applyAlignment="0"/>
    <xf numFmtId="193"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176" fontId="110" fillId="0" borderId="22" applyNumberFormat="0" applyFill="0" applyAlignment="0" applyProtection="0"/>
    <xf numFmtId="202" fontId="111" fillId="44" borderId="0"/>
    <xf numFmtId="208" fontId="166" fillId="44" borderId="0"/>
    <xf numFmtId="41" fontId="65" fillId="0" borderId="0" applyFont="0" applyFill="0" applyBorder="0" applyAlignment="0" applyProtection="0"/>
    <xf numFmtId="43"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0" fontId="112" fillId="0" borderId="8"/>
    <xf numFmtId="0" fontId="112" fillId="0" borderId="8"/>
    <xf numFmtId="200" fontId="65" fillId="0" borderId="0" applyFont="0" applyFill="0" applyBorder="0" applyAlignment="0" applyProtection="0"/>
    <xf numFmtId="209"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210" fontId="65" fillId="0" borderId="0" applyFont="0" applyFill="0" applyBorder="0" applyAlignment="0" applyProtection="0"/>
    <xf numFmtId="211" fontId="166" fillId="0" borderId="0" applyFont="0" applyFill="0" applyBorder="0" applyAlignment="0" applyProtection="0"/>
    <xf numFmtId="176" fontId="113" fillId="45" borderId="0" applyNumberFormat="0" applyBorder="0" applyAlignment="0" applyProtection="0"/>
    <xf numFmtId="0" fontId="68" fillId="0" borderId="0"/>
    <xf numFmtId="37" fontId="114" fillId="0" borderId="0"/>
    <xf numFmtId="0" fontId="92" fillId="0" borderId="0"/>
    <xf numFmtId="212" fontId="166" fillId="0" borderId="0"/>
    <xf numFmtId="0" fontId="65" fillId="0" borderId="0"/>
    <xf numFmtId="0" fontId="65" fillId="0" borderId="0"/>
    <xf numFmtId="0" fontId="166" fillId="0" borderId="0"/>
    <xf numFmtId="0" fontId="166" fillId="0" borderId="0">
      <alignment vertical="center"/>
    </xf>
    <xf numFmtId="176" fontId="90" fillId="0" borderId="0"/>
    <xf numFmtId="176" fontId="115" fillId="0" borderId="0"/>
    <xf numFmtId="176" fontId="65" fillId="42" borderId="23" applyNumberFormat="0" applyFont="0" applyAlignment="0" applyProtection="0"/>
    <xf numFmtId="213" fontId="166" fillId="0" borderId="0" applyFont="0" applyFill="0" applyBorder="0" applyAlignment="0" applyProtection="0"/>
    <xf numFmtId="214" fontId="166" fillId="0" borderId="0" applyFont="0" applyFill="0" applyBorder="0" applyAlignment="0" applyProtection="0"/>
    <xf numFmtId="176" fontId="116" fillId="39" borderId="24" applyNumberFormat="0" applyAlignment="0" applyProtection="0"/>
    <xf numFmtId="14" fontId="81" fillId="0" borderId="0">
      <alignment horizontal="center" wrapText="1"/>
      <protection locked="0"/>
    </xf>
    <xf numFmtId="215" fontId="65" fillId="0" borderId="0" applyFont="0" applyFill="0" applyBorder="0" applyAlignment="0" applyProtection="0"/>
    <xf numFmtId="196" fontId="65" fillId="0" borderId="0" applyFont="0" applyFill="0" applyBorder="0" applyAlignment="0" applyProtection="0"/>
    <xf numFmtId="186" fontId="65" fillId="0" borderId="0" applyFont="0" applyFill="0" applyBorder="0" applyAlignment="0" applyProtection="0"/>
    <xf numFmtId="10" fontId="65" fillId="0" borderId="0" applyFont="0" applyFill="0" applyBorder="0" applyAlignment="0" applyProtection="0"/>
    <xf numFmtId="9" fontId="2" fillId="0" borderId="0" applyFont="0" applyFill="0" applyBorder="0" applyAlignment="0" applyProtection="0">
      <alignment vertical="center"/>
    </xf>
    <xf numFmtId="9" fontId="70" fillId="0" borderId="0" applyFont="0" applyFill="0" applyBorder="0" applyAlignment="0" applyProtection="0"/>
    <xf numFmtId="13" fontId="65" fillId="0" borderId="0" applyFont="0" applyFill="0" applyProtection="0"/>
    <xf numFmtId="176" fontId="97" fillId="39" borderId="12"/>
    <xf numFmtId="0" fontId="97" fillId="39" borderId="12"/>
    <xf numFmtId="197" fontId="65" fillId="0" borderId="0" applyFill="0" applyBorder="0" applyAlignment="0"/>
    <xf numFmtId="193" fontId="65" fillId="0" borderId="0" applyFill="0" applyBorder="0" applyAlignment="0"/>
    <xf numFmtId="197" fontId="65" fillId="0" borderId="0" applyFill="0" applyBorder="0" applyAlignment="0"/>
    <xf numFmtId="198" fontId="65" fillId="0" borderId="0" applyFill="0" applyBorder="0" applyAlignment="0"/>
    <xf numFmtId="193" fontId="65" fillId="0" borderId="0" applyFill="0" applyBorder="0" applyAlignment="0"/>
    <xf numFmtId="4" fontId="96" fillId="0" borderId="0">
      <alignment horizontal="right"/>
    </xf>
    <xf numFmtId="216" fontId="117" fillId="0" borderId="0"/>
    <xf numFmtId="188" fontId="117" fillId="0" borderId="0"/>
    <xf numFmtId="0" fontId="90" fillId="0" borderId="0" applyNumberFormat="0" applyFont="0" applyFill="0" applyBorder="0" applyAlignment="0" applyProtection="0">
      <alignment horizontal="left"/>
    </xf>
    <xf numFmtId="0" fontId="84" fillId="0" borderId="8">
      <alignment horizontal="center"/>
    </xf>
    <xf numFmtId="0" fontId="84" fillId="0" borderId="8">
      <alignment horizontal="center"/>
    </xf>
    <xf numFmtId="3" fontId="118" fillId="0" borderId="0"/>
    <xf numFmtId="4" fontId="119" fillId="0" borderId="0">
      <alignment horizontal="right"/>
    </xf>
    <xf numFmtId="217" fontId="71" fillId="0" borderId="0" applyNumberFormat="0" applyFill="0" applyBorder="0" applyAlignment="0" applyProtection="0">
      <alignment horizontal="left"/>
    </xf>
    <xf numFmtId="218" fontId="166" fillId="0" borderId="0" applyNumberFormat="0" applyFill="0" applyBorder="0" applyAlignment="0" applyProtection="0">
      <alignment horizontal="left"/>
    </xf>
    <xf numFmtId="41" fontId="68" fillId="0" borderId="0" applyFont="0" applyFill="0" applyBorder="0" applyAlignment="0" applyProtection="0"/>
    <xf numFmtId="0" fontId="120" fillId="46" borderId="0">
      <alignment horizontal="left" vertical="center"/>
    </xf>
    <xf numFmtId="0" fontId="120" fillId="46" borderId="0">
      <alignment horizontal="right" vertical="center"/>
    </xf>
    <xf numFmtId="4" fontId="121" fillId="45" borderId="25" applyNumberFormat="0" applyProtection="0">
      <alignment vertical="center"/>
    </xf>
    <xf numFmtId="4" fontId="122" fillId="45" borderId="25" applyNumberFormat="0" applyProtection="0">
      <alignment vertical="center"/>
    </xf>
    <xf numFmtId="4" fontId="121" fillId="45" borderId="25" applyNumberFormat="0" applyProtection="0">
      <alignment horizontal="left" vertical="center" indent="1"/>
    </xf>
    <xf numFmtId="0" fontId="121" fillId="45" borderId="25" applyNumberFormat="0" applyProtection="0">
      <alignment horizontal="left" vertical="top" indent="1"/>
    </xf>
    <xf numFmtId="4" fontId="121" fillId="47" borderId="0" applyNumberFormat="0" applyProtection="0">
      <alignment horizontal="left" vertical="center" indent="1"/>
    </xf>
    <xf numFmtId="4" fontId="69" fillId="12" borderId="25" applyNumberFormat="0" applyProtection="0">
      <alignment horizontal="right" vertical="center"/>
    </xf>
    <xf numFmtId="4" fontId="69" fillId="18" borderId="25" applyNumberFormat="0" applyProtection="0">
      <alignment horizontal="right" vertical="center"/>
    </xf>
    <xf numFmtId="4" fontId="69" fillId="30" borderId="25" applyNumberFormat="0" applyProtection="0">
      <alignment horizontal="right" vertical="center"/>
    </xf>
    <xf numFmtId="4" fontId="69" fillId="20" borderId="25" applyNumberFormat="0" applyProtection="0">
      <alignment horizontal="right" vertical="center"/>
    </xf>
    <xf numFmtId="4" fontId="69" fillId="24" borderId="25" applyNumberFormat="0" applyProtection="0">
      <alignment horizontal="right" vertical="center"/>
    </xf>
    <xf numFmtId="4" fontId="69" fillId="37" borderId="25" applyNumberFormat="0" applyProtection="0">
      <alignment horizontal="right" vertical="center"/>
    </xf>
    <xf numFmtId="4" fontId="69" fillId="34" borderId="25" applyNumberFormat="0" applyProtection="0">
      <alignment horizontal="right" vertical="center"/>
    </xf>
    <xf numFmtId="4" fontId="69" fillId="48" borderId="25" applyNumberFormat="0" applyProtection="0">
      <alignment horizontal="right" vertical="center"/>
    </xf>
    <xf numFmtId="4" fontId="69" fillId="19" borderId="25" applyNumberFormat="0" applyProtection="0">
      <alignment horizontal="right" vertical="center"/>
    </xf>
    <xf numFmtId="4" fontId="121" fillId="49" borderId="26" applyNumberFormat="0" applyProtection="0">
      <alignment horizontal="left" vertical="center" indent="1"/>
    </xf>
    <xf numFmtId="4" fontId="69" fillId="50" borderId="0" applyNumberFormat="0" applyProtection="0">
      <alignment horizontal="left" vertical="center" indent="1"/>
    </xf>
    <xf numFmtId="4" fontId="123" fillId="51" borderId="0" applyNumberFormat="0" applyProtection="0">
      <alignment horizontal="left" vertical="center" indent="1"/>
    </xf>
    <xf numFmtId="4" fontId="69" fillId="47" borderId="25" applyNumberFormat="0" applyProtection="0">
      <alignment horizontal="right" vertical="center"/>
    </xf>
    <xf numFmtId="4" fontId="69" fillId="50" borderId="0" applyNumberFormat="0" applyProtection="0">
      <alignment horizontal="left" vertical="center" indent="1"/>
    </xf>
    <xf numFmtId="4" fontId="69" fillId="47" borderId="0" applyNumberFormat="0" applyProtection="0">
      <alignment horizontal="left" vertical="center" indent="1"/>
    </xf>
    <xf numFmtId="0" fontId="65" fillId="51" borderId="25" applyNumberFormat="0" applyProtection="0">
      <alignment horizontal="left" vertical="center" indent="1"/>
    </xf>
    <xf numFmtId="0" fontId="65" fillId="51" borderId="25" applyNumberFormat="0" applyProtection="0">
      <alignment horizontal="left" vertical="top" indent="1"/>
    </xf>
    <xf numFmtId="0" fontId="65" fillId="47" borderId="25" applyNumberFormat="0" applyProtection="0">
      <alignment horizontal="left" vertical="center" indent="1"/>
    </xf>
    <xf numFmtId="0" fontId="65" fillId="47" borderId="25" applyNumberFormat="0" applyProtection="0">
      <alignment horizontal="left" vertical="top" indent="1"/>
    </xf>
    <xf numFmtId="0" fontId="65" fillId="17" borderId="25" applyNumberFormat="0" applyProtection="0">
      <alignment horizontal="left" vertical="center" indent="1"/>
    </xf>
    <xf numFmtId="0" fontId="65" fillId="17" borderId="25" applyNumberFormat="0" applyProtection="0">
      <alignment horizontal="left" vertical="top" indent="1"/>
    </xf>
    <xf numFmtId="0" fontId="65" fillId="50" borderId="25" applyNumberFormat="0" applyProtection="0">
      <alignment horizontal="left" vertical="center" indent="1"/>
    </xf>
    <xf numFmtId="0" fontId="65" fillId="50" borderId="25" applyNumberFormat="0" applyProtection="0">
      <alignment horizontal="left" vertical="top" indent="1"/>
    </xf>
    <xf numFmtId="4" fontId="69" fillId="42" borderId="25" applyNumberFormat="0" applyProtection="0">
      <alignment vertical="center"/>
    </xf>
    <xf numFmtId="4" fontId="124" fillId="42" borderId="25" applyNumberFormat="0" applyProtection="0">
      <alignment vertical="center"/>
    </xf>
    <xf numFmtId="4" fontId="69" fillId="42" borderId="25" applyNumberFormat="0" applyProtection="0">
      <alignment horizontal="left" vertical="center" indent="1"/>
    </xf>
    <xf numFmtId="0" fontId="69" fillId="42" borderId="25" applyNumberFormat="0" applyProtection="0">
      <alignment horizontal="left" vertical="top" indent="1"/>
    </xf>
    <xf numFmtId="4" fontId="69" fillId="50" borderId="25" applyNumberFormat="0" applyProtection="0">
      <alignment horizontal="right" vertical="center"/>
    </xf>
    <xf numFmtId="4" fontId="124" fillId="50" borderId="25" applyNumberFormat="0" applyProtection="0">
      <alignment horizontal="right" vertical="center"/>
    </xf>
    <xf numFmtId="4" fontId="69" fillId="47" borderId="25" applyNumberFormat="0" applyProtection="0">
      <alignment horizontal="left" vertical="center" indent="1"/>
    </xf>
    <xf numFmtId="0" fontId="69" fillId="47" borderId="25" applyNumberFormat="0" applyProtection="0">
      <alignment horizontal="left" vertical="top" indent="1"/>
    </xf>
    <xf numFmtId="4" fontId="125" fillId="43" borderId="0" applyNumberFormat="0" applyProtection="0">
      <alignment horizontal="left" vertical="center" indent="1"/>
    </xf>
    <xf numFmtId="4" fontId="126" fillId="50" borderId="25" applyNumberFormat="0" applyProtection="0">
      <alignment horizontal="right" vertical="center"/>
    </xf>
    <xf numFmtId="176" fontId="127" fillId="0" borderId="0">
      <alignment horizontal="left"/>
    </xf>
    <xf numFmtId="0" fontId="127" fillId="0" borderId="0">
      <alignment horizontal="left"/>
    </xf>
    <xf numFmtId="43" fontId="97" fillId="0" borderId="1"/>
    <xf numFmtId="43" fontId="97" fillId="0" borderId="1"/>
    <xf numFmtId="0" fontId="115" fillId="0" borderId="0"/>
    <xf numFmtId="176" fontId="128" fillId="0" borderId="12">
      <alignment horizontal="center"/>
    </xf>
    <xf numFmtId="0" fontId="128" fillId="0" borderId="12">
      <alignment horizontal="center"/>
    </xf>
    <xf numFmtId="176" fontId="128" fillId="0" borderId="0">
      <alignment horizontal="center" vertical="center"/>
    </xf>
    <xf numFmtId="0" fontId="128" fillId="0" borderId="0">
      <alignment horizontal="center" vertical="center"/>
    </xf>
    <xf numFmtId="176" fontId="129" fillId="0" borderId="0" applyNumberFormat="0" applyFill="0">
      <alignment horizontal="left" vertical="center"/>
    </xf>
    <xf numFmtId="0" fontId="129" fillId="0" borderId="0" applyNumberFormat="0" applyFill="0">
      <alignment horizontal="left" vertical="center"/>
    </xf>
    <xf numFmtId="0" fontId="112" fillId="0" borderId="0"/>
    <xf numFmtId="40" fontId="130" fillId="0" borderId="0" applyBorder="0">
      <alignment horizontal="right"/>
    </xf>
    <xf numFmtId="49" fontId="69" fillId="0" borderId="0" applyFill="0" applyBorder="0" applyAlignment="0"/>
    <xf numFmtId="219" fontId="69" fillId="0" borderId="0" applyFill="0" applyBorder="0" applyAlignment="0"/>
    <xf numFmtId="220" fontId="65" fillId="0" borderId="0" applyFill="0" applyBorder="0" applyAlignment="0"/>
    <xf numFmtId="176" fontId="131" fillId="0" borderId="0" applyFill="0" applyBorder="0" applyProtection="0">
      <alignment horizontal="left" vertical="top"/>
    </xf>
    <xf numFmtId="0" fontId="131" fillId="0" borderId="0" applyFill="0" applyBorder="0" applyProtection="0">
      <alignment horizontal="left" vertical="top"/>
    </xf>
    <xf numFmtId="176" fontId="132" fillId="0" borderId="0">
      <alignment horizontal="center"/>
    </xf>
    <xf numFmtId="0" fontId="132" fillId="0" borderId="0">
      <alignment horizontal="center"/>
    </xf>
    <xf numFmtId="176" fontId="133" fillId="0" borderId="27" applyNumberFormat="0" applyFill="0" applyAlignment="0" applyProtection="0"/>
    <xf numFmtId="221" fontId="65" fillId="0" borderId="0" applyFont="0" applyFill="0" applyBorder="0" applyAlignment="0" applyProtection="0"/>
    <xf numFmtId="222" fontId="65" fillId="0" borderId="0" applyFont="0" applyFill="0" applyBorder="0" applyAlignment="0" applyProtection="0"/>
    <xf numFmtId="223" fontId="166" fillId="0" borderId="0" applyFont="0" applyFill="0" applyBorder="0" applyAlignment="0" applyProtection="0"/>
    <xf numFmtId="224" fontId="166" fillId="0" borderId="0" applyFont="0" applyFill="0" applyBorder="0" applyAlignment="0" applyProtection="0"/>
    <xf numFmtId="176" fontId="134" fillId="0" borderId="0" applyNumberFormat="0" applyFill="0" applyBorder="0" applyAlignment="0" applyProtection="0"/>
    <xf numFmtId="176" fontId="135" fillId="0" borderId="0" applyNumberFormat="0" applyFont="0" applyFill="0" applyBorder="0" applyProtection="0">
      <alignment horizontal="center" vertical="center" wrapText="1"/>
    </xf>
    <xf numFmtId="0" fontId="135" fillId="0" borderId="0" applyNumberFormat="0" applyFont="0" applyFill="0" applyBorder="0" applyProtection="0">
      <alignment horizontal="center" vertical="center" wrapText="1"/>
    </xf>
    <xf numFmtId="9" fontId="136" fillId="0" borderId="0" applyFont="0" applyFill="0" applyBorder="0" applyAlignment="0" applyProtection="0"/>
    <xf numFmtId="0" fontId="71" fillId="0" borderId="0"/>
    <xf numFmtId="0" fontId="11" fillId="0" borderId="0"/>
    <xf numFmtId="225" fontId="71" fillId="0" borderId="0" applyFont="0" applyFill="0" applyBorder="0" applyAlignment="0" applyProtection="0"/>
    <xf numFmtId="226" fontId="71" fillId="0" borderId="0" applyFont="0" applyFill="0" applyBorder="0" applyAlignment="0" applyProtection="0"/>
    <xf numFmtId="41" fontId="65" fillId="0" borderId="0" applyFont="0" applyFill="0" applyBorder="0" applyAlignment="0" applyProtection="0"/>
    <xf numFmtId="9" fontId="71" fillId="0" borderId="0" applyFont="0" applyFill="0" applyBorder="0" applyAlignment="0" applyProtection="0"/>
    <xf numFmtId="9" fontId="65" fillId="0" borderId="0" applyFont="0" applyFill="0" applyBorder="0" applyAlignment="0" applyProtection="0"/>
    <xf numFmtId="9" fontId="166" fillId="0" borderId="0" applyFont="0" applyFill="0" applyBorder="0" applyAlignment="0" applyProtection="0">
      <alignment vertical="center"/>
    </xf>
    <xf numFmtId="9" fontId="166" fillId="0" borderId="0" applyFont="0" applyFill="0" applyBorder="0" applyAlignment="0" applyProtection="0"/>
    <xf numFmtId="9" fontId="2" fillId="0" borderId="0">
      <alignment vertical="center"/>
    </xf>
    <xf numFmtId="0" fontId="137" fillId="0" borderId="0" applyFont="0" applyFill="0" applyBorder="0" applyAlignment="0" applyProtection="0"/>
    <xf numFmtId="0" fontId="137" fillId="0" borderId="0" applyFont="0" applyFill="0" applyBorder="0" applyAlignment="0" applyProtection="0"/>
    <xf numFmtId="4" fontId="138" fillId="0" borderId="0">
      <alignment horizontal="right"/>
    </xf>
    <xf numFmtId="0" fontId="139" fillId="0" borderId="0" applyNumberFormat="0" applyFill="0" applyBorder="0" applyAlignment="0" applyProtection="0"/>
    <xf numFmtId="0" fontId="140" fillId="20"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2" fillId="52" borderId="0" applyNumberFormat="0" applyBorder="0" applyAlignment="0" applyProtection="0"/>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3" fillId="41" borderId="0" applyNumberFormat="0" applyBorder="0" applyAlignment="0" applyProtection="0">
      <alignment vertical="center"/>
    </xf>
    <xf numFmtId="0" fontId="141" fillId="12" borderId="0" applyNumberFormat="0" applyBorder="0" applyAlignment="0" applyProtection="0">
      <alignment vertical="center"/>
    </xf>
    <xf numFmtId="0" fontId="144" fillId="10" borderId="0" applyNumberFormat="0" applyBorder="0" applyAlignment="0" applyProtection="0">
      <alignment vertical="center"/>
    </xf>
    <xf numFmtId="0" fontId="145" fillId="12" borderId="0" applyNumberFormat="0" applyBorder="0" applyAlignment="0" applyProtection="0">
      <alignment vertical="center"/>
    </xf>
    <xf numFmtId="0" fontId="145" fillId="12"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3" fillId="41"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1" fillId="12"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0" fillId="37" borderId="0" applyNumberFormat="0" applyBorder="0" applyAlignment="0" applyProtection="0">
      <alignment vertical="center"/>
    </xf>
    <xf numFmtId="0" fontId="140" fillId="20" borderId="0" applyNumberFormat="0" applyBorder="0" applyAlignment="0" applyProtection="0">
      <alignment vertical="center"/>
    </xf>
    <xf numFmtId="0" fontId="140" fillId="20" borderId="0" applyNumberFormat="0" applyBorder="0" applyAlignment="0" applyProtection="0">
      <alignment vertical="center"/>
    </xf>
    <xf numFmtId="0" fontId="146" fillId="14" borderId="0" applyNumberFormat="0" applyBorder="0" applyAlignment="0" applyProtection="0">
      <alignment vertical="center"/>
    </xf>
    <xf numFmtId="0" fontId="63" fillId="0" borderId="0">
      <alignment vertical="center"/>
    </xf>
    <xf numFmtId="0" fontId="63" fillId="0" borderId="0">
      <alignment vertical="center"/>
    </xf>
    <xf numFmtId="0" fontId="2" fillId="0" borderId="0">
      <alignment vertical="center"/>
    </xf>
    <xf numFmtId="0" fontId="63" fillId="0" borderId="0"/>
    <xf numFmtId="0" fontId="166" fillId="0" borderId="0">
      <alignment vertical="center"/>
      <protection locked="0"/>
    </xf>
    <xf numFmtId="0" fontId="65" fillId="0" borderId="0"/>
    <xf numFmtId="0" fontId="166" fillId="0" borderId="0">
      <alignment vertical="center"/>
      <protection locked="0"/>
    </xf>
    <xf numFmtId="0" fontId="63" fillId="0" borderId="0">
      <alignment vertical="center"/>
    </xf>
    <xf numFmtId="0" fontId="63" fillId="0" borderId="0"/>
    <xf numFmtId="0" fontId="63" fillId="0" borderId="0">
      <alignment vertical="center"/>
    </xf>
    <xf numFmtId="0" fontId="63" fillId="0" borderId="0"/>
    <xf numFmtId="176" fontId="63" fillId="0" borderId="0"/>
    <xf numFmtId="176" fontId="166" fillId="0" borderId="0">
      <alignment vertical="center"/>
      <protection locked="0"/>
    </xf>
    <xf numFmtId="0" fontId="166" fillId="0" borderId="0">
      <alignment vertical="center"/>
    </xf>
    <xf numFmtId="0" fontId="166" fillId="0" borderId="0">
      <protection locked="0"/>
    </xf>
    <xf numFmtId="0" fontId="166" fillId="0" borderId="0"/>
    <xf numFmtId="0" fontId="166" fillId="0" borderId="0">
      <protection locked="0"/>
    </xf>
    <xf numFmtId="0" fontId="2" fillId="0" borderId="0"/>
    <xf numFmtId="0" fontId="166" fillId="0" borderId="0">
      <protection locked="0"/>
    </xf>
    <xf numFmtId="176" fontId="166" fillId="0" borderId="0">
      <protection locked="0"/>
    </xf>
    <xf numFmtId="0" fontId="166" fillId="0" borderId="0">
      <protection locked="0"/>
    </xf>
    <xf numFmtId="0" fontId="166" fillId="0" borderId="0">
      <alignment vertical="center"/>
      <protection locked="0"/>
    </xf>
    <xf numFmtId="0" fontId="2" fillId="0" borderId="0"/>
    <xf numFmtId="176" fontId="166" fillId="0" borderId="0"/>
    <xf numFmtId="176" fontId="166" fillId="0" borderId="0"/>
    <xf numFmtId="0" fontId="166" fillId="0" borderId="0">
      <protection locked="0"/>
    </xf>
    <xf numFmtId="0" fontId="166" fillId="0" borderId="0">
      <alignment vertical="center"/>
      <protection locked="0"/>
    </xf>
    <xf numFmtId="0" fontId="63" fillId="0" borderId="0">
      <alignment vertical="center"/>
    </xf>
    <xf numFmtId="0" fontId="147" fillId="0" borderId="0">
      <alignment vertical="center"/>
    </xf>
    <xf numFmtId="0" fontId="63" fillId="0" borderId="0">
      <alignment vertical="center"/>
    </xf>
    <xf numFmtId="0" fontId="63" fillId="0" borderId="0">
      <alignment vertical="center"/>
    </xf>
    <xf numFmtId="0" fontId="166" fillId="0" borderId="0" applyNumberFormat="0" applyFill="0" applyBorder="0" applyAlignment="0" applyProtection="0"/>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5" fillId="0" borderId="0"/>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63" fillId="0" borderId="0">
      <alignment vertical="center"/>
    </xf>
    <xf numFmtId="0" fontId="166" fillId="0" borderId="0">
      <alignment vertical="center"/>
    </xf>
    <xf numFmtId="0" fontId="71" fillId="0" borderId="0"/>
    <xf numFmtId="0" fontId="68" fillId="0" borderId="0">
      <protection locked="0"/>
    </xf>
    <xf numFmtId="0" fontId="166" fillId="0" borderId="0" applyFill="0" applyBorder="0"/>
    <xf numFmtId="0" fontId="166" fillId="0" borderId="0">
      <alignment vertical="center"/>
    </xf>
    <xf numFmtId="176" fontId="166" fillId="0" borderId="0">
      <alignment vertical="center"/>
    </xf>
    <xf numFmtId="0" fontId="148" fillId="0" borderId="0" applyNumberFormat="0" applyFill="0" applyBorder="0" applyAlignment="0" applyProtection="0">
      <alignment vertical="top"/>
      <protection locked="0"/>
    </xf>
    <xf numFmtId="176" fontId="64" fillId="0" borderId="0" applyNumberFormat="0" applyFill="0" applyBorder="0" applyAlignment="0" applyProtection="0">
      <alignment vertical="top"/>
      <protection locked="0"/>
    </xf>
    <xf numFmtId="176" fontId="64"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149" fillId="0" borderId="0" applyNumberFormat="0" applyFill="0" applyBorder="0" applyAlignment="0" applyProtection="0">
      <alignment vertical="top"/>
      <protection locked="0"/>
    </xf>
    <xf numFmtId="0" fontId="56" fillId="0" borderId="0">
      <alignment vertical="top"/>
      <protection locked="0"/>
    </xf>
    <xf numFmtId="176" fontId="84" fillId="0" borderId="0" applyNumberFormat="0" applyFill="0" applyBorder="0" applyAlignment="0" applyProtection="0"/>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1" fillId="53" borderId="0" applyNumberFormat="0" applyBorder="0" applyAlignment="0" applyProtection="0">
      <alignment vertical="center"/>
    </xf>
    <xf numFmtId="0" fontId="151" fillId="53" borderId="0" applyNumberFormat="0" applyBorder="0" applyAlignment="0" applyProtection="0">
      <alignment vertical="center"/>
    </xf>
    <xf numFmtId="0" fontId="151" fillId="53" borderId="0" applyNumberFormat="0" applyBorder="0" applyAlignment="0" applyProtection="0">
      <alignment vertical="center"/>
    </xf>
    <xf numFmtId="0" fontId="151" fillId="13" borderId="0" applyNumberFormat="0" applyBorder="0" applyAlignment="0" applyProtection="0">
      <alignment vertical="center"/>
    </xf>
    <xf numFmtId="0" fontId="150" fillId="53" borderId="0" applyNumberFormat="0" applyBorder="0" applyAlignment="0" applyProtection="0">
      <alignment vertical="center"/>
    </xf>
    <xf numFmtId="0" fontId="152" fillId="35" borderId="0" applyNumberFormat="0" applyBorder="0" applyAlignment="0" applyProtection="0"/>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1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3" fillId="9" borderId="0" applyNumberFormat="0" applyBorder="0" applyAlignment="0" applyProtection="0">
      <alignment vertical="center"/>
    </xf>
    <xf numFmtId="0" fontId="154" fillId="13" borderId="0" applyNumberFormat="0" applyBorder="0" applyAlignment="0" applyProtection="0">
      <alignment vertical="center"/>
    </xf>
    <xf numFmtId="0" fontId="152" fillId="1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0" fillId="53" borderId="0" applyNumberFormat="0" applyBorder="0" applyAlignment="0" applyProtection="0">
      <alignment vertical="center"/>
    </xf>
    <xf numFmtId="0" fontId="151" fillId="1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0" fillId="53" borderId="0" applyNumberFormat="0" applyBorder="0" applyAlignment="0" applyProtection="0">
      <alignment vertical="center"/>
    </xf>
    <xf numFmtId="0" fontId="151" fillId="53" borderId="0" applyNumberFormat="0" applyBorder="0" applyAlignment="0" applyProtection="0">
      <alignment vertical="center"/>
    </xf>
    <xf numFmtId="0" fontId="150" fillId="53" borderId="0" applyNumberFormat="0" applyBorder="0" applyAlignment="0" applyProtection="0">
      <alignment vertical="center"/>
    </xf>
    <xf numFmtId="0" fontId="151" fillId="55"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0" fillId="53" borderId="0" applyNumberFormat="0" applyBorder="0" applyAlignment="0" applyProtection="0">
      <alignment vertical="center"/>
    </xf>
    <xf numFmtId="0" fontId="155" fillId="54" borderId="0" applyNumberFormat="0" applyBorder="0" applyAlignment="0" applyProtection="0">
      <alignment vertical="center"/>
    </xf>
    <xf numFmtId="0" fontId="151" fillId="53" borderId="0" applyNumberFormat="0" applyBorder="0" applyAlignment="0" applyProtection="0">
      <alignment vertical="center"/>
    </xf>
    <xf numFmtId="0" fontId="154" fillId="15" borderId="0" applyNumberFormat="0" applyBorder="0" applyAlignment="0" applyProtection="0">
      <alignment vertical="center"/>
    </xf>
    <xf numFmtId="4" fontId="135" fillId="0" borderId="0" applyFont="0" applyFill="0" applyBorder="0" applyAlignment="0" applyProtection="0"/>
    <xf numFmtId="41" fontId="65" fillId="0" borderId="0" applyFont="0" applyFill="0" applyBorder="0" applyAlignment="0" applyProtection="0"/>
    <xf numFmtId="227" fontId="156" fillId="0" borderId="0" applyFont="0" applyFill="0" applyBorder="0" applyAlignment="0" applyProtection="0"/>
    <xf numFmtId="228" fontId="156" fillId="0" borderId="0" applyFont="0" applyFill="0" applyBorder="0" applyAlignment="0" applyProtection="0"/>
    <xf numFmtId="229" fontId="65" fillId="0" borderId="0" applyFont="0" applyFill="0" applyBorder="0" applyAlignment="0" applyProtection="0"/>
    <xf numFmtId="230" fontId="65" fillId="0" borderId="0" applyFont="0" applyFill="0" applyBorder="0" applyAlignment="0" applyProtection="0"/>
    <xf numFmtId="0" fontId="71" fillId="0" borderId="0"/>
    <xf numFmtId="1" fontId="71" fillId="0" borderId="0"/>
    <xf numFmtId="231" fontId="157" fillId="0" borderId="0" applyFont="0" applyFill="0" applyBorder="0" applyAlignment="0" applyProtection="0"/>
    <xf numFmtId="232" fontId="157" fillId="0" borderId="0" applyFont="0" applyFill="0" applyBorder="0" applyAlignment="0" applyProtection="0"/>
    <xf numFmtId="227" fontId="71" fillId="0" borderId="0" applyFont="0" applyFill="0" applyBorder="0" applyAlignment="0" applyProtection="0"/>
    <xf numFmtId="228" fontId="71" fillId="0" borderId="0" applyFont="0" applyFill="0" applyBorder="0" applyAlignment="0" applyProtection="0"/>
    <xf numFmtId="176" fontId="68" fillId="0" borderId="0"/>
    <xf numFmtId="41" fontId="68" fillId="0" borderId="0" applyFont="0" applyFill="0" applyBorder="0" applyAlignment="0" applyProtection="0"/>
    <xf numFmtId="43" fontId="68" fillId="0" borderId="0" applyFont="0" applyFill="0" applyBorder="0" applyAlignment="0" applyProtection="0"/>
    <xf numFmtId="41" fontId="71" fillId="0" borderId="0" applyFont="0" applyFill="0" applyBorder="0" applyAlignment="0" applyProtection="0"/>
    <xf numFmtId="43" fontId="71" fillId="0" borderId="0" applyFont="0" applyFill="0" applyBorder="0" applyAlignment="0" applyProtection="0"/>
    <xf numFmtId="43" fontId="166" fillId="0" borderId="0" applyFont="0" applyFill="0" applyBorder="0" applyAlignment="0" applyProtection="0">
      <alignment vertical="center"/>
    </xf>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alignment vertical="center"/>
    </xf>
    <xf numFmtId="43" fontId="166" fillId="0" borderId="0" applyFont="0" applyFill="0" applyBorder="0" applyAlignment="0" applyProtection="0">
      <alignment vertical="center"/>
    </xf>
    <xf numFmtId="43" fontId="166" fillId="0" borderId="0" applyFont="0" applyFill="0" applyBorder="0" applyAlignment="0" applyProtection="0">
      <alignment vertical="center"/>
    </xf>
    <xf numFmtId="0" fontId="6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166" fillId="0" borderId="0" applyFont="0" applyFill="0" applyBorder="0" applyAlignment="0" applyProtection="0"/>
    <xf numFmtId="43" fontId="63" fillId="0" borderId="0" applyFont="0" applyFill="0" applyBorder="0" applyAlignment="0" applyProtection="0">
      <alignment vertical="center"/>
    </xf>
    <xf numFmtId="43" fontId="63" fillId="0" borderId="0" applyFont="0" applyFill="0" applyBorder="0" applyAlignment="0" applyProtection="0">
      <alignment vertical="center"/>
    </xf>
    <xf numFmtId="233" fontId="2" fillId="0" borderId="0">
      <alignment vertical="center"/>
    </xf>
    <xf numFmtId="43" fontId="2" fillId="0" borderId="0">
      <alignment vertical="center"/>
    </xf>
    <xf numFmtId="43" fontId="2" fillId="0" borderId="0">
      <alignment vertical="center"/>
    </xf>
    <xf numFmtId="43" fontId="2" fillId="0" borderId="0">
      <alignment vertical="center"/>
    </xf>
    <xf numFmtId="43" fontId="166" fillId="0" borderId="0" applyFont="0" applyFill="0" applyBorder="0" applyAlignment="0" applyProtection="0"/>
    <xf numFmtId="41" fontId="166" fillId="0" borderId="0" applyFont="0" applyFill="0" applyBorder="0" applyAlignment="0" applyProtection="0"/>
    <xf numFmtId="41" fontId="166" fillId="0" borderId="0" applyFont="0" applyFill="0" applyBorder="0" applyAlignment="0" applyProtection="0"/>
    <xf numFmtId="0" fontId="158" fillId="0" borderId="0"/>
    <xf numFmtId="0" fontId="159" fillId="56" borderId="0" applyNumberFormat="0" applyBorder="0" applyAlignment="0" applyProtection="0"/>
    <xf numFmtId="0" fontId="159" fillId="57" borderId="0" applyNumberFormat="0" applyBorder="0" applyAlignment="0" applyProtection="0"/>
    <xf numFmtId="0" fontId="159" fillId="58" borderId="0" applyNumberFormat="0" applyBorder="0" applyAlignment="0" applyProtection="0"/>
    <xf numFmtId="209" fontId="65" fillId="0" borderId="0" applyFont="0" applyFill="0" applyBorder="0" applyAlignment="0" applyProtection="0"/>
    <xf numFmtId="234" fontId="135" fillId="0" borderId="0" applyFont="0" applyFill="0" applyBorder="0" applyAlignment="0" applyProtection="0"/>
    <xf numFmtId="176" fontId="69" fillId="0" borderId="0">
      <alignment vertical="top"/>
    </xf>
    <xf numFmtId="0" fontId="69" fillId="0" borderId="0">
      <alignment vertical="top"/>
    </xf>
    <xf numFmtId="0" fontId="156" fillId="0" borderId="0"/>
    <xf numFmtId="0" fontId="160" fillId="0" borderId="0"/>
    <xf numFmtId="40" fontId="137" fillId="0" borderId="0" applyFont="0" applyFill="0" applyBorder="0" applyAlignment="0" applyProtection="0"/>
    <xf numFmtId="38" fontId="137" fillId="0" borderId="0" applyFont="0" applyFill="0" applyBorder="0" applyAlignment="0" applyProtection="0"/>
    <xf numFmtId="226" fontId="65" fillId="0" borderId="12" applyNumberFormat="0"/>
    <xf numFmtId="38" fontId="66" fillId="0" borderId="0" applyFont="0" applyFill="0" applyBorder="0" applyAlignment="0" applyProtection="0"/>
    <xf numFmtId="40" fontId="66" fillId="0" borderId="0" applyFont="0" applyFill="0" applyBorder="0" applyAlignment="0" applyProtection="0"/>
    <xf numFmtId="176" fontId="66" fillId="0" borderId="0" applyFont="0" applyFill="0" applyBorder="0" applyAlignment="0" applyProtection="0"/>
    <xf numFmtId="176" fontId="66" fillId="0" borderId="0" applyFont="0" applyFill="0" applyBorder="0" applyAlignment="0" applyProtection="0"/>
    <xf numFmtId="176" fontId="161" fillId="0" borderId="0"/>
    <xf numFmtId="176" fontId="1" fillId="0" borderId="0">
      <alignment vertical="center"/>
    </xf>
  </cellStyleXfs>
  <cellXfs count="535">
    <xf numFmtId="0" fontId="0" fillId="0" borderId="0" xfId="0">
      <protection locked="0"/>
    </xf>
    <xf numFmtId="0" fontId="2" fillId="0" borderId="0" xfId="0" applyFont="1">
      <protection locked="0"/>
    </xf>
    <xf numFmtId="43" fontId="2" fillId="0" borderId="0" xfId="575" applyNumberFormat="1" applyFont="1" applyBorder="1" applyAlignment="1">
      <alignment vertical="center"/>
    </xf>
    <xf numFmtId="43" fontId="2" fillId="0" borderId="0" xfId="575" applyNumberFormat="1" applyFont="1" applyBorder="1" applyAlignment="1">
      <alignment horizontal="left" vertical="center"/>
    </xf>
    <xf numFmtId="0" fontId="5" fillId="2" borderId="1" xfId="514" applyFont="1" applyFill="1" applyBorder="1" applyAlignment="1" applyProtection="1">
      <alignment horizontal="center" vertical="center"/>
    </xf>
    <xf numFmtId="0" fontId="6" fillId="2" borderId="1" xfId="514" applyFont="1" applyFill="1" applyBorder="1" applyAlignment="1" applyProtection="1">
      <alignment horizontal="center" vertical="center" wrapText="1"/>
    </xf>
    <xf numFmtId="176" fontId="6" fillId="2" borderId="1" xfId="534" applyFont="1" applyFill="1" applyBorder="1" applyAlignment="1" applyProtection="1">
      <alignment horizontal="center" vertical="center" wrapText="1"/>
      <protection locked="0"/>
    </xf>
    <xf numFmtId="0" fontId="7" fillId="0" borderId="1" xfId="514" applyFont="1" applyBorder="1" applyProtection="1">
      <alignment vertical="center"/>
    </xf>
    <xf numFmtId="43" fontId="8" fillId="0" borderId="1" xfId="514" applyNumberFormat="1" applyFont="1" applyBorder="1" applyProtection="1">
      <alignment vertical="center"/>
    </xf>
    <xf numFmtId="0" fontId="2" fillId="0" borderId="1" xfId="514" applyFont="1" applyBorder="1" applyProtection="1">
      <alignment vertical="center"/>
    </xf>
    <xf numFmtId="0" fontId="9" fillId="0" borderId="1" xfId="514" applyFont="1" applyBorder="1" applyAlignment="1" applyProtection="1">
      <alignment horizontal="left" vertical="center" indent="1"/>
    </xf>
    <xf numFmtId="0" fontId="5" fillId="0" borderId="1" xfId="514" applyFont="1" applyBorder="1" applyAlignment="1" applyProtection="1">
      <alignment horizontal="center" vertical="center"/>
    </xf>
    <xf numFmtId="0" fontId="2" fillId="0" borderId="0" xfId="514" applyFont="1" applyAlignment="1">
      <protection locked="0"/>
    </xf>
    <xf numFmtId="43" fontId="2" fillId="0" borderId="0" xfId="575" applyNumberFormat="1" applyFont="1" applyBorder="1" applyAlignment="1">
      <alignment horizontal="right" vertical="center"/>
    </xf>
    <xf numFmtId="0" fontId="2" fillId="0" borderId="0" xfId="0" applyFont="1" applyAlignment="1">
      <alignment vertical="center"/>
      <protection locked="0"/>
    </xf>
    <xf numFmtId="0" fontId="8" fillId="0" borderId="1" xfId="514" applyFont="1" applyBorder="1" applyProtection="1">
      <alignment vertical="center"/>
    </xf>
    <xf numFmtId="49" fontId="2" fillId="0" borderId="0" xfId="575" applyNumberFormat="1" applyFont="1" applyBorder="1" applyAlignment="1">
      <alignment vertical="center"/>
    </xf>
    <xf numFmtId="0" fontId="5" fillId="0" borderId="0" xfId="513" applyFont="1" applyAlignment="1">
      <alignment vertical="center"/>
    </xf>
    <xf numFmtId="0" fontId="2" fillId="0" borderId="0" xfId="513" applyFont="1" applyAlignment="1">
      <alignment horizontal="left" vertical="center"/>
    </xf>
    <xf numFmtId="0" fontId="6" fillId="0" borderId="0" xfId="513" applyFont="1" applyAlignment="1">
      <alignment horizontal="left" vertical="center"/>
    </xf>
    <xf numFmtId="0" fontId="9" fillId="0" borderId="0" xfId="0" applyFont="1" applyAlignment="1" applyProtection="1">
      <alignment horizontal="left" vertical="center"/>
    </xf>
    <xf numFmtId="0" fontId="7" fillId="0" borderId="0" xfId="0" applyFont="1" applyAlignment="1" applyProtection="1">
      <alignment horizontal="left" vertical="center"/>
    </xf>
    <xf numFmtId="0" fontId="6" fillId="3" borderId="1" xfId="347" applyFont="1" applyFill="1" applyBorder="1" applyAlignment="1">
      <alignment horizontal="center" vertical="center"/>
    </xf>
    <xf numFmtId="0" fontId="2" fillId="3" borderId="1" xfId="347" applyFont="1" applyFill="1" applyBorder="1" applyAlignment="1">
      <alignment vertical="center" shrinkToFit="1"/>
    </xf>
    <xf numFmtId="43" fontId="11" fillId="3" borderId="1" xfId="1" applyFont="1" applyFill="1" applyBorder="1" applyAlignment="1" applyProtection="1">
      <alignment vertical="center" shrinkToFit="1"/>
    </xf>
    <xf numFmtId="0" fontId="2" fillId="3" borderId="1" xfId="347" applyFont="1" applyFill="1" applyBorder="1" applyAlignment="1" applyProtection="1">
      <alignment vertical="center" shrinkToFit="1"/>
      <protection locked="0"/>
    </xf>
    <xf numFmtId="43" fontId="11" fillId="0" borderId="1" xfId="1" applyFont="1" applyFill="1" applyBorder="1" applyAlignment="1" applyProtection="1">
      <alignment vertical="center" shrinkToFit="1"/>
      <protection locked="0"/>
    </xf>
    <xf numFmtId="43" fontId="11" fillId="3" borderId="1" xfId="1" applyFont="1" applyFill="1" applyBorder="1" applyAlignment="1" applyProtection="1">
      <alignment vertical="center" shrinkToFit="1"/>
      <protection locked="0"/>
    </xf>
    <xf numFmtId="0" fontId="2" fillId="3" borderId="1" xfId="347" applyFont="1" applyFill="1" applyBorder="1" applyAlignment="1" applyProtection="1">
      <alignment horizontal="left" vertical="center" shrinkToFit="1"/>
      <protection locked="0"/>
    </xf>
    <xf numFmtId="0" fontId="2" fillId="3" borderId="1" xfId="347" applyFont="1" applyFill="1" applyBorder="1" applyAlignment="1" applyProtection="1">
      <alignment horizontal="left" vertical="center" indent="4" shrinkToFit="1"/>
      <protection locked="0"/>
    </xf>
    <xf numFmtId="0" fontId="6" fillId="3" borderId="1" xfId="347" applyFont="1" applyFill="1" applyBorder="1" applyAlignment="1">
      <alignment horizontal="center" vertical="center" shrinkToFit="1"/>
    </xf>
    <xf numFmtId="43" fontId="12" fillId="3" borderId="1" xfId="1" applyFont="1" applyFill="1" applyBorder="1" applyAlignment="1" applyProtection="1">
      <alignment vertical="center" shrinkToFit="1"/>
    </xf>
    <xf numFmtId="0" fontId="6" fillId="0" borderId="2" xfId="513" applyFont="1" applyBorder="1" applyAlignment="1" applyProtection="1">
      <alignment vertical="center"/>
      <protection locked="0"/>
    </xf>
    <xf numFmtId="0" fontId="13" fillId="0" borderId="0" xfId="513" applyFont="1" applyAlignment="1" applyProtection="1">
      <alignment horizontal="right" vertical="center"/>
      <protection locked="0"/>
    </xf>
    <xf numFmtId="0" fontId="2" fillId="0" borderId="0" xfId="513" applyFont="1" applyAlignment="1" applyProtection="1">
      <alignment vertical="center"/>
      <protection locked="0"/>
    </xf>
    <xf numFmtId="0" fontId="6" fillId="0" borderId="0" xfId="513" applyFont="1" applyAlignment="1" applyProtection="1">
      <alignment vertical="center"/>
      <protection locked="0"/>
    </xf>
    <xf numFmtId="43" fontId="11" fillId="0" borderId="1" xfId="1" applyFont="1" applyFill="1" applyBorder="1" applyAlignment="1" applyProtection="1">
      <alignment vertical="center" shrinkToFit="1"/>
    </xf>
    <xf numFmtId="0" fontId="14" fillId="0" borderId="0" xfId="513" applyFont="1" applyAlignment="1" applyProtection="1">
      <alignment vertical="center"/>
      <protection locked="0"/>
    </xf>
    <xf numFmtId="0" fontId="15" fillId="0" borderId="0" xfId="574" applyFont="1" applyAlignment="1">
      <alignment vertical="center"/>
      <protection locked="0"/>
    </xf>
    <xf numFmtId="0" fontId="15" fillId="2" borderId="0" xfId="574" applyFont="1" applyFill="1" applyAlignment="1">
      <alignment vertical="center"/>
      <protection locked="0"/>
    </xf>
    <xf numFmtId="0" fontId="14" fillId="2" borderId="0" xfId="574" applyFont="1" applyFill="1" applyAlignment="1">
      <alignment vertical="center"/>
      <protection locked="0"/>
    </xf>
    <xf numFmtId="0" fontId="14" fillId="0" borderId="0" xfId="574" applyFont="1" applyAlignment="1">
      <alignment vertical="center"/>
      <protection locked="0"/>
    </xf>
    <xf numFmtId="0" fontId="14" fillId="0" borderId="0" xfId="575" applyFont="1" applyBorder="1" applyAlignment="1">
      <alignment vertical="center"/>
    </xf>
    <xf numFmtId="0" fontId="18" fillId="0" borderId="0" xfId="513" applyFont="1" applyAlignment="1">
      <alignment vertical="center"/>
    </xf>
    <xf numFmtId="0" fontId="19" fillId="0" borderId="0" xfId="513" applyFont="1" applyAlignment="1">
      <alignment horizontal="center" vertical="center"/>
    </xf>
    <xf numFmtId="0" fontId="14" fillId="0" borderId="0" xfId="513" applyFont="1" applyAlignment="1">
      <alignment horizontal="left" vertical="center"/>
    </xf>
    <xf numFmtId="0" fontId="20" fillId="0" borderId="0" xfId="0" applyFont="1" applyAlignment="1" applyProtection="1">
      <alignment horizontal="left" vertical="center"/>
    </xf>
    <xf numFmtId="0" fontId="15" fillId="0" borderId="0" xfId="513" applyFont="1" applyAlignment="1">
      <alignment horizontal="left" vertical="center"/>
    </xf>
    <xf numFmtId="0" fontId="15" fillId="3" borderId="1" xfId="0" applyFont="1" applyFill="1" applyBorder="1" applyAlignment="1">
      <alignment horizontal="center" vertical="center" wrapText="1"/>
      <protection locked="0"/>
    </xf>
    <xf numFmtId="0" fontId="23" fillId="0" borderId="1" xfId="0" applyFont="1" applyBorder="1" applyAlignment="1" applyProtection="1">
      <alignment horizontal="right" vertical="center" shrinkToFit="1"/>
    </xf>
    <xf numFmtId="43" fontId="24" fillId="0" borderId="1" xfId="0" applyNumberFormat="1" applyFont="1" applyBorder="1" applyAlignment="1" applyProtection="1">
      <alignment horizontal="right" vertical="center" shrinkToFit="1"/>
    </xf>
    <xf numFmtId="0" fontId="25" fillId="3" borderId="1" xfId="0" applyFont="1" applyFill="1" applyBorder="1" applyAlignment="1" applyProtection="1">
      <alignment horizontal="center" vertical="center" wrapText="1"/>
    </xf>
    <xf numFmtId="0" fontId="25" fillId="3" borderId="1" xfId="0" applyFont="1" applyFill="1" applyBorder="1" applyAlignment="1" applyProtection="1">
      <alignment vertical="center" wrapText="1"/>
    </xf>
    <xf numFmtId="43" fontId="8" fillId="3" borderId="1" xfId="1" applyFont="1" applyFill="1" applyBorder="1" applyAlignment="1">
      <alignment horizontal="right" vertical="center"/>
    </xf>
    <xf numFmtId="0" fontId="18" fillId="3" borderId="0" xfId="0" applyFont="1" applyFill="1" applyAlignment="1">
      <alignment vertical="center"/>
      <protection locked="0"/>
    </xf>
    <xf numFmtId="0" fontId="23" fillId="3" borderId="0" xfId="0" applyFont="1" applyFill="1" applyAlignment="1" applyProtection="1">
      <alignment horizontal="right" vertical="center" shrinkToFit="1"/>
    </xf>
    <xf numFmtId="0" fontId="26" fillId="3" borderId="0" xfId="1" applyNumberFormat="1" applyFont="1" applyFill="1" applyBorder="1" applyAlignment="1">
      <alignment horizontal="center" vertical="center"/>
    </xf>
    <xf numFmtId="10" fontId="8" fillId="3" borderId="0" xfId="1" applyNumberFormat="1" applyFont="1" applyFill="1" applyBorder="1" applyAlignment="1">
      <alignment horizontal="right" vertical="center"/>
    </xf>
    <xf numFmtId="0" fontId="18" fillId="3" borderId="0" xfId="0" applyFont="1" applyFill="1" applyBorder="1" applyAlignment="1">
      <alignment vertical="center"/>
      <protection locked="0"/>
    </xf>
    <xf numFmtId="0" fontId="23" fillId="3" borderId="0" xfId="0" applyFont="1" applyFill="1" applyBorder="1" applyAlignment="1" applyProtection="1">
      <alignment horizontal="right" vertical="center" shrinkToFit="1"/>
    </xf>
    <xf numFmtId="0" fontId="8" fillId="3" borderId="0" xfId="1" applyNumberFormat="1" applyFont="1" applyFill="1" applyBorder="1" applyAlignment="1">
      <alignment horizontal="right" vertical="center"/>
    </xf>
    <xf numFmtId="0" fontId="15" fillId="0" borderId="0" xfId="513" applyFont="1" applyBorder="1" applyAlignment="1" applyProtection="1">
      <alignment vertical="center"/>
      <protection locked="0"/>
    </xf>
    <xf numFmtId="0" fontId="14" fillId="0" borderId="0" xfId="513" applyFont="1" applyBorder="1" applyAlignment="1" applyProtection="1">
      <alignment vertical="center"/>
      <protection locked="0"/>
    </xf>
    <xf numFmtId="0" fontId="14" fillId="0" borderId="0" xfId="574" applyFont="1" applyBorder="1" applyAlignment="1">
      <alignment vertical="center"/>
      <protection locked="0"/>
    </xf>
    <xf numFmtId="0" fontId="27" fillId="0" borderId="0" xfId="513" applyFont="1" applyBorder="1" applyAlignment="1" applyProtection="1">
      <alignment horizontal="right" vertical="center"/>
      <protection locked="0"/>
    </xf>
    <xf numFmtId="0" fontId="14" fillId="0" borderId="0" xfId="513" applyFont="1" applyAlignment="1" applyProtection="1">
      <alignment horizontal="right" vertical="center"/>
      <protection locked="0"/>
    </xf>
    <xf numFmtId="0" fontId="14" fillId="0" borderId="0" xfId="513" applyFont="1" applyAlignment="1" applyProtection="1">
      <alignment vertical="center" wrapText="1"/>
      <protection locked="0"/>
    </xf>
    <xf numFmtId="10" fontId="24" fillId="3" borderId="0" xfId="0" applyNumberFormat="1" applyFont="1" applyFill="1" applyAlignment="1" applyProtection="1">
      <alignment horizontal="right" vertical="center" shrinkToFit="1"/>
    </xf>
    <xf numFmtId="10" fontId="26" fillId="3" borderId="0" xfId="1" applyNumberFormat="1" applyFont="1" applyFill="1" applyBorder="1" applyAlignment="1">
      <alignment horizontal="center" vertical="center"/>
    </xf>
    <xf numFmtId="0" fontId="24" fillId="3" borderId="0" xfId="0" applyFont="1" applyFill="1" applyBorder="1" applyAlignment="1" applyProtection="1">
      <alignment horizontal="right" vertical="center" shrinkToFit="1"/>
    </xf>
    <xf numFmtId="0" fontId="14" fillId="0" borderId="0" xfId="576" applyFont="1">
      <alignment vertical="center"/>
    </xf>
    <xf numFmtId="43" fontId="8" fillId="0" borderId="1" xfId="1" applyFont="1" applyFill="1" applyBorder="1" applyAlignment="1">
      <alignment horizontal="right" vertical="center"/>
    </xf>
    <xf numFmtId="43" fontId="24" fillId="0" borderId="1" xfId="0" applyNumberFormat="1" applyFont="1" applyBorder="1" applyAlignment="1">
      <alignment horizontal="right" vertical="center" shrinkToFit="1"/>
      <protection locked="0"/>
    </xf>
    <xf numFmtId="0" fontId="14" fillId="0" borderId="1" xfId="0" applyFont="1" applyBorder="1" applyAlignment="1" applyProtection="1">
      <alignment horizontal="center" vertical="center" shrinkToFit="1"/>
    </xf>
    <xf numFmtId="0" fontId="23" fillId="3" borderId="1" xfId="0" applyFont="1" applyFill="1" applyBorder="1" applyAlignment="1" applyProtection="1">
      <alignment horizontal="right" vertical="center" shrinkToFit="1"/>
    </xf>
    <xf numFmtId="10" fontId="8" fillId="3" borderId="0" xfId="2" applyNumberFormat="1" applyFont="1" applyFill="1" applyBorder="1" applyAlignment="1">
      <alignment horizontal="right" vertical="center"/>
    </xf>
    <xf numFmtId="0" fontId="14" fillId="3" borderId="0" xfId="574" applyFont="1" applyFill="1" applyAlignment="1">
      <alignment vertical="center"/>
      <protection locked="0"/>
    </xf>
    <xf numFmtId="0" fontId="8" fillId="3" borderId="0" xfId="2" applyNumberFormat="1" applyFont="1" applyFill="1" applyBorder="1" applyAlignment="1">
      <alignment horizontal="right" vertical="center"/>
    </xf>
    <xf numFmtId="0" fontId="26" fillId="3" borderId="0" xfId="2" applyNumberFormat="1" applyFont="1" applyFill="1" applyBorder="1" applyAlignment="1">
      <alignment horizontal="right" vertical="center"/>
    </xf>
    <xf numFmtId="0" fontId="14" fillId="3" borderId="0" xfId="574" applyFont="1" applyFill="1" applyBorder="1" applyAlignment="1">
      <alignment vertical="center"/>
      <protection locked="0"/>
    </xf>
    <xf numFmtId="0" fontId="14" fillId="0" borderId="1" xfId="574" applyFont="1" applyBorder="1" applyAlignment="1">
      <alignment vertical="center"/>
      <protection locked="0"/>
    </xf>
    <xf numFmtId="0" fontId="15" fillId="0" borderId="1" xfId="574" applyFont="1" applyBorder="1" applyAlignment="1">
      <alignment vertical="center"/>
      <protection locked="0"/>
    </xf>
    <xf numFmtId="43" fontId="29" fillId="0" borderId="0" xfId="512" applyNumberFormat="1" applyFont="1">
      <alignment vertical="center"/>
    </xf>
    <xf numFmtId="43" fontId="30" fillId="0" borderId="0" xfId="512" applyNumberFormat="1" applyFont="1">
      <alignment vertical="center"/>
    </xf>
    <xf numFmtId="43" fontId="30" fillId="0" borderId="0" xfId="678" applyFont="1">
      <alignment vertical="center"/>
    </xf>
    <xf numFmtId="0" fontId="30" fillId="0" borderId="0" xfId="0" applyFont="1" applyAlignment="1">
      <alignment vertical="center"/>
      <protection locked="0"/>
    </xf>
    <xf numFmtId="43" fontId="31" fillId="0" borderId="0" xfId="583" applyNumberFormat="1" applyFont="1" applyAlignment="1" applyProtection="1">
      <alignment horizontal="center" vertical="center"/>
    </xf>
    <xf numFmtId="43" fontId="32" fillId="0" borderId="0" xfId="583" applyNumberFormat="1" applyFont="1" applyAlignment="1" applyProtection="1">
      <alignment horizontal="center" vertical="center"/>
    </xf>
    <xf numFmtId="43" fontId="29" fillId="0" borderId="5" xfId="512" applyNumberFormat="1" applyFont="1" applyBorder="1" applyAlignment="1">
      <alignment horizontal="justify" vertical="center" wrapText="1"/>
    </xf>
    <xf numFmtId="43" fontId="29" fillId="0" borderId="5" xfId="512" applyNumberFormat="1" applyFont="1" applyBorder="1" applyAlignment="1">
      <alignment horizontal="right" vertical="center" wrapText="1"/>
    </xf>
    <xf numFmtId="43" fontId="30" fillId="0" borderId="0" xfId="512" applyNumberFormat="1" applyFont="1" applyAlignment="1">
      <alignment horizontal="justify" vertical="center" wrapText="1"/>
    </xf>
    <xf numFmtId="43" fontId="30" fillId="4" borderId="0" xfId="512" applyNumberFormat="1" applyFont="1" applyFill="1" applyAlignment="1">
      <alignment horizontal="right" vertical="center"/>
    </xf>
    <xf numFmtId="43" fontId="30" fillId="4" borderId="0" xfId="512" applyNumberFormat="1" applyFont="1" applyFill="1" applyAlignment="1">
      <alignment horizontal="right" vertical="center" wrapText="1"/>
    </xf>
    <xf numFmtId="43" fontId="29" fillId="0" borderId="0" xfId="512" applyNumberFormat="1" applyFont="1" applyAlignment="1">
      <alignment horizontal="justify" vertical="center" wrapText="1"/>
    </xf>
    <xf numFmtId="43" fontId="29" fillId="0" borderId="0" xfId="512" applyNumberFormat="1" applyFont="1" applyAlignment="1">
      <alignment horizontal="right" vertical="center" wrapText="1"/>
    </xf>
    <xf numFmtId="43" fontId="30" fillId="0" borderId="6" xfId="512" applyNumberFormat="1" applyFont="1" applyBorder="1" applyAlignment="1">
      <alignment horizontal="justify" vertical="center" wrapText="1"/>
    </xf>
    <xf numFmtId="43" fontId="30" fillId="4" borderId="6" xfId="512" applyNumberFormat="1" applyFont="1" applyFill="1" applyBorder="1" applyAlignment="1">
      <alignment horizontal="right" vertical="center" wrapText="1"/>
    </xf>
    <xf numFmtId="43" fontId="30" fillId="0" borderId="6" xfId="512" applyNumberFormat="1" applyFont="1" applyBorder="1" applyAlignment="1">
      <alignment horizontal="right" vertical="center" wrapText="1"/>
    </xf>
    <xf numFmtId="43" fontId="29" fillId="0" borderId="6" xfId="512" applyNumberFormat="1" applyFont="1" applyBorder="1" applyAlignment="1">
      <alignment horizontal="justify" vertical="center" wrapText="1"/>
    </xf>
    <xf numFmtId="43" fontId="29" fillId="0" borderId="6" xfId="512" applyNumberFormat="1" applyFont="1" applyBorder="1" applyAlignment="1">
      <alignment horizontal="right" vertical="center" wrapText="1"/>
    </xf>
    <xf numFmtId="43" fontId="29" fillId="0" borderId="8" xfId="512" applyNumberFormat="1" applyFont="1" applyBorder="1" applyAlignment="1">
      <alignment horizontal="right" vertical="center" wrapText="1"/>
    </xf>
    <xf numFmtId="43" fontId="30" fillId="0" borderId="0" xfId="512" applyNumberFormat="1" applyFont="1" applyAlignment="1">
      <alignment horizontal="right" vertical="center" wrapText="1"/>
    </xf>
    <xf numFmtId="43" fontId="33" fillId="0" borderId="0" xfId="512" applyNumberFormat="1" applyFont="1" applyAlignment="1">
      <alignment horizontal="justify" vertical="center" wrapText="1"/>
    </xf>
    <xf numFmtId="43" fontId="33" fillId="0" borderId="8" xfId="512" applyNumberFormat="1" applyFont="1" applyBorder="1" applyAlignment="1">
      <alignment horizontal="justify" vertical="center" wrapText="1"/>
    </xf>
    <xf numFmtId="43" fontId="30" fillId="0" borderId="8" xfId="512" applyNumberFormat="1" applyFont="1" applyBorder="1" applyAlignment="1">
      <alignment horizontal="right" vertical="center" wrapText="1"/>
    </xf>
    <xf numFmtId="43" fontId="34" fillId="0" borderId="8" xfId="512" applyNumberFormat="1" applyFont="1" applyBorder="1" applyAlignment="1">
      <alignment horizontal="justify" vertical="center" wrapText="1"/>
    </xf>
    <xf numFmtId="43" fontId="34" fillId="0" borderId="8" xfId="512" applyNumberFormat="1" applyFont="1" applyBorder="1" applyAlignment="1">
      <alignment horizontal="right" vertical="center" wrapText="1"/>
    </xf>
    <xf numFmtId="43" fontId="35" fillId="4" borderId="0" xfId="512" applyNumberFormat="1" applyFont="1" applyFill="1" applyAlignment="1">
      <alignment horizontal="justify" vertical="center" wrapText="1"/>
    </xf>
    <xf numFmtId="43" fontId="29" fillId="4" borderId="0" xfId="512" applyNumberFormat="1" applyFont="1" applyFill="1" applyAlignment="1">
      <alignment horizontal="right" vertical="center" wrapText="1"/>
    </xf>
    <xf numFmtId="43" fontId="35" fillId="4" borderId="8" xfId="512" applyNumberFormat="1" applyFont="1" applyFill="1" applyBorder="1" applyAlignment="1">
      <alignment horizontal="justify" vertical="center" wrapText="1"/>
    </xf>
    <xf numFmtId="43" fontId="35" fillId="4" borderId="8" xfId="512" applyNumberFormat="1" applyFont="1" applyFill="1" applyBorder="1" applyAlignment="1">
      <alignment horizontal="right" vertical="center" wrapText="1"/>
    </xf>
    <xf numFmtId="43" fontId="35" fillId="0" borderId="8" xfId="512" applyNumberFormat="1" applyFont="1" applyBorder="1" applyAlignment="1">
      <alignment horizontal="right" vertical="center" wrapText="1"/>
    </xf>
    <xf numFmtId="43" fontId="29" fillId="0" borderId="8" xfId="512" applyNumberFormat="1" applyFont="1" applyBorder="1" applyAlignment="1">
      <alignment horizontal="justify" vertical="center" wrapText="1"/>
    </xf>
    <xf numFmtId="43" fontId="29" fillId="0" borderId="8" xfId="512" applyNumberFormat="1" applyFont="1" applyBorder="1" applyAlignment="1">
      <alignment horizontal="center" vertical="center" wrapText="1"/>
    </xf>
    <xf numFmtId="43" fontId="34" fillId="0" borderId="5" xfId="512" applyNumberFormat="1" applyFont="1" applyBorder="1" applyAlignment="1">
      <alignment horizontal="justify" vertical="center" wrapText="1"/>
    </xf>
    <xf numFmtId="43" fontId="34" fillId="0" borderId="5" xfId="512" applyNumberFormat="1" applyFont="1" applyBorder="1" applyAlignment="1">
      <alignment horizontal="right" vertical="center" wrapText="1"/>
    </xf>
    <xf numFmtId="43" fontId="30" fillId="0" borderId="0" xfId="512" applyNumberFormat="1" applyFont="1" applyAlignment="1">
      <alignment horizontal="justify" vertical="center"/>
    </xf>
    <xf numFmtId="0" fontId="30" fillId="0" borderId="0" xfId="0" applyFont="1" applyAlignment="1">
      <alignment horizontal="right" vertical="center"/>
      <protection locked="0"/>
    </xf>
    <xf numFmtId="43" fontId="30" fillId="0" borderId="8" xfId="512" applyNumberFormat="1" applyFont="1" applyBorder="1" applyAlignment="1">
      <alignment horizontal="justify" vertical="center" wrapText="1"/>
    </xf>
    <xf numFmtId="43" fontId="29" fillId="4" borderId="8" xfId="512" applyNumberFormat="1" applyFont="1" applyFill="1" applyBorder="1" applyAlignment="1">
      <alignment horizontal="right" vertical="center" wrapText="1"/>
    </xf>
    <xf numFmtId="43" fontId="35" fillId="0" borderId="0" xfId="512" applyNumberFormat="1" applyFont="1" applyAlignment="1">
      <alignment horizontal="justify" vertical="center"/>
    </xf>
    <xf numFmtId="43" fontId="29" fillId="0" borderId="0" xfId="512" applyNumberFormat="1" applyFont="1" applyAlignment="1">
      <alignment vertical="center" wrapText="1"/>
    </xf>
    <xf numFmtId="0" fontId="30" fillId="0" borderId="0" xfId="512" applyFont="1" applyAlignment="1"/>
    <xf numFmtId="235" fontId="34" fillId="0" borderId="0" xfId="512" applyNumberFormat="1" applyFont="1" applyAlignment="1">
      <alignment horizontal="left" vertical="center"/>
    </xf>
    <xf numFmtId="43" fontId="34" fillId="0" borderId="0" xfId="512" applyNumberFormat="1" applyFont="1" applyAlignment="1">
      <alignment horizontal="right" vertical="center" wrapText="1"/>
    </xf>
    <xf numFmtId="43" fontId="34" fillId="0" borderId="0" xfId="512" applyNumberFormat="1" applyFont="1" applyAlignment="1">
      <alignment horizontal="justify" vertical="center" wrapText="1"/>
    </xf>
    <xf numFmtId="43" fontId="29" fillId="0" borderId="8" xfId="512" applyNumberFormat="1" applyFont="1" applyBorder="1" applyAlignment="1">
      <alignment vertical="center" wrapText="1"/>
    </xf>
    <xf numFmtId="43" fontId="30" fillId="0" borderId="7" xfId="512" applyNumberFormat="1" applyFont="1" applyBorder="1" applyAlignment="1">
      <alignment horizontal="right" vertical="center" wrapText="1"/>
    </xf>
    <xf numFmtId="43" fontId="35" fillId="0" borderId="0" xfId="512" applyNumberFormat="1" applyFont="1">
      <alignment vertical="center"/>
    </xf>
    <xf numFmtId="43" fontId="29" fillId="5" borderId="8" xfId="512" applyNumberFormat="1" applyFont="1" applyFill="1" applyBorder="1" applyAlignment="1">
      <alignment horizontal="right" vertical="center" wrapText="1"/>
    </xf>
    <xf numFmtId="43" fontId="29" fillId="0" borderId="7" xfId="512" applyNumberFormat="1" applyFont="1" applyBorder="1" applyAlignment="1">
      <alignment horizontal="left" vertical="center" wrapText="1"/>
    </xf>
    <xf numFmtId="43" fontId="29" fillId="0" borderId="7" xfId="512" applyNumberFormat="1" applyFont="1" applyBorder="1" applyAlignment="1">
      <alignment horizontal="right" vertical="center" wrapText="1"/>
    </xf>
    <xf numFmtId="43" fontId="35" fillId="0" borderId="7" xfId="512" applyNumberFormat="1" applyFont="1" applyBorder="1" applyAlignment="1">
      <alignment horizontal="left" vertical="center" wrapText="1"/>
    </xf>
    <xf numFmtId="43" fontId="30" fillId="0" borderId="8" xfId="512" applyNumberFormat="1" applyFont="1" applyBorder="1" applyAlignment="1">
      <alignment horizontal="left" vertical="center" wrapText="1"/>
    </xf>
    <xf numFmtId="43" fontId="29" fillId="0" borderId="8" xfId="512" applyNumberFormat="1" applyFont="1" applyBorder="1" applyAlignment="1">
      <alignment horizontal="left" vertical="center" wrapText="1"/>
    </xf>
    <xf numFmtId="43" fontId="29" fillId="0" borderId="5" xfId="512" applyNumberFormat="1" applyFont="1" applyBorder="1" applyAlignment="1">
      <alignment horizontal="left" vertical="center" wrapText="1"/>
    </xf>
    <xf numFmtId="43" fontId="30" fillId="4" borderId="0" xfId="512" applyNumberFormat="1" applyFont="1" applyFill="1" applyAlignment="1">
      <alignment horizontal="left" vertical="center" wrapText="1"/>
    </xf>
    <xf numFmtId="43" fontId="30" fillId="4" borderId="8" xfId="512" applyNumberFormat="1" applyFont="1" applyFill="1" applyBorder="1" applyAlignment="1">
      <alignment horizontal="left" vertical="center" wrapText="1"/>
    </xf>
    <xf numFmtId="43" fontId="30" fillId="4" borderId="8" xfId="512" applyNumberFormat="1" applyFont="1" applyFill="1" applyBorder="1" applyAlignment="1">
      <alignment horizontal="right" vertical="center" wrapText="1"/>
    </xf>
    <xf numFmtId="43" fontId="30" fillId="4" borderId="0" xfId="512" applyNumberFormat="1" applyFont="1" applyFill="1" applyAlignment="1">
      <alignment horizontal="justify" vertical="center" wrapText="1"/>
    </xf>
    <xf numFmtId="43" fontId="30" fillId="4" borderId="8" xfId="512" applyNumberFormat="1" applyFont="1" applyFill="1" applyBorder="1" applyAlignment="1">
      <alignment horizontal="justify" vertical="center" wrapText="1"/>
    </xf>
    <xf numFmtId="43" fontId="36" fillId="0" borderId="8" xfId="512" applyNumberFormat="1" applyFont="1" applyBorder="1" applyAlignment="1">
      <alignment horizontal="right" vertical="center" wrapText="1"/>
    </xf>
    <xf numFmtId="43" fontId="35" fillId="0" borderId="0" xfId="512" applyNumberFormat="1" applyFont="1" applyAlignment="1">
      <alignment horizontal="right" vertical="center" wrapText="1"/>
    </xf>
    <xf numFmtId="43" fontId="35" fillId="0" borderId="8" xfId="512" applyNumberFormat="1" applyFont="1" applyBorder="1" applyAlignment="1">
      <alignment horizontal="justify" vertical="center" wrapText="1"/>
    </xf>
    <xf numFmtId="43" fontId="33" fillId="0" borderId="0" xfId="512" applyNumberFormat="1" applyFont="1" applyAlignment="1">
      <alignment horizontal="left" vertical="center"/>
    </xf>
    <xf numFmtId="43" fontId="35" fillId="0" borderId="0" xfId="512" applyNumberFormat="1" applyFont="1" applyAlignment="1">
      <alignment horizontal="justify" vertical="center" wrapText="1"/>
    </xf>
    <xf numFmtId="0" fontId="30" fillId="0" borderId="0" xfId="512" applyFont="1" applyAlignment="1">
      <alignment horizontal="center" vertical="center"/>
    </xf>
    <xf numFmtId="43" fontId="30" fillId="0" borderId="0" xfId="676" applyNumberFormat="1" applyFont="1">
      <alignment vertical="center"/>
    </xf>
    <xf numFmtId="43" fontId="33" fillId="0" borderId="0" xfId="676" applyNumberFormat="1" applyFont="1">
      <alignment vertical="center"/>
    </xf>
    <xf numFmtId="0" fontId="33" fillId="0" borderId="0" xfId="512" applyFont="1">
      <alignment vertical="center"/>
    </xf>
    <xf numFmtId="0" fontId="30" fillId="0" borderId="0" xfId="512" applyFont="1" applyAlignment="1">
      <alignment horizontal="left" vertical="center"/>
    </xf>
    <xf numFmtId="0" fontId="30" fillId="0" borderId="0" xfId="512" applyFont="1">
      <alignment vertical="center"/>
    </xf>
    <xf numFmtId="0" fontId="39" fillId="0" borderId="0" xfId="0" applyFont="1" applyAlignment="1">
      <alignment vertical="center"/>
      <protection locked="0"/>
    </xf>
    <xf numFmtId="0" fontId="40" fillId="0" borderId="0" xfId="0" applyFont="1" applyAlignment="1">
      <alignment horizontal="right" vertical="center"/>
      <protection locked="0"/>
    </xf>
    <xf numFmtId="0" fontId="39" fillId="0" borderId="0" xfId="0" applyFont="1" applyAlignment="1">
      <alignment horizontal="right" vertical="center"/>
      <protection locked="0"/>
    </xf>
    <xf numFmtId="0" fontId="29" fillId="0" borderId="0" xfId="512" applyFont="1" applyAlignment="1">
      <alignment horizontal="left" vertical="center"/>
    </xf>
    <xf numFmtId="0" fontId="29" fillId="0" borderId="0" xfId="512" applyFont="1">
      <alignment vertical="center"/>
    </xf>
    <xf numFmtId="0" fontId="32" fillId="0" borderId="0" xfId="583" applyFont="1" applyAlignment="1" applyProtection="1">
      <alignment horizontal="center" vertical="center"/>
    </xf>
    <xf numFmtId="0" fontId="29" fillId="0" borderId="5" xfId="512" applyFont="1" applyBorder="1" applyAlignment="1">
      <alignment horizontal="left" vertical="center" wrapText="1"/>
    </xf>
    <xf numFmtId="0" fontId="29" fillId="0" borderId="5" xfId="512" applyFont="1" applyBorder="1" applyAlignment="1">
      <alignment horizontal="right" vertical="center" wrapText="1"/>
    </xf>
    <xf numFmtId="0" fontId="30" fillId="0" borderId="0" xfId="512" applyFont="1" applyAlignment="1">
      <alignment horizontal="left" vertical="center" wrapText="1"/>
    </xf>
    <xf numFmtId="0" fontId="30" fillId="0" borderId="0" xfId="512" applyFont="1" applyAlignment="1">
      <alignment horizontal="right" vertical="center" wrapText="1"/>
    </xf>
    <xf numFmtId="43" fontId="30" fillId="4" borderId="0" xfId="676" applyNumberFormat="1" applyFont="1" applyFill="1" applyAlignment="1">
      <alignment horizontal="right" vertical="center" wrapText="1"/>
    </xf>
    <xf numFmtId="0" fontId="29" fillId="0" borderId="0" xfId="512" applyFont="1" applyAlignment="1">
      <alignment horizontal="left" vertical="center" wrapText="1"/>
    </xf>
    <xf numFmtId="0" fontId="30" fillId="0" borderId="8" xfId="512" applyFont="1" applyBorder="1" applyAlignment="1">
      <alignment horizontal="left" vertical="center" wrapText="1"/>
    </xf>
    <xf numFmtId="0" fontId="30" fillId="0" borderId="8" xfId="512" applyFont="1" applyBorder="1" applyAlignment="1">
      <alignment horizontal="right" vertical="center" wrapText="1"/>
    </xf>
    <xf numFmtId="0" fontId="29" fillId="0" borderId="8" xfId="512" applyFont="1" applyBorder="1" applyAlignment="1">
      <alignment horizontal="left" vertical="center" wrapText="1"/>
    </xf>
    <xf numFmtId="0" fontId="29" fillId="0" borderId="8" xfId="512" applyFont="1" applyBorder="1" applyAlignment="1">
      <alignment horizontal="right" vertical="center" wrapText="1"/>
    </xf>
    <xf numFmtId="9" fontId="30" fillId="4" borderId="0" xfId="461" applyFont="1" applyFill="1" applyAlignment="1">
      <alignment horizontal="right" vertical="center" wrapText="1"/>
    </xf>
    <xf numFmtId="43" fontId="30" fillId="0" borderId="0" xfId="676" applyNumberFormat="1" applyFont="1" applyAlignment="1">
      <alignment horizontal="right" vertical="center" wrapText="1"/>
    </xf>
    <xf numFmtId="0" fontId="30" fillId="4" borderId="0" xfId="512" applyFont="1" applyFill="1" applyAlignment="1">
      <alignment horizontal="right" vertical="center" wrapText="1"/>
    </xf>
    <xf numFmtId="0" fontId="33" fillId="0" borderId="0" xfId="512" applyFont="1" applyAlignment="1">
      <alignment horizontal="left" vertical="center" wrapText="1"/>
    </xf>
    <xf numFmtId="0" fontId="33" fillId="0" borderId="8" xfId="512" applyFont="1" applyBorder="1" applyAlignment="1">
      <alignment horizontal="left" vertical="center" wrapText="1"/>
    </xf>
    <xf numFmtId="0" fontId="34" fillId="0" borderId="8" xfId="512" applyFont="1" applyBorder="1" applyAlignment="1">
      <alignment horizontal="left" vertical="center" wrapText="1"/>
    </xf>
    <xf numFmtId="43" fontId="29" fillId="4" borderId="8" xfId="676" applyNumberFormat="1" applyFont="1" applyFill="1" applyBorder="1" applyAlignment="1">
      <alignment horizontal="right" vertical="center" wrapText="1"/>
    </xf>
    <xf numFmtId="9" fontId="29" fillId="4" borderId="5" xfId="461" applyFont="1" applyFill="1" applyBorder="1" applyAlignment="1">
      <alignment horizontal="right" vertical="center" wrapText="1"/>
    </xf>
    <xf numFmtId="9" fontId="30" fillId="4" borderId="5" xfId="461" applyFont="1" applyFill="1" applyBorder="1" applyAlignment="1">
      <alignment horizontal="right" vertical="center" wrapText="1"/>
    </xf>
    <xf numFmtId="43" fontId="29" fillId="0" borderId="5" xfId="676" applyNumberFormat="1" applyFont="1" applyBorder="1" applyAlignment="1">
      <alignment horizontal="right" vertical="center" wrapText="1"/>
    </xf>
    <xf numFmtId="9" fontId="30" fillId="0" borderId="0" xfId="461" applyFont="1" applyAlignment="1">
      <alignment horizontal="right" vertical="center" wrapText="1"/>
    </xf>
    <xf numFmtId="43" fontId="29" fillId="0" borderId="8" xfId="676" applyNumberFormat="1" applyFont="1" applyBorder="1" applyAlignment="1">
      <alignment horizontal="right" vertical="center" wrapText="1"/>
    </xf>
    <xf numFmtId="9" fontId="29" fillId="0" borderId="5" xfId="461" applyFont="1" applyBorder="1" applyAlignment="1">
      <alignment horizontal="right" vertical="center" wrapText="1"/>
    </xf>
    <xf numFmtId="9" fontId="30" fillId="0" borderId="5" xfId="461" applyFont="1" applyBorder="1" applyAlignment="1">
      <alignment horizontal="right" vertical="center" wrapText="1"/>
    </xf>
    <xf numFmtId="0" fontId="30" fillId="4" borderId="0" xfId="512" applyFont="1" applyFill="1" applyAlignment="1">
      <alignment horizontal="left" vertical="center" wrapText="1"/>
    </xf>
    <xf numFmtId="0" fontId="30" fillId="4" borderId="8" xfId="1" applyNumberFormat="1" applyFont="1" applyFill="1" applyBorder="1" applyAlignment="1">
      <alignment horizontal="left" vertical="center" wrapText="1"/>
    </xf>
    <xf numFmtId="43" fontId="30" fillId="4" borderId="8" xfId="1" applyFont="1" applyFill="1" applyBorder="1" applyAlignment="1">
      <alignment horizontal="right" vertical="center" wrapText="1"/>
    </xf>
    <xf numFmtId="0" fontId="29" fillId="4" borderId="8" xfId="512" applyFont="1" applyFill="1" applyBorder="1" applyAlignment="1">
      <alignment horizontal="left" vertical="center" wrapText="1"/>
    </xf>
    <xf numFmtId="0" fontId="34" fillId="0" borderId="5" xfId="512" applyFont="1" applyBorder="1" applyAlignment="1">
      <alignment horizontal="right" vertical="center" wrapText="1"/>
    </xf>
    <xf numFmtId="43" fontId="30" fillId="4" borderId="0" xfId="1" applyFont="1" applyFill="1" applyAlignment="1">
      <alignment horizontal="right" vertical="center" wrapText="1"/>
    </xf>
    <xf numFmtId="0" fontId="29" fillId="0" borderId="7" xfId="512" applyFont="1" applyBorder="1" applyAlignment="1">
      <alignment horizontal="left" vertical="center" wrapText="1"/>
    </xf>
    <xf numFmtId="0" fontId="29" fillId="0" borderId="7" xfId="512" applyFont="1" applyBorder="1" applyAlignment="1">
      <alignment horizontal="justify" vertical="center" wrapText="1"/>
    </xf>
    <xf numFmtId="0" fontId="29" fillId="0" borderId="7" xfId="512" applyFont="1" applyBorder="1" applyAlignment="1">
      <alignment horizontal="right" vertical="center" wrapText="1"/>
    </xf>
    <xf numFmtId="0" fontId="35" fillId="0" borderId="7" xfId="512" applyFont="1" applyBorder="1" applyAlignment="1">
      <alignment horizontal="left" vertical="center" wrapText="1"/>
    </xf>
    <xf numFmtId="0" fontId="30" fillId="0" borderId="7" xfId="512" applyFont="1" applyBorder="1" applyAlignment="1">
      <alignment horizontal="justify" vertical="center" wrapText="1"/>
    </xf>
    <xf numFmtId="0" fontId="30" fillId="0" borderId="7" xfId="512" applyFont="1" applyBorder="1" applyAlignment="1">
      <alignment horizontal="right" vertical="center" wrapText="1"/>
    </xf>
    <xf numFmtId="0" fontId="35" fillId="0" borderId="0" xfId="512" applyFont="1" applyAlignment="1">
      <alignment horizontal="left" vertical="center" wrapText="1"/>
    </xf>
    <xf numFmtId="0" fontId="30" fillId="0" borderId="0" xfId="512" applyFont="1" applyAlignment="1">
      <alignment horizontal="justify" vertical="center" wrapText="1"/>
    </xf>
    <xf numFmtId="0" fontId="35" fillId="0" borderId="8" xfId="512" applyFont="1" applyBorder="1" applyAlignment="1">
      <alignment horizontal="left" vertical="center" wrapText="1"/>
    </xf>
    <xf numFmtId="0" fontId="30" fillId="0" borderId="8" xfId="512" applyFont="1" applyBorder="1" applyAlignment="1">
      <alignment horizontal="justify" vertical="center" wrapText="1"/>
    </xf>
    <xf numFmtId="0" fontId="29" fillId="0" borderId="8" xfId="512" applyFont="1" applyBorder="1" applyAlignment="1">
      <alignment horizontal="justify" vertical="center" wrapText="1"/>
    </xf>
    <xf numFmtId="0" fontId="35" fillId="0" borderId="0" xfId="512" applyFont="1" applyAlignment="1">
      <alignment horizontal="left" vertical="center"/>
    </xf>
    <xf numFmtId="0" fontId="41" fillId="0" borderId="0" xfId="512" applyFont="1" applyAlignment="1">
      <alignment horizontal="left" vertical="center"/>
    </xf>
    <xf numFmtId="0" fontId="33" fillId="0" borderId="0" xfId="512" applyFont="1" applyAlignment="1">
      <alignment horizontal="left" vertical="center"/>
    </xf>
    <xf numFmtId="0" fontId="30" fillId="4" borderId="8" xfId="512" applyFont="1" applyFill="1" applyBorder="1" applyAlignment="1">
      <alignment horizontal="right" vertical="center" wrapText="1"/>
    </xf>
    <xf numFmtId="0" fontId="30" fillId="4" borderId="7" xfId="512" applyFont="1" applyFill="1" applyBorder="1" applyAlignment="1">
      <alignment horizontal="left" vertical="center" wrapText="1"/>
    </xf>
    <xf numFmtId="0" fontId="30" fillId="4" borderId="7" xfId="512" applyFont="1" applyFill="1" applyBorder="1" applyAlignment="1">
      <alignment horizontal="justify" vertical="center" wrapText="1"/>
    </xf>
    <xf numFmtId="0" fontId="30" fillId="4" borderId="7" xfId="512" applyFont="1" applyFill="1" applyBorder="1" applyAlignment="1">
      <alignment horizontal="right" vertical="center" wrapText="1"/>
    </xf>
    <xf numFmtId="0" fontId="30" fillId="4" borderId="0" xfId="512" applyFont="1" applyFill="1" applyAlignment="1">
      <alignment horizontal="justify" vertical="center" wrapText="1"/>
    </xf>
    <xf numFmtId="0" fontId="30" fillId="4" borderId="8" xfId="512" applyFont="1" applyFill="1" applyBorder="1" applyAlignment="1">
      <alignment horizontal="left" vertical="center" wrapText="1"/>
    </xf>
    <xf numFmtId="0" fontId="30" fillId="4" borderId="8" xfId="512" applyFont="1" applyFill="1" applyBorder="1" applyAlignment="1">
      <alignment horizontal="justify" vertical="center" wrapText="1"/>
    </xf>
    <xf numFmtId="43" fontId="30" fillId="4" borderId="7" xfId="512" applyNumberFormat="1" applyFont="1" applyFill="1" applyBorder="1" applyAlignment="1">
      <alignment horizontal="left" vertical="center" wrapText="1"/>
    </xf>
    <xf numFmtId="43" fontId="30" fillId="4" borderId="7" xfId="512" applyNumberFormat="1" applyFont="1" applyFill="1" applyBorder="1" applyAlignment="1">
      <alignment horizontal="right" vertical="center" wrapText="1"/>
    </xf>
    <xf numFmtId="10" fontId="30" fillId="0" borderId="7" xfId="461" applyNumberFormat="1" applyFont="1" applyBorder="1">
      <alignment vertical="center"/>
    </xf>
    <xf numFmtId="10" fontId="30" fillId="0" borderId="0" xfId="461" applyNumberFormat="1" applyFont="1">
      <alignment vertical="center"/>
    </xf>
    <xf numFmtId="10" fontId="30" fillId="0" borderId="8" xfId="461" applyNumberFormat="1" applyFont="1" applyBorder="1">
      <alignment vertical="center"/>
    </xf>
    <xf numFmtId="0" fontId="29" fillId="0" borderId="5" xfId="512" applyFont="1" applyBorder="1" applyAlignment="1">
      <alignment horizontal="justify" vertical="center" wrapText="1"/>
    </xf>
    <xf numFmtId="43" fontId="30" fillId="0" borderId="8" xfId="676" applyNumberFormat="1" applyFont="1" applyBorder="1" applyAlignment="1">
      <alignment horizontal="right" vertical="center" wrapText="1"/>
    </xf>
    <xf numFmtId="43" fontId="11" fillId="0" borderId="0" xfId="575" applyNumberFormat="1" applyFont="1" applyBorder="1" applyAlignment="1">
      <alignment vertical="center"/>
    </xf>
    <xf numFmtId="43" fontId="42" fillId="0" borderId="0" xfId="575" applyNumberFormat="1" applyFont="1" applyBorder="1" applyAlignment="1">
      <alignment vertical="center"/>
    </xf>
    <xf numFmtId="0" fontId="42" fillId="0" borderId="0" xfId="0" applyFont="1" applyAlignment="1">
      <alignment vertical="center"/>
      <protection locked="0"/>
    </xf>
    <xf numFmtId="0" fontId="11" fillId="0" borderId="0" xfId="0" applyFont="1" applyAlignment="1">
      <alignment vertical="center"/>
      <protection locked="0"/>
    </xf>
    <xf numFmtId="0" fontId="12" fillId="0" borderId="0" xfId="573" applyFont="1" applyAlignment="1">
      <alignment vertical="center"/>
    </xf>
    <xf numFmtId="43" fontId="43" fillId="0" borderId="0" xfId="575" applyNumberFormat="1" applyFont="1" applyBorder="1" applyAlignment="1">
      <alignment vertical="center"/>
    </xf>
    <xf numFmtId="49" fontId="11" fillId="0" borderId="0" xfId="575" applyNumberFormat="1" applyFont="1" applyBorder="1" applyAlignment="1">
      <alignment vertical="center"/>
    </xf>
    <xf numFmtId="0" fontId="42" fillId="0" borderId="0" xfId="0" applyFont="1" applyAlignment="1">
      <alignment horizontal="left" vertical="center"/>
      <protection locked="0"/>
    </xf>
    <xf numFmtId="0" fontId="42" fillId="0" borderId="0" xfId="0" applyFont="1" applyAlignment="1">
      <alignment horizontal="justify" vertical="center"/>
      <protection locked="0"/>
    </xf>
    <xf numFmtId="0" fontId="43" fillId="0" borderId="7" xfId="0" applyFont="1" applyBorder="1" applyAlignment="1">
      <alignment horizontal="center" vertical="center" wrapText="1"/>
      <protection locked="0"/>
    </xf>
    <xf numFmtId="0" fontId="43" fillId="0" borderId="8" xfId="0" applyFont="1" applyBorder="1" applyAlignment="1">
      <alignment horizontal="center" vertical="center" wrapText="1"/>
      <protection locked="0"/>
    </xf>
    <xf numFmtId="0" fontId="44" fillId="0" borderId="7" xfId="0" applyFont="1" applyBorder="1" applyAlignment="1">
      <alignment horizontal="left" vertical="center" wrapText="1"/>
      <protection locked="0"/>
    </xf>
    <xf numFmtId="43" fontId="42" fillId="0" borderId="7" xfId="0" applyNumberFormat="1" applyFont="1" applyBorder="1" applyAlignment="1">
      <alignment vertical="center"/>
      <protection locked="0"/>
    </xf>
    <xf numFmtId="10" fontId="42" fillId="0" borderId="7" xfId="2" applyNumberFormat="1" applyFont="1" applyFill="1" applyBorder="1" applyAlignment="1" applyProtection="1">
      <alignment horizontal="right" vertical="center" wrapText="1"/>
      <protection locked="0"/>
    </xf>
    <xf numFmtId="0" fontId="42" fillId="0" borderId="0" xfId="0" applyFont="1" applyAlignment="1">
      <alignment horizontal="left" vertical="center" wrapText="1"/>
      <protection locked="0"/>
    </xf>
    <xf numFmtId="10" fontId="42" fillId="0" borderId="0" xfId="2" applyNumberFormat="1" applyFont="1" applyFill="1" applyBorder="1" applyAlignment="1" applyProtection="1">
      <alignment horizontal="right" vertical="center" wrapText="1"/>
      <protection locked="0"/>
    </xf>
    <xf numFmtId="0" fontId="45" fillId="0" borderId="0" xfId="0" applyFont="1" applyAlignment="1">
      <alignment horizontal="justify" vertical="center" wrapText="1"/>
      <protection locked="0"/>
    </xf>
    <xf numFmtId="43" fontId="42" fillId="0" borderId="0" xfId="0" applyNumberFormat="1" applyFont="1" applyAlignment="1">
      <alignment vertical="center"/>
      <protection locked="0"/>
    </xf>
    <xf numFmtId="0" fontId="45" fillId="0" borderId="0" xfId="0" applyFont="1" applyAlignment="1">
      <alignment horizontal="left" vertical="center" wrapText="1"/>
      <protection locked="0"/>
    </xf>
    <xf numFmtId="43" fontId="42" fillId="0" borderId="0" xfId="2" applyNumberFormat="1" applyFont="1" applyFill="1" applyBorder="1" applyAlignment="1" applyProtection="1">
      <alignment horizontal="right" vertical="center" wrapText="1"/>
      <protection locked="0"/>
    </xf>
    <xf numFmtId="0" fontId="43" fillId="0" borderId="5" xfId="0" applyFont="1" applyBorder="1" applyAlignment="1">
      <alignment horizontal="left" vertical="center" wrapText="1"/>
      <protection locked="0"/>
    </xf>
    <xf numFmtId="43" fontId="46" fillId="0" borderId="5" xfId="1" applyFont="1" applyFill="1" applyBorder="1" applyAlignment="1" applyProtection="1">
      <alignment vertical="center" shrinkToFit="1"/>
      <protection locked="0"/>
    </xf>
    <xf numFmtId="10" fontId="46" fillId="0" borderId="5" xfId="2" applyNumberFormat="1" applyFont="1" applyFill="1" applyBorder="1" applyAlignment="1" applyProtection="1">
      <alignment horizontal="right" vertical="center" wrapText="1" shrinkToFit="1"/>
      <protection locked="0"/>
    </xf>
    <xf numFmtId="10" fontId="43" fillId="0" borderId="5" xfId="2" applyNumberFormat="1" applyFont="1" applyFill="1" applyBorder="1" applyAlignment="1" applyProtection="1">
      <alignment horizontal="right" vertical="center" wrapText="1"/>
      <protection locked="0"/>
    </xf>
    <xf numFmtId="10" fontId="42" fillId="0" borderId="8" xfId="2" applyNumberFormat="1" applyFont="1" applyFill="1" applyBorder="1" applyAlignment="1" applyProtection="1">
      <alignment horizontal="right" vertical="center" wrapText="1"/>
      <protection locked="0"/>
    </xf>
    <xf numFmtId="0" fontId="43" fillId="0" borderId="0" xfId="0" applyFont="1" applyAlignment="1">
      <alignment horizontal="center" vertical="center" wrapText="1"/>
      <protection locked="0"/>
    </xf>
    <xf numFmtId="0" fontId="0" fillId="0" borderId="7" xfId="0" applyFont="1" applyBorder="1" applyAlignment="1">
      <alignment horizontal="left" vertical="center" wrapText="1"/>
      <protection locked="0"/>
    </xf>
    <xf numFmtId="10" fontId="42" fillId="0" borderId="7" xfId="2" applyNumberFormat="1" applyFont="1" applyFill="1" applyBorder="1" applyAlignment="1" applyProtection="1">
      <alignment vertical="center"/>
      <protection locked="0"/>
    </xf>
    <xf numFmtId="10" fontId="42" fillId="0" borderId="0" xfId="2" applyNumberFormat="1" applyFont="1" applyFill="1" applyBorder="1" applyAlignment="1" applyProtection="1">
      <alignment vertical="center"/>
      <protection locked="0"/>
    </xf>
    <xf numFmtId="43" fontId="43" fillId="0" borderId="5" xfId="0" applyNumberFormat="1" applyFont="1" applyBorder="1" applyAlignment="1">
      <alignment vertical="center"/>
      <protection locked="0"/>
    </xf>
    <xf numFmtId="10" fontId="42" fillId="0" borderId="5" xfId="2" applyNumberFormat="1" applyFont="1" applyFill="1" applyBorder="1" applyAlignment="1" applyProtection="1">
      <alignment vertical="center"/>
      <protection locked="0"/>
    </xf>
    <xf numFmtId="0" fontId="48" fillId="0" borderId="0" xfId="0" applyFont="1" applyAlignment="1">
      <alignment horizontal="left" vertical="center"/>
      <protection locked="0"/>
    </xf>
    <xf numFmtId="0" fontId="49" fillId="0" borderId="7" xfId="0" applyFont="1" applyBorder="1" applyAlignment="1">
      <alignment horizontal="left" vertical="center" wrapText="1"/>
      <protection locked="0"/>
    </xf>
    <xf numFmtId="10" fontId="42" fillId="0" borderId="7" xfId="0" applyNumberFormat="1" applyFont="1" applyBorder="1" applyAlignment="1">
      <alignment vertical="center"/>
      <protection locked="0"/>
    </xf>
    <xf numFmtId="0" fontId="49" fillId="0" borderId="0" xfId="0" applyFont="1" applyAlignment="1">
      <alignment horizontal="left" vertical="center" wrapText="1"/>
      <protection locked="0"/>
    </xf>
    <xf numFmtId="10" fontId="42" fillId="0" borderId="0" xfId="0" applyNumberFormat="1" applyFont="1" applyAlignment="1">
      <alignment vertical="center"/>
      <protection locked="0"/>
    </xf>
    <xf numFmtId="0" fontId="49" fillId="0" borderId="8" xfId="0" applyFont="1" applyBorder="1" applyAlignment="1">
      <alignment horizontal="left" vertical="center" wrapText="1"/>
      <protection locked="0"/>
    </xf>
    <xf numFmtId="43" fontId="42" fillId="0" borderId="8" xfId="0" applyNumberFormat="1" applyFont="1" applyBorder="1" applyAlignment="1">
      <alignment vertical="center"/>
      <protection locked="0"/>
    </xf>
    <xf numFmtId="10" fontId="42" fillId="0" borderId="8" xfId="0" applyNumberFormat="1" applyFont="1" applyBorder="1" applyAlignment="1">
      <alignment vertical="center"/>
      <protection locked="0"/>
    </xf>
    <xf numFmtId="0" fontId="42" fillId="0" borderId="8" xfId="0" applyFont="1" applyBorder="1" applyAlignment="1">
      <alignment vertical="center"/>
      <protection locked="0"/>
    </xf>
    <xf numFmtId="10" fontId="43" fillId="0" borderId="5" xfId="2" applyNumberFormat="1" applyFont="1" applyFill="1" applyBorder="1" applyAlignment="1" applyProtection="1">
      <alignment vertical="center"/>
      <protection locked="0"/>
    </xf>
    <xf numFmtId="0" fontId="47" fillId="0" borderId="0" xfId="0" applyFont="1" applyAlignment="1">
      <alignment horizontal="justify" vertical="center"/>
      <protection locked="0"/>
    </xf>
    <xf numFmtId="0" fontId="43" fillId="0" borderId="0" xfId="0" applyFont="1" applyAlignment="1">
      <alignment horizontal="center" vertical="center"/>
      <protection locked="0"/>
    </xf>
    <xf numFmtId="0" fontId="49" fillId="0" borderId="7" xfId="0" applyFont="1" applyBorder="1" applyAlignment="1">
      <alignment vertical="center"/>
      <protection locked="0"/>
    </xf>
    <xf numFmtId="0" fontId="49" fillId="0" borderId="0" xfId="0" applyFont="1" applyAlignment="1">
      <alignment vertical="center"/>
      <protection locked="0"/>
    </xf>
    <xf numFmtId="0" fontId="49" fillId="0" borderId="8" xfId="0" applyFont="1" applyBorder="1" applyAlignment="1">
      <alignment vertical="center"/>
      <protection locked="0"/>
    </xf>
    <xf numFmtId="0" fontId="43" fillId="0" borderId="8" xfId="0" applyFont="1" applyBorder="1" applyAlignment="1">
      <alignment vertical="center"/>
      <protection locked="0"/>
    </xf>
    <xf numFmtId="43" fontId="43" fillId="0" borderId="8" xfId="0" applyNumberFormat="1" applyFont="1" applyBorder="1" applyAlignment="1">
      <alignment vertical="center"/>
      <protection locked="0"/>
    </xf>
    <xf numFmtId="0" fontId="43" fillId="0" borderId="8" xfId="0" applyFont="1" applyBorder="1" applyAlignment="1">
      <alignment horizontal="left" vertical="center" wrapText="1"/>
      <protection locked="0"/>
    </xf>
    <xf numFmtId="0" fontId="49" fillId="0" borderId="7" xfId="0" applyFont="1" applyBorder="1" applyAlignment="1">
      <alignment horizontal="left" vertical="center"/>
      <protection locked="0"/>
    </xf>
    <xf numFmtId="43" fontId="42" fillId="0" borderId="7" xfId="1" applyFont="1" applyFill="1" applyBorder="1" applyAlignment="1" applyProtection="1">
      <alignment vertical="center" shrinkToFit="1"/>
      <protection locked="0"/>
    </xf>
    <xf numFmtId="43" fontId="42" fillId="0" borderId="7" xfId="2" applyNumberFormat="1" applyFont="1" applyFill="1" applyBorder="1" applyAlignment="1" applyProtection="1">
      <alignment vertical="center"/>
      <protection locked="0"/>
    </xf>
    <xf numFmtId="0" fontId="42" fillId="0" borderId="7" xfId="0" applyFont="1" applyBorder="1" applyAlignment="1">
      <alignment vertical="center"/>
      <protection locked="0"/>
    </xf>
    <xf numFmtId="0" fontId="47" fillId="0" borderId="7" xfId="0" applyFont="1" applyBorder="1" applyAlignment="1">
      <alignment vertical="center"/>
      <protection locked="0"/>
    </xf>
    <xf numFmtId="0" fontId="49" fillId="0" borderId="0" xfId="0" applyFont="1" applyAlignment="1">
      <alignment horizontal="left" vertical="center"/>
      <protection locked="0"/>
    </xf>
    <xf numFmtId="43" fontId="42" fillId="0" borderId="0" xfId="1" applyFont="1" applyFill="1" applyBorder="1" applyAlignment="1" applyProtection="1">
      <alignment vertical="center" shrinkToFit="1"/>
      <protection locked="0"/>
    </xf>
    <xf numFmtId="43" fontId="42" fillId="0" borderId="0" xfId="2" applyNumberFormat="1" applyFont="1" applyFill="1" applyBorder="1" applyAlignment="1" applyProtection="1">
      <alignment vertical="center"/>
      <protection locked="0"/>
    </xf>
    <xf numFmtId="0" fontId="47" fillId="0" borderId="0" xfId="0" applyFont="1" applyAlignment="1">
      <alignment vertical="center"/>
      <protection locked="0"/>
    </xf>
    <xf numFmtId="0" fontId="49" fillId="0" borderId="8" xfId="0" applyFont="1" applyBorder="1" applyAlignment="1">
      <alignment horizontal="left" vertical="center"/>
      <protection locked="0"/>
    </xf>
    <xf numFmtId="43" fontId="42" fillId="0" borderId="8" xfId="1" applyFont="1" applyFill="1" applyBorder="1" applyAlignment="1" applyProtection="1">
      <alignment vertical="center" shrinkToFit="1"/>
      <protection locked="0"/>
    </xf>
    <xf numFmtId="43" fontId="42" fillId="0" borderId="8" xfId="2" applyNumberFormat="1" applyFont="1" applyFill="1" applyBorder="1" applyAlignment="1" applyProtection="1">
      <alignment vertical="center"/>
      <protection locked="0"/>
    </xf>
    <xf numFmtId="10" fontId="42" fillId="0" borderId="8" xfId="2" applyNumberFormat="1" applyFont="1" applyFill="1" applyBorder="1" applyAlignment="1" applyProtection="1">
      <alignment vertical="center"/>
      <protection locked="0"/>
    </xf>
    <xf numFmtId="0" fontId="47" fillId="0" borderId="8" xfId="0" applyFont="1" applyBorder="1" applyAlignment="1">
      <alignment vertical="center"/>
      <protection locked="0"/>
    </xf>
    <xf numFmtId="43" fontId="47" fillId="0" borderId="8" xfId="0" applyNumberFormat="1" applyFont="1" applyBorder="1" applyAlignment="1">
      <alignment vertical="center"/>
      <protection locked="0"/>
    </xf>
    <xf numFmtId="0" fontId="43" fillId="0" borderId="7" xfId="0" applyFont="1" applyBorder="1" applyAlignment="1">
      <alignment horizontal="left" vertical="center" wrapText="1"/>
      <protection locked="0"/>
    </xf>
    <xf numFmtId="0" fontId="43" fillId="0" borderId="7" xfId="0" applyFont="1" applyBorder="1" applyAlignment="1">
      <alignment horizontal="right" vertical="center" wrapText="1"/>
      <protection locked="0"/>
    </xf>
    <xf numFmtId="0" fontId="42" fillId="0" borderId="7" xfId="0" applyFont="1" applyBorder="1" applyAlignment="1">
      <alignment horizontal="left" vertical="center"/>
      <protection locked="0"/>
    </xf>
    <xf numFmtId="43" fontId="42" fillId="0" borderId="7" xfId="1" applyFont="1" applyFill="1" applyBorder="1" applyAlignment="1" applyProtection="1">
      <alignment vertical="center"/>
      <protection locked="0"/>
    </xf>
    <xf numFmtId="43" fontId="42" fillId="0" borderId="0" xfId="1" applyFont="1" applyFill="1" applyBorder="1" applyAlignment="1" applyProtection="1">
      <alignment vertical="center"/>
      <protection locked="0"/>
    </xf>
    <xf numFmtId="0" fontId="42" fillId="0" borderId="8" xfId="0" applyFont="1" applyBorder="1" applyAlignment="1">
      <alignment horizontal="left" vertical="center"/>
      <protection locked="0"/>
    </xf>
    <xf numFmtId="43" fontId="42" fillId="0" borderId="8" xfId="1" applyFont="1" applyFill="1" applyBorder="1" applyAlignment="1" applyProtection="1">
      <alignment vertical="center"/>
      <protection locked="0"/>
    </xf>
    <xf numFmtId="0" fontId="42" fillId="0" borderId="7" xfId="0" applyFont="1" applyBorder="1" applyAlignment="1">
      <alignment horizontal="justify" vertical="center"/>
      <protection locked="0"/>
    </xf>
    <xf numFmtId="43" fontId="42" fillId="0" borderId="7" xfId="1" applyFont="1" applyFill="1" applyBorder="1" applyAlignment="1" applyProtection="1">
      <alignment horizontal="right" vertical="center"/>
      <protection locked="0"/>
    </xf>
    <xf numFmtId="43" fontId="42" fillId="0" borderId="0" xfId="1" applyFont="1" applyFill="1" applyBorder="1" applyAlignment="1" applyProtection="1">
      <alignment horizontal="right" vertical="center"/>
      <protection locked="0"/>
    </xf>
    <xf numFmtId="0" fontId="42" fillId="0" borderId="8" xfId="0" applyFont="1" applyBorder="1" applyAlignment="1">
      <alignment horizontal="justify" vertical="center"/>
      <protection locked="0"/>
    </xf>
    <xf numFmtId="43" fontId="42" fillId="0" borderId="8" xfId="1" applyFont="1" applyFill="1" applyBorder="1" applyAlignment="1" applyProtection="1">
      <alignment horizontal="right" vertical="center"/>
      <protection locked="0"/>
    </xf>
    <xf numFmtId="0" fontId="43" fillId="0" borderId="8" xfId="0" applyFont="1" applyBorder="1" applyAlignment="1">
      <alignment horizontal="center" vertical="center"/>
      <protection locked="0"/>
    </xf>
    <xf numFmtId="43" fontId="43" fillId="0" borderId="8" xfId="1" applyFont="1" applyFill="1" applyBorder="1" applyAlignment="1" applyProtection="1">
      <alignment horizontal="center" vertical="center"/>
      <protection locked="0"/>
    </xf>
    <xf numFmtId="0" fontId="43" fillId="0" borderId="8" xfId="0" applyFont="1" applyBorder="1" applyAlignment="1">
      <alignment horizontal="left" vertical="center"/>
      <protection locked="0"/>
    </xf>
    <xf numFmtId="0" fontId="42" fillId="0" borderId="8" xfId="0" applyFont="1" applyBorder="1" applyAlignment="1">
      <alignment horizontal="justify" vertical="center" wrapText="1"/>
      <protection locked="0"/>
    </xf>
    <xf numFmtId="43" fontId="42" fillId="0" borderId="8" xfId="1" applyFont="1" applyFill="1" applyBorder="1" applyAlignment="1" applyProtection="1">
      <alignment horizontal="right" vertical="center" wrapText="1"/>
      <protection locked="0"/>
    </xf>
    <xf numFmtId="0" fontId="43" fillId="0" borderId="8" xfId="0" applyFont="1" applyBorder="1" applyAlignment="1">
      <alignment horizontal="justify" vertical="center" wrapText="1"/>
      <protection locked="0"/>
    </xf>
    <xf numFmtId="43" fontId="43" fillId="0" borderId="8" xfId="1" applyFont="1" applyFill="1" applyBorder="1" applyAlignment="1" applyProtection="1">
      <alignment horizontal="right" vertical="center" wrapText="1"/>
      <protection locked="0"/>
    </xf>
    <xf numFmtId="0" fontId="43" fillId="0" borderId="5" xfId="0" applyFont="1" applyBorder="1" applyAlignment="1">
      <alignment horizontal="center" vertical="center" wrapText="1"/>
      <protection locked="0"/>
    </xf>
    <xf numFmtId="0" fontId="42" fillId="0" borderId="0" xfId="0" applyFont="1" applyAlignment="1">
      <alignment horizontal="right" vertical="center" wrapText="1"/>
      <protection locked="0"/>
    </xf>
    <xf numFmtId="43" fontId="42" fillId="0" borderId="0" xfId="1" applyFont="1" applyFill="1" applyBorder="1" applyAlignment="1" applyProtection="1">
      <alignment horizontal="right" vertical="center" wrapText="1"/>
      <protection locked="0"/>
    </xf>
    <xf numFmtId="0" fontId="43" fillId="0" borderId="0" xfId="0" applyFont="1" applyAlignment="1">
      <alignment horizontal="left" vertical="center" wrapText="1"/>
      <protection locked="0"/>
    </xf>
    <xf numFmtId="43" fontId="43" fillId="0" borderId="0" xfId="0" applyNumberFormat="1" applyFont="1" applyAlignment="1">
      <alignment horizontal="right" vertical="center" wrapText="1"/>
      <protection locked="0"/>
    </xf>
    <xf numFmtId="0" fontId="47" fillId="0" borderId="0" xfId="0" applyFont="1" applyAlignment="1">
      <alignment horizontal="right" vertical="center" wrapText="1"/>
      <protection locked="0"/>
    </xf>
    <xf numFmtId="43" fontId="47" fillId="0" borderId="0" xfId="1" applyFont="1" applyFill="1" applyBorder="1" applyAlignment="1" applyProtection="1">
      <alignment horizontal="right" vertical="center" wrapText="1"/>
      <protection locked="0"/>
    </xf>
    <xf numFmtId="43" fontId="11" fillId="0" borderId="0" xfId="575" applyNumberFormat="1" applyFont="1" applyFill="1" applyBorder="1" applyAlignment="1">
      <alignment vertical="center"/>
    </xf>
    <xf numFmtId="43" fontId="42" fillId="0" borderId="0" xfId="575" applyNumberFormat="1" applyFont="1" applyFill="1" applyBorder="1" applyAlignment="1">
      <alignment vertical="center"/>
    </xf>
    <xf numFmtId="43" fontId="43" fillId="0" borderId="0" xfId="575" applyNumberFormat="1" applyFont="1" applyFill="1" applyBorder="1" applyAlignment="1">
      <alignment vertical="center"/>
    </xf>
    <xf numFmtId="49" fontId="11" fillId="0" borderId="0" xfId="575" applyNumberFormat="1" applyFont="1" applyFill="1" applyBorder="1" applyAlignment="1">
      <alignment vertical="center"/>
    </xf>
    <xf numFmtId="0" fontId="50" fillId="0" borderId="0" xfId="0" applyFont="1" applyAlignment="1">
      <alignment horizontal="left" vertical="center"/>
      <protection locked="0"/>
    </xf>
    <xf numFmtId="0" fontId="43" fillId="0" borderId="0" xfId="0" applyFont="1" applyAlignment="1">
      <alignment horizontal="left" vertical="center"/>
      <protection locked="0"/>
    </xf>
    <xf numFmtId="10" fontId="46" fillId="0" borderId="5" xfId="2" applyNumberFormat="1" applyFont="1" applyFill="1" applyBorder="1" applyAlignment="1" applyProtection="1">
      <alignment vertical="center" shrinkToFit="1"/>
      <protection locked="0"/>
    </xf>
    <xf numFmtId="43" fontId="51" fillId="0" borderId="0" xfId="0" applyNumberFormat="1" applyFont="1" applyAlignment="1">
      <alignment vertical="center"/>
      <protection locked="0"/>
    </xf>
    <xf numFmtId="0" fontId="44" fillId="0" borderId="0" xfId="0" applyFont="1" applyAlignment="1">
      <alignment horizontal="left" vertical="center"/>
      <protection locked="0"/>
    </xf>
    <xf numFmtId="0" fontId="49" fillId="0" borderId="0" xfId="0" applyFont="1" applyAlignment="1">
      <alignment horizontal="justify" vertical="center" wrapText="1"/>
      <protection locked="0"/>
    </xf>
    <xf numFmtId="43" fontId="42" fillId="0" borderId="0" xfId="1" applyFont="1" applyFill="1" applyBorder="1" applyAlignment="1" applyProtection="1">
      <alignment horizontal="right" vertical="center" wrapText="1" shrinkToFit="1"/>
      <protection locked="0"/>
    </xf>
    <xf numFmtId="43" fontId="42" fillId="0" borderId="0" xfId="0" applyNumberFormat="1" applyFont="1" applyAlignment="1">
      <alignment horizontal="right" vertical="center" wrapText="1"/>
      <protection locked="0"/>
    </xf>
    <xf numFmtId="43" fontId="43" fillId="0" borderId="5" xfId="1" applyFont="1" applyFill="1" applyBorder="1" applyAlignment="1" applyProtection="1">
      <alignment horizontal="right" vertical="center" wrapText="1" shrinkToFit="1"/>
      <protection locked="0"/>
    </xf>
    <xf numFmtId="10" fontId="42" fillId="0" borderId="5" xfId="2" applyNumberFormat="1" applyFont="1" applyFill="1" applyBorder="1" applyAlignment="1" applyProtection="1">
      <alignment horizontal="right" vertical="center" wrapText="1"/>
      <protection locked="0"/>
    </xf>
    <xf numFmtId="0" fontId="43" fillId="0" borderId="5" xfId="0" applyFont="1" applyBorder="1" applyAlignment="1">
      <alignment horizontal="right" vertical="center" wrapText="1"/>
      <protection locked="0"/>
    </xf>
    <xf numFmtId="0" fontId="42" fillId="0" borderId="0" xfId="0" applyFont="1" applyAlignment="1">
      <alignment horizontal="justify" vertical="center" wrapText="1"/>
      <protection locked="0"/>
    </xf>
    <xf numFmtId="10" fontId="42" fillId="0" borderId="7" xfId="2" applyNumberFormat="1" applyFont="1" applyFill="1" applyBorder="1" applyAlignment="1" applyProtection="1">
      <alignment horizontal="right" vertical="center"/>
      <protection locked="0"/>
    </xf>
    <xf numFmtId="43" fontId="42" fillId="0" borderId="7" xfId="0" applyNumberFormat="1" applyFont="1" applyBorder="1" applyAlignment="1">
      <alignment horizontal="right" vertical="center"/>
      <protection locked="0"/>
    </xf>
    <xf numFmtId="43" fontId="42" fillId="0" borderId="7" xfId="1" applyFont="1" applyFill="1" applyBorder="1" applyAlignment="1" applyProtection="1">
      <alignment horizontal="right" vertical="center" shrinkToFit="1"/>
      <protection locked="0"/>
    </xf>
    <xf numFmtId="10" fontId="42" fillId="0" borderId="0" xfId="2" applyNumberFormat="1" applyFont="1" applyFill="1" applyBorder="1" applyAlignment="1" applyProtection="1">
      <alignment horizontal="right" vertical="center"/>
      <protection locked="0"/>
    </xf>
    <xf numFmtId="43" fontId="42" fillId="0" borderId="0" xfId="0" applyNumberFormat="1" applyFont="1" applyAlignment="1">
      <alignment horizontal="right" vertical="center"/>
      <protection locked="0"/>
    </xf>
    <xf numFmtId="43" fontId="42" fillId="0" borderId="0" xfId="1" applyFont="1" applyFill="1" applyBorder="1" applyAlignment="1" applyProtection="1">
      <alignment horizontal="right" vertical="center" shrinkToFit="1"/>
      <protection locked="0"/>
    </xf>
    <xf numFmtId="43" fontId="42" fillId="0" borderId="8" xfId="0" applyNumberFormat="1" applyFont="1" applyBorder="1" applyAlignment="1">
      <alignment horizontal="right" vertical="center"/>
      <protection locked="0"/>
    </xf>
    <xf numFmtId="43" fontId="42" fillId="0" borderId="8" xfId="1" applyFont="1" applyFill="1" applyBorder="1" applyAlignment="1" applyProtection="1">
      <alignment horizontal="right" vertical="center" shrinkToFit="1"/>
      <protection locked="0"/>
    </xf>
    <xf numFmtId="43" fontId="43" fillId="0" borderId="5" xfId="1" applyFont="1" applyFill="1" applyBorder="1" applyAlignment="1" applyProtection="1">
      <alignment vertical="center" shrinkToFit="1"/>
      <protection locked="0"/>
    </xf>
    <xf numFmtId="10" fontId="43" fillId="0" borderId="5" xfId="2" applyNumberFormat="1" applyFont="1" applyFill="1" applyBorder="1" applyAlignment="1" applyProtection="1">
      <alignment horizontal="right" vertical="center"/>
      <protection locked="0"/>
    </xf>
    <xf numFmtId="43" fontId="43" fillId="0" borderId="5" xfId="1" applyFont="1" applyFill="1" applyBorder="1" applyAlignment="1" applyProtection="1">
      <alignment horizontal="right" vertical="center" shrinkToFit="1"/>
      <protection locked="0"/>
    </xf>
    <xf numFmtId="0" fontId="50" fillId="0" borderId="5" xfId="0" applyFont="1" applyBorder="1" applyAlignment="1">
      <alignment horizontal="center" vertical="center" wrapText="1"/>
      <protection locked="0"/>
    </xf>
    <xf numFmtId="0" fontId="47" fillId="0" borderId="0" xfId="0" applyFont="1" applyAlignment="1">
      <alignment horizontal="justify" vertical="center" wrapText="1"/>
      <protection locked="0"/>
    </xf>
    <xf numFmtId="10" fontId="43" fillId="0" borderId="5" xfId="2" applyNumberFormat="1" applyFont="1" applyFill="1" applyBorder="1" applyAlignment="1" applyProtection="1">
      <alignment vertical="center" shrinkToFit="1"/>
      <protection locked="0"/>
    </xf>
    <xf numFmtId="0" fontId="42" fillId="0" borderId="5" xfId="0" applyFont="1" applyBorder="1" applyAlignment="1">
      <alignment horizontal="center" vertical="center" wrapText="1"/>
      <protection locked="0"/>
    </xf>
    <xf numFmtId="0" fontId="43" fillId="0" borderId="5" xfId="0" applyFont="1" applyBorder="1" applyAlignment="1">
      <alignment horizontal="justify" vertical="center" wrapText="1"/>
      <protection locked="0"/>
    </xf>
    <xf numFmtId="0" fontId="52" fillId="0" borderId="5" xfId="0" applyFont="1" applyBorder="1" applyAlignment="1">
      <alignment horizontal="center" vertical="center" wrapText="1"/>
      <protection locked="0"/>
    </xf>
    <xf numFmtId="0" fontId="3" fillId="0" borderId="7" xfId="0" applyFont="1" applyBorder="1" applyAlignment="1">
      <alignment horizontal="justify" vertical="center" wrapText="1"/>
      <protection locked="0"/>
    </xf>
    <xf numFmtId="0" fontId="44" fillId="0" borderId="0" xfId="0" applyFont="1" applyAlignment="1">
      <alignment horizontal="justify" vertical="center" wrapText="1"/>
      <protection locked="0"/>
    </xf>
    <xf numFmtId="0" fontId="49" fillId="0" borderId="8" xfId="0" applyFont="1" applyBorder="1" applyAlignment="1">
      <alignment horizontal="justify" vertical="center" wrapText="1"/>
      <protection locked="0"/>
    </xf>
    <xf numFmtId="0" fontId="3" fillId="0" borderId="8" xfId="0" applyFont="1" applyBorder="1" applyAlignment="1">
      <alignment horizontal="justify" vertical="center" wrapText="1"/>
      <protection locked="0"/>
    </xf>
    <xf numFmtId="43" fontId="46" fillId="0" borderId="8" xfId="0" applyNumberFormat="1" applyFont="1" applyBorder="1" applyAlignment="1">
      <alignment vertical="center"/>
      <protection locked="0"/>
    </xf>
    <xf numFmtId="49" fontId="47" fillId="0" borderId="0" xfId="0" applyNumberFormat="1" applyFont="1" applyAlignment="1">
      <alignment horizontal="left" vertical="center"/>
      <protection locked="0"/>
    </xf>
    <xf numFmtId="49" fontId="43" fillId="0" borderId="0" xfId="0" applyNumberFormat="1" applyFont="1" applyAlignment="1">
      <alignment horizontal="left" vertical="center"/>
      <protection locked="0"/>
    </xf>
    <xf numFmtId="43" fontId="47" fillId="0" borderId="0" xfId="1" applyFont="1" applyFill="1" applyBorder="1" applyAlignment="1" applyProtection="1">
      <alignment horizontal="right" vertical="center"/>
      <protection locked="0"/>
    </xf>
    <xf numFmtId="0" fontId="47" fillId="0" borderId="0" xfId="0" applyFont="1" applyAlignment="1">
      <alignment horizontal="left" vertical="center"/>
      <protection locked="0"/>
    </xf>
    <xf numFmtId="43" fontId="43" fillId="0" borderId="5" xfId="0" applyNumberFormat="1" applyFont="1" applyBorder="1" applyAlignment="1">
      <alignment horizontal="right" vertical="center" wrapText="1"/>
      <protection locked="0"/>
    </xf>
    <xf numFmtId="0" fontId="47" fillId="0" borderId="0" xfId="0" applyFont="1" applyAlignment="1">
      <alignment vertical="center" wrapText="1"/>
      <protection locked="0"/>
    </xf>
    <xf numFmtId="0" fontId="42" fillId="0" borderId="5" xfId="0" applyFont="1" applyBorder="1" applyAlignment="1">
      <alignment horizontal="justify" vertical="center" wrapText="1"/>
      <protection locked="0"/>
    </xf>
    <xf numFmtId="43" fontId="42" fillId="0" borderId="5" xfId="0" applyNumberFormat="1" applyFont="1" applyBorder="1" applyAlignment="1">
      <alignment horizontal="center" vertical="center" wrapText="1"/>
      <protection locked="0"/>
    </xf>
    <xf numFmtId="0" fontId="42" fillId="0" borderId="0" xfId="0" applyFont="1" applyAlignment="1">
      <alignment horizontal="right" vertical="center"/>
      <protection locked="0"/>
    </xf>
    <xf numFmtId="0" fontId="47" fillId="0" borderId="0" xfId="0" applyFont="1" applyAlignment="1">
      <alignment horizontal="right" vertical="center"/>
      <protection locked="0"/>
    </xf>
    <xf numFmtId="0" fontId="43" fillId="0" borderId="5" xfId="0" applyFont="1" applyBorder="1" applyAlignment="1">
      <alignment horizontal="center" vertical="center"/>
      <protection locked="0"/>
    </xf>
    <xf numFmtId="0" fontId="47" fillId="0" borderId="5" xfId="0" applyFont="1" applyBorder="1" applyAlignment="1">
      <alignment horizontal="right" vertical="center"/>
      <protection locked="0"/>
    </xf>
    <xf numFmtId="0" fontId="51" fillId="0" borderId="0" xfId="0" applyFont="1" applyAlignment="1">
      <alignment horizontal="justify" vertical="center"/>
      <protection locked="0"/>
    </xf>
    <xf numFmtId="10" fontId="43" fillId="0" borderId="5" xfId="2" applyNumberFormat="1" applyFont="1" applyFill="1" applyBorder="1" applyAlignment="1" applyProtection="1">
      <alignment horizontal="right" vertical="center" shrinkToFit="1"/>
      <protection locked="0"/>
    </xf>
    <xf numFmtId="43" fontId="42" fillId="0" borderId="0" xfId="1" applyFont="1" applyFill="1" applyBorder="1" applyAlignment="1" applyProtection="1">
      <alignment horizontal="left" vertical="center" wrapText="1"/>
      <protection locked="0"/>
    </xf>
    <xf numFmtId="43" fontId="43" fillId="0" borderId="5" xfId="0" applyNumberFormat="1" applyFont="1" applyBorder="1" applyAlignment="1">
      <alignment horizontal="left" vertical="center" wrapText="1"/>
      <protection locked="0"/>
    </xf>
    <xf numFmtId="43" fontId="43" fillId="0" borderId="0" xfId="1" applyFont="1" applyFill="1" applyBorder="1" applyAlignment="1" applyProtection="1">
      <alignment horizontal="right" vertical="center" wrapText="1"/>
      <protection locked="0"/>
    </xf>
    <xf numFmtId="43" fontId="6" fillId="0" borderId="0" xfId="575" applyNumberFormat="1" applyFont="1" applyBorder="1" applyAlignment="1">
      <alignment vertical="center"/>
    </xf>
    <xf numFmtId="43" fontId="6" fillId="0" borderId="0" xfId="575" applyNumberFormat="1" applyFont="1" applyFill="1" applyBorder="1" applyAlignment="1">
      <alignment vertical="center"/>
    </xf>
    <xf numFmtId="43" fontId="2" fillId="0" borderId="0" xfId="575" applyNumberFormat="1" applyFont="1" applyFill="1" applyBorder="1" applyAlignment="1">
      <alignment vertical="center"/>
    </xf>
    <xf numFmtId="0" fontId="5" fillId="3" borderId="1" xfId="0" applyFont="1" applyFill="1" applyBorder="1" applyAlignment="1" applyProtection="1">
      <alignment horizontal="center" vertical="center"/>
    </xf>
    <xf numFmtId="0" fontId="5" fillId="3" borderId="1" xfId="0" applyFont="1" applyFill="1" applyBorder="1" applyAlignment="1" applyProtection="1">
      <alignment vertical="center"/>
    </xf>
    <xf numFmtId="176" fontId="6" fillId="3" borderId="1" xfId="533" applyFont="1" applyFill="1" applyBorder="1" applyAlignment="1" applyProtection="1">
      <alignment horizontal="center" vertical="center" wrapText="1"/>
      <protection locked="0"/>
    </xf>
    <xf numFmtId="0" fontId="7" fillId="0" borderId="1" xfId="0" applyFont="1" applyBorder="1" applyAlignment="1" applyProtection="1">
      <alignment vertical="center"/>
    </xf>
    <xf numFmtId="0" fontId="2" fillId="0" borderId="1" xfId="0" applyFont="1" applyBorder="1" applyAlignment="1" applyProtection="1">
      <alignment vertical="center"/>
    </xf>
    <xf numFmtId="0" fontId="9" fillId="0" borderId="1" xfId="0" applyFont="1" applyBorder="1" applyAlignment="1" applyProtection="1">
      <alignment horizontal="left" vertical="center" indent="1"/>
    </xf>
    <xf numFmtId="0" fontId="5" fillId="2" borderId="1" xfId="0" applyFont="1" applyFill="1" applyBorder="1" applyAlignment="1" applyProtection="1">
      <alignment vertical="center"/>
    </xf>
    <xf numFmtId="43" fontId="8" fillId="2" borderId="1" xfId="1" applyFont="1" applyFill="1" applyBorder="1" applyAlignment="1">
      <alignment horizontal="right" vertical="center"/>
    </xf>
    <xf numFmtId="0" fontId="5" fillId="0" borderId="1" xfId="0" applyFont="1" applyBorder="1" applyAlignment="1" applyProtection="1">
      <alignment horizontal="center" vertical="center"/>
    </xf>
    <xf numFmtId="43" fontId="8" fillId="6" borderId="1" xfId="1" applyFont="1" applyFill="1" applyBorder="1" applyAlignment="1">
      <alignment horizontal="right" vertical="center"/>
    </xf>
    <xf numFmtId="43" fontId="8" fillId="0" borderId="2" xfId="1" applyFont="1" applyFill="1" applyBorder="1" applyAlignment="1">
      <alignment horizontal="right" vertical="center"/>
    </xf>
    <xf numFmtId="43" fontId="8" fillId="0" borderId="0" xfId="1" applyFont="1" applyFill="1" applyBorder="1" applyAlignment="1">
      <alignment horizontal="right" vertical="center"/>
    </xf>
    <xf numFmtId="43" fontId="8" fillId="3" borderId="0" xfId="1" applyFont="1" applyFill="1" applyBorder="1" applyAlignment="1">
      <alignment horizontal="right" vertical="center"/>
    </xf>
    <xf numFmtId="0" fontId="5" fillId="0" borderId="0" xfId="0" applyFont="1" applyBorder="1" applyAlignment="1" applyProtection="1">
      <alignment horizontal="center" vertical="center"/>
    </xf>
    <xf numFmtId="43" fontId="7" fillId="0" borderId="0" xfId="1" applyFont="1" applyFill="1" applyBorder="1" applyAlignment="1">
      <alignment horizontal="right" vertical="center"/>
    </xf>
    <xf numFmtId="43" fontId="6" fillId="0" borderId="0" xfId="575" applyNumberFormat="1" applyFont="1" applyBorder="1" applyAlignment="1">
      <alignment horizontal="left" vertical="center"/>
    </xf>
    <xf numFmtId="43" fontId="53" fillId="0" borderId="0" xfId="3" applyNumberFormat="1" applyFont="1" applyBorder="1" applyAlignment="1" applyProtection="1">
      <alignment horizontal="center" vertical="center"/>
    </xf>
    <xf numFmtId="0" fontId="2" fillId="0" borderId="0" xfId="573" applyFont="1" applyBorder="1" applyAlignment="1">
      <alignment vertical="center"/>
    </xf>
    <xf numFmtId="9" fontId="54" fillId="0" borderId="0" xfId="2" applyFont="1" applyBorder="1" applyAlignment="1">
      <alignment horizontal="left" vertical="center"/>
    </xf>
    <xf numFmtId="10" fontId="55" fillId="3" borderId="0" xfId="2" applyNumberFormat="1" applyFont="1" applyFill="1" applyBorder="1" applyAlignment="1">
      <alignment horizontal="center" vertical="center"/>
    </xf>
    <xf numFmtId="10" fontId="54" fillId="0" borderId="0" xfId="2" applyNumberFormat="1" applyFont="1" applyBorder="1" applyAlignment="1">
      <alignment horizontal="left" vertical="center"/>
    </xf>
    <xf numFmtId="0" fontId="2" fillId="0" borderId="0" xfId="573" applyFont="1" applyBorder="1" applyAlignment="1">
      <alignment horizontal="left" vertical="center"/>
    </xf>
    <xf numFmtId="0" fontId="6" fillId="0" borderId="0" xfId="573" applyFont="1" applyAlignment="1">
      <alignment vertical="center"/>
    </xf>
    <xf numFmtId="0" fontId="2" fillId="0" borderId="0" xfId="573" applyFont="1" applyAlignment="1">
      <alignment vertical="center"/>
    </xf>
    <xf numFmtId="176" fontId="5" fillId="3" borderId="1" xfId="526" applyNumberFormat="1" applyFont="1" applyFill="1" applyBorder="1" applyAlignment="1">
      <alignment horizontal="center" vertical="center" wrapText="1"/>
      <protection locked="0"/>
    </xf>
    <xf numFmtId="176" fontId="6" fillId="3" borderId="1" xfId="526" applyNumberFormat="1" applyFont="1" applyFill="1" applyBorder="1" applyAlignment="1">
      <alignment horizontal="center" vertical="center"/>
      <protection locked="0"/>
    </xf>
    <xf numFmtId="43" fontId="11" fillId="3" borderId="1" xfId="1" applyFont="1" applyFill="1" applyBorder="1" applyAlignment="1">
      <alignment horizontal="right" vertical="center" wrapText="1"/>
    </xf>
    <xf numFmtId="10" fontId="11" fillId="3" borderId="1" xfId="2" applyNumberFormat="1" applyFont="1" applyFill="1" applyBorder="1" applyAlignment="1">
      <alignment horizontal="right" vertical="center" wrapText="1"/>
    </xf>
    <xf numFmtId="43" fontId="2" fillId="3" borderId="1" xfId="1" applyFont="1" applyFill="1" applyBorder="1" applyAlignment="1">
      <alignment horizontal="right" vertical="center" wrapText="1"/>
    </xf>
    <xf numFmtId="43" fontId="2" fillId="0" borderId="1" xfId="1" applyFont="1" applyFill="1" applyBorder="1" applyAlignment="1">
      <alignment horizontal="right" vertical="center" wrapText="1"/>
    </xf>
    <xf numFmtId="43" fontId="11" fillId="2" borderId="1" xfId="1" applyFont="1" applyFill="1" applyBorder="1" applyAlignment="1">
      <alignment horizontal="right" vertical="center" wrapText="1"/>
    </xf>
    <xf numFmtId="10" fontId="11" fillId="2" borderId="1" xfId="2" applyNumberFormat="1" applyFont="1" applyFill="1" applyBorder="1" applyAlignment="1">
      <alignment horizontal="right" vertical="center" wrapText="1"/>
    </xf>
    <xf numFmtId="43" fontId="2" fillId="2" borderId="1" xfId="1" applyFont="1" applyFill="1" applyBorder="1" applyAlignment="1">
      <alignment horizontal="right" vertical="center" wrapText="1"/>
    </xf>
    <xf numFmtId="43" fontId="11" fillId="0" borderId="2" xfId="1" applyFont="1" applyFill="1" applyBorder="1" applyAlignment="1">
      <alignment horizontal="right" vertical="center" wrapText="1"/>
    </xf>
    <xf numFmtId="10" fontId="11" fillId="0" borderId="0" xfId="2" applyNumberFormat="1" applyFont="1" applyFill="1" applyBorder="1" applyAlignment="1">
      <alignment horizontal="right" vertical="center" wrapText="1"/>
    </xf>
    <xf numFmtId="43" fontId="2" fillId="0" borderId="0" xfId="1" applyFont="1" applyFill="1" applyBorder="1" applyAlignment="1">
      <alignment horizontal="right" vertical="center" wrapText="1"/>
    </xf>
    <xf numFmtId="43" fontId="11" fillId="0" borderId="0" xfId="1" applyFont="1" applyFill="1" applyBorder="1" applyAlignment="1">
      <alignment horizontal="right" vertical="center" wrapText="1"/>
    </xf>
    <xf numFmtId="10" fontId="2" fillId="0" borderId="0" xfId="2" applyNumberFormat="1" applyFont="1" applyFill="1" applyBorder="1" applyAlignment="1">
      <alignment horizontal="right" vertical="center" wrapText="1"/>
    </xf>
    <xf numFmtId="0" fontId="6" fillId="0" borderId="0" xfId="573" applyFont="1" applyBorder="1" applyAlignment="1">
      <alignment vertical="center"/>
    </xf>
    <xf numFmtId="0" fontId="57" fillId="0" borderId="0" xfId="0" applyFont="1" applyAlignment="1">
      <alignment vertical="center"/>
      <protection locked="0"/>
    </xf>
    <xf numFmtId="0" fontId="2" fillId="0" borderId="0" xfId="0" applyFont="1" applyAlignment="1">
      <alignment horizontal="right" vertical="center"/>
      <protection locked="0"/>
    </xf>
    <xf numFmtId="0" fontId="6" fillId="0" borderId="0" xfId="0" applyFont="1" applyAlignment="1">
      <alignment horizontal="left" vertical="center"/>
      <protection locked="0"/>
    </xf>
    <xf numFmtId="0" fontId="2" fillId="0" borderId="0" xfId="576" applyFont="1">
      <alignment vertical="center"/>
    </xf>
    <xf numFmtId="0" fontId="57" fillId="0" borderId="0" xfId="576" applyFont="1">
      <alignment vertical="center"/>
    </xf>
    <xf numFmtId="0" fontId="2" fillId="0" borderId="0" xfId="0" applyFont="1" applyBorder="1" applyAlignment="1">
      <alignment vertical="center"/>
      <protection locked="0"/>
    </xf>
    <xf numFmtId="49" fontId="6" fillId="0" borderId="0" xfId="0" applyNumberFormat="1" applyFont="1" applyAlignment="1">
      <alignment horizontal="left" vertical="center"/>
      <protection locked="0"/>
    </xf>
    <xf numFmtId="0" fontId="6" fillId="0" borderId="0" xfId="0" applyFont="1" applyAlignment="1">
      <alignment horizontal="justify" vertical="center"/>
      <protection locked="0"/>
    </xf>
    <xf numFmtId="0" fontId="6" fillId="0" borderId="0" xfId="0" applyFont="1" applyAlignment="1">
      <alignment vertical="center"/>
      <protection locked="0"/>
    </xf>
    <xf numFmtId="0" fontId="6" fillId="0" borderId="0" xfId="0" applyFont="1" applyAlignment="1">
      <alignment horizontal="center" vertical="center"/>
      <protection locked="0"/>
    </xf>
    <xf numFmtId="0" fontId="2" fillId="0" borderId="1" xfId="0" applyFont="1" applyBorder="1" applyAlignment="1">
      <alignment horizontal="left" vertical="center" wrapText="1"/>
      <protection locked="0"/>
    </xf>
    <xf numFmtId="0" fontId="6" fillId="7" borderId="1" xfId="0" applyFont="1" applyFill="1" applyBorder="1" applyAlignment="1">
      <alignment horizontal="center" vertical="center" wrapText="1"/>
      <protection locked="0"/>
    </xf>
    <xf numFmtId="0" fontId="58" fillId="7" borderId="1" xfId="0" applyFont="1" applyFill="1" applyBorder="1" applyAlignment="1">
      <alignment horizontal="center" vertical="center" wrapText="1"/>
      <protection locked="0"/>
    </xf>
    <xf numFmtId="49" fontId="11" fillId="0" borderId="1" xfId="576" applyNumberFormat="1" applyFont="1" applyBorder="1" applyAlignment="1">
      <alignment horizontal="center" vertical="center"/>
    </xf>
    <xf numFmtId="0" fontId="7" fillId="0" borderId="1" xfId="0" applyFont="1" applyBorder="1" applyAlignment="1">
      <alignment horizontal="center" vertical="center" wrapText="1"/>
      <protection locked="0"/>
    </xf>
    <xf numFmtId="0" fontId="57" fillId="0" borderId="1" xfId="561" applyFont="1" applyFill="1" applyBorder="1" applyAlignment="1">
      <alignment horizontal="center" vertical="center" wrapText="1"/>
    </xf>
    <xf numFmtId="0" fontId="59" fillId="0" borderId="1" xfId="561" applyFont="1" applyFill="1" applyBorder="1" applyAlignment="1">
      <alignment horizontal="center" vertical="center" wrapText="1"/>
    </xf>
    <xf numFmtId="0" fontId="58" fillId="0" borderId="1" xfId="561" applyFont="1" applyFill="1" applyBorder="1" applyAlignment="1">
      <alignment horizontal="center" vertical="center" wrapText="1"/>
    </xf>
    <xf numFmtId="0" fontId="57" fillId="0" borderId="1" xfId="561" applyFont="1" applyFill="1" applyBorder="1" applyAlignment="1">
      <alignment vertical="center" wrapText="1"/>
    </xf>
    <xf numFmtId="176" fontId="57" fillId="0" borderId="1" xfId="522" applyFont="1" applyBorder="1" applyAlignment="1" applyProtection="1">
      <alignment horizontal="center" vertical="center" wrapText="1"/>
    </xf>
    <xf numFmtId="0" fontId="2" fillId="0" borderId="1" xfId="0" applyFont="1" applyBorder="1" applyAlignment="1">
      <alignment horizontal="justify" vertical="center" wrapText="1"/>
      <protection locked="0"/>
    </xf>
    <xf numFmtId="0" fontId="2" fillId="0" borderId="1" xfId="0" applyFont="1" applyBorder="1" applyAlignment="1">
      <alignment vertical="center" wrapText="1"/>
      <protection locked="0"/>
    </xf>
    <xf numFmtId="0" fontId="11" fillId="0" borderId="1" xfId="0" applyFont="1" applyBorder="1">
      <protection locked="0"/>
    </xf>
    <xf numFmtId="0" fontId="60" fillId="0" borderId="1" xfId="561" applyFont="1" applyBorder="1" applyAlignment="1">
      <alignment horizontal="center" vertical="center" wrapText="1"/>
    </xf>
    <xf numFmtId="0" fontId="59" fillId="0" borderId="1" xfId="561" applyFont="1" applyBorder="1" applyAlignment="1">
      <alignment horizontal="center" vertical="center" wrapText="1"/>
    </xf>
    <xf numFmtId="0" fontId="59" fillId="0" borderId="1" xfId="561" applyFont="1" applyFill="1" applyBorder="1" applyAlignment="1">
      <alignment vertical="center" wrapText="1"/>
    </xf>
    <xf numFmtId="0" fontId="11" fillId="0" borderId="1" xfId="0" applyFont="1" applyBorder="1" applyAlignment="1">
      <alignment horizontal="center" vertical="center" wrapText="1"/>
      <protection locked="0"/>
    </xf>
    <xf numFmtId="0" fontId="11" fillId="0" borderId="1" xfId="0" applyFont="1" applyBorder="1" applyAlignment="1">
      <alignment vertical="center" wrapText="1"/>
      <protection locked="0"/>
    </xf>
    <xf numFmtId="0" fontId="57" fillId="0" borderId="1" xfId="0" applyFont="1" applyBorder="1" applyAlignment="1" applyProtection="1">
      <alignment horizontal="center" vertical="center" wrapText="1"/>
    </xf>
    <xf numFmtId="0" fontId="2" fillId="0" borderId="1" xfId="524" applyFont="1" applyBorder="1" applyAlignment="1">
      <alignment horizontal="left" vertical="center" wrapText="1"/>
      <protection locked="0"/>
    </xf>
    <xf numFmtId="0" fontId="57" fillId="0" borderId="1" xfId="561" applyNumberFormat="1" applyFont="1" applyFill="1" applyBorder="1" applyAlignment="1">
      <alignment horizontal="center" vertical="center" wrapText="1"/>
    </xf>
    <xf numFmtId="0" fontId="2" fillId="0" borderId="0" xfId="577" applyNumberFormat="1" applyFont="1" applyAlignment="1">
      <alignment vertical="center" wrapText="1"/>
    </xf>
    <xf numFmtId="0" fontId="6" fillId="0" borderId="0" xfId="576" applyFont="1">
      <alignment vertical="center"/>
    </xf>
    <xf numFmtId="0" fontId="26" fillId="0" borderId="1" xfId="561" applyFont="1" applyFill="1" applyBorder="1" applyAlignment="1">
      <alignment horizontal="center" vertical="center" wrapText="1"/>
    </xf>
    <xf numFmtId="0" fontId="61" fillId="4" borderId="0" xfId="561" applyFont="1" applyFill="1" applyAlignment="1" applyProtection="1">
      <alignment horizontal="left" vertical="center" wrapText="1"/>
      <protection locked="0"/>
    </xf>
    <xf numFmtId="0" fontId="11" fillId="0" borderId="1" xfId="561" applyFont="1" applyFill="1" applyBorder="1" applyAlignment="1">
      <alignment horizontal="center" vertical="center" wrapText="1"/>
    </xf>
    <xf numFmtId="0" fontId="62" fillId="4" borderId="0" xfId="561" applyFont="1" applyFill="1" applyAlignment="1" applyProtection="1">
      <alignment horizontal="left" vertical="center" wrapText="1"/>
      <protection locked="0"/>
    </xf>
    <xf numFmtId="0" fontId="62" fillId="0" borderId="0" xfId="0" applyFont="1">
      <protection locked="0"/>
    </xf>
    <xf numFmtId="0" fontId="11" fillId="0" borderId="1" xfId="0" applyFont="1" applyBorder="1" applyAlignment="1">
      <alignment horizontal="center" vertical="center"/>
      <protection locked="0"/>
    </xf>
    <xf numFmtId="0" fontId="2" fillId="8" borderId="0" xfId="0" applyFont="1" applyFill="1" applyAlignment="1">
      <alignment horizontal="justify" vertical="center" wrapText="1"/>
      <protection locked="0"/>
    </xf>
    <xf numFmtId="0" fontId="2" fillId="0" borderId="0" xfId="0" applyFont="1" applyAlignment="1">
      <alignment horizontal="justify" vertical="center" wrapText="1"/>
      <protection locked="0"/>
    </xf>
    <xf numFmtId="0" fontId="11" fillId="0" borderId="12" xfId="0" applyFont="1" applyBorder="1" applyAlignment="1">
      <alignment horizontal="center" vertical="center"/>
      <protection locked="0"/>
    </xf>
    <xf numFmtId="0" fontId="62" fillId="0" borderId="0" xfId="0" applyFont="1" applyAlignment="1">
      <alignment vertical="center"/>
      <protection locked="0"/>
    </xf>
    <xf numFmtId="0" fontId="24" fillId="0" borderId="1" xfId="0" applyFont="1" applyBorder="1" applyAlignment="1" applyProtection="1">
      <alignment horizontal="center" vertical="center" wrapText="1"/>
    </xf>
    <xf numFmtId="0" fontId="11" fillId="0" borderId="1" xfId="0" applyNumberFormat="1" applyFont="1" applyBorder="1" applyAlignment="1" applyProtection="1">
      <alignment horizontal="center" vertical="center" wrapText="1"/>
      <protection locked="0"/>
    </xf>
    <xf numFmtId="0" fontId="11" fillId="8" borderId="0" xfId="0" applyFont="1" applyFill="1" applyBorder="1" applyAlignment="1">
      <alignment horizontal="justify" vertical="center" wrapText="1"/>
      <protection locked="0"/>
    </xf>
    <xf numFmtId="0" fontId="4" fillId="0" borderId="0" xfId="0" applyFont="1" applyAlignment="1">
      <alignment horizontal="center" vertical="center"/>
      <protection locked="0"/>
    </xf>
    <xf numFmtId="176" fontId="62" fillId="0" borderId="0" xfId="701" applyFont="1" applyFill="1" applyAlignment="1">
      <alignment horizontal="left" vertical="center"/>
    </xf>
    <xf numFmtId="0" fontId="172" fillId="0" borderId="0" xfId="524" applyFont="1" applyAlignment="1" applyProtection="1">
      <alignment horizontal="left" vertical="center"/>
    </xf>
    <xf numFmtId="0" fontId="173" fillId="0" borderId="0" xfId="0" applyFont="1" applyAlignment="1" applyProtection="1">
      <alignment horizontal="left" vertical="center"/>
    </xf>
    <xf numFmtId="0" fontId="11" fillId="0" borderId="0" xfId="513" applyFont="1" applyAlignment="1" applyProtection="1">
      <alignment vertical="center"/>
      <protection locked="0"/>
    </xf>
    <xf numFmtId="43" fontId="24" fillId="59" borderId="1" xfId="0" applyNumberFormat="1" applyFont="1" applyFill="1" applyBorder="1" applyAlignment="1" applyProtection="1">
      <alignment horizontal="right" vertical="center" shrinkToFit="1"/>
    </xf>
    <xf numFmtId="0" fontId="174" fillId="0" borderId="0" xfId="3" applyFont="1" applyAlignment="1">
      <alignment horizontal="left" vertical="center"/>
      <protection locked="0"/>
    </xf>
    <xf numFmtId="43" fontId="174" fillId="0" borderId="0" xfId="3" applyNumberFormat="1" applyFont="1" applyBorder="1" applyAlignment="1" applyProtection="1">
      <alignment vertical="center"/>
    </xf>
    <xf numFmtId="0" fontId="175" fillId="0" borderId="12" xfId="3" applyFont="1" applyBorder="1" applyAlignment="1">
      <alignment vertical="center"/>
      <protection locked="0"/>
    </xf>
    <xf numFmtId="0" fontId="43" fillId="0" borderId="0" xfId="0" applyFont="1" applyAlignment="1">
      <alignment horizontal="left" vertical="center" wrapText="1"/>
      <protection locked="0"/>
    </xf>
    <xf numFmtId="0" fontId="42" fillId="0" borderId="0" xfId="0" applyFont="1" applyAlignment="1">
      <alignment horizontal="left" vertical="center" wrapText="1"/>
      <protection locked="0"/>
    </xf>
    <xf numFmtId="0" fontId="6" fillId="7" borderId="1" xfId="0" applyFont="1" applyFill="1" applyBorder="1" applyAlignment="1">
      <alignment horizontal="center" vertical="center" wrapText="1"/>
      <protection locked="0"/>
    </xf>
    <xf numFmtId="0" fontId="6" fillId="2" borderId="1" xfId="0" applyFont="1" applyFill="1" applyBorder="1" applyAlignment="1">
      <alignment horizontal="center" vertical="center"/>
      <protection locked="0"/>
    </xf>
    <xf numFmtId="0" fontId="2" fillId="0" borderId="1" xfId="0" applyFont="1" applyBorder="1" applyAlignment="1">
      <alignment horizontal="center" vertical="center" wrapText="1"/>
      <protection locked="0"/>
    </xf>
    <xf numFmtId="0" fontId="6" fillId="0" borderId="0" xfId="0" applyFont="1" applyAlignment="1">
      <alignment horizontal="left" vertical="center"/>
      <protection locked="0"/>
    </xf>
    <xf numFmtId="0" fontId="6" fillId="7" borderId="1" xfId="0" applyFont="1" applyFill="1" applyBorder="1" applyAlignment="1">
      <alignment horizontal="center" vertical="center"/>
      <protection locked="0"/>
    </xf>
    <xf numFmtId="49" fontId="6" fillId="7" borderId="1" xfId="0" applyNumberFormat="1" applyFont="1" applyFill="1" applyBorder="1" applyAlignment="1">
      <alignment horizontal="center" vertical="center"/>
      <protection locked="0"/>
    </xf>
    <xf numFmtId="0" fontId="6" fillId="59" borderId="1" xfId="561" applyFont="1" applyFill="1" applyBorder="1" applyAlignment="1" applyProtection="1">
      <alignment horizontal="center" vertical="center" wrapText="1"/>
      <protection locked="0"/>
    </xf>
    <xf numFmtId="0" fontId="167" fillId="0" borderId="1" xfId="0" applyFont="1" applyBorder="1" applyAlignment="1">
      <alignment horizontal="left" vertical="center" wrapText="1"/>
      <protection locked="0"/>
    </xf>
    <xf numFmtId="0" fontId="2" fillId="0" borderId="1" xfId="0" applyFont="1" applyBorder="1" applyAlignment="1">
      <alignment horizontal="left" vertical="center" wrapText="1"/>
      <protection locked="0"/>
    </xf>
    <xf numFmtId="0" fontId="2" fillId="0" borderId="0" xfId="0" applyFont="1" applyBorder="1" applyAlignment="1">
      <alignment horizontal="left" vertical="center" wrapText="1"/>
      <protection locked="0"/>
    </xf>
    <xf numFmtId="0" fontId="6" fillId="2" borderId="1" xfId="0" applyFont="1" applyFill="1" applyBorder="1" applyAlignment="1">
      <alignment horizontal="center" vertical="center" wrapText="1"/>
      <protection locked="0"/>
    </xf>
    <xf numFmtId="0" fontId="3" fillId="0" borderId="0" xfId="572" applyFont="1" applyAlignment="1">
      <alignment horizontal="center" vertical="center"/>
    </xf>
    <xf numFmtId="0" fontId="4" fillId="0" borderId="0" xfId="572" applyFont="1" applyAlignment="1">
      <alignment horizontal="center" vertical="center"/>
    </xf>
    <xf numFmtId="0" fontId="2" fillId="0" borderId="0" xfId="0" applyFont="1" applyAlignment="1">
      <alignment horizontal="left" vertical="center"/>
      <protection locked="0"/>
    </xf>
    <xf numFmtId="43" fontId="3" fillId="0" borderId="0" xfId="575" applyNumberFormat="1" applyFont="1" applyBorder="1" applyAlignment="1">
      <alignment horizontal="center" vertical="center"/>
    </xf>
    <xf numFmtId="43" fontId="4" fillId="0" borderId="0" xfId="575" applyNumberFormat="1" applyFont="1" applyBorder="1" applyAlignment="1">
      <alignment horizontal="center" vertical="center"/>
    </xf>
    <xf numFmtId="176" fontId="6" fillId="3" borderId="9" xfId="533" applyFont="1" applyFill="1" applyBorder="1" applyAlignment="1" applyProtection="1">
      <alignment horizontal="center" vertical="center" wrapText="1"/>
      <protection locked="0"/>
    </xf>
    <xf numFmtId="176" fontId="6" fillId="3" borderId="10" xfId="533" applyFont="1" applyFill="1" applyBorder="1" applyAlignment="1" applyProtection="1">
      <alignment horizontal="center" vertical="center" wrapText="1"/>
      <protection locked="0"/>
    </xf>
    <xf numFmtId="176" fontId="6" fillId="3" borderId="11" xfId="533" applyFont="1" applyFill="1" applyBorder="1" applyAlignment="1" applyProtection="1">
      <alignment horizontal="center" vertical="center" wrapText="1"/>
      <protection locked="0"/>
    </xf>
    <xf numFmtId="176" fontId="5" fillId="3" borderId="1" xfId="526" applyNumberFormat="1" applyFont="1" applyFill="1" applyBorder="1" applyAlignment="1">
      <alignment horizontal="center" vertical="center" wrapText="1"/>
      <protection locked="0"/>
    </xf>
    <xf numFmtId="0" fontId="6" fillId="3" borderId="1" xfId="526" applyFont="1" applyFill="1" applyBorder="1" applyAlignment="1">
      <alignment horizontal="center" vertical="center" wrapText="1"/>
      <protection locked="0"/>
    </xf>
    <xf numFmtId="0" fontId="5" fillId="3" borderId="1" xfId="0" applyFont="1" applyFill="1" applyBorder="1" applyAlignment="1" applyProtection="1">
      <alignment horizontal="center" vertical="center"/>
    </xf>
    <xf numFmtId="0" fontId="5" fillId="3" borderId="1" xfId="0" applyFont="1" applyFill="1" applyBorder="1" applyAlignment="1" applyProtection="1">
      <alignment vertical="center"/>
    </xf>
    <xf numFmtId="0" fontId="7" fillId="3" borderId="1" xfId="0" applyFont="1" applyFill="1" applyBorder="1" applyAlignment="1" applyProtection="1">
      <alignment vertical="center"/>
    </xf>
    <xf numFmtId="0" fontId="47" fillId="0" borderId="0" xfId="0" applyFont="1" applyAlignment="1">
      <alignment horizontal="left" vertical="center" wrapText="1"/>
      <protection locked="0"/>
    </xf>
    <xf numFmtId="0" fontId="50" fillId="0" borderId="7" xfId="0" applyFont="1" applyBorder="1" applyAlignment="1">
      <alignment horizontal="center" vertical="center" wrapText="1"/>
      <protection locked="0"/>
    </xf>
    <xf numFmtId="0" fontId="43" fillId="0" borderId="8" xfId="0" applyFont="1" applyBorder="1" applyAlignment="1">
      <alignment horizontal="center" vertical="center" wrapText="1"/>
      <protection locked="0"/>
    </xf>
    <xf numFmtId="0" fontId="43" fillId="0" borderId="7" xfId="0" applyFont="1" applyBorder="1" applyAlignment="1">
      <alignment horizontal="center" vertical="center" wrapText="1"/>
      <protection locked="0"/>
    </xf>
    <xf numFmtId="0" fontId="12" fillId="0" borderId="0" xfId="573" applyFont="1" applyAlignment="1">
      <alignment horizontal="center" vertical="center"/>
    </xf>
    <xf numFmtId="43" fontId="43" fillId="0" borderId="0" xfId="575" applyNumberFormat="1" applyFont="1" applyFill="1" applyBorder="1" applyAlignment="1">
      <alignment horizontal="center" vertical="center"/>
    </xf>
    <xf numFmtId="0" fontId="43" fillId="0" borderId="0" xfId="0" applyFont="1" applyAlignment="1">
      <alignment horizontal="center" vertical="center" wrapText="1"/>
      <protection locked="0"/>
    </xf>
    <xf numFmtId="0" fontId="43" fillId="0" borderId="7" xfId="0" applyFont="1" applyBorder="1" applyAlignment="1">
      <alignment horizontal="center" vertical="center"/>
      <protection locked="0"/>
    </xf>
    <xf numFmtId="0" fontId="43" fillId="0" borderId="0" xfId="0" applyFont="1" applyAlignment="1">
      <alignment horizontal="center" vertical="center"/>
      <protection locked="0"/>
    </xf>
    <xf numFmtId="43" fontId="43" fillId="0" borderId="0" xfId="575" applyNumberFormat="1" applyFont="1" applyBorder="1" applyAlignment="1">
      <alignment horizontal="center" vertical="center"/>
    </xf>
    <xf numFmtId="0" fontId="35" fillId="0" borderId="0" xfId="512" applyFont="1" applyAlignment="1">
      <alignment horizontal="left" vertical="center" wrapText="1"/>
    </xf>
    <xf numFmtId="0" fontId="33" fillId="0" borderId="0" xfId="512" applyFont="1" applyAlignment="1">
      <alignment horizontal="left" vertical="center" wrapText="1"/>
    </xf>
    <xf numFmtId="0" fontId="29" fillId="0" borderId="5" xfId="512" applyFont="1" applyBorder="1" applyAlignment="1">
      <alignment horizontal="left" vertical="center" wrapText="1"/>
    </xf>
    <xf numFmtId="0" fontId="30" fillId="0" borderId="0" xfId="512" applyFont="1" applyAlignment="1">
      <alignment horizontal="left" vertical="center"/>
    </xf>
    <xf numFmtId="0" fontId="30" fillId="0" borderId="8" xfId="512" applyFont="1" applyBorder="1" applyAlignment="1"/>
    <xf numFmtId="0" fontId="29" fillId="0" borderId="8" xfId="512" applyFont="1" applyBorder="1" applyAlignment="1">
      <alignment horizontal="right" vertical="center" wrapText="1"/>
    </xf>
    <xf numFmtId="0" fontId="29" fillId="0" borderId="7" xfId="512" applyFont="1" applyBorder="1" applyAlignment="1">
      <alignment horizontal="center" vertical="center" wrapText="1"/>
    </xf>
    <xf numFmtId="0" fontId="30" fillId="0" borderId="7" xfId="512" applyFont="1" applyBorder="1" applyAlignment="1"/>
    <xf numFmtId="0" fontId="29" fillId="0" borderId="0" xfId="512" applyFont="1" applyAlignment="1">
      <alignment horizontal="center" vertical="center" wrapText="1"/>
    </xf>
    <xf numFmtId="43" fontId="30" fillId="0" borderId="0" xfId="676" applyNumberFormat="1" applyFont="1">
      <alignment vertical="center"/>
    </xf>
    <xf numFmtId="0" fontId="30" fillId="0" borderId="0" xfId="512" applyFont="1">
      <alignment vertical="center"/>
    </xf>
    <xf numFmtId="0" fontId="37" fillId="0" borderId="0" xfId="0" applyFont="1" applyAlignment="1">
      <alignment horizontal="center" vertical="center"/>
      <protection locked="0"/>
    </xf>
    <xf numFmtId="0" fontId="38" fillId="0" borderId="0" xfId="0" applyFont="1" applyAlignment="1">
      <alignment horizontal="center" vertical="center"/>
      <protection locked="0"/>
    </xf>
    <xf numFmtId="43" fontId="29" fillId="0" borderId="7" xfId="512" applyNumberFormat="1" applyFont="1" applyBorder="1" applyAlignment="1">
      <alignment horizontal="center" vertical="center" wrapText="1"/>
    </xf>
    <xf numFmtId="43" fontId="29" fillId="5" borderId="7" xfId="512" applyNumberFormat="1" applyFont="1" applyFill="1" applyBorder="1" applyAlignment="1">
      <alignment horizontal="center" vertical="center" wrapText="1"/>
    </xf>
    <xf numFmtId="43" fontId="35" fillId="0" borderId="0" xfId="512" applyNumberFormat="1" applyFont="1" applyAlignment="1">
      <alignment vertical="center" wrapText="1"/>
    </xf>
    <xf numFmtId="43" fontId="29" fillId="0" borderId="5" xfId="512" applyNumberFormat="1" applyFont="1" applyBorder="1" applyAlignment="1">
      <alignment horizontal="justify" vertical="center" wrapText="1"/>
    </xf>
    <xf numFmtId="43" fontId="30" fillId="0" borderId="0" xfId="512" applyNumberFormat="1" applyFont="1">
      <alignment vertical="center"/>
    </xf>
    <xf numFmtId="43" fontId="29" fillId="0" borderId="8" xfId="512" applyNumberFormat="1" applyFont="1" applyBorder="1" applyAlignment="1">
      <alignment horizontal="justify" vertical="center" wrapText="1"/>
    </xf>
    <xf numFmtId="43" fontId="29" fillId="5" borderId="5" xfId="512" applyNumberFormat="1" applyFont="1" applyFill="1" applyBorder="1" applyAlignment="1">
      <alignment horizontal="justify" vertical="center" wrapText="1"/>
    </xf>
    <xf numFmtId="43" fontId="29" fillId="5" borderId="5" xfId="512" applyNumberFormat="1" applyFont="1" applyFill="1" applyBorder="1" applyAlignment="1">
      <alignment horizontal="right" vertical="center" wrapText="1"/>
    </xf>
    <xf numFmtId="43" fontId="29" fillId="0" borderId="0" xfId="512" applyNumberFormat="1" applyFont="1" applyAlignment="1">
      <alignment horizontal="center" vertical="center" wrapText="1"/>
    </xf>
    <xf numFmtId="43" fontId="29" fillId="0" borderId="8" xfId="512" applyNumberFormat="1" applyFont="1" applyBorder="1" applyAlignment="1">
      <alignment horizontal="center" vertical="center" wrapText="1"/>
    </xf>
    <xf numFmtId="43" fontId="30" fillId="0" borderId="0" xfId="512" applyNumberFormat="1" applyFont="1" applyAlignment="1">
      <alignment horizontal="left" vertical="center" wrapText="1"/>
    </xf>
    <xf numFmtId="43" fontId="30" fillId="0" borderId="0" xfId="678" applyFont="1">
      <alignment vertical="center"/>
    </xf>
    <xf numFmtId="0" fontId="29" fillId="0" borderId="0" xfId="0" applyFont="1" applyAlignment="1">
      <alignment horizontal="center" vertical="center"/>
      <protection locked="0"/>
    </xf>
    <xf numFmtId="0" fontId="6" fillId="59" borderId="1" xfId="0" applyFont="1" applyFill="1" applyBorder="1" applyAlignment="1">
      <alignment horizontal="center" vertical="center" wrapText="1"/>
      <protection locked="0"/>
    </xf>
    <xf numFmtId="0" fontId="12" fillId="59" borderId="1" xfId="0" applyFont="1" applyFill="1" applyBorder="1" applyAlignment="1">
      <alignment horizontal="center" vertical="center" wrapText="1"/>
      <protection locked="0"/>
    </xf>
    <xf numFmtId="0" fontId="15" fillId="59" borderId="1" xfId="0" applyFont="1" applyFill="1" applyBorder="1" applyAlignment="1">
      <alignment horizontal="center" vertical="center" wrapText="1"/>
      <protection locked="0"/>
    </xf>
    <xf numFmtId="0" fontId="15" fillId="59" borderId="3" xfId="0" applyFont="1" applyFill="1" applyBorder="1" applyAlignment="1">
      <alignment horizontal="center" vertical="center" wrapText="1"/>
      <protection locked="0"/>
    </xf>
    <xf numFmtId="0" fontId="15" fillId="59" borderId="4" xfId="0" applyFont="1" applyFill="1" applyBorder="1" applyAlignment="1">
      <alignment horizontal="center" vertical="center" wrapText="1"/>
      <protection locked="0"/>
    </xf>
    <xf numFmtId="0" fontId="15" fillId="3" borderId="1" xfId="0" applyFont="1" applyFill="1" applyBorder="1" applyAlignment="1">
      <alignment horizontal="center" vertical="center" wrapText="1"/>
      <protection locked="0"/>
    </xf>
    <xf numFmtId="0" fontId="28" fillId="2" borderId="1" xfId="0" applyFont="1" applyFill="1" applyBorder="1" applyAlignment="1">
      <alignment horizontal="center" vertical="center" wrapText="1"/>
      <protection locked="0"/>
    </xf>
    <xf numFmtId="0" fontId="15" fillId="2" borderId="3" xfId="0" applyFont="1" applyFill="1" applyBorder="1" applyAlignment="1">
      <alignment horizontal="center" vertical="center" wrapText="1"/>
      <protection locked="0"/>
    </xf>
    <xf numFmtId="0" fontId="15" fillId="2" borderId="4" xfId="0" applyFont="1" applyFill="1" applyBorder="1" applyAlignment="1">
      <alignment horizontal="center" vertical="center" wrapText="1"/>
      <protection locked="0"/>
    </xf>
    <xf numFmtId="0" fontId="16" fillId="0" borderId="0" xfId="572" applyFont="1" applyAlignment="1">
      <alignment horizontal="center" vertical="center" wrapText="1"/>
    </xf>
    <xf numFmtId="0" fontId="17" fillId="0" borderId="0" xfId="572" applyFont="1" applyAlignment="1">
      <alignment horizontal="center" vertical="center" wrapText="1"/>
    </xf>
    <xf numFmtId="0" fontId="22" fillId="3" borderId="1" xfId="0" applyFont="1" applyFill="1" applyBorder="1" applyAlignment="1">
      <alignment horizontal="center" vertical="center" wrapText="1"/>
      <protection locked="0"/>
    </xf>
    <xf numFmtId="0" fontId="6" fillId="3" borderId="1" xfId="347" applyFont="1" applyFill="1" applyBorder="1" applyAlignment="1">
      <alignment horizontal="center" vertical="center"/>
    </xf>
    <xf numFmtId="0" fontId="10" fillId="0" borderId="0" xfId="514" applyFont="1" applyAlignment="1">
      <alignment horizontal="left" vertical="center" wrapText="1"/>
      <protection locked="0"/>
    </xf>
    <xf numFmtId="0" fontId="2" fillId="0" borderId="0" xfId="514" applyFont="1" applyAlignment="1">
      <alignment horizontal="left" vertical="center" wrapText="1"/>
      <protection locked="0"/>
    </xf>
  </cellXfs>
  <cellStyles count="702">
    <cellStyle name="_x000a_mouse.drv=lm" xfId="4"/>
    <cellStyle name="%" xfId="5"/>
    <cellStyle name="% 2" xfId="6"/>
    <cellStyle name="?" xfId="7"/>
    <cellStyle name="? 2" xfId="8"/>
    <cellStyle name="??" xfId="9"/>
    <cellStyle name="?? [0]" xfId="10"/>
    <cellStyle name="??_0N-HANDLING " xfId="11"/>
    <cellStyle name="?餡_x000c_k" xfId="12"/>
    <cellStyle name="?餡_x000c_k 2" xfId="13"/>
    <cellStyle name="?餡_x000c_k?_x000d_^" xfId="14"/>
    <cellStyle name="?餡_x000c_k?_x000d_^ 2" xfId="15"/>
    <cellStyle name="?餡_x000c_k?_x000d_^黇_x0001_??_x0007__x0001__x0001_" xfId="16"/>
    <cellStyle name="?餡_x000c_k?_x000d_^黇_x0001_??_x0007__x0001__x0001_ 2" xfId="17"/>
    <cellStyle name="@_text" xfId="18"/>
    <cellStyle name="@_text_子公司附注汇总(房开公司)" xfId="19"/>
    <cellStyle name="_(本部)2006年年报审计PBC表" xfId="20"/>
    <cellStyle name="_07930建造合同" xfId="21"/>
    <cellStyle name="_12月项目部访问及审计-德勤" xfId="22"/>
    <cellStyle name="_2005-08-31审计底稿－李" xfId="23"/>
    <cellStyle name="_2005年工作底稿" xfId="24"/>
    <cellStyle name="_2005年工作底稿_3-2-A1B-银行存款" xfId="25"/>
    <cellStyle name="_2005年工作底稿_3-2-Z17A-固定资产" xfId="26"/>
    <cellStyle name="_2005年工作底稿_Sheet1" xfId="27"/>
    <cellStyle name="_2005审计报表及附注-中国建材股份模板（房屋）" xfId="28"/>
    <cellStyle name="_2005审计报表及附注-中国建材股份模板（房屋） 2" xfId="29"/>
    <cellStyle name="_2006年年报审计PBC表（合并）" xfId="30"/>
    <cellStyle name="_2006年年报审计PBC表-XX" xfId="31"/>
    <cellStyle name="_2006年年报审计PBC表-XXX" xfId="32"/>
    <cellStyle name="_2006年年报审计PBC表-XXX 2" xfId="33"/>
    <cellStyle name="_2006年年报审计PBC表-福州分公司" xfId="34"/>
    <cellStyle name="_2006年年报审计PBC表-云南分公司" xfId="35"/>
    <cellStyle name="_2006年年报审计填报资料" xfId="36"/>
    <cellStyle name="_2006年年报审计填报资料 2" xfId="37"/>
    <cellStyle name="_2007调整分录-鲁佳" xfId="38"/>
    <cellStyle name="_3-2-A22-无形资产" xfId="39"/>
    <cellStyle name="_3-2-A4-应收账款" xfId="40"/>
    <cellStyle name="_A17固定资产" xfId="41"/>
    <cellStyle name="_A23无形资产" xfId="42"/>
    <cellStyle name="_A3应收票据" xfId="43"/>
    <cellStyle name="_A6应收账款" xfId="44"/>
    <cellStyle name="_A6应收账款_3-2-A1B-银行存款" xfId="45"/>
    <cellStyle name="_A6应收账款_3-2-Z17A-固定资产" xfId="46"/>
    <cellStyle name="_A6应收账款_Sheet1" xfId="47"/>
    <cellStyle name="_B10其他未交款" xfId="48"/>
    <cellStyle name="_B13预收账款2005" xfId="49"/>
    <cellStyle name="_B6应付工资" xfId="50"/>
    <cellStyle name="_B7应付福利费" xfId="51"/>
    <cellStyle name="_B9应交税金2005" xfId="52"/>
    <cellStyle name="_Book1" xfId="53"/>
    <cellStyle name="_Book1 2" xfId="54"/>
    <cellStyle name="_CREC(Huo" xfId="55"/>
    <cellStyle name="_D11营业外支出" xfId="56"/>
    <cellStyle name="_D12所得税2005" xfId="57"/>
    <cellStyle name="_D1主营业务收入" xfId="58"/>
    <cellStyle name="_D3主营业务税金及附加" xfId="59"/>
    <cellStyle name="_D4其他业务利润" xfId="60"/>
    <cellStyle name="_ET_STYLE_NoName_00_" xfId="61"/>
    <cellStyle name="_ET_STYLE_NoName_00__2007调整分录-鲁佳" xfId="62"/>
    <cellStyle name="_ET_STYLE_NoName_00__股份本部" xfId="63"/>
    <cellStyle name="_ET_STYLE_NoName_00__股份本部_1" xfId="64"/>
    <cellStyle name="_ET_STYLE_NoName_00__股份本部_3" xfId="65"/>
    <cellStyle name="_ET_STYLE_NoName_00__股份本部_6_股份本部_2" xfId="66"/>
    <cellStyle name="_ET_STYLE_NoName_00__股份本部_7_股份本部_3" xfId="67"/>
    <cellStyle name="_J1000-存货-ZHHG" xfId="68"/>
    <cellStyle name="_PBC审核提示" xfId="69"/>
    <cellStyle name="_PBC审核提示 2" xfId="70"/>
    <cellStyle name="_Sheet1" xfId="71"/>
    <cellStyle name="_宝丽华房地产20051231" xfId="72"/>
    <cellStyle name="_宝丽华房地产20051231 2" xfId="73"/>
    <cellStyle name="_保证金-企业填写部分" xfId="74"/>
    <cellStyle name="_保证金-企业填写部分 2" xfId="75"/>
    <cellStyle name="_北新房屋2004年审-刘" xfId="76"/>
    <cellStyle name="_北新房屋2004年审-刘 2" xfId="77"/>
    <cellStyle name="_北新股份2005年审工作底稿" xfId="78"/>
    <cellStyle name="_北新股份2005年审工作底稿 2" xfId="79"/>
    <cellStyle name="_北新建材关连交易基础表051230（10－12月版）更新稿" xfId="80"/>
    <cellStyle name="_北新建材关连交易基础表051230（10－12月版）更新稿 2" xfId="81"/>
    <cellStyle name="_北新建材-会计报表附注模版" xfId="82"/>
    <cellStyle name="_北新建材-会计报表附注模版 2" xfId="83"/>
    <cellStyle name="_北新龙之星2004年审工作底稿" xfId="84"/>
    <cellStyle name="_北新龙之星2004年审工作底稿 2" xfId="85"/>
    <cellStyle name="_北新物流2005底稿-刘" xfId="86"/>
    <cellStyle name="_北新物流2005底稿-刘 2" xfId="87"/>
    <cellStyle name="_北新置换memo" xfId="88"/>
    <cellStyle name="_北新置换memo 2" xfId="89"/>
    <cellStyle name="_本部其他应收应付年审底稿--鲁佳pb" xfId="90"/>
    <cellStyle name="_存货结转测试" xfId="91"/>
    <cellStyle name="_存货结转测试 2" xfId="92"/>
    <cellStyle name="_存货数量与明细05.12" xfId="93"/>
    <cellStyle name="_存货数量与明细05.12 2" xfId="94"/>
    <cellStyle name="_动力厂2004年审工作底稿-刘" xfId="95"/>
    <cellStyle name="_动力厂2004年审工作底稿-刘 2" xfId="96"/>
    <cellStyle name="_分工" xfId="97"/>
    <cellStyle name="_分工 2" xfId="98"/>
    <cellStyle name="_封面" xfId="99"/>
    <cellStyle name="_工程施工项目现场审计提示" xfId="100"/>
    <cellStyle name="_工程施工项目现场审计提示 2" xfId="101"/>
    <cellStyle name="_公司填表" xfId="102"/>
    <cellStyle name="_公司填表-2005蔡" xfId="103"/>
    <cellStyle name="_公司填表-2005李志刚" xfId="104"/>
    <cellStyle name="_公司填表2005-吴" xfId="105"/>
    <cellStyle name="_公司填表2005-吴_3-2-A1B-银行存款" xfId="106"/>
    <cellStyle name="_公司填表2005-吴_3-2-Z17A-固定资产" xfId="107"/>
    <cellStyle name="_公司填表2005-吴_Sheet1" xfId="108"/>
    <cellStyle name="_公司填表2005-修改" xfId="109"/>
    <cellStyle name="_公司填表2005-修改_3-2-A1B-银行存款" xfId="110"/>
    <cellStyle name="_公司填表2005-修改_3-2-Z17A-固定资产" xfId="111"/>
    <cellStyle name="_公司填表2005-修改_Sheet1" xfId="112"/>
    <cellStyle name="_公司填表2005-修改后" xfId="113"/>
    <cellStyle name="_公司填表2005-修改后_3-2-A1B-银行存款" xfId="114"/>
    <cellStyle name="_公司填表2005-修改后_3-2-Z17A-固定资产" xfId="115"/>
    <cellStyle name="_公司填表2005-修改后_Sheet1" xfId="116"/>
    <cellStyle name="_公司填表-2005杨" xfId="117"/>
    <cellStyle name="_关联交易" xfId="118"/>
    <cellStyle name="_关联交易 2" xfId="119"/>
    <cellStyle name="_关联交易、往来统计表" xfId="120"/>
    <cellStyle name="_关联交易、往来统计表 2" xfId="121"/>
    <cellStyle name="_合并报表审计调整模板(CREC)" xfId="122"/>
    <cellStyle name="_合并公司2006年度科目明细表(定稿)" xfId="123"/>
    <cellStyle name="_建造合同-宜万指（正式版）" xfId="124"/>
    <cellStyle name="_建造合同-宜万指（正式版） 2" xfId="125"/>
    <cellStyle name="_科目核对表" xfId="126"/>
    <cellStyle name="_科目核对表 2" xfId="127"/>
    <cellStyle name="_刘青分工填列信息统计" xfId="128"/>
    <cellStyle name="_刘青分工－子公司审计模板-电务" xfId="129"/>
    <cellStyle name="_刘青分工－子公司审计模板－铁达本部" xfId="130"/>
    <cellStyle name="_母PL" xfId="131"/>
    <cellStyle name="_母PL 2" xfId="132"/>
    <cellStyle name="_母公司底稿-鲁佳" xfId="133"/>
    <cellStyle name="_年审筹资循环资料清单" xfId="134"/>
    <cellStyle name="_凭证抽查-05年" xfId="135"/>
    <cellStyle name="_人员分工备忘录" xfId="136"/>
    <cellStyle name="_人员分工备忘录 2" xfId="137"/>
    <cellStyle name="_审计底稿-轩" xfId="138"/>
    <cellStyle name="_审计所需资料清单－子公司" xfId="139"/>
    <cellStyle name="_审计所需资料清单－子公司 2" xfId="140"/>
    <cellStyle name="_审计提示模版" xfId="141"/>
    <cellStyle name="_审计提示模版-母公司部分" xfId="142"/>
    <cellStyle name="_铁鸿源－刘青分工－子公司审计模板" xfId="143"/>
    <cellStyle name="_兴华审计成本" xfId="144"/>
    <cellStyle name="_岩土长投--急0121报王占学" xfId="145"/>
    <cellStyle name="_一公司建造合同前5名" xfId="146"/>
    <cellStyle name="_一公司建造合同前5名 2" xfId="147"/>
    <cellStyle name="_一公司－刘丰收" xfId="148"/>
    <cellStyle name="_一公司－刘丰收 2" xfId="149"/>
    <cellStyle name="_银行询证函统计－大表" xfId="150"/>
    <cellStyle name="_应收账款账龄--04、05" xfId="151"/>
    <cellStyle name="_长期借款－江阴" xfId="152"/>
    <cellStyle name="_长期借款－江阴 2" xfId="153"/>
    <cellStyle name="_子公司筹资循环－刘青" xfId="154"/>
    <cellStyle name="_子公司审计提示模版-Liufs" xfId="155"/>
    <cellStyle name="_子公司审计提示模版-Liufs 2" xfId="156"/>
    <cellStyle name="_子公司填表" xfId="157"/>
    <cellStyle name="{Comma [0]}" xfId="158"/>
    <cellStyle name="{Comma}" xfId="159"/>
    <cellStyle name="{Date}" xfId="160"/>
    <cellStyle name="{Month}" xfId="161"/>
    <cellStyle name="{Percent}" xfId="162"/>
    <cellStyle name="{Thousand [0]}" xfId="163"/>
    <cellStyle name="{Thousand}" xfId="164"/>
    <cellStyle name="{Z'0000(1 dec)}" xfId="165"/>
    <cellStyle name="{Z'0000(4 dec)}" xfId="166"/>
    <cellStyle name="0%" xfId="167"/>
    <cellStyle name="0,0_x000d__x000a_NA_x000d__x000a_" xfId="168"/>
    <cellStyle name="0.0%" xfId="169"/>
    <cellStyle name="0.00%" xfId="170"/>
    <cellStyle name="00" xfId="171"/>
    <cellStyle name="20% - Accent1" xfId="172"/>
    <cellStyle name="20% - Accent2" xfId="173"/>
    <cellStyle name="20% - Accent3" xfId="174"/>
    <cellStyle name="20% - Accent4" xfId="175"/>
    <cellStyle name="20% - Accent5" xfId="176"/>
    <cellStyle name="20% - Accent6" xfId="177"/>
    <cellStyle name="40% - Accent1" xfId="178"/>
    <cellStyle name="40% - Accent2" xfId="179"/>
    <cellStyle name="40% - Accent3" xfId="180"/>
    <cellStyle name="40% - Accent4" xfId="181"/>
    <cellStyle name="40% - Accent5" xfId="182"/>
    <cellStyle name="40% - Accent6" xfId="183"/>
    <cellStyle name="60% - Accent1" xfId="184"/>
    <cellStyle name="60% - Accent2" xfId="185"/>
    <cellStyle name="60% - Accent3" xfId="186"/>
    <cellStyle name="60% - Accent4" xfId="187"/>
    <cellStyle name="60% - Accent5" xfId="188"/>
    <cellStyle name="60% - Accent6" xfId="189"/>
    <cellStyle name="AA FRAME" xfId="190"/>
    <cellStyle name="AA HEADING" xfId="191"/>
    <cellStyle name="AA INITIALS" xfId="192"/>
    <cellStyle name="AA INITIALS 2" xfId="193"/>
    <cellStyle name="AA INPUT" xfId="194"/>
    <cellStyle name="AA LOCK" xfId="195"/>
    <cellStyle name="AA MGR NAME" xfId="196"/>
    <cellStyle name="AA NORMAL" xfId="197"/>
    <cellStyle name="AA NUMBER" xfId="198"/>
    <cellStyle name="AA NUMBER2" xfId="199"/>
    <cellStyle name="AA QUESTION" xfId="200"/>
    <cellStyle name="AA SHADE" xfId="201"/>
    <cellStyle name="Accent1" xfId="202"/>
    <cellStyle name="Accent1 - 20%" xfId="203"/>
    <cellStyle name="Accent1 - 40%" xfId="204"/>
    <cellStyle name="Accent1 - 60%" xfId="205"/>
    <cellStyle name="Accent2" xfId="206"/>
    <cellStyle name="Accent2 - 20%" xfId="207"/>
    <cellStyle name="Accent2 - 40%" xfId="208"/>
    <cellStyle name="Accent2 - 60%" xfId="209"/>
    <cellStyle name="Accent3" xfId="210"/>
    <cellStyle name="Accent3 - 20%" xfId="211"/>
    <cellStyle name="Accent3 - 40%" xfId="212"/>
    <cellStyle name="Accent3 - 60%" xfId="213"/>
    <cellStyle name="Accent4" xfId="214"/>
    <cellStyle name="Accent4 - 20%" xfId="215"/>
    <cellStyle name="Accent4 - 40%" xfId="216"/>
    <cellStyle name="Accent4 - 60%" xfId="217"/>
    <cellStyle name="Accent5" xfId="218"/>
    <cellStyle name="Accent5 - 20%" xfId="219"/>
    <cellStyle name="Accent5 - 40%" xfId="220"/>
    <cellStyle name="Accent5 - 60%" xfId="221"/>
    <cellStyle name="Accent6" xfId="222"/>
    <cellStyle name="Accent6 - 20%" xfId="223"/>
    <cellStyle name="Accent6 - 40%" xfId="224"/>
    <cellStyle name="Accent6 - 60%" xfId="225"/>
    <cellStyle name="args.style" xfId="226"/>
    <cellStyle name="Bad" xfId="227"/>
    <cellStyle name="Black" xfId="228"/>
    <cellStyle name="Border" xfId="229"/>
    <cellStyle name="Calc Currency (0)" xfId="230"/>
    <cellStyle name="Calc Currency (2)" xfId="231"/>
    <cellStyle name="Calc Percent (0)" xfId="232"/>
    <cellStyle name="Calc Percent (1)" xfId="233"/>
    <cellStyle name="Calc Percent (2)" xfId="234"/>
    <cellStyle name="Calc Units (0)" xfId="235"/>
    <cellStyle name="Calc Units (1)" xfId="236"/>
    <cellStyle name="Calc Units (2)" xfId="237"/>
    <cellStyle name="Calculation" xfId="238"/>
    <cellStyle name="category" xfId="239"/>
    <cellStyle name="Check Cell" xfId="240"/>
    <cellStyle name="Col Heads" xfId="241"/>
    <cellStyle name="Column_Title" xfId="242"/>
    <cellStyle name="Comma  - Style1" xfId="243"/>
    <cellStyle name="Comma  - Style2" xfId="244"/>
    <cellStyle name="Comma  - Style3" xfId="245"/>
    <cellStyle name="Comma  - Style4" xfId="246"/>
    <cellStyle name="Comma  - Style5" xfId="247"/>
    <cellStyle name="Comma  - Style6" xfId="248"/>
    <cellStyle name="Comma  - Style7" xfId="249"/>
    <cellStyle name="Comma  - Style8" xfId="250"/>
    <cellStyle name="Comma [0]" xfId="251"/>
    <cellStyle name="Comma [00]" xfId="252"/>
    <cellStyle name="Comma 28" xfId="253"/>
    <cellStyle name="Comma 28 2" xfId="254"/>
    <cellStyle name="comma zerodec" xfId="255"/>
    <cellStyle name="Comma,0" xfId="256"/>
    <cellStyle name="Comma,1" xfId="257"/>
    <cellStyle name="Comma,2" xfId="258"/>
    <cellStyle name="Comma_ rislugp" xfId="259"/>
    <cellStyle name="Copied" xfId="260"/>
    <cellStyle name="COST1" xfId="261"/>
    <cellStyle name="Currency [0]" xfId="262"/>
    <cellStyle name="Currency [00]" xfId="263"/>
    <cellStyle name="Currency,0" xfId="264"/>
    <cellStyle name="Currency,2" xfId="265"/>
    <cellStyle name="Currency_ rislugp" xfId="266"/>
    <cellStyle name="Currency1" xfId="267"/>
    <cellStyle name="Date" xfId="268"/>
    <cellStyle name="Date 2" xfId="269"/>
    <cellStyle name="Date Short" xfId="270"/>
    <cellStyle name="Date_ A1-货币资金审定表" xfId="271"/>
    <cellStyle name="Dezimal [0]_laroux" xfId="272"/>
    <cellStyle name="Dezimal_laroux" xfId="273"/>
    <cellStyle name="Dollar (zero dec)" xfId="274"/>
    <cellStyle name="E&amp;Y House" xfId="275"/>
    <cellStyle name="Enter Currency (0)" xfId="276"/>
    <cellStyle name="Enter Currency (2)" xfId="277"/>
    <cellStyle name="Enter Units (0)" xfId="278"/>
    <cellStyle name="Enter Units (1)" xfId="279"/>
    <cellStyle name="Enter Units (2)" xfId="280"/>
    <cellStyle name="Entered" xfId="281"/>
    <cellStyle name="entry" xfId="282"/>
    <cellStyle name="entry 2" xfId="283"/>
    <cellStyle name="entry box" xfId="284"/>
    <cellStyle name="entry box 2" xfId="285"/>
    <cellStyle name="Euro" xfId="286"/>
    <cellStyle name="Explanatory Text" xfId="287"/>
    <cellStyle name="F2" xfId="288"/>
    <cellStyle name="F3" xfId="289"/>
    <cellStyle name="F4" xfId="290"/>
    <cellStyle name="F5" xfId="291"/>
    <cellStyle name="F6" xfId="292"/>
    <cellStyle name="F7" xfId="293"/>
    <cellStyle name="F8" xfId="294"/>
    <cellStyle name="Fixed" xfId="295"/>
    <cellStyle name="Followed Hyperlink_AheadBehind.xls Chart 23" xfId="296"/>
    <cellStyle name="Good" xfId="297"/>
    <cellStyle name="Grey" xfId="298"/>
    <cellStyle name="HEADER" xfId="299"/>
    <cellStyle name="Header1" xfId="300"/>
    <cellStyle name="Header1 2" xfId="301"/>
    <cellStyle name="Header1 2 2" xfId="302"/>
    <cellStyle name="Header1 3" xfId="303"/>
    <cellStyle name="Header2" xfId="304"/>
    <cellStyle name="Header2 2" xfId="305"/>
    <cellStyle name="Heading" xfId="306"/>
    <cellStyle name="Heading 1" xfId="307"/>
    <cellStyle name="Heading 2" xfId="308"/>
    <cellStyle name="Heading 3" xfId="309"/>
    <cellStyle name="Heading 3 2" xfId="310"/>
    <cellStyle name="Heading 4" xfId="311"/>
    <cellStyle name="Heading 5" xfId="312"/>
    <cellStyle name="Heading1" xfId="313"/>
    <cellStyle name="Heading2" xfId="314"/>
    <cellStyle name="Hyperlink_AheadBehind.xls Chart 23" xfId="315"/>
    <cellStyle name="Input" xfId="316"/>
    <cellStyle name="Input [yellow]" xfId="317"/>
    <cellStyle name="Input Cells" xfId="318"/>
    <cellStyle name="Input Cells 2" xfId="319"/>
    <cellStyle name="left" xfId="320"/>
    <cellStyle name="left 2" xfId="321"/>
    <cellStyle name="Link Currency (0)" xfId="322"/>
    <cellStyle name="Link Currency (2)" xfId="323"/>
    <cellStyle name="Link Units (0)" xfId="324"/>
    <cellStyle name="Link Units (1)" xfId="325"/>
    <cellStyle name="Link Units (2)" xfId="326"/>
    <cellStyle name="Linked Cell" xfId="327"/>
    <cellStyle name="Linked Cells" xfId="328"/>
    <cellStyle name="Linked Cells 2" xfId="329"/>
    <cellStyle name="Millares [0]_laroux" xfId="330"/>
    <cellStyle name="Millares_laroux" xfId="331"/>
    <cellStyle name="Milliers [0]_!!!GO" xfId="332"/>
    <cellStyle name="Milliers_!!!GO" xfId="333"/>
    <cellStyle name="Model" xfId="334"/>
    <cellStyle name="Model 2" xfId="335"/>
    <cellStyle name="Moneda [0]_laroux" xfId="336"/>
    <cellStyle name="Moneda_laroux" xfId="337"/>
    <cellStyle name="Monétaire [0]_!!!GO" xfId="338"/>
    <cellStyle name="Monétaire_!!!GO" xfId="339"/>
    <cellStyle name="Mon閠aire [0]_laroux" xfId="340"/>
    <cellStyle name="Mon閠aire_laroux" xfId="341"/>
    <cellStyle name="Neutral" xfId="342"/>
    <cellStyle name="New Times Roman" xfId="343"/>
    <cellStyle name="no dec" xfId="344"/>
    <cellStyle name="Non défini" xfId="345"/>
    <cellStyle name="Normal - Style1" xfId="346"/>
    <cellStyle name="Normal 2" xfId="347"/>
    <cellStyle name="Normal 2 2" xfId="348"/>
    <cellStyle name="Normal 21" xfId="349"/>
    <cellStyle name="Normal 3 2" xfId="350"/>
    <cellStyle name="Normal_ rislugp" xfId="351"/>
    <cellStyle name="Normalny_Arkusz1" xfId="352"/>
    <cellStyle name="Note" xfId="353"/>
    <cellStyle name="Œ…‹æØ‚è [0.00]_Region Orders (2)" xfId="354"/>
    <cellStyle name="Œ…‹æØ‚è_Region Orders (2)" xfId="355"/>
    <cellStyle name="Output" xfId="356"/>
    <cellStyle name="per.style" xfId="357"/>
    <cellStyle name="Percent (0)" xfId="358"/>
    <cellStyle name="Percent [0]" xfId="359"/>
    <cellStyle name="Percent [00]" xfId="360"/>
    <cellStyle name="Percent [2]" xfId="361"/>
    <cellStyle name="Percent 2" xfId="362"/>
    <cellStyle name="Percent_!!!GO" xfId="363"/>
    <cellStyle name="Pourcentage_pldt" xfId="364"/>
    <cellStyle name="Prefilled" xfId="365"/>
    <cellStyle name="Prefilled 2" xfId="366"/>
    <cellStyle name="PrePop Currency (0)" xfId="367"/>
    <cellStyle name="PrePop Currency (2)" xfId="368"/>
    <cellStyle name="PrePop Units (0)" xfId="369"/>
    <cellStyle name="PrePop Units (1)" xfId="370"/>
    <cellStyle name="PrePop Units (2)" xfId="371"/>
    <cellStyle name="price" xfId="372"/>
    <cellStyle name="pricing" xfId="373"/>
    <cellStyle name="pricing 2" xfId="374"/>
    <cellStyle name="PSChar" xfId="375"/>
    <cellStyle name="PSHeading" xfId="376"/>
    <cellStyle name="PSHeading 2" xfId="377"/>
    <cellStyle name="Red" xfId="378"/>
    <cellStyle name="revised" xfId="379"/>
    <cellStyle name="RevList" xfId="380"/>
    <cellStyle name="RevList 2" xfId="381"/>
    <cellStyle name="row_def_array" xfId="382"/>
    <cellStyle name="S4" xfId="383"/>
    <cellStyle name="S5" xfId="384"/>
    <cellStyle name="SAPBEXaggData" xfId="385"/>
    <cellStyle name="SAPBEXaggDataEmph" xfId="386"/>
    <cellStyle name="SAPBEXaggItem" xfId="387"/>
    <cellStyle name="SAPBEXaggItemX" xfId="388"/>
    <cellStyle name="SAPBEXchaText" xfId="389"/>
    <cellStyle name="SAPBEXexcBad7" xfId="390"/>
    <cellStyle name="SAPBEXexcBad8" xfId="391"/>
    <cellStyle name="SAPBEXexcBad9" xfId="392"/>
    <cellStyle name="SAPBEXexcCritical4" xfId="393"/>
    <cellStyle name="SAPBEXexcCritical5" xfId="394"/>
    <cellStyle name="SAPBEXexcCritical6" xfId="395"/>
    <cellStyle name="SAPBEXexcGood1" xfId="396"/>
    <cellStyle name="SAPBEXexcGood2" xfId="397"/>
    <cellStyle name="SAPBEXexcGood3" xfId="398"/>
    <cellStyle name="SAPBEXfilterDrill" xfId="399"/>
    <cellStyle name="SAPBEXfilterItem" xfId="400"/>
    <cellStyle name="SAPBEXfilterText" xfId="401"/>
    <cellStyle name="SAPBEXformats" xfId="402"/>
    <cellStyle name="SAPBEXheaderItem" xfId="403"/>
    <cellStyle name="SAPBEXheaderText" xfId="404"/>
    <cellStyle name="SAPBEXHLevel0" xfId="405"/>
    <cellStyle name="SAPBEXHLevel0X" xfId="406"/>
    <cellStyle name="SAPBEXHLevel1" xfId="407"/>
    <cellStyle name="SAPBEXHLevel1X" xfId="408"/>
    <cellStyle name="SAPBEXHLevel2" xfId="409"/>
    <cellStyle name="SAPBEXHLevel2X" xfId="410"/>
    <cellStyle name="SAPBEXHLevel3" xfId="411"/>
    <cellStyle name="SAPBEXHLevel3X" xfId="412"/>
    <cellStyle name="SAPBEXresData" xfId="413"/>
    <cellStyle name="SAPBEXresDataEmph" xfId="414"/>
    <cellStyle name="SAPBEXresItem" xfId="415"/>
    <cellStyle name="SAPBEXresItemX" xfId="416"/>
    <cellStyle name="SAPBEXstdData" xfId="417"/>
    <cellStyle name="SAPBEXstdDataEmph" xfId="418"/>
    <cellStyle name="SAPBEXstdItem" xfId="419"/>
    <cellStyle name="SAPBEXstdItemX" xfId="420"/>
    <cellStyle name="SAPBEXtitle" xfId="421"/>
    <cellStyle name="SAPBEXundefined" xfId="422"/>
    <cellStyle name="section" xfId="423"/>
    <cellStyle name="section 2" xfId="424"/>
    <cellStyle name="SOR" xfId="425"/>
    <cellStyle name="SOR 2" xfId="426"/>
    <cellStyle name="Standard_AREAS" xfId="427"/>
    <cellStyle name="style" xfId="428"/>
    <cellStyle name="style 2" xfId="429"/>
    <cellStyle name="style1" xfId="430"/>
    <cellStyle name="style1 2" xfId="431"/>
    <cellStyle name="style2" xfId="432"/>
    <cellStyle name="style2 2" xfId="433"/>
    <cellStyle name="subhead" xfId="434"/>
    <cellStyle name="Subtotal" xfId="435"/>
    <cellStyle name="Text Indent A" xfId="436"/>
    <cellStyle name="Text Indent B" xfId="437"/>
    <cellStyle name="Text Indent C" xfId="438"/>
    <cellStyle name="Tickmark" xfId="439"/>
    <cellStyle name="Tickmark 2" xfId="440"/>
    <cellStyle name="title" xfId="441"/>
    <cellStyle name="title 2" xfId="442"/>
    <cellStyle name="Total" xfId="443"/>
    <cellStyle name="Tusental (0)_pldt" xfId="444"/>
    <cellStyle name="Tusental_pldt" xfId="445"/>
    <cellStyle name="Valuta (0)_pldt" xfId="446"/>
    <cellStyle name="Valuta_pldt" xfId="447"/>
    <cellStyle name="Warning Text" xfId="448"/>
    <cellStyle name="wrap" xfId="449"/>
    <cellStyle name="wrap 2" xfId="450"/>
    <cellStyle name="パーセント_laroux" xfId="451"/>
    <cellStyle name="_PLDT" xfId="452"/>
    <cellStyle name="_laroux" xfId="453"/>
    <cellStyle name="だ[0]_PLDT" xfId="454"/>
    <cellStyle name="だ_PLDT" xfId="455"/>
    <cellStyle name="だ[0]_Total (2)" xfId="456"/>
    <cellStyle name="だ_laroux" xfId="457"/>
    <cellStyle name="百分比" xfId="2" builtinId="5"/>
    <cellStyle name="百分比 2" xfId="458"/>
    <cellStyle name="百分比 2 2" xfId="459"/>
    <cellStyle name="百分比 3" xfId="460"/>
    <cellStyle name="百分比 4" xfId="461"/>
    <cellStyle name="捠壿 [0.00]_PRODUCT DETAIL Q1" xfId="462"/>
    <cellStyle name="捠壿_PRODUCT DETAIL Q1" xfId="463"/>
    <cellStyle name="標準_１１月価格表" xfId="464"/>
    <cellStyle name="表标题" xfId="465"/>
    <cellStyle name="差_10存货" xfId="466"/>
    <cellStyle name="差_19-无形资产（空白模板）" xfId="467"/>
    <cellStyle name="差_2-交易性金融资产（空白模板）" xfId="468"/>
    <cellStyle name="差_2应收账款" xfId="469"/>
    <cellStyle name="差_3-2 进一步审计程序-采购与付款循环" xfId="470"/>
    <cellStyle name="差_3-3 进一步审计程序-存货与生产循环" xfId="471"/>
    <cellStyle name="差_37-长期借款（空白模板）" xfId="472"/>
    <cellStyle name="差_49-营业收入（空白模板）" xfId="473"/>
    <cellStyle name="差_4-应收账款（空白模板）" xfId="474"/>
    <cellStyle name="差_50-营业成本（空白模板）" xfId="475"/>
    <cellStyle name="差_51-营业税金及附加（空白模板）" xfId="476"/>
    <cellStyle name="差_54-财务费用（空白模板）" xfId="477"/>
    <cellStyle name="差_55-资产减值损失（空白模板）" xfId="478"/>
    <cellStyle name="差_9管理费用" xfId="479"/>
    <cellStyle name="差_Book2" xfId="480"/>
    <cellStyle name="差_dxn底稿目录" xfId="481"/>
    <cellStyle name="差_Sheet1" xfId="482"/>
    <cellStyle name="差_StartUp" xfId="483"/>
    <cellStyle name="差_T1000-主营业务收入-LJCH" xfId="484"/>
    <cellStyle name="差_Z14-长期应收款（函证汇总表样本）" xfId="485"/>
    <cellStyle name="差_ZA0货币资金审定表 " xfId="486"/>
    <cellStyle name="差_财务费用" xfId="487"/>
    <cellStyle name="差_程序表模版" xfId="488"/>
    <cellStyle name="差_存货" xfId="489"/>
    <cellStyle name="差_大信底稿目录" xfId="490"/>
    <cellStyle name="差_底稿设置宏" xfId="491"/>
    <cellStyle name="差_管理费用" xfId="492"/>
    <cellStyle name="差_货币资金" xfId="493"/>
    <cellStyle name="差_货币资金 天职" xfId="494"/>
    <cellStyle name="差_货币资金 岳华" xfId="495"/>
    <cellStyle name="差_其他应付款" xfId="496"/>
    <cellStyle name="差_其他应付款—YH" xfId="497"/>
    <cellStyle name="差_未分配利润" xfId="498"/>
    <cellStyle name="差_无形资产" xfId="499"/>
    <cellStyle name="差_应付账款" xfId="500"/>
    <cellStyle name="差_应付职工薪酬" xfId="501"/>
    <cellStyle name="差_应收账款" xfId="502"/>
    <cellStyle name="差_盈余公积" xfId="503"/>
    <cellStyle name="差_长期应付款" xfId="504"/>
    <cellStyle name="差_账项明细表" xfId="505"/>
    <cellStyle name="差_资本公积" xfId="506"/>
    <cellStyle name="差_资产负债标准底稿" xfId="507"/>
    <cellStyle name="差_资产负债类底稿模版" xfId="508"/>
    <cellStyle name="差_子公司附注汇总(房开公司)" xfId="509"/>
    <cellStyle name="常规" xfId="0" builtinId="0"/>
    <cellStyle name="常规 10" xfId="510"/>
    <cellStyle name="常规 10 2" xfId="511"/>
    <cellStyle name="常规 11" xfId="512"/>
    <cellStyle name="常规 11 5" xfId="701"/>
    <cellStyle name="常规 2" xfId="513"/>
    <cellStyle name="常规 2 2" xfId="514"/>
    <cellStyle name="常规 2 2 2" xfId="515"/>
    <cellStyle name="常规 2 2 3" xfId="516"/>
    <cellStyle name="常规 2 2 4" xfId="517"/>
    <cellStyle name="常规 2 3" xfId="518"/>
    <cellStyle name="常规 2 3 2" xfId="519"/>
    <cellStyle name="常规 2 4" xfId="520"/>
    <cellStyle name="常规 2 4 2" xfId="521"/>
    <cellStyle name="常规 2 4 3" xfId="522"/>
    <cellStyle name="常规 2 5" xfId="523"/>
    <cellStyle name="常规 2 8" xfId="524"/>
    <cellStyle name="常规 2_10存货" xfId="525"/>
    <cellStyle name="常规 3" xfId="526"/>
    <cellStyle name="常规 3 2" xfId="527"/>
    <cellStyle name="常规 3 2 2" xfId="528"/>
    <cellStyle name="常规 3 2 3" xfId="529"/>
    <cellStyle name="常规 3 3" xfId="530"/>
    <cellStyle name="常规 3 4" xfId="531"/>
    <cellStyle name="常规 3_10存货" xfId="532"/>
    <cellStyle name="常规 4" xfId="533"/>
    <cellStyle name="常规 4 2" xfId="534"/>
    <cellStyle name="常规 4 3" xfId="535"/>
    <cellStyle name="常规 5" xfId="536"/>
    <cellStyle name="常规 5 2" xfId="537"/>
    <cellStyle name="常规 5 3" xfId="538"/>
    <cellStyle name="常规 6" xfId="539"/>
    <cellStyle name="常规 6 2" xfId="540"/>
    <cellStyle name="常规 6 2 2" xfId="541"/>
    <cellStyle name="常规 6 2 3" xfId="542"/>
    <cellStyle name="常规 6 2 3 2" xfId="543"/>
    <cellStyle name="常规 6 2 4" xfId="544"/>
    <cellStyle name="常规 6 3" xfId="545"/>
    <cellStyle name="常规 6 3 2" xfId="546"/>
    <cellStyle name="常规 6 3 2 2" xfId="547"/>
    <cellStyle name="常规 6 3 2 2 2" xfId="548"/>
    <cellStyle name="常规 6 3 2 3" xfId="549"/>
    <cellStyle name="常规 6 3 3" xfId="550"/>
    <cellStyle name="常规 6 3 3 2" xfId="551"/>
    <cellStyle name="常规 6 3 4" xfId="552"/>
    <cellStyle name="常规 6 4" xfId="553"/>
    <cellStyle name="常规 6 4 2" xfId="554"/>
    <cellStyle name="常规 6 4 2 2" xfId="555"/>
    <cellStyle name="常规 6 4 3" xfId="556"/>
    <cellStyle name="常规 6 5" xfId="557"/>
    <cellStyle name="常规 6 6" xfId="558"/>
    <cellStyle name="常规 6 6 2" xfId="559"/>
    <cellStyle name="常规 6 7" xfId="560"/>
    <cellStyle name="常规 7" xfId="561"/>
    <cellStyle name="常规 7 2" xfId="562"/>
    <cellStyle name="常规 7 2 2" xfId="563"/>
    <cellStyle name="常规 7 2 2 2" xfId="564"/>
    <cellStyle name="常规 7 2 3" xfId="565"/>
    <cellStyle name="常规 7 3" xfId="566"/>
    <cellStyle name="常规 7 3 2" xfId="567"/>
    <cellStyle name="常规 7 4" xfId="568"/>
    <cellStyle name="常规 8" xfId="569"/>
    <cellStyle name="常规 9" xfId="570"/>
    <cellStyle name="常规 9 2" xfId="571"/>
    <cellStyle name="常规_Book1" xfId="572"/>
    <cellStyle name="常规_c-资产类" xfId="573"/>
    <cellStyle name="常规_sheet" xfId="574"/>
    <cellStyle name="常规_新审定表" xfId="575"/>
    <cellStyle name="常规_制造费用" xfId="576"/>
    <cellStyle name="常规_制造费用 2" xfId="577"/>
    <cellStyle name="超级链接_A4应收账款" xfId="578"/>
    <cellStyle name="超链接" xfId="3" builtinId="8"/>
    <cellStyle name="超链接 2" xfId="579"/>
    <cellStyle name="超链接 2 2" xfId="580"/>
    <cellStyle name="超链接 2 3" xfId="581"/>
    <cellStyle name="超链接 3" xfId="582"/>
    <cellStyle name="超链接 4" xfId="583"/>
    <cellStyle name="分级显示行_1_4附件二凯旋评估表" xfId="584"/>
    <cellStyle name="好_10存货" xfId="585"/>
    <cellStyle name="好_19-无形资产（空白模板）" xfId="586"/>
    <cellStyle name="好_1财务费用" xfId="587"/>
    <cellStyle name="好_1营业收入" xfId="588"/>
    <cellStyle name="好_1资产减值损失" xfId="589"/>
    <cellStyle name="好_2-交易性金融资产（空白模板）" xfId="590"/>
    <cellStyle name="好_2应收账款" xfId="591"/>
    <cellStyle name="好_3-2 进一步审计程序-采购与付款循环" xfId="592"/>
    <cellStyle name="好_3-3 进一步审计程序-存货与生产循环" xfId="593"/>
    <cellStyle name="好_37-长期借款（空白模板）" xfId="594"/>
    <cellStyle name="好_49-营业收入（空白模板）" xfId="595"/>
    <cellStyle name="好_4-应收账款（空白模板）" xfId="596"/>
    <cellStyle name="好_50-营业成本（空白模板）" xfId="597"/>
    <cellStyle name="好_51-营业税金及附加（空白模板）" xfId="598"/>
    <cellStyle name="好_54-财务费用（空白模板）" xfId="599"/>
    <cellStyle name="好_55-资产减值损失（空白模板）" xfId="600"/>
    <cellStyle name="好_9管理费用" xfId="601"/>
    <cellStyle name="好_Book2" xfId="602"/>
    <cellStyle name="好_Sheet1" xfId="603"/>
    <cellStyle name="好_StartUp" xfId="604"/>
    <cellStyle name="好_T1000-主营业务收入" xfId="605"/>
    <cellStyle name="好_Z14-长期应收款（函证汇总表样本）" xfId="606"/>
    <cellStyle name="好_ZA0货币资金审定表 " xfId="607"/>
    <cellStyle name="好_财务费用" xfId="608"/>
    <cellStyle name="好_程序表模版" xfId="609"/>
    <cellStyle name="好_存货" xfId="610"/>
    <cellStyle name="好_存货 - 复制" xfId="611"/>
    <cellStyle name="好_大信底稿目录" xfId="612"/>
    <cellStyle name="好_底稿设置宏" xfId="613"/>
    <cellStyle name="好_底稿设置宏_大信底稿目录" xfId="614"/>
    <cellStyle name="好_管理费用" xfId="615"/>
    <cellStyle name="好_货币资金" xfId="616"/>
    <cellStyle name="好_货币资金 天职" xfId="617"/>
    <cellStyle name="好_货币资金 岳华" xfId="618"/>
    <cellStyle name="好_其他应付款" xfId="619"/>
    <cellStyle name="好_其他应付款—YH" xfId="620"/>
    <cellStyle name="好_其他应收款" xfId="621"/>
    <cellStyle name="好_实收资本(股本)" xfId="622"/>
    <cellStyle name="好_未分配利润" xfId="623"/>
    <cellStyle name="好_无形资产" xfId="624"/>
    <cellStyle name="好_银行函证结果汇总表" xfId="625"/>
    <cellStyle name="好_应付债券" xfId="626"/>
    <cellStyle name="好_应付账款" xfId="627"/>
    <cellStyle name="好_应付职工薪酬" xfId="628"/>
    <cellStyle name="好_应收利息" xfId="629"/>
    <cellStyle name="好_应收账款" xfId="630"/>
    <cellStyle name="好_盈余公积" xfId="631"/>
    <cellStyle name="好_营业收入" xfId="632"/>
    <cellStyle name="好_预收款项" xfId="633"/>
    <cellStyle name="好_长期借款—TZ" xfId="634"/>
    <cellStyle name="好_长期应付款" xfId="635"/>
    <cellStyle name="好_账项明细表" xfId="636"/>
    <cellStyle name="好_资本公积" xfId="637"/>
    <cellStyle name="好_资产负债标准底稿" xfId="638"/>
    <cellStyle name="好_资产负债标准底稿_大信底稿目录" xfId="639"/>
    <cellStyle name="好_资产负债类底稿模版" xfId="640"/>
    <cellStyle name="好_资产负债类底稿模版_大信底稿目录" xfId="641"/>
    <cellStyle name="好_资产减值损失" xfId="642"/>
    <cellStyle name="好_子公司附注汇总(房开公司)" xfId="643"/>
    <cellStyle name="桁区切り [0.00]_１１月価格表" xfId="644"/>
    <cellStyle name="桁区切り_１１月価格表" xfId="645"/>
    <cellStyle name="貨幣 [0]_SGV" xfId="646"/>
    <cellStyle name="貨幣_SGV" xfId="647"/>
    <cellStyle name="霓付 [0]_1202" xfId="648"/>
    <cellStyle name="霓付_1202" xfId="649"/>
    <cellStyle name="妞" xfId="650"/>
    <cellStyle name="欧" xfId="651"/>
    <cellStyle name="烹拳 [0]_1202" xfId="652"/>
    <cellStyle name="烹拳_1202" xfId="653"/>
    <cellStyle name="砯刽 [0]_PLDT" xfId="654"/>
    <cellStyle name="砯刽_PLDT" xfId="655"/>
    <cellStyle name="普通_ 白土" xfId="656"/>
    <cellStyle name="千分位[0]_ 白土" xfId="657"/>
    <cellStyle name="千分位_ 白土" xfId="658"/>
    <cellStyle name="千位[0]_ 应交税金审定表" xfId="659"/>
    <cellStyle name="千位_ 应交税金审定表" xfId="660"/>
    <cellStyle name="千位分隔" xfId="1" builtinId="3"/>
    <cellStyle name="千位分隔 2" xfId="661"/>
    <cellStyle name="千位分隔 2 2" xfId="662"/>
    <cellStyle name="千位分隔 2 2 2" xfId="663"/>
    <cellStyle name="千位分隔 2 3" xfId="664"/>
    <cellStyle name="千位分隔 2 3 2" xfId="665"/>
    <cellStyle name="千位分隔 2 4" xfId="666"/>
    <cellStyle name="千位分隔 3" xfId="667"/>
    <cellStyle name="千位分隔 3 2" xfId="668"/>
    <cellStyle name="千位分隔 3 2 2" xfId="669"/>
    <cellStyle name="千位分隔 3 3" xfId="670"/>
    <cellStyle name="千位分隔 3 3 2" xfId="671"/>
    <cellStyle name="千位分隔 4" xfId="672"/>
    <cellStyle name="千位分隔 4 2" xfId="673"/>
    <cellStyle name="千位分隔 5" xfId="674"/>
    <cellStyle name="千位分隔 5 2" xfId="675"/>
    <cellStyle name="千位分隔 6" xfId="676"/>
    <cellStyle name="千位分隔 6 2" xfId="677"/>
    <cellStyle name="千位分隔 7" xfId="678"/>
    <cellStyle name="千位分隔 7 2" xfId="679"/>
    <cellStyle name="千位分隔 8" xfId="680"/>
    <cellStyle name="千位分隔[0] 2" xfId="681"/>
    <cellStyle name="千位分隔[0] 2 2" xfId="682"/>
    <cellStyle name="钎霖_(沥焊何巩)岿喊牢盔拌裙" xfId="683"/>
    <cellStyle name="强调 1" xfId="684"/>
    <cellStyle name="强调 2" xfId="685"/>
    <cellStyle name="强调 3" xfId="686"/>
    <cellStyle name="通貨 [0.00]_１１月価格表" xfId="687"/>
    <cellStyle name="通貨_１１月価格表" xfId="688"/>
    <cellStyle name="样式 1" xfId="689"/>
    <cellStyle name="样式 1 2" xfId="690"/>
    <cellStyle name="一般_SGV" xfId="691"/>
    <cellStyle name="昗弨_BOOKSHIP" xfId="692"/>
    <cellStyle name="寘嬫愗傝 [0.00]_PRODUCT DETAIL Q1" xfId="693"/>
    <cellStyle name="寘嬫愗傝_PRODUCT DETAIL Q1" xfId="694"/>
    <cellStyle name="资产" xfId="695"/>
    <cellStyle name="콤마 [0]_BOILER-CO1" xfId="696"/>
    <cellStyle name="콤마_BOILER-CO1" xfId="697"/>
    <cellStyle name="통화 [0]_BOILER-CO1" xfId="698"/>
    <cellStyle name="통화_BOILER-CO1" xfId="699"/>
    <cellStyle name="표준_0N-HANDLING " xfId="700"/>
  </cellStyles>
  <dxfs count="0"/>
  <tableStyles count="0" defaultTableStyle="TableStyleMedium9" defaultPivotStyle="PivotStyleLight16"/>
  <colors>
    <mruColors>
      <color rgb="FF0000FF"/>
      <color rgb="FFE4DFEC"/>
      <color rgb="FFFFFF99"/>
      <color rgb="FFDCD5E5"/>
      <color rgb="FFE92841"/>
      <color rgb="FFCCEDF0"/>
      <color rgb="FFEBF7D6"/>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zoomScaleNormal="100" zoomScaleSheetLayoutView="100" workbookViewId="0"/>
  </sheetViews>
  <sheetFormatPr defaultColWidth="9" defaultRowHeight="20.100000000000001" customHeight="1"/>
  <cols>
    <col min="1" max="1" width="73.3984375" style="14" customWidth="1"/>
    <col min="2" max="2" width="2" style="14" customWidth="1"/>
    <col min="3" max="3" width="2.09765625" style="14" customWidth="1"/>
    <col min="4" max="4" width="6.09765625" style="14" customWidth="1"/>
    <col min="5" max="5" width="22.5" style="14" customWidth="1"/>
    <col min="6" max="6" width="8.3984375" style="14" customWidth="1"/>
    <col min="7" max="7" width="14.69921875" style="14" customWidth="1"/>
    <col min="8" max="16384" width="9" style="14"/>
  </cols>
  <sheetData>
    <row r="1" spans="1:8" ht="20.100000000000001" customHeight="1">
      <c r="A1" s="411" t="s">
        <v>0</v>
      </c>
    </row>
    <row r="2" spans="1:8" ht="20.100000000000001" customHeight="1">
      <c r="A2" s="442" t="s">
        <v>1</v>
      </c>
      <c r="B2" s="443"/>
      <c r="C2" s="443"/>
      <c r="G2" s="443"/>
      <c r="H2" s="443"/>
    </row>
    <row r="3" spans="1:8" ht="20.100000000000001" customHeight="1">
      <c r="A3" s="448" t="s">
        <v>481</v>
      </c>
      <c r="B3" s="443"/>
      <c r="C3" s="443"/>
      <c r="D3" s="412" t="s">
        <v>2</v>
      </c>
      <c r="E3" s="412" t="s">
        <v>3</v>
      </c>
      <c r="F3" s="412" t="s">
        <v>4</v>
      </c>
      <c r="G3" s="443"/>
      <c r="H3" s="443"/>
    </row>
    <row r="4" spans="1:8" ht="20.100000000000001" customHeight="1">
      <c r="A4" s="442" t="s">
        <v>5</v>
      </c>
      <c r="D4" s="444">
        <v>1</v>
      </c>
      <c r="E4" s="457" t="s">
        <v>6</v>
      </c>
      <c r="F4" s="444" t="s">
        <v>7</v>
      </c>
    </row>
    <row r="5" spans="1:8" ht="20.100000000000001" customHeight="1">
      <c r="A5" s="442" t="s">
        <v>8</v>
      </c>
      <c r="D5" s="444">
        <v>2</v>
      </c>
      <c r="E5" s="457" t="s">
        <v>9</v>
      </c>
      <c r="F5" s="444" t="s">
        <v>10</v>
      </c>
    </row>
    <row r="6" spans="1:8" ht="20.100000000000001" customHeight="1">
      <c r="A6" s="442" t="s">
        <v>11</v>
      </c>
      <c r="D6" s="444">
        <v>3</v>
      </c>
      <c r="E6" s="457" t="s">
        <v>12</v>
      </c>
      <c r="F6" s="444"/>
      <c r="G6" s="445" t="s">
        <v>13</v>
      </c>
    </row>
    <row r="7" spans="1:8" ht="20.100000000000001" customHeight="1">
      <c r="A7" s="442" t="s">
        <v>14</v>
      </c>
      <c r="D7" s="444">
        <v>4</v>
      </c>
      <c r="E7" s="457" t="s">
        <v>15</v>
      </c>
      <c r="F7" s="444"/>
      <c r="G7" s="445" t="s">
        <v>13</v>
      </c>
    </row>
    <row r="8" spans="1:8" ht="20.100000000000001" customHeight="1">
      <c r="D8" s="444">
        <v>5</v>
      </c>
      <c r="E8" s="457" t="s">
        <v>16</v>
      </c>
      <c r="F8" s="444" t="s">
        <v>17</v>
      </c>
    </row>
    <row r="9" spans="1:8" ht="20.100000000000001" customHeight="1">
      <c r="A9" s="449" t="s">
        <v>482</v>
      </c>
      <c r="D9" s="444">
        <v>6</v>
      </c>
      <c r="E9" s="457" t="s">
        <v>18</v>
      </c>
      <c r="F9" s="444" t="s">
        <v>19</v>
      </c>
    </row>
    <row r="10" spans="1:8" ht="20.100000000000001" customHeight="1">
      <c r="A10" s="458" t="s">
        <v>483</v>
      </c>
      <c r="D10" s="444">
        <v>7</v>
      </c>
      <c r="E10" s="457" t="s">
        <v>20</v>
      </c>
      <c r="F10" s="444" t="s">
        <v>21</v>
      </c>
    </row>
    <row r="11" spans="1:8" ht="20.100000000000001" customHeight="1">
      <c r="A11" s="458"/>
    </row>
    <row r="12" spans="1:8" ht="20.100000000000001" customHeight="1">
      <c r="A12" s="458"/>
    </row>
    <row r="13" spans="1:8" ht="18.75" customHeight="1">
      <c r="A13" s="458"/>
    </row>
    <row r="14" spans="1:8" ht="18.75" customHeight="1">
      <c r="A14" s="458" t="s">
        <v>484</v>
      </c>
    </row>
    <row r="15" spans="1:8" ht="22.5" customHeight="1">
      <c r="A15" s="458"/>
    </row>
    <row r="16" spans="1:8" ht="20.100000000000001" customHeight="1">
      <c r="A16" s="458"/>
    </row>
    <row r="17" spans="1:1" ht="20.100000000000001" customHeight="1">
      <c r="A17" s="459" t="s">
        <v>485</v>
      </c>
    </row>
    <row r="18" spans="1:1" ht="12">
      <c r="A18" s="459"/>
    </row>
    <row r="19" spans="1:1" ht="12">
      <c r="A19" s="459"/>
    </row>
  </sheetData>
  <mergeCells count="3">
    <mergeCell ref="A10:A13"/>
    <mergeCell ref="A14:A16"/>
    <mergeCell ref="A17:A19"/>
  </mergeCells>
  <phoneticPr fontId="168" type="noConversion"/>
  <hyperlinks>
    <hyperlink ref="E5" location="'审定表D2-1'!A1" display="应收账款审定表"/>
    <hyperlink ref="E6" location="'附注披露信息(上市公司)'!A1" display="附注披露信息（上市公司）"/>
    <hyperlink ref="E8" location="'明细表D2-2'!A1" display="明细表"/>
    <hyperlink ref="E4" location="应收账款实质性程序表D2A!A1" display="应收账款实质性程序表"/>
    <hyperlink ref="E10" location="'调整分录汇总表D2-4'!A1" display="调整分录汇总表"/>
    <hyperlink ref="E7" location="'附注披露信息(国企)'!A1" display="附注披露信息(国企)"/>
    <hyperlink ref="E9" location="'坏账准备明细表D2-3'!A1" display="坏账准备明细表"/>
  </hyperlinks>
  <pageMargins left="0.70866141732283472" right="0.70866141732283472" top="0.74803149606299213" bottom="0.74803149606299213" header="0.31496062992125984" footer="0.31496062992125984"/>
  <pageSetup paperSize="9" scale="45" orientation="landscape"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J44"/>
  <sheetViews>
    <sheetView view="pageBreakPreview" zoomScaleNormal="100" workbookViewId="0">
      <selection sqref="A1:I1"/>
    </sheetView>
  </sheetViews>
  <sheetFormatPr defaultColWidth="9" defaultRowHeight="20.100000000000001" customHeight="1"/>
  <cols>
    <col min="1" max="1" width="4.8984375" style="1" customWidth="1"/>
    <col min="2" max="2" width="60.8984375" style="1" customWidth="1"/>
    <col min="3" max="3" width="10.59765625" style="1" customWidth="1"/>
    <col min="4" max="4" width="5.69921875" style="1" customWidth="1"/>
    <col min="5" max="5" width="6.69921875" style="1" customWidth="1"/>
    <col min="6" max="6" width="6.59765625" style="1" customWidth="1"/>
    <col min="7" max="7" width="7.296875" style="1" customWidth="1"/>
    <col min="8" max="8" width="5.296875" style="1" customWidth="1"/>
    <col min="9" max="9" width="7" style="1" customWidth="1"/>
    <col min="10" max="10" width="54.8984375" style="1" customWidth="1"/>
    <col min="11" max="16384" width="9" style="1"/>
  </cols>
  <sheetData>
    <row r="1" spans="1:10" ht="20.100000000000001" customHeight="1">
      <c r="A1" s="471" t="s">
        <v>22</v>
      </c>
      <c r="B1" s="471"/>
      <c r="C1" s="471"/>
      <c r="D1" s="471"/>
      <c r="E1" s="471"/>
      <c r="F1" s="471"/>
      <c r="G1" s="471"/>
      <c r="H1" s="471"/>
      <c r="I1" s="471"/>
    </row>
    <row r="2" spans="1:10" ht="20.100000000000001" customHeight="1">
      <c r="A2" s="472" t="s">
        <v>6</v>
      </c>
      <c r="B2" s="472"/>
      <c r="C2" s="472"/>
      <c r="D2" s="472"/>
      <c r="E2" s="472"/>
      <c r="F2" s="472"/>
      <c r="G2" s="472"/>
      <c r="H2" s="472"/>
      <c r="I2" s="472"/>
    </row>
    <row r="3" spans="1:10" ht="20.100000000000001" customHeight="1">
      <c r="A3" s="473" t="str">
        <f>底稿目录!A2</f>
        <v>被审计单位名称：</v>
      </c>
      <c r="B3" s="473"/>
      <c r="C3" s="14" t="str">
        <f>底稿目录!A4</f>
        <v>编制人：</v>
      </c>
      <c r="D3" s="14"/>
      <c r="E3" s="14"/>
      <c r="F3" s="403" t="str">
        <f>底稿目录!A5</f>
        <v>编制日期：</v>
      </c>
      <c r="G3" s="14"/>
      <c r="H3" s="404" t="s">
        <v>23</v>
      </c>
      <c r="I3" s="456" t="s">
        <v>7</v>
      </c>
    </row>
    <row r="4" spans="1:10" ht="20.100000000000001" customHeight="1">
      <c r="A4" s="473" t="str">
        <f>底稿目录!A3</f>
        <v>截止日：202X年12月31日</v>
      </c>
      <c r="B4" s="473"/>
      <c r="C4" s="14" t="str">
        <f>底稿目录!A6</f>
        <v>复核人：</v>
      </c>
      <c r="D4" s="14"/>
      <c r="E4" s="14"/>
      <c r="F4" s="403" t="str">
        <f>底稿目录!A7</f>
        <v>复核日期：</v>
      </c>
      <c r="G4" s="14"/>
      <c r="H4" s="404" t="s">
        <v>24</v>
      </c>
    </row>
    <row r="5" spans="1:10" ht="20.100000000000001" customHeight="1">
      <c r="A5" s="463" t="s">
        <v>25</v>
      </c>
      <c r="B5" s="463"/>
      <c r="C5" s="406"/>
      <c r="D5" s="406"/>
      <c r="E5" s="406"/>
      <c r="F5" s="407"/>
      <c r="G5" s="406"/>
      <c r="H5" s="406"/>
      <c r="I5" s="435"/>
    </row>
    <row r="6" spans="1:10" ht="20.100000000000001" customHeight="1">
      <c r="A6" s="469" t="s">
        <v>26</v>
      </c>
      <c r="B6" s="469"/>
      <c r="C6" s="469"/>
      <c r="D6" s="408"/>
      <c r="E6" s="408"/>
      <c r="F6" s="408"/>
      <c r="G6" s="408"/>
      <c r="H6" s="14"/>
      <c r="I6" s="14"/>
    </row>
    <row r="7" spans="1:10" ht="20.100000000000001" customHeight="1">
      <c r="A7" s="409" t="s">
        <v>27</v>
      </c>
      <c r="B7" s="405"/>
      <c r="C7" s="410"/>
      <c r="D7" s="14"/>
      <c r="E7" s="14"/>
      <c r="F7" s="403"/>
      <c r="G7" s="14"/>
      <c r="H7" s="14"/>
      <c r="I7" s="411"/>
    </row>
    <row r="8" spans="1:10" ht="19.95" customHeight="1">
      <c r="A8" s="470" t="s">
        <v>28</v>
      </c>
      <c r="B8" s="470"/>
      <c r="C8" s="470"/>
      <c r="D8" s="470"/>
      <c r="E8" s="470"/>
      <c r="F8" s="470"/>
      <c r="G8" s="461" t="s">
        <v>29</v>
      </c>
      <c r="H8" s="461"/>
      <c r="I8" s="461"/>
    </row>
    <row r="9" spans="1:10" ht="19.95" customHeight="1">
      <c r="A9" s="467" t="s">
        <v>470</v>
      </c>
      <c r="B9" s="468"/>
      <c r="C9" s="468"/>
      <c r="D9" s="468"/>
      <c r="E9" s="468"/>
      <c r="F9" s="468"/>
      <c r="G9" s="462" t="s">
        <v>30</v>
      </c>
      <c r="H9" s="462"/>
      <c r="I9" s="462"/>
    </row>
    <row r="10" spans="1:10" ht="19.95" customHeight="1">
      <c r="A10" s="467" t="s">
        <v>471</v>
      </c>
      <c r="B10" s="468"/>
      <c r="C10" s="468"/>
      <c r="D10" s="468"/>
      <c r="E10" s="468"/>
      <c r="F10" s="468"/>
      <c r="G10" s="462" t="s">
        <v>31</v>
      </c>
      <c r="H10" s="462"/>
      <c r="I10" s="462"/>
    </row>
    <row r="11" spans="1:10" ht="19.95" customHeight="1">
      <c r="A11" s="467" t="s">
        <v>472</v>
      </c>
      <c r="B11" s="468"/>
      <c r="C11" s="468"/>
      <c r="D11" s="468"/>
      <c r="E11" s="468"/>
      <c r="F11" s="468"/>
      <c r="G11" s="462" t="s">
        <v>32</v>
      </c>
      <c r="H11" s="462"/>
      <c r="I11" s="462"/>
    </row>
    <row r="12" spans="1:10" ht="19.95" customHeight="1">
      <c r="A12" s="468" t="s">
        <v>33</v>
      </c>
      <c r="B12" s="468"/>
      <c r="C12" s="468"/>
      <c r="D12" s="468"/>
      <c r="E12" s="468"/>
      <c r="F12" s="468"/>
      <c r="G12" s="462" t="s">
        <v>34</v>
      </c>
      <c r="H12" s="462"/>
      <c r="I12" s="462"/>
    </row>
    <row r="13" spans="1:10" ht="19.95" customHeight="1">
      <c r="A13" s="467" t="s">
        <v>473</v>
      </c>
      <c r="B13" s="468"/>
      <c r="C13" s="468"/>
      <c r="D13" s="468"/>
      <c r="E13" s="468"/>
      <c r="F13" s="468"/>
      <c r="G13" s="462" t="s">
        <v>35</v>
      </c>
      <c r="H13" s="462"/>
      <c r="I13" s="462"/>
    </row>
    <row r="14" spans="1:10" ht="20.100000000000001" customHeight="1">
      <c r="A14" s="463" t="s">
        <v>36</v>
      </c>
      <c r="B14" s="463"/>
      <c r="C14" s="410"/>
      <c r="I14" s="411"/>
    </row>
    <row r="15" spans="1:10" ht="20.100000000000001" customHeight="1">
      <c r="A15" s="465" t="s">
        <v>2</v>
      </c>
      <c r="B15" s="466" t="s">
        <v>487</v>
      </c>
      <c r="C15" s="460" t="s">
        <v>37</v>
      </c>
      <c r="D15" s="464" t="s">
        <v>28</v>
      </c>
      <c r="E15" s="464"/>
      <c r="F15" s="464"/>
      <c r="G15" s="464"/>
      <c r="H15" s="464"/>
      <c r="I15" s="460" t="s">
        <v>38</v>
      </c>
    </row>
    <row r="16" spans="1:10" ht="35.25" customHeight="1">
      <c r="A16" s="465"/>
      <c r="B16" s="466"/>
      <c r="C16" s="460"/>
      <c r="D16" s="414" t="s">
        <v>30</v>
      </c>
      <c r="E16" s="414" t="s">
        <v>31</v>
      </c>
      <c r="F16" s="414" t="s">
        <v>32</v>
      </c>
      <c r="G16" s="415" t="s">
        <v>34</v>
      </c>
      <c r="H16" s="414" t="s">
        <v>35</v>
      </c>
      <c r="I16" s="460"/>
      <c r="J16" s="450" t="s">
        <v>486</v>
      </c>
    </row>
    <row r="17" spans="1:10" ht="134.25" customHeight="1">
      <c r="A17" s="416" t="s">
        <v>39</v>
      </c>
      <c r="B17" s="413" t="s">
        <v>474</v>
      </c>
      <c r="C17" s="417" t="s">
        <v>40</v>
      </c>
      <c r="D17" s="418" t="s">
        <v>41</v>
      </c>
      <c r="E17" s="418" t="s">
        <v>41</v>
      </c>
      <c r="F17" s="419"/>
      <c r="G17" s="420" t="s">
        <v>41</v>
      </c>
      <c r="H17" s="419"/>
      <c r="I17" s="429" t="s">
        <v>42</v>
      </c>
    </row>
    <row r="18" spans="1:10" ht="51.6" customHeight="1">
      <c r="A18" s="416" t="s">
        <v>43</v>
      </c>
      <c r="B18" s="421" t="s">
        <v>44</v>
      </c>
      <c r="C18" s="422" t="s">
        <v>40</v>
      </c>
      <c r="D18" s="419"/>
      <c r="E18" s="420" t="s">
        <v>41</v>
      </c>
      <c r="F18" s="419"/>
      <c r="G18" s="418" t="s">
        <v>41</v>
      </c>
      <c r="H18" s="419"/>
      <c r="I18" s="436" t="s">
        <v>45</v>
      </c>
      <c r="J18" s="437" t="s">
        <v>46</v>
      </c>
    </row>
    <row r="19" spans="1:10" ht="41.4" customHeight="1">
      <c r="A19" s="416" t="s">
        <v>47</v>
      </c>
      <c r="B19" s="423" t="s">
        <v>48</v>
      </c>
      <c r="C19" s="417" t="s">
        <v>49</v>
      </c>
      <c r="D19" s="420" t="s">
        <v>41</v>
      </c>
      <c r="E19" s="418" t="s">
        <v>41</v>
      </c>
      <c r="F19" s="418" t="s">
        <v>41</v>
      </c>
      <c r="G19" s="418" t="s">
        <v>41</v>
      </c>
      <c r="H19" s="419"/>
      <c r="I19" s="438"/>
      <c r="J19" s="437" t="s">
        <v>50</v>
      </c>
    </row>
    <row r="20" spans="1:10" ht="67.8" customHeight="1">
      <c r="A20" s="416" t="s">
        <v>51</v>
      </c>
      <c r="B20" s="424" t="s">
        <v>52</v>
      </c>
      <c r="C20" s="422" t="s">
        <v>40</v>
      </c>
      <c r="D20" s="425"/>
      <c r="E20" s="425"/>
      <c r="F20" s="425"/>
      <c r="G20" s="426" t="s">
        <v>53</v>
      </c>
      <c r="H20" s="425"/>
      <c r="I20" s="429" t="s">
        <v>17</v>
      </c>
      <c r="J20" s="439"/>
    </row>
    <row r="21" spans="1:10" ht="81" customHeight="1">
      <c r="A21" s="416" t="s">
        <v>54</v>
      </c>
      <c r="B21" s="424" t="s">
        <v>55</v>
      </c>
      <c r="C21" s="422" t="s">
        <v>40</v>
      </c>
      <c r="D21" s="426" t="s">
        <v>53</v>
      </c>
      <c r="E21" s="427"/>
      <c r="F21" s="427"/>
      <c r="G21" s="427" t="s">
        <v>56</v>
      </c>
      <c r="H21" s="425"/>
      <c r="I21" s="429" t="s">
        <v>57</v>
      </c>
    </row>
    <row r="22" spans="1:10" ht="198" customHeight="1">
      <c r="A22" s="416" t="s">
        <v>58</v>
      </c>
      <c r="B22" s="428" t="s">
        <v>59</v>
      </c>
      <c r="C22" s="422" t="s">
        <v>40</v>
      </c>
      <c r="D22" s="426" t="s">
        <v>53</v>
      </c>
      <c r="E22" s="427" t="s">
        <v>56</v>
      </c>
      <c r="F22" s="426" t="s">
        <v>53</v>
      </c>
      <c r="G22" s="427" t="s">
        <v>56</v>
      </c>
      <c r="H22" s="429"/>
      <c r="I22" s="429" t="s">
        <v>60</v>
      </c>
      <c r="J22" s="440"/>
    </row>
    <row r="23" spans="1:10" ht="120.75" customHeight="1">
      <c r="A23" s="416" t="s">
        <v>61</v>
      </c>
      <c r="B23" s="413" t="s">
        <v>479</v>
      </c>
      <c r="C23" s="431" t="s">
        <v>40</v>
      </c>
      <c r="D23" s="420" t="s">
        <v>41</v>
      </c>
      <c r="E23" s="418" t="s">
        <v>41</v>
      </c>
      <c r="F23" s="418" t="s">
        <v>41</v>
      </c>
      <c r="G23" s="420" t="s">
        <v>41</v>
      </c>
      <c r="H23" s="418" t="s">
        <v>41</v>
      </c>
      <c r="I23" s="429" t="s">
        <v>476</v>
      </c>
    </row>
    <row r="24" spans="1:10" ht="39.75" customHeight="1">
      <c r="A24" s="416" t="s">
        <v>64</v>
      </c>
      <c r="B24" s="413" t="s">
        <v>62</v>
      </c>
      <c r="C24" s="417" t="s">
        <v>40</v>
      </c>
      <c r="D24" s="420" t="s">
        <v>41</v>
      </c>
      <c r="E24" s="419"/>
      <c r="F24" s="418" t="s">
        <v>41</v>
      </c>
      <c r="G24" s="418" t="s">
        <v>41</v>
      </c>
      <c r="H24" s="419"/>
      <c r="I24" s="441" t="s">
        <v>63</v>
      </c>
    </row>
    <row r="25" spans="1:10" ht="32.700000000000003" customHeight="1">
      <c r="A25" s="416" t="s">
        <v>66</v>
      </c>
      <c r="B25" s="413" t="s">
        <v>65</v>
      </c>
      <c r="C25" s="417" t="s">
        <v>40</v>
      </c>
      <c r="D25" s="426" t="s">
        <v>53</v>
      </c>
      <c r="E25" s="430"/>
      <c r="F25" s="418" t="s">
        <v>41</v>
      </c>
      <c r="G25" s="430"/>
      <c r="H25" s="429"/>
      <c r="I25" s="441" t="s">
        <v>63</v>
      </c>
    </row>
    <row r="26" spans="1:10" ht="105.6" customHeight="1">
      <c r="A26" s="416" t="s">
        <v>67</v>
      </c>
      <c r="B26" s="432" t="s">
        <v>68</v>
      </c>
      <c r="C26" s="417" t="s">
        <v>40</v>
      </c>
      <c r="D26" s="430"/>
      <c r="E26" s="430"/>
      <c r="F26" s="430"/>
      <c r="G26" s="426" t="s">
        <v>53</v>
      </c>
      <c r="H26" s="429"/>
      <c r="I26" s="429" t="s">
        <v>69</v>
      </c>
    </row>
    <row r="27" spans="1:10" ht="43.2" customHeight="1">
      <c r="A27" s="416" t="s">
        <v>70</v>
      </c>
      <c r="B27" s="413" t="s">
        <v>71</v>
      </c>
      <c r="C27" s="417" t="s">
        <v>40</v>
      </c>
      <c r="D27" s="426"/>
      <c r="E27" s="430"/>
      <c r="F27" s="430"/>
      <c r="G27" s="426" t="s">
        <v>53</v>
      </c>
      <c r="H27" s="429"/>
      <c r="I27" s="429"/>
    </row>
    <row r="28" spans="1:10" ht="98.25" customHeight="1">
      <c r="A28" s="416" t="s">
        <v>72</v>
      </c>
      <c r="B28" s="413" t="s">
        <v>75</v>
      </c>
      <c r="C28" s="433" t="s">
        <v>73</v>
      </c>
      <c r="D28" s="426" t="s">
        <v>53</v>
      </c>
      <c r="E28" s="429"/>
      <c r="F28" s="429"/>
      <c r="G28" s="429"/>
      <c r="H28" s="429"/>
      <c r="I28" s="429"/>
    </row>
    <row r="29" spans="1:10" ht="45.6" customHeight="1">
      <c r="A29" s="416" t="s">
        <v>74</v>
      </c>
      <c r="B29" s="413" t="s">
        <v>77</v>
      </c>
      <c r="C29" s="433" t="s">
        <v>73</v>
      </c>
      <c r="D29" s="426" t="s">
        <v>53</v>
      </c>
      <c r="E29" s="429"/>
      <c r="F29" s="429"/>
      <c r="G29" s="429"/>
      <c r="H29" s="429"/>
      <c r="I29" s="429"/>
    </row>
    <row r="30" spans="1:10" ht="67.8" customHeight="1">
      <c r="A30" s="416" t="s">
        <v>76</v>
      </c>
      <c r="B30" s="413" t="s">
        <v>475</v>
      </c>
      <c r="C30" s="433" t="s">
        <v>73</v>
      </c>
      <c r="D30" s="420" t="s">
        <v>41</v>
      </c>
      <c r="E30" s="418" t="s">
        <v>41</v>
      </c>
      <c r="F30" s="418" t="s">
        <v>41</v>
      </c>
      <c r="G30" s="420" t="s">
        <v>41</v>
      </c>
      <c r="H30" s="418"/>
      <c r="I30" s="447" t="s">
        <v>480</v>
      </c>
    </row>
    <row r="31" spans="1:10" ht="40.200000000000003" customHeight="1">
      <c r="A31" s="416" t="s">
        <v>78</v>
      </c>
      <c r="B31" s="413" t="s">
        <v>478</v>
      </c>
      <c r="C31" s="417" t="s">
        <v>49</v>
      </c>
      <c r="D31" s="430"/>
      <c r="E31" s="420" t="s">
        <v>41</v>
      </c>
      <c r="F31" s="426" t="s">
        <v>53</v>
      </c>
      <c r="G31" s="430"/>
      <c r="H31" s="429"/>
      <c r="I31" s="429" t="s">
        <v>79</v>
      </c>
    </row>
    <row r="32" spans="1:10" ht="29.25" customHeight="1">
      <c r="A32" s="416" t="s">
        <v>80</v>
      </c>
      <c r="B32" s="413" t="s">
        <v>81</v>
      </c>
      <c r="C32" s="417" t="s">
        <v>40</v>
      </c>
      <c r="D32" s="430"/>
      <c r="E32" s="430"/>
      <c r="F32" s="426" t="s">
        <v>53</v>
      </c>
      <c r="G32" s="430"/>
      <c r="H32" s="429"/>
      <c r="I32" s="429" t="s">
        <v>79</v>
      </c>
    </row>
    <row r="33" spans="1:9" ht="25.8" customHeight="1">
      <c r="A33" s="416" t="s">
        <v>82</v>
      </c>
      <c r="B33" s="413" t="s">
        <v>83</v>
      </c>
      <c r="C33" s="417" t="s">
        <v>40</v>
      </c>
      <c r="D33" s="426" t="s">
        <v>53</v>
      </c>
      <c r="E33" s="430"/>
      <c r="F33" s="426"/>
      <c r="G33" s="430"/>
      <c r="H33" s="429"/>
      <c r="I33" s="429" t="s">
        <v>84</v>
      </c>
    </row>
    <row r="34" spans="1:9" ht="44.25" customHeight="1">
      <c r="A34" s="416" t="s">
        <v>85</v>
      </c>
      <c r="B34" s="413" t="s">
        <v>477</v>
      </c>
      <c r="C34" s="417" t="s">
        <v>40</v>
      </c>
      <c r="D34" s="426" t="s">
        <v>53</v>
      </c>
      <c r="E34" s="430"/>
      <c r="F34" s="430"/>
      <c r="G34" s="430"/>
      <c r="H34" s="429"/>
      <c r="I34" s="429" t="s">
        <v>63</v>
      </c>
    </row>
    <row r="35" spans="1:9" ht="42.6" customHeight="1">
      <c r="A35" s="416" t="s">
        <v>86</v>
      </c>
      <c r="B35" s="424" t="s">
        <v>87</v>
      </c>
      <c r="C35" s="433" t="s">
        <v>73</v>
      </c>
      <c r="D35" s="426"/>
      <c r="E35" s="430"/>
      <c r="F35" s="430"/>
      <c r="G35" s="430"/>
      <c r="H35" s="429"/>
      <c r="I35" s="429"/>
    </row>
    <row r="36" spans="1:9" ht="34.200000000000003" customHeight="1">
      <c r="A36" s="416" t="s">
        <v>88</v>
      </c>
      <c r="B36" s="423" t="s">
        <v>89</v>
      </c>
      <c r="C36" s="417" t="s">
        <v>40</v>
      </c>
      <c r="D36" s="430"/>
      <c r="E36" s="430"/>
      <c r="F36" s="430"/>
      <c r="G36" s="430"/>
      <c r="H36" s="426" t="s">
        <v>53</v>
      </c>
      <c r="I36" s="429" t="s">
        <v>90</v>
      </c>
    </row>
    <row r="44" spans="1:9" ht="102.75" customHeight="1">
      <c r="B44" s="434"/>
    </row>
  </sheetData>
  <mergeCells count="24">
    <mergeCell ref="A1:I1"/>
    <mergeCell ref="A2:I2"/>
    <mergeCell ref="A3:B3"/>
    <mergeCell ref="A4:B4"/>
    <mergeCell ref="A5:B5"/>
    <mergeCell ref="A13:F13"/>
    <mergeCell ref="A10:F10"/>
    <mergeCell ref="A11:F11"/>
    <mergeCell ref="A12:F12"/>
    <mergeCell ref="A6:C6"/>
    <mergeCell ref="A8:F8"/>
    <mergeCell ref="A9:F9"/>
    <mergeCell ref="A14:B14"/>
    <mergeCell ref="D15:H15"/>
    <mergeCell ref="A15:A16"/>
    <mergeCell ref="B15:B16"/>
    <mergeCell ref="C15:C16"/>
    <mergeCell ref="I15:I16"/>
    <mergeCell ref="G8:I8"/>
    <mergeCell ref="G9:I9"/>
    <mergeCell ref="G10:I10"/>
    <mergeCell ref="G11:I11"/>
    <mergeCell ref="G12:I12"/>
    <mergeCell ref="G13:I13"/>
  </mergeCells>
  <phoneticPr fontId="168" type="noConversion"/>
  <hyperlinks>
    <hyperlink ref="I3" location="底稿目录!A1" display="D2A"/>
  </hyperlinks>
  <pageMargins left="0.70833333333333304" right="0.70833333333333304" top="0.74791666666666701" bottom="0.74791666666666701" header="0.31458333333333299" footer="0.31458333333333299"/>
  <pageSetup paperSize="9" scale="71" orientation="portrait" blackAndWhite="1" r:id="rId1"/>
  <headerFooter alignWithMargins="0">
    <oddFooter>&amp;C&amp;P/&amp;N</oddFooter>
  </headerFooter>
  <rowBreaks count="1" manualBreakCount="1">
    <brk id="22" max="8"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62"/>
  <sheetViews>
    <sheetView view="pageBreakPreview" zoomScaleNormal="100" workbookViewId="0">
      <pane xSplit="1" ySplit="6" topLeftCell="B7" activePane="bottomRight" state="frozen"/>
      <selection pane="topRight"/>
      <selection pane="bottomLeft"/>
      <selection pane="bottomRight" sqref="A1:L1"/>
    </sheetView>
  </sheetViews>
  <sheetFormatPr defaultColWidth="9" defaultRowHeight="20.100000000000001" customHeight="1"/>
  <cols>
    <col min="1" max="1" width="21.59765625" style="2" customWidth="1"/>
    <col min="2" max="2" width="11.5" style="2" customWidth="1"/>
    <col min="3" max="3" width="10.19921875" style="2" customWidth="1"/>
    <col min="4" max="4" width="12.19921875" style="2" customWidth="1"/>
    <col min="5" max="5" width="11.59765625" style="2" customWidth="1"/>
    <col min="6" max="6" width="11.8984375" style="2" customWidth="1"/>
    <col min="7" max="7" width="11.59765625" style="2" customWidth="1"/>
    <col min="8" max="8" width="12.3984375" style="2" customWidth="1"/>
    <col min="9" max="9" width="11.69921875" style="2" customWidth="1"/>
    <col min="10" max="10" width="12" style="2" customWidth="1"/>
    <col min="11" max="11" width="8.19921875" style="2" customWidth="1"/>
    <col min="12" max="12" width="13.3984375" style="2" customWidth="1"/>
    <col min="13" max="13" width="13.5" style="2" customWidth="1"/>
    <col min="14" max="14" width="7.5" style="2" customWidth="1"/>
    <col min="15" max="15" width="5.69921875" style="2" customWidth="1"/>
    <col min="16" max="16" width="9.69921875" style="2" customWidth="1"/>
    <col min="17" max="17" width="9" style="2"/>
    <col min="18" max="18" width="6.19921875" style="2" customWidth="1"/>
    <col min="19" max="19" width="9" style="2" customWidth="1"/>
    <col min="20" max="20" width="9" style="2"/>
    <col min="21" max="21" width="9" style="2" customWidth="1"/>
    <col min="22" max="254" width="9" style="2"/>
    <col min="255" max="255" width="9.19921875" style="2" customWidth="1"/>
    <col min="256" max="256" width="12.19921875" style="2" customWidth="1"/>
    <col min="257" max="257" width="4.19921875" style="2" customWidth="1"/>
    <col min="258" max="258" width="9.69921875" style="2" customWidth="1"/>
    <col min="259" max="259" width="13.69921875" style="2" customWidth="1"/>
    <col min="260" max="260" width="8.69921875" style="2" customWidth="1"/>
    <col min="261" max="261" width="4.09765625" style="2" customWidth="1"/>
    <col min="262" max="265" width="6.5" style="2" customWidth="1"/>
    <col min="266" max="266" width="9" style="2" customWidth="1"/>
    <col min="267" max="267" width="3.69921875" style="2" customWidth="1"/>
    <col min="268" max="268" width="11.69921875" style="2" customWidth="1"/>
    <col min="269" max="269" width="13.5" style="2" customWidth="1"/>
    <col min="270" max="270" width="7.5" style="2" customWidth="1"/>
    <col min="271" max="271" width="5.69921875" style="2" customWidth="1"/>
    <col min="272" max="272" width="9.69921875" style="2" customWidth="1"/>
    <col min="273" max="273" width="9" style="2"/>
    <col min="274" max="274" width="6.19921875" style="2" customWidth="1"/>
    <col min="275" max="275" width="9" style="2" customWidth="1"/>
    <col min="276" max="276" width="9" style="2"/>
    <col min="277" max="277" width="9" style="2" customWidth="1"/>
    <col min="278" max="510" width="9" style="2"/>
    <col min="511" max="511" width="9.19921875" style="2" customWidth="1"/>
    <col min="512" max="512" width="12.19921875" style="2" customWidth="1"/>
    <col min="513" max="513" width="4.19921875" style="2" customWidth="1"/>
    <col min="514" max="514" width="9.69921875" style="2" customWidth="1"/>
    <col min="515" max="515" width="13.69921875" style="2" customWidth="1"/>
    <col min="516" max="516" width="8.69921875" style="2" customWidth="1"/>
    <col min="517" max="517" width="4.09765625" style="2" customWidth="1"/>
    <col min="518" max="521" width="6.5" style="2" customWidth="1"/>
    <col min="522" max="522" width="9" style="2" customWidth="1"/>
    <col min="523" max="523" width="3.69921875" style="2" customWidth="1"/>
    <col min="524" max="524" width="11.69921875" style="2" customWidth="1"/>
    <col min="525" max="525" width="13.5" style="2" customWidth="1"/>
    <col min="526" max="526" width="7.5" style="2" customWidth="1"/>
    <col min="527" max="527" width="5.69921875" style="2" customWidth="1"/>
    <col min="528" max="528" width="9.69921875" style="2" customWidth="1"/>
    <col min="529" max="529" width="9" style="2"/>
    <col min="530" max="530" width="6.19921875" style="2" customWidth="1"/>
    <col min="531" max="531" width="9" style="2" customWidth="1"/>
    <col min="532" max="532" width="9" style="2"/>
    <col min="533" max="533" width="9" style="2" customWidth="1"/>
    <col min="534" max="766" width="9" style="2"/>
    <col min="767" max="767" width="9.19921875" style="2" customWidth="1"/>
    <col min="768" max="768" width="12.19921875" style="2" customWidth="1"/>
    <col min="769" max="769" width="4.19921875" style="2" customWidth="1"/>
    <col min="770" max="770" width="9.69921875" style="2" customWidth="1"/>
    <col min="771" max="771" width="13.69921875" style="2" customWidth="1"/>
    <col min="772" max="772" width="8.69921875" style="2" customWidth="1"/>
    <col min="773" max="773" width="4.09765625" style="2" customWidth="1"/>
    <col min="774" max="777" width="6.5" style="2" customWidth="1"/>
    <col min="778" max="778" width="9" style="2" customWidth="1"/>
    <col min="779" max="779" width="3.69921875" style="2" customWidth="1"/>
    <col min="780" max="780" width="11.69921875" style="2" customWidth="1"/>
    <col min="781" max="781" width="13.5" style="2" customWidth="1"/>
    <col min="782" max="782" width="7.5" style="2" customWidth="1"/>
    <col min="783" max="783" width="5.69921875" style="2" customWidth="1"/>
    <col min="784" max="784" width="9.69921875" style="2" customWidth="1"/>
    <col min="785" max="785" width="9" style="2"/>
    <col min="786" max="786" width="6.19921875" style="2" customWidth="1"/>
    <col min="787" max="787" width="9" style="2" customWidth="1"/>
    <col min="788" max="788" width="9" style="2"/>
    <col min="789" max="789" width="9" style="2" customWidth="1"/>
    <col min="790" max="1022" width="9" style="2"/>
    <col min="1023" max="1023" width="9.19921875" style="2" customWidth="1"/>
    <col min="1024" max="1024" width="12.19921875" style="2" customWidth="1"/>
    <col min="1025" max="1025" width="4.19921875" style="2" customWidth="1"/>
    <col min="1026" max="1026" width="9.69921875" style="2" customWidth="1"/>
    <col min="1027" max="1027" width="13.69921875" style="2" customWidth="1"/>
    <col min="1028" max="1028" width="8.69921875" style="2" customWidth="1"/>
    <col min="1029" max="1029" width="4.09765625" style="2" customWidth="1"/>
    <col min="1030" max="1033" width="6.5" style="2" customWidth="1"/>
    <col min="1034" max="1034" width="9" style="2" customWidth="1"/>
    <col min="1035" max="1035" width="3.69921875" style="2" customWidth="1"/>
    <col min="1036" max="1036" width="11.69921875" style="2" customWidth="1"/>
    <col min="1037" max="1037" width="13.5" style="2" customWidth="1"/>
    <col min="1038" max="1038" width="7.5" style="2" customWidth="1"/>
    <col min="1039" max="1039" width="5.69921875" style="2" customWidth="1"/>
    <col min="1040" max="1040" width="9.69921875" style="2" customWidth="1"/>
    <col min="1041" max="1041" width="9" style="2"/>
    <col min="1042" max="1042" width="6.19921875" style="2" customWidth="1"/>
    <col min="1043" max="1043" width="9" style="2" customWidth="1"/>
    <col min="1044" max="1044" width="9" style="2"/>
    <col min="1045" max="1045" width="9" style="2" customWidth="1"/>
    <col min="1046" max="1278" width="9" style="2"/>
    <col min="1279" max="1279" width="9.19921875" style="2" customWidth="1"/>
    <col min="1280" max="1280" width="12.19921875" style="2" customWidth="1"/>
    <col min="1281" max="1281" width="4.19921875" style="2" customWidth="1"/>
    <col min="1282" max="1282" width="9.69921875" style="2" customWidth="1"/>
    <col min="1283" max="1283" width="13.69921875" style="2" customWidth="1"/>
    <col min="1284" max="1284" width="8.69921875" style="2" customWidth="1"/>
    <col min="1285" max="1285" width="4.09765625" style="2" customWidth="1"/>
    <col min="1286" max="1289" width="6.5" style="2" customWidth="1"/>
    <col min="1290" max="1290" width="9" style="2" customWidth="1"/>
    <col min="1291" max="1291" width="3.69921875" style="2" customWidth="1"/>
    <col min="1292" max="1292" width="11.69921875" style="2" customWidth="1"/>
    <col min="1293" max="1293" width="13.5" style="2" customWidth="1"/>
    <col min="1294" max="1294" width="7.5" style="2" customWidth="1"/>
    <col min="1295" max="1295" width="5.69921875" style="2" customWidth="1"/>
    <col min="1296" max="1296" width="9.69921875" style="2" customWidth="1"/>
    <col min="1297" max="1297" width="9" style="2"/>
    <col min="1298" max="1298" width="6.19921875" style="2" customWidth="1"/>
    <col min="1299" max="1299" width="9" style="2" customWidth="1"/>
    <col min="1300" max="1300" width="9" style="2"/>
    <col min="1301" max="1301" width="9" style="2" customWidth="1"/>
    <col min="1302" max="1534" width="9" style="2"/>
    <col min="1535" max="1535" width="9.19921875" style="2" customWidth="1"/>
    <col min="1536" max="1536" width="12.19921875" style="2" customWidth="1"/>
    <col min="1537" max="1537" width="4.19921875" style="2" customWidth="1"/>
    <col min="1538" max="1538" width="9.69921875" style="2" customWidth="1"/>
    <col min="1539" max="1539" width="13.69921875" style="2" customWidth="1"/>
    <col min="1540" max="1540" width="8.69921875" style="2" customWidth="1"/>
    <col min="1541" max="1541" width="4.09765625" style="2" customWidth="1"/>
    <col min="1542" max="1545" width="6.5" style="2" customWidth="1"/>
    <col min="1546" max="1546" width="9" style="2" customWidth="1"/>
    <col min="1547" max="1547" width="3.69921875" style="2" customWidth="1"/>
    <col min="1548" max="1548" width="11.69921875" style="2" customWidth="1"/>
    <col min="1549" max="1549" width="13.5" style="2" customWidth="1"/>
    <col min="1550" max="1550" width="7.5" style="2" customWidth="1"/>
    <col min="1551" max="1551" width="5.69921875" style="2" customWidth="1"/>
    <col min="1552" max="1552" width="9.69921875" style="2" customWidth="1"/>
    <col min="1553" max="1553" width="9" style="2"/>
    <col min="1554" max="1554" width="6.19921875" style="2" customWidth="1"/>
    <col min="1555" max="1555" width="9" style="2" customWidth="1"/>
    <col min="1556" max="1556" width="9" style="2"/>
    <col min="1557" max="1557" width="9" style="2" customWidth="1"/>
    <col min="1558" max="1790" width="9" style="2"/>
    <col min="1791" max="1791" width="9.19921875" style="2" customWidth="1"/>
    <col min="1792" max="1792" width="12.19921875" style="2" customWidth="1"/>
    <col min="1793" max="1793" width="4.19921875" style="2" customWidth="1"/>
    <col min="1794" max="1794" width="9.69921875" style="2" customWidth="1"/>
    <col min="1795" max="1795" width="13.69921875" style="2" customWidth="1"/>
    <col min="1796" max="1796" width="8.69921875" style="2" customWidth="1"/>
    <col min="1797" max="1797" width="4.09765625" style="2" customWidth="1"/>
    <col min="1798" max="1801" width="6.5" style="2" customWidth="1"/>
    <col min="1802" max="1802" width="9" style="2" customWidth="1"/>
    <col min="1803" max="1803" width="3.69921875" style="2" customWidth="1"/>
    <col min="1804" max="1804" width="11.69921875" style="2" customWidth="1"/>
    <col min="1805" max="1805" width="13.5" style="2" customWidth="1"/>
    <col min="1806" max="1806" width="7.5" style="2" customWidth="1"/>
    <col min="1807" max="1807" width="5.69921875" style="2" customWidth="1"/>
    <col min="1808" max="1808" width="9.69921875" style="2" customWidth="1"/>
    <col min="1809" max="1809" width="9" style="2"/>
    <col min="1810" max="1810" width="6.19921875" style="2" customWidth="1"/>
    <col min="1811" max="1811" width="9" style="2" customWidth="1"/>
    <col min="1812" max="1812" width="9" style="2"/>
    <col min="1813" max="1813" width="9" style="2" customWidth="1"/>
    <col min="1814" max="2046" width="9" style="2"/>
    <col min="2047" max="2047" width="9.19921875" style="2" customWidth="1"/>
    <col min="2048" max="2048" width="12.19921875" style="2" customWidth="1"/>
    <col min="2049" max="2049" width="4.19921875" style="2" customWidth="1"/>
    <col min="2050" max="2050" width="9.69921875" style="2" customWidth="1"/>
    <col min="2051" max="2051" width="13.69921875" style="2" customWidth="1"/>
    <col min="2052" max="2052" width="8.69921875" style="2" customWidth="1"/>
    <col min="2053" max="2053" width="4.09765625" style="2" customWidth="1"/>
    <col min="2054" max="2057" width="6.5" style="2" customWidth="1"/>
    <col min="2058" max="2058" width="9" style="2" customWidth="1"/>
    <col min="2059" max="2059" width="3.69921875" style="2" customWidth="1"/>
    <col min="2060" max="2060" width="11.69921875" style="2" customWidth="1"/>
    <col min="2061" max="2061" width="13.5" style="2" customWidth="1"/>
    <col min="2062" max="2062" width="7.5" style="2" customWidth="1"/>
    <col min="2063" max="2063" width="5.69921875" style="2" customWidth="1"/>
    <col min="2064" max="2064" width="9.69921875" style="2" customWidth="1"/>
    <col min="2065" max="2065" width="9" style="2"/>
    <col min="2066" max="2066" width="6.19921875" style="2" customWidth="1"/>
    <col min="2067" max="2067" width="9" style="2" customWidth="1"/>
    <col min="2068" max="2068" width="9" style="2"/>
    <col min="2069" max="2069" width="9" style="2" customWidth="1"/>
    <col min="2070" max="2302" width="9" style="2"/>
    <col min="2303" max="2303" width="9.19921875" style="2" customWidth="1"/>
    <col min="2304" max="2304" width="12.19921875" style="2" customWidth="1"/>
    <col min="2305" max="2305" width="4.19921875" style="2" customWidth="1"/>
    <col min="2306" max="2306" width="9.69921875" style="2" customWidth="1"/>
    <col min="2307" max="2307" width="13.69921875" style="2" customWidth="1"/>
    <col min="2308" max="2308" width="8.69921875" style="2" customWidth="1"/>
    <col min="2309" max="2309" width="4.09765625" style="2" customWidth="1"/>
    <col min="2310" max="2313" width="6.5" style="2" customWidth="1"/>
    <col min="2314" max="2314" width="9" style="2" customWidth="1"/>
    <col min="2315" max="2315" width="3.69921875" style="2" customWidth="1"/>
    <col min="2316" max="2316" width="11.69921875" style="2" customWidth="1"/>
    <col min="2317" max="2317" width="13.5" style="2" customWidth="1"/>
    <col min="2318" max="2318" width="7.5" style="2" customWidth="1"/>
    <col min="2319" max="2319" width="5.69921875" style="2" customWidth="1"/>
    <col min="2320" max="2320" width="9.69921875" style="2" customWidth="1"/>
    <col min="2321" max="2321" width="9" style="2"/>
    <col min="2322" max="2322" width="6.19921875" style="2" customWidth="1"/>
    <col min="2323" max="2323" width="9" style="2" customWidth="1"/>
    <col min="2324" max="2324" width="9" style="2"/>
    <col min="2325" max="2325" width="9" style="2" customWidth="1"/>
    <col min="2326" max="2558" width="9" style="2"/>
    <col min="2559" max="2559" width="9.19921875" style="2" customWidth="1"/>
    <col min="2560" max="2560" width="12.19921875" style="2" customWidth="1"/>
    <col min="2561" max="2561" width="4.19921875" style="2" customWidth="1"/>
    <col min="2562" max="2562" width="9.69921875" style="2" customWidth="1"/>
    <col min="2563" max="2563" width="13.69921875" style="2" customWidth="1"/>
    <col min="2564" max="2564" width="8.69921875" style="2" customWidth="1"/>
    <col min="2565" max="2565" width="4.09765625" style="2" customWidth="1"/>
    <col min="2566" max="2569" width="6.5" style="2" customWidth="1"/>
    <col min="2570" max="2570" width="9" style="2" customWidth="1"/>
    <col min="2571" max="2571" width="3.69921875" style="2" customWidth="1"/>
    <col min="2572" max="2572" width="11.69921875" style="2" customWidth="1"/>
    <col min="2573" max="2573" width="13.5" style="2" customWidth="1"/>
    <col min="2574" max="2574" width="7.5" style="2" customWidth="1"/>
    <col min="2575" max="2575" width="5.69921875" style="2" customWidth="1"/>
    <col min="2576" max="2576" width="9.69921875" style="2" customWidth="1"/>
    <col min="2577" max="2577" width="9" style="2"/>
    <col min="2578" max="2578" width="6.19921875" style="2" customWidth="1"/>
    <col min="2579" max="2579" width="9" style="2" customWidth="1"/>
    <col min="2580" max="2580" width="9" style="2"/>
    <col min="2581" max="2581" width="9" style="2" customWidth="1"/>
    <col min="2582" max="2814" width="9" style="2"/>
    <col min="2815" max="2815" width="9.19921875" style="2" customWidth="1"/>
    <col min="2816" max="2816" width="12.19921875" style="2" customWidth="1"/>
    <col min="2817" max="2817" width="4.19921875" style="2" customWidth="1"/>
    <col min="2818" max="2818" width="9.69921875" style="2" customWidth="1"/>
    <col min="2819" max="2819" width="13.69921875" style="2" customWidth="1"/>
    <col min="2820" max="2820" width="8.69921875" style="2" customWidth="1"/>
    <col min="2821" max="2821" width="4.09765625" style="2" customWidth="1"/>
    <col min="2822" max="2825" width="6.5" style="2" customWidth="1"/>
    <col min="2826" max="2826" width="9" style="2" customWidth="1"/>
    <col min="2827" max="2827" width="3.69921875" style="2" customWidth="1"/>
    <col min="2828" max="2828" width="11.69921875" style="2" customWidth="1"/>
    <col min="2829" max="2829" width="13.5" style="2" customWidth="1"/>
    <col min="2830" max="2830" width="7.5" style="2" customWidth="1"/>
    <col min="2831" max="2831" width="5.69921875" style="2" customWidth="1"/>
    <col min="2832" max="2832" width="9.69921875" style="2" customWidth="1"/>
    <col min="2833" max="2833" width="9" style="2"/>
    <col min="2834" max="2834" width="6.19921875" style="2" customWidth="1"/>
    <col min="2835" max="2835" width="9" style="2" customWidth="1"/>
    <col min="2836" max="2836" width="9" style="2"/>
    <col min="2837" max="2837" width="9" style="2" customWidth="1"/>
    <col min="2838" max="3070" width="9" style="2"/>
    <col min="3071" max="3071" width="9.19921875" style="2" customWidth="1"/>
    <col min="3072" max="3072" width="12.19921875" style="2" customWidth="1"/>
    <col min="3073" max="3073" width="4.19921875" style="2" customWidth="1"/>
    <col min="3074" max="3074" width="9.69921875" style="2" customWidth="1"/>
    <col min="3075" max="3075" width="13.69921875" style="2" customWidth="1"/>
    <col min="3076" max="3076" width="8.69921875" style="2" customWidth="1"/>
    <col min="3077" max="3077" width="4.09765625" style="2" customWidth="1"/>
    <col min="3078" max="3081" width="6.5" style="2" customWidth="1"/>
    <col min="3082" max="3082" width="9" style="2" customWidth="1"/>
    <col min="3083" max="3083" width="3.69921875" style="2" customWidth="1"/>
    <col min="3084" max="3084" width="11.69921875" style="2" customWidth="1"/>
    <col min="3085" max="3085" width="13.5" style="2" customWidth="1"/>
    <col min="3086" max="3086" width="7.5" style="2" customWidth="1"/>
    <col min="3087" max="3087" width="5.69921875" style="2" customWidth="1"/>
    <col min="3088" max="3088" width="9.69921875" style="2" customWidth="1"/>
    <col min="3089" max="3089" width="9" style="2"/>
    <col min="3090" max="3090" width="6.19921875" style="2" customWidth="1"/>
    <col min="3091" max="3091" width="9" style="2" customWidth="1"/>
    <col min="3092" max="3092" width="9" style="2"/>
    <col min="3093" max="3093" width="9" style="2" customWidth="1"/>
    <col min="3094" max="3326" width="9" style="2"/>
    <col min="3327" max="3327" width="9.19921875" style="2" customWidth="1"/>
    <col min="3328" max="3328" width="12.19921875" style="2" customWidth="1"/>
    <col min="3329" max="3329" width="4.19921875" style="2" customWidth="1"/>
    <col min="3330" max="3330" width="9.69921875" style="2" customWidth="1"/>
    <col min="3331" max="3331" width="13.69921875" style="2" customWidth="1"/>
    <col min="3332" max="3332" width="8.69921875" style="2" customWidth="1"/>
    <col min="3333" max="3333" width="4.09765625" style="2" customWidth="1"/>
    <col min="3334" max="3337" width="6.5" style="2" customWidth="1"/>
    <col min="3338" max="3338" width="9" style="2" customWidth="1"/>
    <col min="3339" max="3339" width="3.69921875" style="2" customWidth="1"/>
    <col min="3340" max="3340" width="11.69921875" style="2" customWidth="1"/>
    <col min="3341" max="3341" width="13.5" style="2" customWidth="1"/>
    <col min="3342" max="3342" width="7.5" style="2" customWidth="1"/>
    <col min="3343" max="3343" width="5.69921875" style="2" customWidth="1"/>
    <col min="3344" max="3344" width="9.69921875" style="2" customWidth="1"/>
    <col min="3345" max="3345" width="9" style="2"/>
    <col min="3346" max="3346" width="6.19921875" style="2" customWidth="1"/>
    <col min="3347" max="3347" width="9" style="2" customWidth="1"/>
    <col min="3348" max="3348" width="9" style="2"/>
    <col min="3349" max="3349" width="9" style="2" customWidth="1"/>
    <col min="3350" max="3582" width="9" style="2"/>
    <col min="3583" max="3583" width="9.19921875" style="2" customWidth="1"/>
    <col min="3584" max="3584" width="12.19921875" style="2" customWidth="1"/>
    <col min="3585" max="3585" width="4.19921875" style="2" customWidth="1"/>
    <col min="3586" max="3586" width="9.69921875" style="2" customWidth="1"/>
    <col min="3587" max="3587" width="13.69921875" style="2" customWidth="1"/>
    <col min="3588" max="3588" width="8.69921875" style="2" customWidth="1"/>
    <col min="3589" max="3589" width="4.09765625" style="2" customWidth="1"/>
    <col min="3590" max="3593" width="6.5" style="2" customWidth="1"/>
    <col min="3594" max="3594" width="9" style="2" customWidth="1"/>
    <col min="3595" max="3595" width="3.69921875" style="2" customWidth="1"/>
    <col min="3596" max="3596" width="11.69921875" style="2" customWidth="1"/>
    <col min="3597" max="3597" width="13.5" style="2" customWidth="1"/>
    <col min="3598" max="3598" width="7.5" style="2" customWidth="1"/>
    <col min="3599" max="3599" width="5.69921875" style="2" customWidth="1"/>
    <col min="3600" max="3600" width="9.69921875" style="2" customWidth="1"/>
    <col min="3601" max="3601" width="9" style="2"/>
    <col min="3602" max="3602" width="6.19921875" style="2" customWidth="1"/>
    <col min="3603" max="3603" width="9" style="2" customWidth="1"/>
    <col min="3604" max="3604" width="9" style="2"/>
    <col min="3605" max="3605" width="9" style="2" customWidth="1"/>
    <col min="3606" max="3838" width="9" style="2"/>
    <col min="3839" max="3839" width="9.19921875" style="2" customWidth="1"/>
    <col min="3840" max="3840" width="12.19921875" style="2" customWidth="1"/>
    <col min="3841" max="3841" width="4.19921875" style="2" customWidth="1"/>
    <col min="3842" max="3842" width="9.69921875" style="2" customWidth="1"/>
    <col min="3843" max="3843" width="13.69921875" style="2" customWidth="1"/>
    <col min="3844" max="3844" width="8.69921875" style="2" customWidth="1"/>
    <col min="3845" max="3845" width="4.09765625" style="2" customWidth="1"/>
    <col min="3846" max="3849" width="6.5" style="2" customWidth="1"/>
    <col min="3850" max="3850" width="9" style="2" customWidth="1"/>
    <col min="3851" max="3851" width="3.69921875" style="2" customWidth="1"/>
    <col min="3852" max="3852" width="11.69921875" style="2" customWidth="1"/>
    <col min="3853" max="3853" width="13.5" style="2" customWidth="1"/>
    <col min="3854" max="3854" width="7.5" style="2" customWidth="1"/>
    <col min="3855" max="3855" width="5.69921875" style="2" customWidth="1"/>
    <col min="3856" max="3856" width="9.69921875" style="2" customWidth="1"/>
    <col min="3857" max="3857" width="9" style="2"/>
    <col min="3858" max="3858" width="6.19921875" style="2" customWidth="1"/>
    <col min="3859" max="3859" width="9" style="2" customWidth="1"/>
    <col min="3860" max="3860" width="9" style="2"/>
    <col min="3861" max="3861" width="9" style="2" customWidth="1"/>
    <col min="3862" max="4094" width="9" style="2"/>
    <col min="4095" max="4095" width="9.19921875" style="2" customWidth="1"/>
    <col min="4096" max="4096" width="12.19921875" style="2" customWidth="1"/>
    <col min="4097" max="4097" width="4.19921875" style="2" customWidth="1"/>
    <col min="4098" max="4098" width="9.69921875" style="2" customWidth="1"/>
    <col min="4099" max="4099" width="13.69921875" style="2" customWidth="1"/>
    <col min="4100" max="4100" width="8.69921875" style="2" customWidth="1"/>
    <col min="4101" max="4101" width="4.09765625" style="2" customWidth="1"/>
    <col min="4102" max="4105" width="6.5" style="2" customWidth="1"/>
    <col min="4106" max="4106" width="9" style="2" customWidth="1"/>
    <col min="4107" max="4107" width="3.69921875" style="2" customWidth="1"/>
    <col min="4108" max="4108" width="11.69921875" style="2" customWidth="1"/>
    <col min="4109" max="4109" width="13.5" style="2" customWidth="1"/>
    <col min="4110" max="4110" width="7.5" style="2" customWidth="1"/>
    <col min="4111" max="4111" width="5.69921875" style="2" customWidth="1"/>
    <col min="4112" max="4112" width="9.69921875" style="2" customWidth="1"/>
    <col min="4113" max="4113" width="9" style="2"/>
    <col min="4114" max="4114" width="6.19921875" style="2" customWidth="1"/>
    <col min="4115" max="4115" width="9" style="2" customWidth="1"/>
    <col min="4116" max="4116" width="9" style="2"/>
    <col min="4117" max="4117" width="9" style="2" customWidth="1"/>
    <col min="4118" max="4350" width="9" style="2"/>
    <col min="4351" max="4351" width="9.19921875" style="2" customWidth="1"/>
    <col min="4352" max="4352" width="12.19921875" style="2" customWidth="1"/>
    <col min="4353" max="4353" width="4.19921875" style="2" customWidth="1"/>
    <col min="4354" max="4354" width="9.69921875" style="2" customWidth="1"/>
    <col min="4355" max="4355" width="13.69921875" style="2" customWidth="1"/>
    <col min="4356" max="4356" width="8.69921875" style="2" customWidth="1"/>
    <col min="4357" max="4357" width="4.09765625" style="2" customWidth="1"/>
    <col min="4358" max="4361" width="6.5" style="2" customWidth="1"/>
    <col min="4362" max="4362" width="9" style="2" customWidth="1"/>
    <col min="4363" max="4363" width="3.69921875" style="2" customWidth="1"/>
    <col min="4364" max="4364" width="11.69921875" style="2" customWidth="1"/>
    <col min="4365" max="4365" width="13.5" style="2" customWidth="1"/>
    <col min="4366" max="4366" width="7.5" style="2" customWidth="1"/>
    <col min="4367" max="4367" width="5.69921875" style="2" customWidth="1"/>
    <col min="4368" max="4368" width="9.69921875" style="2" customWidth="1"/>
    <col min="4369" max="4369" width="9" style="2"/>
    <col min="4370" max="4370" width="6.19921875" style="2" customWidth="1"/>
    <col min="4371" max="4371" width="9" style="2" customWidth="1"/>
    <col min="4372" max="4372" width="9" style="2"/>
    <col min="4373" max="4373" width="9" style="2" customWidth="1"/>
    <col min="4374" max="4606" width="9" style="2"/>
    <col min="4607" max="4607" width="9.19921875" style="2" customWidth="1"/>
    <col min="4608" max="4608" width="12.19921875" style="2" customWidth="1"/>
    <col min="4609" max="4609" width="4.19921875" style="2" customWidth="1"/>
    <col min="4610" max="4610" width="9.69921875" style="2" customWidth="1"/>
    <col min="4611" max="4611" width="13.69921875" style="2" customWidth="1"/>
    <col min="4612" max="4612" width="8.69921875" style="2" customWidth="1"/>
    <col min="4613" max="4613" width="4.09765625" style="2" customWidth="1"/>
    <col min="4614" max="4617" width="6.5" style="2" customWidth="1"/>
    <col min="4618" max="4618" width="9" style="2" customWidth="1"/>
    <col min="4619" max="4619" width="3.69921875" style="2" customWidth="1"/>
    <col min="4620" max="4620" width="11.69921875" style="2" customWidth="1"/>
    <col min="4621" max="4621" width="13.5" style="2" customWidth="1"/>
    <col min="4622" max="4622" width="7.5" style="2" customWidth="1"/>
    <col min="4623" max="4623" width="5.69921875" style="2" customWidth="1"/>
    <col min="4624" max="4624" width="9.69921875" style="2" customWidth="1"/>
    <col min="4625" max="4625" width="9" style="2"/>
    <col min="4626" max="4626" width="6.19921875" style="2" customWidth="1"/>
    <col min="4627" max="4627" width="9" style="2" customWidth="1"/>
    <col min="4628" max="4628" width="9" style="2"/>
    <col min="4629" max="4629" width="9" style="2" customWidth="1"/>
    <col min="4630" max="4862" width="9" style="2"/>
    <col min="4863" max="4863" width="9.19921875" style="2" customWidth="1"/>
    <col min="4864" max="4864" width="12.19921875" style="2" customWidth="1"/>
    <col min="4865" max="4865" width="4.19921875" style="2" customWidth="1"/>
    <col min="4866" max="4866" width="9.69921875" style="2" customWidth="1"/>
    <col min="4867" max="4867" width="13.69921875" style="2" customWidth="1"/>
    <col min="4868" max="4868" width="8.69921875" style="2" customWidth="1"/>
    <col min="4869" max="4869" width="4.09765625" style="2" customWidth="1"/>
    <col min="4870" max="4873" width="6.5" style="2" customWidth="1"/>
    <col min="4874" max="4874" width="9" style="2" customWidth="1"/>
    <col min="4875" max="4875" width="3.69921875" style="2" customWidth="1"/>
    <col min="4876" max="4876" width="11.69921875" style="2" customWidth="1"/>
    <col min="4877" max="4877" width="13.5" style="2" customWidth="1"/>
    <col min="4878" max="4878" width="7.5" style="2" customWidth="1"/>
    <col min="4879" max="4879" width="5.69921875" style="2" customWidth="1"/>
    <col min="4880" max="4880" width="9.69921875" style="2" customWidth="1"/>
    <col min="4881" max="4881" width="9" style="2"/>
    <col min="4882" max="4882" width="6.19921875" style="2" customWidth="1"/>
    <col min="4883" max="4883" width="9" style="2" customWidth="1"/>
    <col min="4884" max="4884" width="9" style="2"/>
    <col min="4885" max="4885" width="9" style="2" customWidth="1"/>
    <col min="4886" max="5118" width="9" style="2"/>
    <col min="5119" max="5119" width="9.19921875" style="2" customWidth="1"/>
    <col min="5120" max="5120" width="12.19921875" style="2" customWidth="1"/>
    <col min="5121" max="5121" width="4.19921875" style="2" customWidth="1"/>
    <col min="5122" max="5122" width="9.69921875" style="2" customWidth="1"/>
    <col min="5123" max="5123" width="13.69921875" style="2" customWidth="1"/>
    <col min="5124" max="5124" width="8.69921875" style="2" customWidth="1"/>
    <col min="5125" max="5125" width="4.09765625" style="2" customWidth="1"/>
    <col min="5126" max="5129" width="6.5" style="2" customWidth="1"/>
    <col min="5130" max="5130" width="9" style="2" customWidth="1"/>
    <col min="5131" max="5131" width="3.69921875" style="2" customWidth="1"/>
    <col min="5132" max="5132" width="11.69921875" style="2" customWidth="1"/>
    <col min="5133" max="5133" width="13.5" style="2" customWidth="1"/>
    <col min="5134" max="5134" width="7.5" style="2" customWidth="1"/>
    <col min="5135" max="5135" width="5.69921875" style="2" customWidth="1"/>
    <col min="5136" max="5136" width="9.69921875" style="2" customWidth="1"/>
    <col min="5137" max="5137" width="9" style="2"/>
    <col min="5138" max="5138" width="6.19921875" style="2" customWidth="1"/>
    <col min="5139" max="5139" width="9" style="2" customWidth="1"/>
    <col min="5140" max="5140" width="9" style="2"/>
    <col min="5141" max="5141" width="9" style="2" customWidth="1"/>
    <col min="5142" max="5374" width="9" style="2"/>
    <col min="5375" max="5375" width="9.19921875" style="2" customWidth="1"/>
    <col min="5376" max="5376" width="12.19921875" style="2" customWidth="1"/>
    <col min="5377" max="5377" width="4.19921875" style="2" customWidth="1"/>
    <col min="5378" max="5378" width="9.69921875" style="2" customWidth="1"/>
    <col min="5379" max="5379" width="13.69921875" style="2" customWidth="1"/>
    <col min="5380" max="5380" width="8.69921875" style="2" customWidth="1"/>
    <col min="5381" max="5381" width="4.09765625" style="2" customWidth="1"/>
    <col min="5382" max="5385" width="6.5" style="2" customWidth="1"/>
    <col min="5386" max="5386" width="9" style="2" customWidth="1"/>
    <col min="5387" max="5387" width="3.69921875" style="2" customWidth="1"/>
    <col min="5388" max="5388" width="11.69921875" style="2" customWidth="1"/>
    <col min="5389" max="5389" width="13.5" style="2" customWidth="1"/>
    <col min="5390" max="5390" width="7.5" style="2" customWidth="1"/>
    <col min="5391" max="5391" width="5.69921875" style="2" customWidth="1"/>
    <col min="5392" max="5392" width="9.69921875" style="2" customWidth="1"/>
    <col min="5393" max="5393" width="9" style="2"/>
    <col min="5394" max="5394" width="6.19921875" style="2" customWidth="1"/>
    <col min="5395" max="5395" width="9" style="2" customWidth="1"/>
    <col min="5396" max="5396" width="9" style="2"/>
    <col min="5397" max="5397" width="9" style="2" customWidth="1"/>
    <col min="5398" max="5630" width="9" style="2"/>
    <col min="5631" max="5631" width="9.19921875" style="2" customWidth="1"/>
    <col min="5632" max="5632" width="12.19921875" style="2" customWidth="1"/>
    <col min="5633" max="5633" width="4.19921875" style="2" customWidth="1"/>
    <col min="5634" max="5634" width="9.69921875" style="2" customWidth="1"/>
    <col min="5635" max="5635" width="13.69921875" style="2" customWidth="1"/>
    <col min="5636" max="5636" width="8.69921875" style="2" customWidth="1"/>
    <col min="5637" max="5637" width="4.09765625" style="2" customWidth="1"/>
    <col min="5638" max="5641" width="6.5" style="2" customWidth="1"/>
    <col min="5642" max="5642" width="9" style="2" customWidth="1"/>
    <col min="5643" max="5643" width="3.69921875" style="2" customWidth="1"/>
    <col min="5644" max="5644" width="11.69921875" style="2" customWidth="1"/>
    <col min="5645" max="5645" width="13.5" style="2" customWidth="1"/>
    <col min="5646" max="5646" width="7.5" style="2" customWidth="1"/>
    <col min="5647" max="5647" width="5.69921875" style="2" customWidth="1"/>
    <col min="5648" max="5648" width="9.69921875" style="2" customWidth="1"/>
    <col min="5649" max="5649" width="9" style="2"/>
    <col min="5650" max="5650" width="6.19921875" style="2" customWidth="1"/>
    <col min="5651" max="5651" width="9" style="2" customWidth="1"/>
    <col min="5652" max="5652" width="9" style="2"/>
    <col min="5653" max="5653" width="9" style="2" customWidth="1"/>
    <col min="5654" max="5886" width="9" style="2"/>
    <col min="5887" max="5887" width="9.19921875" style="2" customWidth="1"/>
    <col min="5888" max="5888" width="12.19921875" style="2" customWidth="1"/>
    <col min="5889" max="5889" width="4.19921875" style="2" customWidth="1"/>
    <col min="5890" max="5890" width="9.69921875" style="2" customWidth="1"/>
    <col min="5891" max="5891" width="13.69921875" style="2" customWidth="1"/>
    <col min="5892" max="5892" width="8.69921875" style="2" customWidth="1"/>
    <col min="5893" max="5893" width="4.09765625" style="2" customWidth="1"/>
    <col min="5894" max="5897" width="6.5" style="2" customWidth="1"/>
    <col min="5898" max="5898" width="9" style="2" customWidth="1"/>
    <col min="5899" max="5899" width="3.69921875" style="2" customWidth="1"/>
    <col min="5900" max="5900" width="11.69921875" style="2" customWidth="1"/>
    <col min="5901" max="5901" width="13.5" style="2" customWidth="1"/>
    <col min="5902" max="5902" width="7.5" style="2" customWidth="1"/>
    <col min="5903" max="5903" width="5.69921875" style="2" customWidth="1"/>
    <col min="5904" max="5904" width="9.69921875" style="2" customWidth="1"/>
    <col min="5905" max="5905" width="9" style="2"/>
    <col min="5906" max="5906" width="6.19921875" style="2" customWidth="1"/>
    <col min="5907" max="5907" width="9" style="2" customWidth="1"/>
    <col min="5908" max="5908" width="9" style="2"/>
    <col min="5909" max="5909" width="9" style="2" customWidth="1"/>
    <col min="5910" max="6142" width="9" style="2"/>
    <col min="6143" max="6143" width="9.19921875" style="2" customWidth="1"/>
    <col min="6144" max="6144" width="12.19921875" style="2" customWidth="1"/>
    <col min="6145" max="6145" width="4.19921875" style="2" customWidth="1"/>
    <col min="6146" max="6146" width="9.69921875" style="2" customWidth="1"/>
    <col min="6147" max="6147" width="13.69921875" style="2" customWidth="1"/>
    <col min="6148" max="6148" width="8.69921875" style="2" customWidth="1"/>
    <col min="6149" max="6149" width="4.09765625" style="2" customWidth="1"/>
    <col min="6150" max="6153" width="6.5" style="2" customWidth="1"/>
    <col min="6154" max="6154" width="9" style="2" customWidth="1"/>
    <col min="6155" max="6155" width="3.69921875" style="2" customWidth="1"/>
    <col min="6156" max="6156" width="11.69921875" style="2" customWidth="1"/>
    <col min="6157" max="6157" width="13.5" style="2" customWidth="1"/>
    <col min="6158" max="6158" width="7.5" style="2" customWidth="1"/>
    <col min="6159" max="6159" width="5.69921875" style="2" customWidth="1"/>
    <col min="6160" max="6160" width="9.69921875" style="2" customWidth="1"/>
    <col min="6161" max="6161" width="9" style="2"/>
    <col min="6162" max="6162" width="6.19921875" style="2" customWidth="1"/>
    <col min="6163" max="6163" width="9" style="2" customWidth="1"/>
    <col min="6164" max="6164" width="9" style="2"/>
    <col min="6165" max="6165" width="9" style="2" customWidth="1"/>
    <col min="6166" max="6398" width="9" style="2"/>
    <col min="6399" max="6399" width="9.19921875" style="2" customWidth="1"/>
    <col min="6400" max="6400" width="12.19921875" style="2" customWidth="1"/>
    <col min="6401" max="6401" width="4.19921875" style="2" customWidth="1"/>
    <col min="6402" max="6402" width="9.69921875" style="2" customWidth="1"/>
    <col min="6403" max="6403" width="13.69921875" style="2" customWidth="1"/>
    <col min="6404" max="6404" width="8.69921875" style="2" customWidth="1"/>
    <col min="6405" max="6405" width="4.09765625" style="2" customWidth="1"/>
    <col min="6406" max="6409" width="6.5" style="2" customWidth="1"/>
    <col min="6410" max="6410" width="9" style="2" customWidth="1"/>
    <col min="6411" max="6411" width="3.69921875" style="2" customWidth="1"/>
    <col min="6412" max="6412" width="11.69921875" style="2" customWidth="1"/>
    <col min="6413" max="6413" width="13.5" style="2" customWidth="1"/>
    <col min="6414" max="6414" width="7.5" style="2" customWidth="1"/>
    <col min="6415" max="6415" width="5.69921875" style="2" customWidth="1"/>
    <col min="6416" max="6416" width="9.69921875" style="2" customWidth="1"/>
    <col min="6417" max="6417" width="9" style="2"/>
    <col min="6418" max="6418" width="6.19921875" style="2" customWidth="1"/>
    <col min="6419" max="6419" width="9" style="2" customWidth="1"/>
    <col min="6420" max="6420" width="9" style="2"/>
    <col min="6421" max="6421" width="9" style="2" customWidth="1"/>
    <col min="6422" max="6654" width="9" style="2"/>
    <col min="6655" max="6655" width="9.19921875" style="2" customWidth="1"/>
    <col min="6656" max="6656" width="12.19921875" style="2" customWidth="1"/>
    <col min="6657" max="6657" width="4.19921875" style="2" customWidth="1"/>
    <col min="6658" max="6658" width="9.69921875" style="2" customWidth="1"/>
    <col min="6659" max="6659" width="13.69921875" style="2" customWidth="1"/>
    <col min="6660" max="6660" width="8.69921875" style="2" customWidth="1"/>
    <col min="6661" max="6661" width="4.09765625" style="2" customWidth="1"/>
    <col min="6662" max="6665" width="6.5" style="2" customWidth="1"/>
    <col min="6666" max="6666" width="9" style="2" customWidth="1"/>
    <col min="6667" max="6667" width="3.69921875" style="2" customWidth="1"/>
    <col min="6668" max="6668" width="11.69921875" style="2" customWidth="1"/>
    <col min="6669" max="6669" width="13.5" style="2" customWidth="1"/>
    <col min="6670" max="6670" width="7.5" style="2" customWidth="1"/>
    <col min="6671" max="6671" width="5.69921875" style="2" customWidth="1"/>
    <col min="6672" max="6672" width="9.69921875" style="2" customWidth="1"/>
    <col min="6673" max="6673" width="9" style="2"/>
    <col min="6674" max="6674" width="6.19921875" style="2" customWidth="1"/>
    <col min="6675" max="6675" width="9" style="2" customWidth="1"/>
    <col min="6676" max="6676" width="9" style="2"/>
    <col min="6677" max="6677" width="9" style="2" customWidth="1"/>
    <col min="6678" max="6910" width="9" style="2"/>
    <col min="6911" max="6911" width="9.19921875" style="2" customWidth="1"/>
    <col min="6912" max="6912" width="12.19921875" style="2" customWidth="1"/>
    <col min="6913" max="6913" width="4.19921875" style="2" customWidth="1"/>
    <col min="6914" max="6914" width="9.69921875" style="2" customWidth="1"/>
    <col min="6915" max="6915" width="13.69921875" style="2" customWidth="1"/>
    <col min="6916" max="6916" width="8.69921875" style="2" customWidth="1"/>
    <col min="6917" max="6917" width="4.09765625" style="2" customWidth="1"/>
    <col min="6918" max="6921" width="6.5" style="2" customWidth="1"/>
    <col min="6922" max="6922" width="9" style="2" customWidth="1"/>
    <col min="6923" max="6923" width="3.69921875" style="2" customWidth="1"/>
    <col min="6924" max="6924" width="11.69921875" style="2" customWidth="1"/>
    <col min="6925" max="6925" width="13.5" style="2" customWidth="1"/>
    <col min="6926" max="6926" width="7.5" style="2" customWidth="1"/>
    <col min="6927" max="6927" width="5.69921875" style="2" customWidth="1"/>
    <col min="6928" max="6928" width="9.69921875" style="2" customWidth="1"/>
    <col min="6929" max="6929" width="9" style="2"/>
    <col min="6930" max="6930" width="6.19921875" style="2" customWidth="1"/>
    <col min="6931" max="6931" width="9" style="2" customWidth="1"/>
    <col min="6932" max="6932" width="9" style="2"/>
    <col min="6933" max="6933" width="9" style="2" customWidth="1"/>
    <col min="6934" max="7166" width="9" style="2"/>
    <col min="7167" max="7167" width="9.19921875" style="2" customWidth="1"/>
    <col min="7168" max="7168" width="12.19921875" style="2" customWidth="1"/>
    <col min="7169" max="7169" width="4.19921875" style="2" customWidth="1"/>
    <col min="7170" max="7170" width="9.69921875" style="2" customWidth="1"/>
    <col min="7171" max="7171" width="13.69921875" style="2" customWidth="1"/>
    <col min="7172" max="7172" width="8.69921875" style="2" customWidth="1"/>
    <col min="7173" max="7173" width="4.09765625" style="2" customWidth="1"/>
    <col min="7174" max="7177" width="6.5" style="2" customWidth="1"/>
    <col min="7178" max="7178" width="9" style="2" customWidth="1"/>
    <col min="7179" max="7179" width="3.69921875" style="2" customWidth="1"/>
    <col min="7180" max="7180" width="11.69921875" style="2" customWidth="1"/>
    <col min="7181" max="7181" width="13.5" style="2" customWidth="1"/>
    <col min="7182" max="7182" width="7.5" style="2" customWidth="1"/>
    <col min="7183" max="7183" width="5.69921875" style="2" customWidth="1"/>
    <col min="7184" max="7184" width="9.69921875" style="2" customWidth="1"/>
    <col min="7185" max="7185" width="9" style="2"/>
    <col min="7186" max="7186" width="6.19921875" style="2" customWidth="1"/>
    <col min="7187" max="7187" width="9" style="2" customWidth="1"/>
    <col min="7188" max="7188" width="9" style="2"/>
    <col min="7189" max="7189" width="9" style="2" customWidth="1"/>
    <col min="7190" max="7422" width="9" style="2"/>
    <col min="7423" max="7423" width="9.19921875" style="2" customWidth="1"/>
    <col min="7424" max="7424" width="12.19921875" style="2" customWidth="1"/>
    <col min="7425" max="7425" width="4.19921875" style="2" customWidth="1"/>
    <col min="7426" max="7426" width="9.69921875" style="2" customWidth="1"/>
    <col min="7427" max="7427" width="13.69921875" style="2" customWidth="1"/>
    <col min="7428" max="7428" width="8.69921875" style="2" customWidth="1"/>
    <col min="7429" max="7429" width="4.09765625" style="2" customWidth="1"/>
    <col min="7430" max="7433" width="6.5" style="2" customWidth="1"/>
    <col min="7434" max="7434" width="9" style="2" customWidth="1"/>
    <col min="7435" max="7435" width="3.69921875" style="2" customWidth="1"/>
    <col min="7436" max="7436" width="11.69921875" style="2" customWidth="1"/>
    <col min="7437" max="7437" width="13.5" style="2" customWidth="1"/>
    <col min="7438" max="7438" width="7.5" style="2" customWidth="1"/>
    <col min="7439" max="7439" width="5.69921875" style="2" customWidth="1"/>
    <col min="7440" max="7440" width="9.69921875" style="2" customWidth="1"/>
    <col min="7441" max="7441" width="9" style="2"/>
    <col min="7442" max="7442" width="6.19921875" style="2" customWidth="1"/>
    <col min="7443" max="7443" width="9" style="2" customWidth="1"/>
    <col min="7444" max="7444" width="9" style="2"/>
    <col min="7445" max="7445" width="9" style="2" customWidth="1"/>
    <col min="7446" max="7678" width="9" style="2"/>
    <col min="7679" max="7679" width="9.19921875" style="2" customWidth="1"/>
    <col min="7680" max="7680" width="12.19921875" style="2" customWidth="1"/>
    <col min="7681" max="7681" width="4.19921875" style="2" customWidth="1"/>
    <col min="7682" max="7682" width="9.69921875" style="2" customWidth="1"/>
    <col min="7683" max="7683" width="13.69921875" style="2" customWidth="1"/>
    <col min="7684" max="7684" width="8.69921875" style="2" customWidth="1"/>
    <col min="7685" max="7685" width="4.09765625" style="2" customWidth="1"/>
    <col min="7686" max="7689" width="6.5" style="2" customWidth="1"/>
    <col min="7690" max="7690" width="9" style="2" customWidth="1"/>
    <col min="7691" max="7691" width="3.69921875" style="2" customWidth="1"/>
    <col min="7692" max="7692" width="11.69921875" style="2" customWidth="1"/>
    <col min="7693" max="7693" width="13.5" style="2" customWidth="1"/>
    <col min="7694" max="7694" width="7.5" style="2" customWidth="1"/>
    <col min="7695" max="7695" width="5.69921875" style="2" customWidth="1"/>
    <col min="7696" max="7696" width="9.69921875" style="2" customWidth="1"/>
    <col min="7697" max="7697" width="9" style="2"/>
    <col min="7698" max="7698" width="6.19921875" style="2" customWidth="1"/>
    <col min="7699" max="7699" width="9" style="2" customWidth="1"/>
    <col min="7700" max="7700" width="9" style="2"/>
    <col min="7701" max="7701" width="9" style="2" customWidth="1"/>
    <col min="7702" max="7934" width="9" style="2"/>
    <col min="7935" max="7935" width="9.19921875" style="2" customWidth="1"/>
    <col min="7936" max="7936" width="12.19921875" style="2" customWidth="1"/>
    <col min="7937" max="7937" width="4.19921875" style="2" customWidth="1"/>
    <col min="7938" max="7938" width="9.69921875" style="2" customWidth="1"/>
    <col min="7939" max="7939" width="13.69921875" style="2" customWidth="1"/>
    <col min="7940" max="7940" width="8.69921875" style="2" customWidth="1"/>
    <col min="7941" max="7941" width="4.09765625" style="2" customWidth="1"/>
    <col min="7942" max="7945" width="6.5" style="2" customWidth="1"/>
    <col min="7946" max="7946" width="9" style="2" customWidth="1"/>
    <col min="7947" max="7947" width="3.69921875" style="2" customWidth="1"/>
    <col min="7948" max="7948" width="11.69921875" style="2" customWidth="1"/>
    <col min="7949" max="7949" width="13.5" style="2" customWidth="1"/>
    <col min="7950" max="7950" width="7.5" style="2" customWidth="1"/>
    <col min="7951" max="7951" width="5.69921875" style="2" customWidth="1"/>
    <col min="7952" max="7952" width="9.69921875" style="2" customWidth="1"/>
    <col min="7953" max="7953" width="9" style="2"/>
    <col min="7954" max="7954" width="6.19921875" style="2" customWidth="1"/>
    <col min="7955" max="7955" width="9" style="2" customWidth="1"/>
    <col min="7956" max="7956" width="9" style="2"/>
    <col min="7957" max="7957" width="9" style="2" customWidth="1"/>
    <col min="7958" max="8190" width="9" style="2"/>
    <col min="8191" max="8191" width="9.19921875" style="2" customWidth="1"/>
    <col min="8192" max="8192" width="12.19921875" style="2" customWidth="1"/>
    <col min="8193" max="8193" width="4.19921875" style="2" customWidth="1"/>
    <col min="8194" max="8194" width="9.69921875" style="2" customWidth="1"/>
    <col min="8195" max="8195" width="13.69921875" style="2" customWidth="1"/>
    <col min="8196" max="8196" width="8.69921875" style="2" customWidth="1"/>
    <col min="8197" max="8197" width="4.09765625" style="2" customWidth="1"/>
    <col min="8198" max="8201" width="6.5" style="2" customWidth="1"/>
    <col min="8202" max="8202" width="9" style="2" customWidth="1"/>
    <col min="8203" max="8203" width="3.69921875" style="2" customWidth="1"/>
    <col min="8204" max="8204" width="11.69921875" style="2" customWidth="1"/>
    <col min="8205" max="8205" width="13.5" style="2" customWidth="1"/>
    <col min="8206" max="8206" width="7.5" style="2" customWidth="1"/>
    <col min="8207" max="8207" width="5.69921875" style="2" customWidth="1"/>
    <col min="8208" max="8208" width="9.69921875" style="2" customWidth="1"/>
    <col min="8209" max="8209" width="9" style="2"/>
    <col min="8210" max="8210" width="6.19921875" style="2" customWidth="1"/>
    <col min="8211" max="8211" width="9" style="2" customWidth="1"/>
    <col min="8212" max="8212" width="9" style="2"/>
    <col min="8213" max="8213" width="9" style="2" customWidth="1"/>
    <col min="8214" max="8446" width="9" style="2"/>
    <col min="8447" max="8447" width="9.19921875" style="2" customWidth="1"/>
    <col min="8448" max="8448" width="12.19921875" style="2" customWidth="1"/>
    <col min="8449" max="8449" width="4.19921875" style="2" customWidth="1"/>
    <col min="8450" max="8450" width="9.69921875" style="2" customWidth="1"/>
    <col min="8451" max="8451" width="13.69921875" style="2" customWidth="1"/>
    <col min="8452" max="8452" width="8.69921875" style="2" customWidth="1"/>
    <col min="8453" max="8453" width="4.09765625" style="2" customWidth="1"/>
    <col min="8454" max="8457" width="6.5" style="2" customWidth="1"/>
    <col min="8458" max="8458" width="9" style="2" customWidth="1"/>
    <col min="8459" max="8459" width="3.69921875" style="2" customWidth="1"/>
    <col min="8460" max="8460" width="11.69921875" style="2" customWidth="1"/>
    <col min="8461" max="8461" width="13.5" style="2" customWidth="1"/>
    <col min="8462" max="8462" width="7.5" style="2" customWidth="1"/>
    <col min="8463" max="8463" width="5.69921875" style="2" customWidth="1"/>
    <col min="8464" max="8464" width="9.69921875" style="2" customWidth="1"/>
    <col min="8465" max="8465" width="9" style="2"/>
    <col min="8466" max="8466" width="6.19921875" style="2" customWidth="1"/>
    <col min="8467" max="8467" width="9" style="2" customWidth="1"/>
    <col min="8468" max="8468" width="9" style="2"/>
    <col min="8469" max="8469" width="9" style="2" customWidth="1"/>
    <col min="8470" max="8702" width="9" style="2"/>
    <col min="8703" max="8703" width="9.19921875" style="2" customWidth="1"/>
    <col min="8704" max="8704" width="12.19921875" style="2" customWidth="1"/>
    <col min="8705" max="8705" width="4.19921875" style="2" customWidth="1"/>
    <col min="8706" max="8706" width="9.69921875" style="2" customWidth="1"/>
    <col min="8707" max="8707" width="13.69921875" style="2" customWidth="1"/>
    <col min="8708" max="8708" width="8.69921875" style="2" customWidth="1"/>
    <col min="8709" max="8709" width="4.09765625" style="2" customWidth="1"/>
    <col min="8710" max="8713" width="6.5" style="2" customWidth="1"/>
    <col min="8714" max="8714" width="9" style="2" customWidth="1"/>
    <col min="8715" max="8715" width="3.69921875" style="2" customWidth="1"/>
    <col min="8716" max="8716" width="11.69921875" style="2" customWidth="1"/>
    <col min="8717" max="8717" width="13.5" style="2" customWidth="1"/>
    <col min="8718" max="8718" width="7.5" style="2" customWidth="1"/>
    <col min="8719" max="8719" width="5.69921875" style="2" customWidth="1"/>
    <col min="8720" max="8720" width="9.69921875" style="2" customWidth="1"/>
    <col min="8721" max="8721" width="9" style="2"/>
    <col min="8722" max="8722" width="6.19921875" style="2" customWidth="1"/>
    <col min="8723" max="8723" width="9" style="2" customWidth="1"/>
    <col min="8724" max="8724" width="9" style="2"/>
    <col min="8725" max="8725" width="9" style="2" customWidth="1"/>
    <col min="8726" max="8958" width="9" style="2"/>
    <col min="8959" max="8959" width="9.19921875" style="2" customWidth="1"/>
    <col min="8960" max="8960" width="12.19921875" style="2" customWidth="1"/>
    <col min="8961" max="8961" width="4.19921875" style="2" customWidth="1"/>
    <col min="8962" max="8962" width="9.69921875" style="2" customWidth="1"/>
    <col min="8963" max="8963" width="13.69921875" style="2" customWidth="1"/>
    <col min="8964" max="8964" width="8.69921875" style="2" customWidth="1"/>
    <col min="8965" max="8965" width="4.09765625" style="2" customWidth="1"/>
    <col min="8966" max="8969" width="6.5" style="2" customWidth="1"/>
    <col min="8970" max="8970" width="9" style="2" customWidth="1"/>
    <col min="8971" max="8971" width="3.69921875" style="2" customWidth="1"/>
    <col min="8972" max="8972" width="11.69921875" style="2" customWidth="1"/>
    <col min="8973" max="8973" width="13.5" style="2" customWidth="1"/>
    <col min="8974" max="8974" width="7.5" style="2" customWidth="1"/>
    <col min="8975" max="8975" width="5.69921875" style="2" customWidth="1"/>
    <col min="8976" max="8976" width="9.69921875" style="2" customWidth="1"/>
    <col min="8977" max="8977" width="9" style="2"/>
    <col min="8978" max="8978" width="6.19921875" style="2" customWidth="1"/>
    <col min="8979" max="8979" width="9" style="2" customWidth="1"/>
    <col min="8980" max="8980" width="9" style="2"/>
    <col min="8981" max="8981" width="9" style="2" customWidth="1"/>
    <col min="8982" max="9214" width="9" style="2"/>
    <col min="9215" max="9215" width="9.19921875" style="2" customWidth="1"/>
    <col min="9216" max="9216" width="12.19921875" style="2" customWidth="1"/>
    <col min="9217" max="9217" width="4.19921875" style="2" customWidth="1"/>
    <col min="9218" max="9218" width="9.69921875" style="2" customWidth="1"/>
    <col min="9219" max="9219" width="13.69921875" style="2" customWidth="1"/>
    <col min="9220" max="9220" width="8.69921875" style="2" customWidth="1"/>
    <col min="9221" max="9221" width="4.09765625" style="2" customWidth="1"/>
    <col min="9222" max="9225" width="6.5" style="2" customWidth="1"/>
    <col min="9226" max="9226" width="9" style="2" customWidth="1"/>
    <col min="9227" max="9227" width="3.69921875" style="2" customWidth="1"/>
    <col min="9228" max="9228" width="11.69921875" style="2" customWidth="1"/>
    <col min="9229" max="9229" width="13.5" style="2" customWidth="1"/>
    <col min="9230" max="9230" width="7.5" style="2" customWidth="1"/>
    <col min="9231" max="9231" width="5.69921875" style="2" customWidth="1"/>
    <col min="9232" max="9232" width="9.69921875" style="2" customWidth="1"/>
    <col min="9233" max="9233" width="9" style="2"/>
    <col min="9234" max="9234" width="6.19921875" style="2" customWidth="1"/>
    <col min="9235" max="9235" width="9" style="2" customWidth="1"/>
    <col min="9236" max="9236" width="9" style="2"/>
    <col min="9237" max="9237" width="9" style="2" customWidth="1"/>
    <col min="9238" max="9470" width="9" style="2"/>
    <col min="9471" max="9471" width="9.19921875" style="2" customWidth="1"/>
    <col min="9472" max="9472" width="12.19921875" style="2" customWidth="1"/>
    <col min="9473" max="9473" width="4.19921875" style="2" customWidth="1"/>
    <col min="9474" max="9474" width="9.69921875" style="2" customWidth="1"/>
    <col min="9475" max="9475" width="13.69921875" style="2" customWidth="1"/>
    <col min="9476" max="9476" width="8.69921875" style="2" customWidth="1"/>
    <col min="9477" max="9477" width="4.09765625" style="2" customWidth="1"/>
    <col min="9478" max="9481" width="6.5" style="2" customWidth="1"/>
    <col min="9482" max="9482" width="9" style="2" customWidth="1"/>
    <col min="9483" max="9483" width="3.69921875" style="2" customWidth="1"/>
    <col min="9484" max="9484" width="11.69921875" style="2" customWidth="1"/>
    <col min="9485" max="9485" width="13.5" style="2" customWidth="1"/>
    <col min="9486" max="9486" width="7.5" style="2" customWidth="1"/>
    <col min="9487" max="9487" width="5.69921875" style="2" customWidth="1"/>
    <col min="9488" max="9488" width="9.69921875" style="2" customWidth="1"/>
    <col min="9489" max="9489" width="9" style="2"/>
    <col min="9490" max="9490" width="6.19921875" style="2" customWidth="1"/>
    <col min="9491" max="9491" width="9" style="2" customWidth="1"/>
    <col min="9492" max="9492" width="9" style="2"/>
    <col min="9493" max="9493" width="9" style="2" customWidth="1"/>
    <col min="9494" max="9726" width="9" style="2"/>
    <col min="9727" max="9727" width="9.19921875" style="2" customWidth="1"/>
    <col min="9728" max="9728" width="12.19921875" style="2" customWidth="1"/>
    <col min="9729" max="9729" width="4.19921875" style="2" customWidth="1"/>
    <col min="9730" max="9730" width="9.69921875" style="2" customWidth="1"/>
    <col min="9731" max="9731" width="13.69921875" style="2" customWidth="1"/>
    <col min="9732" max="9732" width="8.69921875" style="2" customWidth="1"/>
    <col min="9733" max="9733" width="4.09765625" style="2" customWidth="1"/>
    <col min="9734" max="9737" width="6.5" style="2" customWidth="1"/>
    <col min="9738" max="9738" width="9" style="2" customWidth="1"/>
    <col min="9739" max="9739" width="3.69921875" style="2" customWidth="1"/>
    <col min="9740" max="9740" width="11.69921875" style="2" customWidth="1"/>
    <col min="9741" max="9741" width="13.5" style="2" customWidth="1"/>
    <col min="9742" max="9742" width="7.5" style="2" customWidth="1"/>
    <col min="9743" max="9743" width="5.69921875" style="2" customWidth="1"/>
    <col min="9744" max="9744" width="9.69921875" style="2" customWidth="1"/>
    <col min="9745" max="9745" width="9" style="2"/>
    <col min="9746" max="9746" width="6.19921875" style="2" customWidth="1"/>
    <col min="9747" max="9747" width="9" style="2" customWidth="1"/>
    <col min="9748" max="9748" width="9" style="2"/>
    <col min="9749" max="9749" width="9" style="2" customWidth="1"/>
    <col min="9750" max="9982" width="9" style="2"/>
    <col min="9983" max="9983" width="9.19921875" style="2" customWidth="1"/>
    <col min="9984" max="9984" width="12.19921875" style="2" customWidth="1"/>
    <col min="9985" max="9985" width="4.19921875" style="2" customWidth="1"/>
    <col min="9986" max="9986" width="9.69921875" style="2" customWidth="1"/>
    <col min="9987" max="9987" width="13.69921875" style="2" customWidth="1"/>
    <col min="9988" max="9988" width="8.69921875" style="2" customWidth="1"/>
    <col min="9989" max="9989" width="4.09765625" style="2" customWidth="1"/>
    <col min="9990" max="9993" width="6.5" style="2" customWidth="1"/>
    <col min="9994" max="9994" width="9" style="2" customWidth="1"/>
    <col min="9995" max="9995" width="3.69921875" style="2" customWidth="1"/>
    <col min="9996" max="9996" width="11.69921875" style="2" customWidth="1"/>
    <col min="9997" max="9997" width="13.5" style="2" customWidth="1"/>
    <col min="9998" max="9998" width="7.5" style="2" customWidth="1"/>
    <col min="9999" max="9999" width="5.69921875" style="2" customWidth="1"/>
    <col min="10000" max="10000" width="9.69921875" style="2" customWidth="1"/>
    <col min="10001" max="10001" width="9" style="2"/>
    <col min="10002" max="10002" width="6.19921875" style="2" customWidth="1"/>
    <col min="10003" max="10003" width="9" style="2" customWidth="1"/>
    <col min="10004" max="10004" width="9" style="2"/>
    <col min="10005" max="10005" width="9" style="2" customWidth="1"/>
    <col min="10006" max="10238" width="9" style="2"/>
    <col min="10239" max="10239" width="9.19921875" style="2" customWidth="1"/>
    <col min="10240" max="10240" width="12.19921875" style="2" customWidth="1"/>
    <col min="10241" max="10241" width="4.19921875" style="2" customWidth="1"/>
    <col min="10242" max="10242" width="9.69921875" style="2" customWidth="1"/>
    <col min="10243" max="10243" width="13.69921875" style="2" customWidth="1"/>
    <col min="10244" max="10244" width="8.69921875" style="2" customWidth="1"/>
    <col min="10245" max="10245" width="4.09765625" style="2" customWidth="1"/>
    <col min="10246" max="10249" width="6.5" style="2" customWidth="1"/>
    <col min="10250" max="10250" width="9" style="2" customWidth="1"/>
    <col min="10251" max="10251" width="3.69921875" style="2" customWidth="1"/>
    <col min="10252" max="10252" width="11.69921875" style="2" customWidth="1"/>
    <col min="10253" max="10253" width="13.5" style="2" customWidth="1"/>
    <col min="10254" max="10254" width="7.5" style="2" customWidth="1"/>
    <col min="10255" max="10255" width="5.69921875" style="2" customWidth="1"/>
    <col min="10256" max="10256" width="9.69921875" style="2" customWidth="1"/>
    <col min="10257" max="10257" width="9" style="2"/>
    <col min="10258" max="10258" width="6.19921875" style="2" customWidth="1"/>
    <col min="10259" max="10259" width="9" style="2" customWidth="1"/>
    <col min="10260" max="10260" width="9" style="2"/>
    <col min="10261" max="10261" width="9" style="2" customWidth="1"/>
    <col min="10262" max="10494" width="9" style="2"/>
    <col min="10495" max="10495" width="9.19921875" style="2" customWidth="1"/>
    <col min="10496" max="10496" width="12.19921875" style="2" customWidth="1"/>
    <col min="10497" max="10497" width="4.19921875" style="2" customWidth="1"/>
    <col min="10498" max="10498" width="9.69921875" style="2" customWidth="1"/>
    <col min="10499" max="10499" width="13.69921875" style="2" customWidth="1"/>
    <col min="10500" max="10500" width="8.69921875" style="2" customWidth="1"/>
    <col min="10501" max="10501" width="4.09765625" style="2" customWidth="1"/>
    <col min="10502" max="10505" width="6.5" style="2" customWidth="1"/>
    <col min="10506" max="10506" width="9" style="2" customWidth="1"/>
    <col min="10507" max="10507" width="3.69921875" style="2" customWidth="1"/>
    <col min="10508" max="10508" width="11.69921875" style="2" customWidth="1"/>
    <col min="10509" max="10509" width="13.5" style="2" customWidth="1"/>
    <col min="10510" max="10510" width="7.5" style="2" customWidth="1"/>
    <col min="10511" max="10511" width="5.69921875" style="2" customWidth="1"/>
    <col min="10512" max="10512" width="9.69921875" style="2" customWidth="1"/>
    <col min="10513" max="10513" width="9" style="2"/>
    <col min="10514" max="10514" width="6.19921875" style="2" customWidth="1"/>
    <col min="10515" max="10515" width="9" style="2" customWidth="1"/>
    <col min="10516" max="10516" width="9" style="2"/>
    <col min="10517" max="10517" width="9" style="2" customWidth="1"/>
    <col min="10518" max="10750" width="9" style="2"/>
    <col min="10751" max="10751" width="9.19921875" style="2" customWidth="1"/>
    <col min="10752" max="10752" width="12.19921875" style="2" customWidth="1"/>
    <col min="10753" max="10753" width="4.19921875" style="2" customWidth="1"/>
    <col min="10754" max="10754" width="9.69921875" style="2" customWidth="1"/>
    <col min="10755" max="10755" width="13.69921875" style="2" customWidth="1"/>
    <col min="10756" max="10756" width="8.69921875" style="2" customWidth="1"/>
    <col min="10757" max="10757" width="4.09765625" style="2" customWidth="1"/>
    <col min="10758" max="10761" width="6.5" style="2" customWidth="1"/>
    <col min="10762" max="10762" width="9" style="2" customWidth="1"/>
    <col min="10763" max="10763" width="3.69921875" style="2" customWidth="1"/>
    <col min="10764" max="10764" width="11.69921875" style="2" customWidth="1"/>
    <col min="10765" max="10765" width="13.5" style="2" customWidth="1"/>
    <col min="10766" max="10766" width="7.5" style="2" customWidth="1"/>
    <col min="10767" max="10767" width="5.69921875" style="2" customWidth="1"/>
    <col min="10768" max="10768" width="9.69921875" style="2" customWidth="1"/>
    <col min="10769" max="10769" width="9" style="2"/>
    <col min="10770" max="10770" width="6.19921875" style="2" customWidth="1"/>
    <col min="10771" max="10771" width="9" style="2" customWidth="1"/>
    <col min="10772" max="10772" width="9" style="2"/>
    <col min="10773" max="10773" width="9" style="2" customWidth="1"/>
    <col min="10774" max="11006" width="9" style="2"/>
    <col min="11007" max="11007" width="9.19921875" style="2" customWidth="1"/>
    <col min="11008" max="11008" width="12.19921875" style="2" customWidth="1"/>
    <col min="11009" max="11009" width="4.19921875" style="2" customWidth="1"/>
    <col min="11010" max="11010" width="9.69921875" style="2" customWidth="1"/>
    <col min="11011" max="11011" width="13.69921875" style="2" customWidth="1"/>
    <col min="11012" max="11012" width="8.69921875" style="2" customWidth="1"/>
    <col min="11013" max="11013" width="4.09765625" style="2" customWidth="1"/>
    <col min="11014" max="11017" width="6.5" style="2" customWidth="1"/>
    <col min="11018" max="11018" width="9" style="2" customWidth="1"/>
    <col min="11019" max="11019" width="3.69921875" style="2" customWidth="1"/>
    <col min="11020" max="11020" width="11.69921875" style="2" customWidth="1"/>
    <col min="11021" max="11021" width="13.5" style="2" customWidth="1"/>
    <col min="11022" max="11022" width="7.5" style="2" customWidth="1"/>
    <col min="11023" max="11023" width="5.69921875" style="2" customWidth="1"/>
    <col min="11024" max="11024" width="9.69921875" style="2" customWidth="1"/>
    <col min="11025" max="11025" width="9" style="2"/>
    <col min="11026" max="11026" width="6.19921875" style="2" customWidth="1"/>
    <col min="11027" max="11027" width="9" style="2" customWidth="1"/>
    <col min="11028" max="11028" width="9" style="2"/>
    <col min="11029" max="11029" width="9" style="2" customWidth="1"/>
    <col min="11030" max="11262" width="9" style="2"/>
    <col min="11263" max="11263" width="9.19921875" style="2" customWidth="1"/>
    <col min="11264" max="11264" width="12.19921875" style="2" customWidth="1"/>
    <col min="11265" max="11265" width="4.19921875" style="2" customWidth="1"/>
    <col min="11266" max="11266" width="9.69921875" style="2" customWidth="1"/>
    <col min="11267" max="11267" width="13.69921875" style="2" customWidth="1"/>
    <col min="11268" max="11268" width="8.69921875" style="2" customWidth="1"/>
    <col min="11269" max="11269" width="4.09765625" style="2" customWidth="1"/>
    <col min="11270" max="11273" width="6.5" style="2" customWidth="1"/>
    <col min="11274" max="11274" width="9" style="2" customWidth="1"/>
    <col min="11275" max="11275" width="3.69921875" style="2" customWidth="1"/>
    <col min="11276" max="11276" width="11.69921875" style="2" customWidth="1"/>
    <col min="11277" max="11277" width="13.5" style="2" customWidth="1"/>
    <col min="11278" max="11278" width="7.5" style="2" customWidth="1"/>
    <col min="11279" max="11279" width="5.69921875" style="2" customWidth="1"/>
    <col min="11280" max="11280" width="9.69921875" style="2" customWidth="1"/>
    <col min="11281" max="11281" width="9" style="2"/>
    <col min="11282" max="11282" width="6.19921875" style="2" customWidth="1"/>
    <col min="11283" max="11283" width="9" style="2" customWidth="1"/>
    <col min="11284" max="11284" width="9" style="2"/>
    <col min="11285" max="11285" width="9" style="2" customWidth="1"/>
    <col min="11286" max="11518" width="9" style="2"/>
    <col min="11519" max="11519" width="9.19921875" style="2" customWidth="1"/>
    <col min="11520" max="11520" width="12.19921875" style="2" customWidth="1"/>
    <col min="11521" max="11521" width="4.19921875" style="2" customWidth="1"/>
    <col min="11522" max="11522" width="9.69921875" style="2" customWidth="1"/>
    <col min="11523" max="11523" width="13.69921875" style="2" customWidth="1"/>
    <col min="11524" max="11524" width="8.69921875" style="2" customWidth="1"/>
    <col min="11525" max="11525" width="4.09765625" style="2" customWidth="1"/>
    <col min="11526" max="11529" width="6.5" style="2" customWidth="1"/>
    <col min="11530" max="11530" width="9" style="2" customWidth="1"/>
    <col min="11531" max="11531" width="3.69921875" style="2" customWidth="1"/>
    <col min="11532" max="11532" width="11.69921875" style="2" customWidth="1"/>
    <col min="11533" max="11533" width="13.5" style="2" customWidth="1"/>
    <col min="11534" max="11534" width="7.5" style="2" customWidth="1"/>
    <col min="11535" max="11535" width="5.69921875" style="2" customWidth="1"/>
    <col min="11536" max="11536" width="9.69921875" style="2" customWidth="1"/>
    <col min="11537" max="11537" width="9" style="2"/>
    <col min="11538" max="11538" width="6.19921875" style="2" customWidth="1"/>
    <col min="11539" max="11539" width="9" style="2" customWidth="1"/>
    <col min="11540" max="11540" width="9" style="2"/>
    <col min="11541" max="11541" width="9" style="2" customWidth="1"/>
    <col min="11542" max="11774" width="9" style="2"/>
    <col min="11775" max="11775" width="9.19921875" style="2" customWidth="1"/>
    <col min="11776" max="11776" width="12.19921875" style="2" customWidth="1"/>
    <col min="11777" max="11777" width="4.19921875" style="2" customWidth="1"/>
    <col min="11778" max="11778" width="9.69921875" style="2" customWidth="1"/>
    <col min="11779" max="11779" width="13.69921875" style="2" customWidth="1"/>
    <col min="11780" max="11780" width="8.69921875" style="2" customWidth="1"/>
    <col min="11781" max="11781" width="4.09765625" style="2" customWidth="1"/>
    <col min="11782" max="11785" width="6.5" style="2" customWidth="1"/>
    <col min="11786" max="11786" width="9" style="2" customWidth="1"/>
    <col min="11787" max="11787" width="3.69921875" style="2" customWidth="1"/>
    <col min="11788" max="11788" width="11.69921875" style="2" customWidth="1"/>
    <col min="11789" max="11789" width="13.5" style="2" customWidth="1"/>
    <col min="11790" max="11790" width="7.5" style="2" customWidth="1"/>
    <col min="11791" max="11791" width="5.69921875" style="2" customWidth="1"/>
    <col min="11792" max="11792" width="9.69921875" style="2" customWidth="1"/>
    <col min="11793" max="11793" width="9" style="2"/>
    <col min="11794" max="11794" width="6.19921875" style="2" customWidth="1"/>
    <col min="11795" max="11795" width="9" style="2" customWidth="1"/>
    <col min="11796" max="11796" width="9" style="2"/>
    <col min="11797" max="11797" width="9" style="2" customWidth="1"/>
    <col min="11798" max="12030" width="9" style="2"/>
    <col min="12031" max="12031" width="9.19921875" style="2" customWidth="1"/>
    <col min="12032" max="12032" width="12.19921875" style="2" customWidth="1"/>
    <col min="12033" max="12033" width="4.19921875" style="2" customWidth="1"/>
    <col min="12034" max="12034" width="9.69921875" style="2" customWidth="1"/>
    <col min="12035" max="12035" width="13.69921875" style="2" customWidth="1"/>
    <col min="12036" max="12036" width="8.69921875" style="2" customWidth="1"/>
    <col min="12037" max="12037" width="4.09765625" style="2" customWidth="1"/>
    <col min="12038" max="12041" width="6.5" style="2" customWidth="1"/>
    <col min="12042" max="12042" width="9" style="2" customWidth="1"/>
    <col min="12043" max="12043" width="3.69921875" style="2" customWidth="1"/>
    <col min="12044" max="12044" width="11.69921875" style="2" customWidth="1"/>
    <col min="12045" max="12045" width="13.5" style="2" customWidth="1"/>
    <col min="12046" max="12046" width="7.5" style="2" customWidth="1"/>
    <col min="12047" max="12047" width="5.69921875" style="2" customWidth="1"/>
    <col min="12048" max="12048" width="9.69921875" style="2" customWidth="1"/>
    <col min="12049" max="12049" width="9" style="2"/>
    <col min="12050" max="12050" width="6.19921875" style="2" customWidth="1"/>
    <col min="12051" max="12051" width="9" style="2" customWidth="1"/>
    <col min="12052" max="12052" width="9" style="2"/>
    <col min="12053" max="12053" width="9" style="2" customWidth="1"/>
    <col min="12054" max="12286" width="9" style="2"/>
    <col min="12287" max="12287" width="9.19921875" style="2" customWidth="1"/>
    <col min="12288" max="12288" width="12.19921875" style="2" customWidth="1"/>
    <col min="12289" max="12289" width="4.19921875" style="2" customWidth="1"/>
    <col min="12290" max="12290" width="9.69921875" style="2" customWidth="1"/>
    <col min="12291" max="12291" width="13.69921875" style="2" customWidth="1"/>
    <col min="12292" max="12292" width="8.69921875" style="2" customWidth="1"/>
    <col min="12293" max="12293" width="4.09765625" style="2" customWidth="1"/>
    <col min="12294" max="12297" width="6.5" style="2" customWidth="1"/>
    <col min="12298" max="12298" width="9" style="2" customWidth="1"/>
    <col min="12299" max="12299" width="3.69921875" style="2" customWidth="1"/>
    <col min="12300" max="12300" width="11.69921875" style="2" customWidth="1"/>
    <col min="12301" max="12301" width="13.5" style="2" customWidth="1"/>
    <col min="12302" max="12302" width="7.5" style="2" customWidth="1"/>
    <col min="12303" max="12303" width="5.69921875" style="2" customWidth="1"/>
    <col min="12304" max="12304" width="9.69921875" style="2" customWidth="1"/>
    <col min="12305" max="12305" width="9" style="2"/>
    <col min="12306" max="12306" width="6.19921875" style="2" customWidth="1"/>
    <col min="12307" max="12307" width="9" style="2" customWidth="1"/>
    <col min="12308" max="12308" width="9" style="2"/>
    <col min="12309" max="12309" width="9" style="2" customWidth="1"/>
    <col min="12310" max="12542" width="9" style="2"/>
    <col min="12543" max="12543" width="9.19921875" style="2" customWidth="1"/>
    <col min="12544" max="12544" width="12.19921875" style="2" customWidth="1"/>
    <col min="12545" max="12545" width="4.19921875" style="2" customWidth="1"/>
    <col min="12546" max="12546" width="9.69921875" style="2" customWidth="1"/>
    <col min="12547" max="12547" width="13.69921875" style="2" customWidth="1"/>
    <col min="12548" max="12548" width="8.69921875" style="2" customWidth="1"/>
    <col min="12549" max="12549" width="4.09765625" style="2" customWidth="1"/>
    <col min="12550" max="12553" width="6.5" style="2" customWidth="1"/>
    <col min="12554" max="12554" width="9" style="2" customWidth="1"/>
    <col min="12555" max="12555" width="3.69921875" style="2" customWidth="1"/>
    <col min="12556" max="12556" width="11.69921875" style="2" customWidth="1"/>
    <col min="12557" max="12557" width="13.5" style="2" customWidth="1"/>
    <col min="12558" max="12558" width="7.5" style="2" customWidth="1"/>
    <col min="12559" max="12559" width="5.69921875" style="2" customWidth="1"/>
    <col min="12560" max="12560" width="9.69921875" style="2" customWidth="1"/>
    <col min="12561" max="12561" width="9" style="2"/>
    <col min="12562" max="12562" width="6.19921875" style="2" customWidth="1"/>
    <col min="12563" max="12563" width="9" style="2" customWidth="1"/>
    <col min="12564" max="12564" width="9" style="2"/>
    <col min="12565" max="12565" width="9" style="2" customWidth="1"/>
    <col min="12566" max="12798" width="9" style="2"/>
    <col min="12799" max="12799" width="9.19921875" style="2" customWidth="1"/>
    <col min="12800" max="12800" width="12.19921875" style="2" customWidth="1"/>
    <col min="12801" max="12801" width="4.19921875" style="2" customWidth="1"/>
    <col min="12802" max="12802" width="9.69921875" style="2" customWidth="1"/>
    <col min="12803" max="12803" width="13.69921875" style="2" customWidth="1"/>
    <col min="12804" max="12804" width="8.69921875" style="2" customWidth="1"/>
    <col min="12805" max="12805" width="4.09765625" style="2" customWidth="1"/>
    <col min="12806" max="12809" width="6.5" style="2" customWidth="1"/>
    <col min="12810" max="12810" width="9" style="2" customWidth="1"/>
    <col min="12811" max="12811" width="3.69921875" style="2" customWidth="1"/>
    <col min="12812" max="12812" width="11.69921875" style="2" customWidth="1"/>
    <col min="12813" max="12813" width="13.5" style="2" customWidth="1"/>
    <col min="12814" max="12814" width="7.5" style="2" customWidth="1"/>
    <col min="12815" max="12815" width="5.69921875" style="2" customWidth="1"/>
    <col min="12816" max="12816" width="9.69921875" style="2" customWidth="1"/>
    <col min="12817" max="12817" width="9" style="2"/>
    <col min="12818" max="12818" width="6.19921875" style="2" customWidth="1"/>
    <col min="12819" max="12819" width="9" style="2" customWidth="1"/>
    <col min="12820" max="12820" width="9" style="2"/>
    <col min="12821" max="12821" width="9" style="2" customWidth="1"/>
    <col min="12822" max="13054" width="9" style="2"/>
    <col min="13055" max="13055" width="9.19921875" style="2" customWidth="1"/>
    <col min="13056" max="13056" width="12.19921875" style="2" customWidth="1"/>
    <col min="13057" max="13057" width="4.19921875" style="2" customWidth="1"/>
    <col min="13058" max="13058" width="9.69921875" style="2" customWidth="1"/>
    <col min="13059" max="13059" width="13.69921875" style="2" customWidth="1"/>
    <col min="13060" max="13060" width="8.69921875" style="2" customWidth="1"/>
    <col min="13061" max="13061" width="4.09765625" style="2" customWidth="1"/>
    <col min="13062" max="13065" width="6.5" style="2" customWidth="1"/>
    <col min="13066" max="13066" width="9" style="2" customWidth="1"/>
    <col min="13067" max="13067" width="3.69921875" style="2" customWidth="1"/>
    <col min="13068" max="13068" width="11.69921875" style="2" customWidth="1"/>
    <col min="13069" max="13069" width="13.5" style="2" customWidth="1"/>
    <col min="13070" max="13070" width="7.5" style="2" customWidth="1"/>
    <col min="13071" max="13071" width="5.69921875" style="2" customWidth="1"/>
    <col min="13072" max="13072" width="9.69921875" style="2" customWidth="1"/>
    <col min="13073" max="13073" width="9" style="2"/>
    <col min="13074" max="13074" width="6.19921875" style="2" customWidth="1"/>
    <col min="13075" max="13075" width="9" style="2" customWidth="1"/>
    <col min="13076" max="13076" width="9" style="2"/>
    <col min="13077" max="13077" width="9" style="2" customWidth="1"/>
    <col min="13078" max="13310" width="9" style="2"/>
    <col min="13311" max="13311" width="9.19921875" style="2" customWidth="1"/>
    <col min="13312" max="13312" width="12.19921875" style="2" customWidth="1"/>
    <col min="13313" max="13313" width="4.19921875" style="2" customWidth="1"/>
    <col min="13314" max="13314" width="9.69921875" style="2" customWidth="1"/>
    <col min="13315" max="13315" width="13.69921875" style="2" customWidth="1"/>
    <col min="13316" max="13316" width="8.69921875" style="2" customWidth="1"/>
    <col min="13317" max="13317" width="4.09765625" style="2" customWidth="1"/>
    <col min="13318" max="13321" width="6.5" style="2" customWidth="1"/>
    <col min="13322" max="13322" width="9" style="2" customWidth="1"/>
    <col min="13323" max="13323" width="3.69921875" style="2" customWidth="1"/>
    <col min="13324" max="13324" width="11.69921875" style="2" customWidth="1"/>
    <col min="13325" max="13325" width="13.5" style="2" customWidth="1"/>
    <col min="13326" max="13326" width="7.5" style="2" customWidth="1"/>
    <col min="13327" max="13327" width="5.69921875" style="2" customWidth="1"/>
    <col min="13328" max="13328" width="9.69921875" style="2" customWidth="1"/>
    <col min="13329" max="13329" width="9" style="2"/>
    <col min="13330" max="13330" width="6.19921875" style="2" customWidth="1"/>
    <col min="13331" max="13331" width="9" style="2" customWidth="1"/>
    <col min="13332" max="13332" width="9" style="2"/>
    <col min="13333" max="13333" width="9" style="2" customWidth="1"/>
    <col min="13334" max="13566" width="9" style="2"/>
    <col min="13567" max="13567" width="9.19921875" style="2" customWidth="1"/>
    <col min="13568" max="13568" width="12.19921875" style="2" customWidth="1"/>
    <col min="13569" max="13569" width="4.19921875" style="2" customWidth="1"/>
    <col min="13570" max="13570" width="9.69921875" style="2" customWidth="1"/>
    <col min="13571" max="13571" width="13.69921875" style="2" customWidth="1"/>
    <col min="13572" max="13572" width="8.69921875" style="2" customWidth="1"/>
    <col min="13573" max="13573" width="4.09765625" style="2" customWidth="1"/>
    <col min="13574" max="13577" width="6.5" style="2" customWidth="1"/>
    <col min="13578" max="13578" width="9" style="2" customWidth="1"/>
    <col min="13579" max="13579" width="3.69921875" style="2" customWidth="1"/>
    <col min="13580" max="13580" width="11.69921875" style="2" customWidth="1"/>
    <col min="13581" max="13581" width="13.5" style="2" customWidth="1"/>
    <col min="13582" max="13582" width="7.5" style="2" customWidth="1"/>
    <col min="13583" max="13583" width="5.69921875" style="2" customWidth="1"/>
    <col min="13584" max="13584" width="9.69921875" style="2" customWidth="1"/>
    <col min="13585" max="13585" width="9" style="2"/>
    <col min="13586" max="13586" width="6.19921875" style="2" customWidth="1"/>
    <col min="13587" max="13587" width="9" style="2" customWidth="1"/>
    <col min="13588" max="13588" width="9" style="2"/>
    <col min="13589" max="13589" width="9" style="2" customWidth="1"/>
    <col min="13590" max="13822" width="9" style="2"/>
    <col min="13823" max="13823" width="9.19921875" style="2" customWidth="1"/>
    <col min="13824" max="13824" width="12.19921875" style="2" customWidth="1"/>
    <col min="13825" max="13825" width="4.19921875" style="2" customWidth="1"/>
    <col min="13826" max="13826" width="9.69921875" style="2" customWidth="1"/>
    <col min="13827" max="13827" width="13.69921875" style="2" customWidth="1"/>
    <col min="13828" max="13828" width="8.69921875" style="2" customWidth="1"/>
    <col min="13829" max="13829" width="4.09765625" style="2" customWidth="1"/>
    <col min="13830" max="13833" width="6.5" style="2" customWidth="1"/>
    <col min="13834" max="13834" width="9" style="2" customWidth="1"/>
    <col min="13835" max="13835" width="3.69921875" style="2" customWidth="1"/>
    <col min="13836" max="13836" width="11.69921875" style="2" customWidth="1"/>
    <col min="13837" max="13837" width="13.5" style="2" customWidth="1"/>
    <col min="13838" max="13838" width="7.5" style="2" customWidth="1"/>
    <col min="13839" max="13839" width="5.69921875" style="2" customWidth="1"/>
    <col min="13840" max="13840" width="9.69921875" style="2" customWidth="1"/>
    <col min="13841" max="13841" width="9" style="2"/>
    <col min="13842" max="13842" width="6.19921875" style="2" customWidth="1"/>
    <col min="13843" max="13843" width="9" style="2" customWidth="1"/>
    <col min="13844" max="13844" width="9" style="2"/>
    <col min="13845" max="13845" width="9" style="2" customWidth="1"/>
    <col min="13846" max="14078" width="9" style="2"/>
    <col min="14079" max="14079" width="9.19921875" style="2" customWidth="1"/>
    <col min="14080" max="14080" width="12.19921875" style="2" customWidth="1"/>
    <col min="14081" max="14081" width="4.19921875" style="2" customWidth="1"/>
    <col min="14082" max="14082" width="9.69921875" style="2" customWidth="1"/>
    <col min="14083" max="14083" width="13.69921875" style="2" customWidth="1"/>
    <col min="14084" max="14084" width="8.69921875" style="2" customWidth="1"/>
    <col min="14085" max="14085" width="4.09765625" style="2" customWidth="1"/>
    <col min="14086" max="14089" width="6.5" style="2" customWidth="1"/>
    <col min="14090" max="14090" width="9" style="2" customWidth="1"/>
    <col min="14091" max="14091" width="3.69921875" style="2" customWidth="1"/>
    <col min="14092" max="14092" width="11.69921875" style="2" customWidth="1"/>
    <col min="14093" max="14093" width="13.5" style="2" customWidth="1"/>
    <col min="14094" max="14094" width="7.5" style="2" customWidth="1"/>
    <col min="14095" max="14095" width="5.69921875" style="2" customWidth="1"/>
    <col min="14096" max="14096" width="9.69921875" style="2" customWidth="1"/>
    <col min="14097" max="14097" width="9" style="2"/>
    <col min="14098" max="14098" width="6.19921875" style="2" customWidth="1"/>
    <col min="14099" max="14099" width="9" style="2" customWidth="1"/>
    <col min="14100" max="14100" width="9" style="2"/>
    <col min="14101" max="14101" width="9" style="2" customWidth="1"/>
    <col min="14102" max="14334" width="9" style="2"/>
    <col min="14335" max="14335" width="9.19921875" style="2" customWidth="1"/>
    <col min="14336" max="14336" width="12.19921875" style="2" customWidth="1"/>
    <col min="14337" max="14337" width="4.19921875" style="2" customWidth="1"/>
    <col min="14338" max="14338" width="9.69921875" style="2" customWidth="1"/>
    <col min="14339" max="14339" width="13.69921875" style="2" customWidth="1"/>
    <col min="14340" max="14340" width="8.69921875" style="2" customWidth="1"/>
    <col min="14341" max="14341" width="4.09765625" style="2" customWidth="1"/>
    <col min="14342" max="14345" width="6.5" style="2" customWidth="1"/>
    <col min="14346" max="14346" width="9" style="2" customWidth="1"/>
    <col min="14347" max="14347" width="3.69921875" style="2" customWidth="1"/>
    <col min="14348" max="14348" width="11.69921875" style="2" customWidth="1"/>
    <col min="14349" max="14349" width="13.5" style="2" customWidth="1"/>
    <col min="14350" max="14350" width="7.5" style="2" customWidth="1"/>
    <col min="14351" max="14351" width="5.69921875" style="2" customWidth="1"/>
    <col min="14352" max="14352" width="9.69921875" style="2" customWidth="1"/>
    <col min="14353" max="14353" width="9" style="2"/>
    <col min="14354" max="14354" width="6.19921875" style="2" customWidth="1"/>
    <col min="14355" max="14355" width="9" style="2" customWidth="1"/>
    <col min="14356" max="14356" width="9" style="2"/>
    <col min="14357" max="14357" width="9" style="2" customWidth="1"/>
    <col min="14358" max="14590" width="9" style="2"/>
    <col min="14591" max="14591" width="9.19921875" style="2" customWidth="1"/>
    <col min="14592" max="14592" width="12.19921875" style="2" customWidth="1"/>
    <col min="14593" max="14593" width="4.19921875" style="2" customWidth="1"/>
    <col min="14594" max="14594" width="9.69921875" style="2" customWidth="1"/>
    <col min="14595" max="14595" width="13.69921875" style="2" customWidth="1"/>
    <col min="14596" max="14596" width="8.69921875" style="2" customWidth="1"/>
    <col min="14597" max="14597" width="4.09765625" style="2" customWidth="1"/>
    <col min="14598" max="14601" width="6.5" style="2" customWidth="1"/>
    <col min="14602" max="14602" width="9" style="2" customWidth="1"/>
    <col min="14603" max="14603" width="3.69921875" style="2" customWidth="1"/>
    <col min="14604" max="14604" width="11.69921875" style="2" customWidth="1"/>
    <col min="14605" max="14605" width="13.5" style="2" customWidth="1"/>
    <col min="14606" max="14606" width="7.5" style="2" customWidth="1"/>
    <col min="14607" max="14607" width="5.69921875" style="2" customWidth="1"/>
    <col min="14608" max="14608" width="9.69921875" style="2" customWidth="1"/>
    <col min="14609" max="14609" width="9" style="2"/>
    <col min="14610" max="14610" width="6.19921875" style="2" customWidth="1"/>
    <col min="14611" max="14611" width="9" style="2" customWidth="1"/>
    <col min="14612" max="14612" width="9" style="2"/>
    <col min="14613" max="14613" width="9" style="2" customWidth="1"/>
    <col min="14614" max="14846" width="9" style="2"/>
    <col min="14847" max="14847" width="9.19921875" style="2" customWidth="1"/>
    <col min="14848" max="14848" width="12.19921875" style="2" customWidth="1"/>
    <col min="14849" max="14849" width="4.19921875" style="2" customWidth="1"/>
    <col min="14850" max="14850" width="9.69921875" style="2" customWidth="1"/>
    <col min="14851" max="14851" width="13.69921875" style="2" customWidth="1"/>
    <col min="14852" max="14852" width="8.69921875" style="2" customWidth="1"/>
    <col min="14853" max="14853" width="4.09765625" style="2" customWidth="1"/>
    <col min="14854" max="14857" width="6.5" style="2" customWidth="1"/>
    <col min="14858" max="14858" width="9" style="2" customWidth="1"/>
    <col min="14859" max="14859" width="3.69921875" style="2" customWidth="1"/>
    <col min="14860" max="14860" width="11.69921875" style="2" customWidth="1"/>
    <col min="14861" max="14861" width="13.5" style="2" customWidth="1"/>
    <col min="14862" max="14862" width="7.5" style="2" customWidth="1"/>
    <col min="14863" max="14863" width="5.69921875" style="2" customWidth="1"/>
    <col min="14864" max="14864" width="9.69921875" style="2" customWidth="1"/>
    <col min="14865" max="14865" width="9" style="2"/>
    <col min="14866" max="14866" width="6.19921875" style="2" customWidth="1"/>
    <col min="14867" max="14867" width="9" style="2" customWidth="1"/>
    <col min="14868" max="14868" width="9" style="2"/>
    <col min="14869" max="14869" width="9" style="2" customWidth="1"/>
    <col min="14870" max="15102" width="9" style="2"/>
    <col min="15103" max="15103" width="9.19921875" style="2" customWidth="1"/>
    <col min="15104" max="15104" width="12.19921875" style="2" customWidth="1"/>
    <col min="15105" max="15105" width="4.19921875" style="2" customWidth="1"/>
    <col min="15106" max="15106" width="9.69921875" style="2" customWidth="1"/>
    <col min="15107" max="15107" width="13.69921875" style="2" customWidth="1"/>
    <col min="15108" max="15108" width="8.69921875" style="2" customWidth="1"/>
    <col min="15109" max="15109" width="4.09765625" style="2" customWidth="1"/>
    <col min="15110" max="15113" width="6.5" style="2" customWidth="1"/>
    <col min="15114" max="15114" width="9" style="2" customWidth="1"/>
    <col min="15115" max="15115" width="3.69921875" style="2" customWidth="1"/>
    <col min="15116" max="15116" width="11.69921875" style="2" customWidth="1"/>
    <col min="15117" max="15117" width="13.5" style="2" customWidth="1"/>
    <col min="15118" max="15118" width="7.5" style="2" customWidth="1"/>
    <col min="15119" max="15119" width="5.69921875" style="2" customWidth="1"/>
    <col min="15120" max="15120" width="9.69921875" style="2" customWidth="1"/>
    <col min="15121" max="15121" width="9" style="2"/>
    <col min="15122" max="15122" width="6.19921875" style="2" customWidth="1"/>
    <col min="15123" max="15123" width="9" style="2" customWidth="1"/>
    <col min="15124" max="15124" width="9" style="2"/>
    <col min="15125" max="15125" width="9" style="2" customWidth="1"/>
    <col min="15126" max="15358" width="9" style="2"/>
    <col min="15359" max="15359" width="9.19921875" style="2" customWidth="1"/>
    <col min="15360" max="15360" width="12.19921875" style="2" customWidth="1"/>
    <col min="15361" max="15361" width="4.19921875" style="2" customWidth="1"/>
    <col min="15362" max="15362" width="9.69921875" style="2" customWidth="1"/>
    <col min="15363" max="15363" width="13.69921875" style="2" customWidth="1"/>
    <col min="15364" max="15364" width="8.69921875" style="2" customWidth="1"/>
    <col min="15365" max="15365" width="4.09765625" style="2" customWidth="1"/>
    <col min="15366" max="15369" width="6.5" style="2" customWidth="1"/>
    <col min="15370" max="15370" width="9" style="2" customWidth="1"/>
    <col min="15371" max="15371" width="3.69921875" style="2" customWidth="1"/>
    <col min="15372" max="15372" width="11.69921875" style="2" customWidth="1"/>
    <col min="15373" max="15373" width="13.5" style="2" customWidth="1"/>
    <col min="15374" max="15374" width="7.5" style="2" customWidth="1"/>
    <col min="15375" max="15375" width="5.69921875" style="2" customWidth="1"/>
    <col min="15376" max="15376" width="9.69921875" style="2" customWidth="1"/>
    <col min="15377" max="15377" width="9" style="2"/>
    <col min="15378" max="15378" width="6.19921875" style="2" customWidth="1"/>
    <col min="15379" max="15379" width="9" style="2" customWidth="1"/>
    <col min="15380" max="15380" width="9" style="2"/>
    <col min="15381" max="15381" width="9" style="2" customWidth="1"/>
    <col min="15382" max="15614" width="9" style="2"/>
    <col min="15615" max="15615" width="9.19921875" style="2" customWidth="1"/>
    <col min="15616" max="15616" width="12.19921875" style="2" customWidth="1"/>
    <col min="15617" max="15617" width="4.19921875" style="2" customWidth="1"/>
    <col min="15618" max="15618" width="9.69921875" style="2" customWidth="1"/>
    <col min="15619" max="15619" width="13.69921875" style="2" customWidth="1"/>
    <col min="15620" max="15620" width="8.69921875" style="2" customWidth="1"/>
    <col min="15621" max="15621" width="4.09765625" style="2" customWidth="1"/>
    <col min="15622" max="15625" width="6.5" style="2" customWidth="1"/>
    <col min="15626" max="15626" width="9" style="2" customWidth="1"/>
    <col min="15627" max="15627" width="3.69921875" style="2" customWidth="1"/>
    <col min="15628" max="15628" width="11.69921875" style="2" customWidth="1"/>
    <col min="15629" max="15629" width="13.5" style="2" customWidth="1"/>
    <col min="15630" max="15630" width="7.5" style="2" customWidth="1"/>
    <col min="15631" max="15631" width="5.69921875" style="2" customWidth="1"/>
    <col min="15632" max="15632" width="9.69921875" style="2" customWidth="1"/>
    <col min="15633" max="15633" width="9" style="2"/>
    <col min="15634" max="15634" width="6.19921875" style="2" customWidth="1"/>
    <col min="15635" max="15635" width="9" style="2" customWidth="1"/>
    <col min="15636" max="15636" width="9" style="2"/>
    <col min="15637" max="15637" width="9" style="2" customWidth="1"/>
    <col min="15638" max="15870" width="9" style="2"/>
    <col min="15871" max="15871" width="9.19921875" style="2" customWidth="1"/>
    <col min="15872" max="15872" width="12.19921875" style="2" customWidth="1"/>
    <col min="15873" max="15873" width="4.19921875" style="2" customWidth="1"/>
    <col min="15874" max="15874" width="9.69921875" style="2" customWidth="1"/>
    <col min="15875" max="15875" width="13.69921875" style="2" customWidth="1"/>
    <col min="15876" max="15876" width="8.69921875" style="2" customWidth="1"/>
    <col min="15877" max="15877" width="4.09765625" style="2" customWidth="1"/>
    <col min="15878" max="15881" width="6.5" style="2" customWidth="1"/>
    <col min="15882" max="15882" width="9" style="2" customWidth="1"/>
    <col min="15883" max="15883" width="3.69921875" style="2" customWidth="1"/>
    <col min="15884" max="15884" width="11.69921875" style="2" customWidth="1"/>
    <col min="15885" max="15885" width="13.5" style="2" customWidth="1"/>
    <col min="15886" max="15886" width="7.5" style="2" customWidth="1"/>
    <col min="15887" max="15887" width="5.69921875" style="2" customWidth="1"/>
    <col min="15888" max="15888" width="9.69921875" style="2" customWidth="1"/>
    <col min="15889" max="15889" width="9" style="2"/>
    <col min="15890" max="15890" width="6.19921875" style="2" customWidth="1"/>
    <col min="15891" max="15891" width="9" style="2" customWidth="1"/>
    <col min="15892" max="15892" width="9" style="2"/>
    <col min="15893" max="15893" width="9" style="2" customWidth="1"/>
    <col min="15894" max="16126" width="9" style="2"/>
    <col min="16127" max="16127" width="9.19921875" style="2" customWidth="1"/>
    <col min="16128" max="16128" width="12.19921875" style="2" customWidth="1"/>
    <col min="16129" max="16129" width="4.19921875" style="2" customWidth="1"/>
    <col min="16130" max="16130" width="9.69921875" style="2" customWidth="1"/>
    <col min="16131" max="16131" width="13.69921875" style="2" customWidth="1"/>
    <col min="16132" max="16132" width="8.69921875" style="2" customWidth="1"/>
    <col min="16133" max="16133" width="4.09765625" style="2" customWidth="1"/>
    <col min="16134" max="16137" width="6.5" style="2" customWidth="1"/>
    <col min="16138" max="16138" width="9" style="2" customWidth="1"/>
    <col min="16139" max="16139" width="3.69921875" style="2" customWidth="1"/>
    <col min="16140" max="16140" width="11.69921875" style="2" customWidth="1"/>
    <col min="16141" max="16141" width="13.5" style="2" customWidth="1"/>
    <col min="16142" max="16142" width="7.5" style="2" customWidth="1"/>
    <col min="16143" max="16143" width="5.69921875" style="2" customWidth="1"/>
    <col min="16144" max="16144" width="9.69921875" style="2" customWidth="1"/>
    <col min="16145" max="16145" width="9" style="2"/>
    <col min="16146" max="16146" width="6.19921875" style="2" customWidth="1"/>
    <col min="16147" max="16147" width="9" style="2" customWidth="1"/>
    <col min="16148" max="16148" width="9" style="2"/>
    <col min="16149" max="16149" width="9" style="2" customWidth="1"/>
    <col min="16150" max="16384" width="9" style="2"/>
  </cols>
  <sheetData>
    <row r="1" spans="1:12" ht="20.100000000000001" customHeight="1">
      <c r="A1" s="474" t="s">
        <v>22</v>
      </c>
      <c r="B1" s="474"/>
      <c r="C1" s="474"/>
      <c r="D1" s="474"/>
      <c r="E1" s="474"/>
      <c r="F1" s="474"/>
      <c r="G1" s="474"/>
      <c r="H1" s="474"/>
      <c r="I1" s="474"/>
      <c r="J1" s="474"/>
      <c r="K1" s="474"/>
      <c r="L1" s="474"/>
    </row>
    <row r="2" spans="1:12" ht="20.100000000000001" customHeight="1">
      <c r="A2" s="475" t="s">
        <v>9</v>
      </c>
      <c r="B2" s="475"/>
      <c r="C2" s="475"/>
      <c r="D2" s="475"/>
      <c r="E2" s="475"/>
      <c r="F2" s="475"/>
      <c r="G2" s="475"/>
      <c r="H2" s="475"/>
      <c r="I2" s="475"/>
      <c r="J2" s="475"/>
      <c r="K2" s="475"/>
      <c r="L2" s="475"/>
    </row>
    <row r="3" spans="1:12" ht="20.100000000000001" customHeight="1">
      <c r="A3" s="2" t="str">
        <f>底稿目录!A2</f>
        <v>被审计单位名称：</v>
      </c>
      <c r="E3" s="3" t="str">
        <f>底稿目录!A4</f>
        <v>编制人：</v>
      </c>
      <c r="H3" s="3" t="str">
        <f>底稿目录!A5</f>
        <v>编制日期：</v>
      </c>
      <c r="K3" s="13" t="s">
        <v>23</v>
      </c>
      <c r="L3" s="456" t="str">
        <f>底稿目录!F5</f>
        <v>D2-1</v>
      </c>
    </row>
    <row r="4" spans="1:12" ht="20.100000000000001" customHeight="1">
      <c r="A4" s="2" t="str">
        <f>底稿目录!A3</f>
        <v>截止日：202X年12月31日</v>
      </c>
      <c r="B4" s="16"/>
      <c r="E4" s="3" t="str">
        <f>底稿目录!A6</f>
        <v>复核人：</v>
      </c>
      <c r="H4" s="3" t="str">
        <f>底稿目录!A7</f>
        <v>复核日期：</v>
      </c>
      <c r="K4" s="13" t="s">
        <v>24</v>
      </c>
    </row>
    <row r="5" spans="1:12" ht="20.100000000000001" customHeight="1">
      <c r="A5" s="481" t="s">
        <v>91</v>
      </c>
      <c r="B5" s="476" t="s">
        <v>92</v>
      </c>
      <c r="C5" s="477"/>
      <c r="D5" s="477"/>
      <c r="E5" s="478"/>
      <c r="F5" s="476" t="s">
        <v>93</v>
      </c>
      <c r="G5" s="477"/>
      <c r="H5" s="477"/>
      <c r="I5" s="478"/>
      <c r="J5" s="479" t="s">
        <v>94</v>
      </c>
      <c r="K5" s="480"/>
      <c r="L5" s="481" t="s">
        <v>95</v>
      </c>
    </row>
    <row r="6" spans="1:12" ht="20.100000000000001" customHeight="1">
      <c r="A6" s="482"/>
      <c r="B6" s="366" t="s">
        <v>96</v>
      </c>
      <c r="C6" s="366" t="s">
        <v>97</v>
      </c>
      <c r="D6" s="366" t="s">
        <v>98</v>
      </c>
      <c r="E6" s="366" t="s">
        <v>99</v>
      </c>
      <c r="F6" s="366" t="s">
        <v>96</v>
      </c>
      <c r="G6" s="366" t="s">
        <v>97</v>
      </c>
      <c r="H6" s="366" t="s">
        <v>98</v>
      </c>
      <c r="I6" s="366" t="s">
        <v>99</v>
      </c>
      <c r="J6" s="389" t="s">
        <v>100</v>
      </c>
      <c r="K6" s="388" t="s">
        <v>101</v>
      </c>
      <c r="L6" s="483"/>
    </row>
    <row r="7" spans="1:12" s="361" customFormat="1" ht="20.100000000000001" customHeight="1">
      <c r="A7" s="365" t="s">
        <v>102</v>
      </c>
      <c r="B7" s="53"/>
      <c r="C7" s="53"/>
      <c r="D7" s="53"/>
      <c r="E7" s="53"/>
      <c r="F7" s="53"/>
      <c r="G7" s="53"/>
      <c r="H7" s="53"/>
      <c r="I7" s="53"/>
      <c r="J7" s="390"/>
      <c r="K7" s="391"/>
      <c r="L7" s="392"/>
    </row>
    <row r="8" spans="1:12" s="361" customFormat="1" ht="20.100000000000001" customHeight="1">
      <c r="A8" s="367" t="s">
        <v>103</v>
      </c>
      <c r="B8" s="71"/>
      <c r="C8" s="71"/>
      <c r="D8" s="71"/>
      <c r="E8" s="53">
        <f>B8+C8+D8</f>
        <v>0</v>
      </c>
      <c r="F8" s="53">
        <f>SUMIF('明细表D2-2'!$AI$13:$AI$25,"单项计提",'明细表D2-2'!$S$13:$S$25)</f>
        <v>0</v>
      </c>
      <c r="G8" s="53">
        <f>SUMIF('明细表D2-2'!$AI$13:$AI$25,"单项计提",'明细表D2-2'!$Z$13:$Z$25)</f>
        <v>0</v>
      </c>
      <c r="H8" s="53">
        <f>SUMIF('明细表D2-2'!$AI$13:$AI$25,"单项计提",'明细表D2-2'!$AA$13:$AA$25)</f>
        <v>0</v>
      </c>
      <c r="I8" s="53">
        <f>F8+G8+H8</f>
        <v>0</v>
      </c>
      <c r="J8" s="390">
        <f>I8-E8</f>
        <v>0</v>
      </c>
      <c r="K8" s="391" t="str">
        <f>IF(AND(E8=0,I8=0),"",IF(AND(E8=0,I8&gt;0),1,J8/E8))</f>
        <v/>
      </c>
      <c r="L8" s="393"/>
    </row>
    <row r="9" spans="1:12" s="361" customFormat="1" ht="20.100000000000001" customHeight="1">
      <c r="A9" s="368" t="s">
        <v>104</v>
      </c>
      <c r="B9" s="53">
        <f>SUM(B10:B12)</f>
        <v>0</v>
      </c>
      <c r="C9" s="53">
        <f t="shared" ref="C9:H9" si="0">SUM(C10:C12)</f>
        <v>0</v>
      </c>
      <c r="D9" s="53">
        <f t="shared" si="0"/>
        <v>0</v>
      </c>
      <c r="E9" s="53">
        <f t="shared" si="0"/>
        <v>0</v>
      </c>
      <c r="F9" s="53">
        <f t="shared" si="0"/>
        <v>0</v>
      </c>
      <c r="G9" s="53">
        <f t="shared" si="0"/>
        <v>0</v>
      </c>
      <c r="H9" s="53">
        <f t="shared" si="0"/>
        <v>0</v>
      </c>
      <c r="I9" s="53">
        <f t="shared" ref="I9" si="1">SUM(I10:I12)</f>
        <v>0</v>
      </c>
      <c r="J9" s="390">
        <f t="shared" ref="J9:J13" si="2">I9-E9</f>
        <v>0</v>
      </c>
      <c r="K9" s="391" t="str">
        <f t="shared" ref="K9:K13" si="3">IF(AND(E9=0,I9=0),"",IF(AND(E9=0,I9&gt;0),1,J9/E9))</f>
        <v/>
      </c>
      <c r="L9" s="393"/>
    </row>
    <row r="10" spans="1:12" s="361" customFormat="1" ht="20.100000000000001" customHeight="1">
      <c r="A10" s="369" t="s">
        <v>105</v>
      </c>
      <c r="B10" s="71"/>
      <c r="C10" s="71"/>
      <c r="D10" s="71"/>
      <c r="E10" s="53">
        <f t="shared" ref="E10:E12" si="4">B10+C10+D10</f>
        <v>0</v>
      </c>
      <c r="F10" s="53">
        <f>SUMIF('明细表D2-2'!$AI$13:$AI$25,"账龄组合",'明细表D2-2'!$S$13:$S$25)</f>
        <v>0</v>
      </c>
      <c r="G10" s="53">
        <f>SUMIF('明细表D2-2'!$AI$13:$AI$25,"账龄组合",'明细表D2-2'!$Z$13:$Z$25)</f>
        <v>0</v>
      </c>
      <c r="H10" s="53">
        <f>SUMIF('明细表D2-2'!$AI$13:$AI$25,"账龄组合",'明细表D2-2'!$AA$13:$AA$25)</f>
        <v>0</v>
      </c>
      <c r="I10" s="53">
        <f>F10+G10+H10</f>
        <v>0</v>
      </c>
      <c r="J10" s="390">
        <f t="shared" si="2"/>
        <v>0</v>
      </c>
      <c r="K10" s="391" t="str">
        <f t="shared" si="3"/>
        <v/>
      </c>
      <c r="L10" s="393"/>
    </row>
    <row r="11" spans="1:12" s="361" customFormat="1" ht="20.100000000000001" customHeight="1">
      <c r="A11" s="369" t="s">
        <v>106</v>
      </c>
      <c r="B11" s="71"/>
      <c r="C11" s="71"/>
      <c r="D11" s="71"/>
      <c r="E11" s="53">
        <f t="shared" si="4"/>
        <v>0</v>
      </c>
      <c r="F11" s="53">
        <f>SUMIF('明细表D2-2'!$AI$13:$AI$25,"客户类型组合",'明细表D2-2'!$S$13:$S$25)</f>
        <v>0</v>
      </c>
      <c r="G11" s="53">
        <f>SUMIF('明细表D2-2'!$AI$13:$AI$25,"客户类型组合",'明细表D2-2'!$Z$13:$Z$25)</f>
        <v>0</v>
      </c>
      <c r="H11" s="53">
        <f>SUMIF('明细表D2-2'!$AI$13:$AI$25,"客户类型组合",'明细表D2-2'!$AA$13:$AA$25)</f>
        <v>0</v>
      </c>
      <c r="I11" s="53">
        <f>F11+G11+H11</f>
        <v>0</v>
      </c>
      <c r="J11" s="390">
        <f t="shared" si="2"/>
        <v>0</v>
      </c>
      <c r="K11" s="391" t="str">
        <f t="shared" si="3"/>
        <v/>
      </c>
      <c r="L11" s="393"/>
    </row>
    <row r="12" spans="1:12" s="361" customFormat="1" ht="20.100000000000001" customHeight="1">
      <c r="A12" s="369" t="s">
        <v>107</v>
      </c>
      <c r="B12" s="71"/>
      <c r="C12" s="71"/>
      <c r="D12" s="71"/>
      <c r="E12" s="53">
        <f t="shared" si="4"/>
        <v>0</v>
      </c>
      <c r="F12" s="71"/>
      <c r="G12" s="71"/>
      <c r="H12" s="71"/>
      <c r="I12" s="53">
        <f t="shared" ref="I12" si="5">F12+G12+H12</f>
        <v>0</v>
      </c>
      <c r="J12" s="390">
        <f t="shared" si="2"/>
        <v>0</v>
      </c>
      <c r="K12" s="391" t="str">
        <f t="shared" si="3"/>
        <v/>
      </c>
      <c r="L12" s="393"/>
    </row>
    <row r="13" spans="1:12" s="361" customFormat="1" ht="20.100000000000001" customHeight="1">
      <c r="A13" s="364" t="s">
        <v>108</v>
      </c>
      <c r="B13" s="53">
        <f>SUM(B8,B9)</f>
        <v>0</v>
      </c>
      <c r="C13" s="53">
        <f t="shared" ref="C13:I13" si="6">SUM(C8,C9)</f>
        <v>0</v>
      </c>
      <c r="D13" s="53">
        <f t="shared" si="6"/>
        <v>0</v>
      </c>
      <c r="E13" s="53">
        <f t="shared" si="6"/>
        <v>0</v>
      </c>
      <c r="F13" s="53">
        <f t="shared" si="6"/>
        <v>0</v>
      </c>
      <c r="G13" s="53">
        <f t="shared" si="6"/>
        <v>0</v>
      </c>
      <c r="H13" s="53">
        <f t="shared" si="6"/>
        <v>0</v>
      </c>
      <c r="I13" s="53">
        <f t="shared" si="6"/>
        <v>0</v>
      </c>
      <c r="J13" s="390">
        <f t="shared" si="2"/>
        <v>0</v>
      </c>
      <c r="K13" s="391" t="str">
        <f t="shared" si="3"/>
        <v/>
      </c>
      <c r="L13" s="393"/>
    </row>
    <row r="14" spans="1:12" s="361" customFormat="1" ht="20.100000000000001" customHeight="1">
      <c r="A14" s="365" t="s">
        <v>109</v>
      </c>
      <c r="B14" s="53"/>
      <c r="C14" s="53"/>
      <c r="D14" s="53"/>
      <c r="E14" s="53"/>
      <c r="F14" s="53"/>
      <c r="G14" s="53"/>
      <c r="H14" s="53"/>
      <c r="I14" s="53"/>
      <c r="J14" s="390"/>
      <c r="K14" s="391"/>
      <c r="L14" s="392"/>
    </row>
    <row r="15" spans="1:12" s="361" customFormat="1" ht="20.100000000000001" customHeight="1">
      <c r="A15" s="367" t="str">
        <f>A8</f>
        <v>单项计提坏账准备</v>
      </c>
      <c r="B15" s="71"/>
      <c r="C15" s="71"/>
      <c r="D15" s="71"/>
      <c r="E15" s="53">
        <f>B15+C15+D15</f>
        <v>0</v>
      </c>
      <c r="F15" s="71"/>
      <c r="G15" s="71"/>
      <c r="H15" s="71"/>
      <c r="I15" s="53">
        <f>F15+G15+H15</f>
        <v>0</v>
      </c>
      <c r="J15" s="390">
        <f>I15-E15</f>
        <v>0</v>
      </c>
      <c r="K15" s="391" t="str">
        <f>IF(AND(E15=0,I15=0),"",IF(AND(E15=0,I15&gt;0),1,J15/E15))</f>
        <v/>
      </c>
      <c r="L15" s="393"/>
    </row>
    <row r="16" spans="1:12" s="361" customFormat="1" ht="20.100000000000001" customHeight="1">
      <c r="A16" s="368" t="str">
        <f>A9</f>
        <v>按组合计提坏账准备</v>
      </c>
      <c r="B16" s="53">
        <f>SUM(B17:B19)</f>
        <v>0</v>
      </c>
      <c r="C16" s="53">
        <f t="shared" ref="C16" si="7">SUM(C17:C19)</f>
        <v>0</v>
      </c>
      <c r="D16" s="53">
        <f t="shared" ref="D16" si="8">SUM(D17:D19)</f>
        <v>0</v>
      </c>
      <c r="E16" s="53">
        <f t="shared" ref="E16" si="9">SUM(E17:E19)</f>
        <v>0</v>
      </c>
      <c r="F16" s="53">
        <f t="shared" ref="F16" si="10">SUM(F17:F19)</f>
        <v>0</v>
      </c>
      <c r="G16" s="53">
        <f t="shared" ref="G16" si="11">SUM(G17:G19)</f>
        <v>0</v>
      </c>
      <c r="H16" s="53">
        <f t="shared" ref="H16" si="12">SUM(H17:H19)</f>
        <v>0</v>
      </c>
      <c r="I16" s="53">
        <f t="shared" ref="I16" si="13">SUM(I17:I19)</f>
        <v>0</v>
      </c>
      <c r="J16" s="390">
        <f t="shared" ref="J16" si="14">I16-E16</f>
        <v>0</v>
      </c>
      <c r="K16" s="391" t="str">
        <f t="shared" ref="K16:K20" si="15">IF(AND(E16=0,I16=0),"",IF(AND(E16=0,I16&gt;0),1,J16/E16))</f>
        <v/>
      </c>
      <c r="L16" s="393"/>
    </row>
    <row r="17" spans="1:12" s="361" customFormat="1" ht="20.100000000000001" customHeight="1">
      <c r="A17" s="369" t="str">
        <f t="shared" ref="A17:A19" si="16">A10</f>
        <v>账龄组合</v>
      </c>
      <c r="B17" s="71"/>
      <c r="C17" s="71"/>
      <c r="D17" s="71"/>
      <c r="E17" s="53">
        <f t="shared" ref="E17:E19" si="17">B17+C17+D17</f>
        <v>0</v>
      </c>
      <c r="F17" s="71"/>
      <c r="G17" s="71"/>
      <c r="H17" s="71"/>
      <c r="I17" s="53">
        <f t="shared" ref="I17:I19" si="18">F17+G17+H17</f>
        <v>0</v>
      </c>
      <c r="J17" s="390">
        <f t="shared" ref="J17:J20" si="19">I17-E17</f>
        <v>0</v>
      </c>
      <c r="K17" s="391" t="str">
        <f t="shared" si="15"/>
        <v/>
      </c>
      <c r="L17" s="393"/>
    </row>
    <row r="18" spans="1:12" s="361" customFormat="1" ht="20.100000000000001" customHeight="1">
      <c r="A18" s="369" t="str">
        <f t="shared" si="16"/>
        <v>客户类型组合</v>
      </c>
      <c r="B18" s="71"/>
      <c r="C18" s="71"/>
      <c r="D18" s="71"/>
      <c r="E18" s="53">
        <f t="shared" si="17"/>
        <v>0</v>
      </c>
      <c r="F18" s="71"/>
      <c r="G18" s="71"/>
      <c r="H18" s="71"/>
      <c r="I18" s="53">
        <f t="shared" si="18"/>
        <v>0</v>
      </c>
      <c r="J18" s="390">
        <f t="shared" si="19"/>
        <v>0</v>
      </c>
      <c r="K18" s="391" t="str">
        <f t="shared" si="15"/>
        <v/>
      </c>
      <c r="L18" s="393"/>
    </row>
    <row r="19" spans="1:12" s="361" customFormat="1" ht="20.100000000000001" customHeight="1">
      <c r="A19" s="369" t="str">
        <f t="shared" si="16"/>
        <v>……组合</v>
      </c>
      <c r="B19" s="71"/>
      <c r="C19" s="71"/>
      <c r="D19" s="71"/>
      <c r="E19" s="53">
        <f t="shared" si="17"/>
        <v>0</v>
      </c>
      <c r="F19" s="71"/>
      <c r="G19" s="71"/>
      <c r="H19" s="71"/>
      <c r="I19" s="53">
        <f t="shared" si="18"/>
        <v>0</v>
      </c>
      <c r="J19" s="390">
        <f t="shared" si="19"/>
        <v>0</v>
      </c>
      <c r="K19" s="391" t="str">
        <f t="shared" si="15"/>
        <v/>
      </c>
      <c r="L19" s="393"/>
    </row>
    <row r="20" spans="1:12" s="361" customFormat="1" ht="20.100000000000001" customHeight="1">
      <c r="A20" s="364" t="s">
        <v>108</v>
      </c>
      <c r="B20" s="53">
        <f>SUM(B15,B16)</f>
        <v>0</v>
      </c>
      <c r="C20" s="53">
        <f t="shared" ref="C20:I20" si="20">SUM(C15,C16)</f>
        <v>0</v>
      </c>
      <c r="D20" s="53">
        <f t="shared" si="20"/>
        <v>0</v>
      </c>
      <c r="E20" s="53">
        <f t="shared" si="20"/>
        <v>0</v>
      </c>
      <c r="F20" s="53">
        <f t="shared" si="20"/>
        <v>0</v>
      </c>
      <c r="G20" s="53">
        <f t="shared" si="20"/>
        <v>0</v>
      </c>
      <c r="H20" s="53">
        <f t="shared" si="20"/>
        <v>0</v>
      </c>
      <c r="I20" s="53">
        <f t="shared" si="20"/>
        <v>0</v>
      </c>
      <c r="J20" s="390">
        <f t="shared" si="19"/>
        <v>0</v>
      </c>
      <c r="K20" s="391" t="str">
        <f t="shared" si="15"/>
        <v/>
      </c>
      <c r="L20" s="393"/>
    </row>
    <row r="21" spans="1:12" s="361" customFormat="1" ht="20.100000000000001" customHeight="1">
      <c r="A21" s="370" t="s">
        <v>110</v>
      </c>
      <c r="B21" s="371"/>
      <c r="C21" s="371"/>
      <c r="D21" s="371"/>
      <c r="E21" s="53"/>
      <c r="F21" s="371"/>
      <c r="G21" s="371"/>
      <c r="H21" s="371"/>
      <c r="I21" s="371"/>
      <c r="J21" s="394"/>
      <c r="K21" s="395"/>
      <c r="L21" s="396"/>
    </row>
    <row r="22" spans="1:12" s="361" customFormat="1" ht="20.100000000000001" customHeight="1">
      <c r="A22" s="367" t="str">
        <f>A8</f>
        <v>单项计提坏账准备</v>
      </c>
      <c r="B22" s="53">
        <f t="shared" ref="B22:I22" si="21">B8-B15</f>
        <v>0</v>
      </c>
      <c r="C22" s="53">
        <f t="shared" si="21"/>
        <v>0</v>
      </c>
      <c r="D22" s="53">
        <f t="shared" si="21"/>
        <v>0</v>
      </c>
      <c r="E22" s="53">
        <f t="shared" si="21"/>
        <v>0</v>
      </c>
      <c r="F22" s="53">
        <f t="shared" si="21"/>
        <v>0</v>
      </c>
      <c r="G22" s="53">
        <f t="shared" si="21"/>
        <v>0</v>
      </c>
      <c r="H22" s="53">
        <f t="shared" si="21"/>
        <v>0</v>
      </c>
      <c r="I22" s="53">
        <f t="shared" si="21"/>
        <v>0</v>
      </c>
      <c r="J22" s="390">
        <f>I22-E22</f>
        <v>0</v>
      </c>
      <c r="K22" s="391" t="str">
        <f>IF(AND(E22=0,I22=0),"",IF(AND(E22=0,I22&gt;0),1,J22/E22))</f>
        <v/>
      </c>
      <c r="L22" s="393"/>
    </row>
    <row r="23" spans="1:12" s="361" customFormat="1" ht="20.100000000000001" customHeight="1">
      <c r="A23" s="368" t="str">
        <f>A9</f>
        <v>按组合计提坏账准备</v>
      </c>
      <c r="B23" s="53">
        <f>SUM(B24:B26)</f>
        <v>0</v>
      </c>
      <c r="C23" s="53">
        <f t="shared" ref="C23" si="22">SUM(C24:C26)</f>
        <v>0</v>
      </c>
      <c r="D23" s="53">
        <f t="shared" ref="D23" si="23">SUM(D24:D26)</f>
        <v>0</v>
      </c>
      <c r="E23" s="53">
        <f t="shared" ref="E23" si="24">SUM(E24:E26)</f>
        <v>0</v>
      </c>
      <c r="F23" s="53">
        <f t="shared" ref="F23" si="25">SUM(F24:F26)</f>
        <v>0</v>
      </c>
      <c r="G23" s="53">
        <f t="shared" ref="G23" si="26">SUM(G24:G26)</f>
        <v>0</v>
      </c>
      <c r="H23" s="53">
        <f t="shared" ref="H23" si="27">SUM(H24:H26)</f>
        <v>0</v>
      </c>
      <c r="I23" s="53">
        <f t="shared" ref="I23" si="28">SUM(I24:I26)</f>
        <v>0</v>
      </c>
      <c r="J23" s="390">
        <f t="shared" ref="J23:J27" si="29">I23-E23</f>
        <v>0</v>
      </c>
      <c r="K23" s="391" t="str">
        <f t="shared" ref="K23:K27" si="30">IF(AND(E23=0,I23=0),"",IF(AND(E23=0,I23&gt;0),1,J23/E23))</f>
        <v/>
      </c>
      <c r="L23" s="393"/>
    </row>
    <row r="24" spans="1:12" s="361" customFormat="1" ht="20.100000000000001" customHeight="1">
      <c r="A24" s="369" t="str">
        <f>A10</f>
        <v>账龄组合</v>
      </c>
      <c r="B24" s="53">
        <f t="shared" ref="B24:I26" si="31">B10-B17</f>
        <v>0</v>
      </c>
      <c r="C24" s="53">
        <f t="shared" si="31"/>
        <v>0</v>
      </c>
      <c r="D24" s="53">
        <f t="shared" si="31"/>
        <v>0</v>
      </c>
      <c r="E24" s="53">
        <f t="shared" si="31"/>
        <v>0</v>
      </c>
      <c r="F24" s="53">
        <f t="shared" si="31"/>
        <v>0</v>
      </c>
      <c r="G24" s="53">
        <f t="shared" si="31"/>
        <v>0</v>
      </c>
      <c r="H24" s="53">
        <f t="shared" si="31"/>
        <v>0</v>
      </c>
      <c r="I24" s="53">
        <f t="shared" si="31"/>
        <v>0</v>
      </c>
      <c r="J24" s="390">
        <f t="shared" si="29"/>
        <v>0</v>
      </c>
      <c r="K24" s="391" t="str">
        <f t="shared" si="30"/>
        <v/>
      </c>
      <c r="L24" s="393"/>
    </row>
    <row r="25" spans="1:12" s="361" customFormat="1" ht="20.100000000000001" customHeight="1">
      <c r="A25" s="369" t="str">
        <f>A11</f>
        <v>客户类型组合</v>
      </c>
      <c r="B25" s="53">
        <f t="shared" si="31"/>
        <v>0</v>
      </c>
      <c r="C25" s="53">
        <f t="shared" si="31"/>
        <v>0</v>
      </c>
      <c r="D25" s="53">
        <f t="shared" si="31"/>
        <v>0</v>
      </c>
      <c r="E25" s="53">
        <f t="shared" si="31"/>
        <v>0</v>
      </c>
      <c r="F25" s="53">
        <f t="shared" si="31"/>
        <v>0</v>
      </c>
      <c r="G25" s="53">
        <f t="shared" si="31"/>
        <v>0</v>
      </c>
      <c r="H25" s="53">
        <f t="shared" si="31"/>
        <v>0</v>
      </c>
      <c r="I25" s="53">
        <f t="shared" si="31"/>
        <v>0</v>
      </c>
      <c r="J25" s="390">
        <f t="shared" si="29"/>
        <v>0</v>
      </c>
      <c r="K25" s="391" t="str">
        <f t="shared" si="30"/>
        <v/>
      </c>
      <c r="L25" s="393"/>
    </row>
    <row r="26" spans="1:12" s="361" customFormat="1" ht="20.100000000000001" customHeight="1">
      <c r="A26" s="369" t="str">
        <f>A12</f>
        <v>……组合</v>
      </c>
      <c r="B26" s="53">
        <f t="shared" si="31"/>
        <v>0</v>
      </c>
      <c r="C26" s="53">
        <f t="shared" si="31"/>
        <v>0</v>
      </c>
      <c r="D26" s="53">
        <f t="shared" si="31"/>
        <v>0</v>
      </c>
      <c r="E26" s="53">
        <f t="shared" si="31"/>
        <v>0</v>
      </c>
      <c r="F26" s="53">
        <f>F12-F19</f>
        <v>0</v>
      </c>
      <c r="G26" s="53">
        <f t="shared" si="31"/>
        <v>0</v>
      </c>
      <c r="H26" s="53">
        <f t="shared" si="31"/>
        <v>0</v>
      </c>
      <c r="I26" s="53">
        <f t="shared" si="31"/>
        <v>0</v>
      </c>
      <c r="J26" s="390">
        <f t="shared" si="29"/>
        <v>0</v>
      </c>
      <c r="K26" s="391" t="str">
        <f t="shared" si="30"/>
        <v/>
      </c>
      <c r="L26" s="393"/>
    </row>
    <row r="27" spans="1:12" s="361" customFormat="1" ht="20.100000000000001" customHeight="1">
      <c r="A27" s="372" t="s">
        <v>111</v>
      </c>
      <c r="B27" s="53">
        <f>SUM(B22,B23)</f>
        <v>0</v>
      </c>
      <c r="C27" s="53">
        <f t="shared" ref="C27:I27" si="32">SUM(C22,C23)</f>
        <v>0</v>
      </c>
      <c r="D27" s="53">
        <f t="shared" si="32"/>
        <v>0</v>
      </c>
      <c r="E27" s="53">
        <f t="shared" si="32"/>
        <v>0</v>
      </c>
      <c r="F27" s="53">
        <f t="shared" si="32"/>
        <v>0</v>
      </c>
      <c r="G27" s="53">
        <f t="shared" si="32"/>
        <v>0</v>
      </c>
      <c r="H27" s="53">
        <f t="shared" si="32"/>
        <v>0</v>
      </c>
      <c r="I27" s="53">
        <f t="shared" si="32"/>
        <v>0</v>
      </c>
      <c r="J27" s="390">
        <f t="shared" si="29"/>
        <v>0</v>
      </c>
      <c r="K27" s="391" t="str">
        <f t="shared" si="30"/>
        <v/>
      </c>
      <c r="L27" s="393"/>
    </row>
    <row r="28" spans="1:12" s="361" customFormat="1" ht="20.100000000000001" customHeight="1">
      <c r="A28" s="370" t="s">
        <v>112</v>
      </c>
      <c r="B28" s="371"/>
      <c r="C28" s="371"/>
      <c r="D28" s="371"/>
      <c r="E28" s="53"/>
      <c r="F28" s="371"/>
      <c r="G28" s="371"/>
      <c r="H28" s="371"/>
      <c r="I28" s="371"/>
      <c r="J28" s="394"/>
      <c r="K28" s="395"/>
      <c r="L28" s="396"/>
    </row>
    <row r="29" spans="1:12" s="361" customFormat="1" ht="20.100000000000001" customHeight="1">
      <c r="A29" s="369" t="s">
        <v>113</v>
      </c>
      <c r="B29" s="71"/>
      <c r="C29" s="71"/>
      <c r="D29" s="71"/>
      <c r="E29" s="53">
        <f>B29+C29+D29</f>
        <v>0</v>
      </c>
      <c r="F29" s="373"/>
      <c r="G29" s="373"/>
      <c r="H29" s="71"/>
      <c r="I29" s="53">
        <f>F29+G29+H29</f>
        <v>0</v>
      </c>
      <c r="J29" s="390">
        <f>I29-E29</f>
        <v>0</v>
      </c>
      <c r="K29" s="391" t="str">
        <f>IF(AND(E29=0,I29=0),"",IF(AND(E29=0,I29&gt;0),1,J29/E29))</f>
        <v/>
      </c>
      <c r="L29" s="393"/>
    </row>
    <row r="30" spans="1:12" s="361" customFormat="1" ht="20.100000000000001" customHeight="1">
      <c r="A30" s="369" t="s">
        <v>114</v>
      </c>
      <c r="B30" s="71"/>
      <c r="C30" s="71"/>
      <c r="D30" s="71"/>
      <c r="E30" s="53">
        <f t="shared" ref="E30:E34" si="33">B30+C30+D30</f>
        <v>0</v>
      </c>
      <c r="F30" s="373"/>
      <c r="G30" s="373"/>
      <c r="H30" s="71"/>
      <c r="I30" s="53">
        <f t="shared" ref="I30:I34" si="34">F30+G30+H30</f>
        <v>0</v>
      </c>
      <c r="J30" s="390">
        <f>I30-E30</f>
        <v>0</v>
      </c>
      <c r="K30" s="391" t="str">
        <f t="shared" ref="K30:K35" si="35">IF(AND(E30=0,I30=0),"",IF(AND(E30=0,I30&gt;0),1,J30/E30))</f>
        <v/>
      </c>
      <c r="L30" s="393"/>
    </row>
    <row r="31" spans="1:12" s="361" customFormat="1" ht="20.100000000000001" customHeight="1">
      <c r="A31" s="369" t="s">
        <v>115</v>
      </c>
      <c r="B31" s="71"/>
      <c r="C31" s="71"/>
      <c r="D31" s="71"/>
      <c r="E31" s="53">
        <f t="shared" si="33"/>
        <v>0</v>
      </c>
      <c r="F31" s="373"/>
      <c r="G31" s="373"/>
      <c r="H31" s="71"/>
      <c r="I31" s="53">
        <f t="shared" si="34"/>
        <v>0</v>
      </c>
      <c r="J31" s="390">
        <f>I31-E31</f>
        <v>0</v>
      </c>
      <c r="K31" s="391" t="str">
        <f t="shared" si="35"/>
        <v/>
      </c>
      <c r="L31" s="393"/>
    </row>
    <row r="32" spans="1:12" s="361" customFormat="1" ht="20.100000000000001" customHeight="1">
      <c r="A32" s="369" t="s">
        <v>116</v>
      </c>
      <c r="B32" s="71"/>
      <c r="C32" s="71"/>
      <c r="D32" s="71"/>
      <c r="E32" s="53">
        <f t="shared" si="33"/>
        <v>0</v>
      </c>
      <c r="F32" s="373"/>
      <c r="G32" s="373"/>
      <c r="H32" s="71"/>
      <c r="I32" s="53">
        <f t="shared" si="34"/>
        <v>0</v>
      </c>
      <c r="J32" s="390">
        <f>I32-E32</f>
        <v>0</v>
      </c>
      <c r="K32" s="391" t="str">
        <f t="shared" si="35"/>
        <v/>
      </c>
      <c r="L32" s="393"/>
    </row>
    <row r="33" spans="1:12" s="361" customFormat="1" ht="20.100000000000001" customHeight="1">
      <c r="A33" s="369" t="s">
        <v>117</v>
      </c>
      <c r="B33" s="71"/>
      <c r="C33" s="71"/>
      <c r="D33" s="71"/>
      <c r="E33" s="53">
        <f t="shared" si="33"/>
        <v>0</v>
      </c>
      <c r="F33" s="373"/>
      <c r="G33" s="373"/>
      <c r="H33" s="71"/>
      <c r="I33" s="53">
        <f t="shared" si="34"/>
        <v>0</v>
      </c>
      <c r="J33" s="390">
        <f t="shared" ref="J33:J35" si="36">I33-E33</f>
        <v>0</v>
      </c>
      <c r="K33" s="391" t="str">
        <f t="shared" si="35"/>
        <v/>
      </c>
      <c r="L33" s="393"/>
    </row>
    <row r="34" spans="1:12" s="361" customFormat="1" ht="20.100000000000001" customHeight="1">
      <c r="A34" s="369" t="s">
        <v>118</v>
      </c>
      <c r="B34" s="71"/>
      <c r="C34" s="71"/>
      <c r="D34" s="71"/>
      <c r="E34" s="53">
        <f t="shared" si="33"/>
        <v>0</v>
      </c>
      <c r="F34" s="71"/>
      <c r="G34" s="71"/>
      <c r="H34" s="71"/>
      <c r="I34" s="53">
        <f t="shared" si="34"/>
        <v>0</v>
      </c>
      <c r="J34" s="390">
        <f t="shared" si="36"/>
        <v>0</v>
      </c>
      <c r="K34" s="391" t="str">
        <f t="shared" si="35"/>
        <v/>
      </c>
      <c r="L34" s="393"/>
    </row>
    <row r="35" spans="1:12" s="361" customFormat="1" ht="20.100000000000001" customHeight="1">
      <c r="A35" s="364" t="s">
        <v>108</v>
      </c>
      <c r="B35" s="53">
        <f>SUM(B29:B34)</f>
        <v>0</v>
      </c>
      <c r="C35" s="53">
        <f t="shared" ref="C35:F35" si="37">SUM(C29:C34)</f>
        <v>0</v>
      </c>
      <c r="D35" s="53">
        <f t="shared" si="37"/>
        <v>0</v>
      </c>
      <c r="E35" s="53">
        <f t="shared" si="37"/>
        <v>0</v>
      </c>
      <c r="F35" s="53">
        <f t="shared" si="37"/>
        <v>0</v>
      </c>
      <c r="G35" s="53">
        <f t="shared" ref="G35:I35" si="38">SUM(G29:G34)</f>
        <v>0</v>
      </c>
      <c r="H35" s="53">
        <f t="shared" si="38"/>
        <v>0</v>
      </c>
      <c r="I35" s="53">
        <f t="shared" si="38"/>
        <v>0</v>
      </c>
      <c r="J35" s="390">
        <f t="shared" si="36"/>
        <v>0</v>
      </c>
      <c r="K35" s="391" t="str">
        <f t="shared" si="35"/>
        <v/>
      </c>
      <c r="L35" s="393"/>
    </row>
    <row r="36" spans="1:12" s="361" customFormat="1" ht="20.100000000000001" customHeight="1">
      <c r="A36" s="370" t="s">
        <v>119</v>
      </c>
      <c r="B36" s="371"/>
      <c r="C36" s="371"/>
      <c r="D36" s="371"/>
      <c r="E36" s="371"/>
      <c r="F36" s="371"/>
      <c r="G36" s="371"/>
      <c r="H36" s="371"/>
      <c r="I36" s="371"/>
      <c r="J36" s="394"/>
      <c r="K36" s="395"/>
      <c r="L36" s="396"/>
    </row>
    <row r="37" spans="1:12" s="361" customFormat="1" ht="20.100000000000001" customHeight="1">
      <c r="A37" s="369" t="str">
        <f t="shared" ref="A37:A42" si="39">A29</f>
        <v>一年以内</v>
      </c>
      <c r="B37" s="71"/>
      <c r="C37" s="71"/>
      <c r="D37" s="71"/>
      <c r="E37" s="53">
        <f>B37+C37+D37</f>
        <v>0</v>
      </c>
      <c r="F37" s="373"/>
      <c r="G37" s="373"/>
      <c r="H37" s="71"/>
      <c r="I37" s="53">
        <f>F37+G37+H37</f>
        <v>0</v>
      </c>
      <c r="J37" s="390">
        <f>I37-E37</f>
        <v>0</v>
      </c>
      <c r="K37" s="391" t="str">
        <f>IF(AND(E37=0,I37=0),"",IF(AND(E37=0,I37&gt;0),1,J37/E37))</f>
        <v/>
      </c>
      <c r="L37" s="393"/>
    </row>
    <row r="38" spans="1:12" s="361" customFormat="1" ht="20.100000000000001" customHeight="1">
      <c r="A38" s="369" t="str">
        <f t="shared" si="39"/>
        <v>一到二年</v>
      </c>
      <c r="B38" s="71"/>
      <c r="C38" s="71"/>
      <c r="D38" s="71"/>
      <c r="E38" s="53">
        <f t="shared" ref="E38:E42" si="40">B38+C38+D38</f>
        <v>0</v>
      </c>
      <c r="F38" s="373"/>
      <c r="G38" s="373"/>
      <c r="H38" s="71"/>
      <c r="I38" s="53">
        <f t="shared" ref="I38:I42" si="41">F38+G38+H38</f>
        <v>0</v>
      </c>
      <c r="J38" s="390">
        <f>I38-E38</f>
        <v>0</v>
      </c>
      <c r="K38" s="391" t="str">
        <f t="shared" ref="K38:K43" si="42">IF(AND(E38=0,I38=0),"",IF(AND(E38=0,I38&gt;0),1,J38/E38))</f>
        <v/>
      </c>
      <c r="L38" s="393"/>
    </row>
    <row r="39" spans="1:12" s="361" customFormat="1" ht="20.100000000000001" customHeight="1">
      <c r="A39" s="369" t="str">
        <f t="shared" si="39"/>
        <v>二到三年</v>
      </c>
      <c r="B39" s="71"/>
      <c r="C39" s="71"/>
      <c r="D39" s="71"/>
      <c r="E39" s="53">
        <f t="shared" si="40"/>
        <v>0</v>
      </c>
      <c r="F39" s="373"/>
      <c r="G39" s="373"/>
      <c r="H39" s="71"/>
      <c r="I39" s="53">
        <f t="shared" si="41"/>
        <v>0</v>
      </c>
      <c r="J39" s="390">
        <f>I39-E39</f>
        <v>0</v>
      </c>
      <c r="K39" s="391" t="str">
        <f t="shared" si="42"/>
        <v/>
      </c>
      <c r="L39" s="393"/>
    </row>
    <row r="40" spans="1:12" s="361" customFormat="1" ht="20.100000000000001" customHeight="1">
      <c r="A40" s="369" t="str">
        <f t="shared" si="39"/>
        <v>三到四年</v>
      </c>
      <c r="B40" s="71"/>
      <c r="C40" s="71"/>
      <c r="D40" s="71"/>
      <c r="E40" s="53">
        <f t="shared" si="40"/>
        <v>0</v>
      </c>
      <c r="F40" s="373"/>
      <c r="G40" s="373"/>
      <c r="H40" s="71"/>
      <c r="I40" s="53">
        <f t="shared" si="41"/>
        <v>0</v>
      </c>
      <c r="J40" s="390">
        <f>I40-E40</f>
        <v>0</v>
      </c>
      <c r="K40" s="391" t="str">
        <f t="shared" si="42"/>
        <v/>
      </c>
      <c r="L40" s="393"/>
    </row>
    <row r="41" spans="1:12" s="361" customFormat="1" ht="20.100000000000001" customHeight="1">
      <c r="A41" s="369" t="str">
        <f t="shared" si="39"/>
        <v>四到五年</v>
      </c>
      <c r="B41" s="71"/>
      <c r="C41" s="71"/>
      <c r="D41" s="71"/>
      <c r="E41" s="53">
        <f t="shared" si="40"/>
        <v>0</v>
      </c>
      <c r="F41" s="373"/>
      <c r="G41" s="373"/>
      <c r="H41" s="71"/>
      <c r="I41" s="53">
        <f t="shared" si="41"/>
        <v>0</v>
      </c>
      <c r="J41" s="390">
        <f t="shared" ref="J41:J43" si="43">I41-E41</f>
        <v>0</v>
      </c>
      <c r="K41" s="391" t="str">
        <f t="shared" si="42"/>
        <v/>
      </c>
      <c r="L41" s="393"/>
    </row>
    <row r="42" spans="1:12" s="361" customFormat="1" ht="20.100000000000001" customHeight="1">
      <c r="A42" s="369" t="str">
        <f t="shared" si="39"/>
        <v>五年以上</v>
      </c>
      <c r="B42" s="71"/>
      <c r="C42" s="71"/>
      <c r="D42" s="71"/>
      <c r="E42" s="53">
        <f t="shared" si="40"/>
        <v>0</v>
      </c>
      <c r="F42" s="71"/>
      <c r="G42" s="71"/>
      <c r="H42" s="71"/>
      <c r="I42" s="53">
        <f t="shared" si="41"/>
        <v>0</v>
      </c>
      <c r="J42" s="390">
        <f t="shared" si="43"/>
        <v>0</v>
      </c>
      <c r="K42" s="391" t="str">
        <f t="shared" si="42"/>
        <v/>
      </c>
      <c r="L42" s="393"/>
    </row>
    <row r="43" spans="1:12" s="361" customFormat="1" ht="20.100000000000001" customHeight="1">
      <c r="A43" s="364" t="s">
        <v>108</v>
      </c>
      <c r="B43" s="53">
        <f>SUM(B37:B42)</f>
        <v>0</v>
      </c>
      <c r="C43" s="53">
        <f t="shared" ref="C43:F43" si="44">SUM(C37:C42)</f>
        <v>0</v>
      </c>
      <c r="D43" s="53">
        <f t="shared" si="44"/>
        <v>0</v>
      </c>
      <c r="E43" s="53">
        <f t="shared" si="44"/>
        <v>0</v>
      </c>
      <c r="F43" s="53">
        <f t="shared" si="44"/>
        <v>0</v>
      </c>
      <c r="G43" s="53">
        <f t="shared" ref="G43:I43" si="45">SUM(G37:G42)</f>
        <v>0</v>
      </c>
      <c r="H43" s="53">
        <f t="shared" si="45"/>
        <v>0</v>
      </c>
      <c r="I43" s="53">
        <f t="shared" si="45"/>
        <v>0</v>
      </c>
      <c r="J43" s="390">
        <f t="shared" si="43"/>
        <v>0</v>
      </c>
      <c r="K43" s="391" t="str">
        <f t="shared" si="42"/>
        <v/>
      </c>
      <c r="L43" s="393"/>
    </row>
    <row r="44" spans="1:12" s="361" customFormat="1" ht="20.100000000000001" customHeight="1">
      <c r="A44" s="370" t="s">
        <v>120</v>
      </c>
      <c r="B44" s="371"/>
      <c r="C44" s="371"/>
      <c r="D44" s="371"/>
      <c r="E44" s="371"/>
      <c r="F44" s="371"/>
      <c r="G44" s="371"/>
      <c r="H44" s="371"/>
      <c r="I44" s="371"/>
      <c r="J44" s="394"/>
      <c r="K44" s="395"/>
      <c r="L44" s="396"/>
    </row>
    <row r="45" spans="1:12" s="361" customFormat="1" ht="20.100000000000001" customHeight="1">
      <c r="A45" s="369" t="str">
        <f t="shared" ref="A45:A50" si="46">A29</f>
        <v>一年以内</v>
      </c>
      <c r="B45" s="53">
        <f>B29-B37</f>
        <v>0</v>
      </c>
      <c r="C45" s="53">
        <f t="shared" ref="C45:D45" si="47">C29-C37</f>
        <v>0</v>
      </c>
      <c r="D45" s="53">
        <f t="shared" si="47"/>
        <v>0</v>
      </c>
      <c r="E45" s="53">
        <f t="shared" ref="E45:H45" si="48">E29-E37</f>
        <v>0</v>
      </c>
      <c r="F45" s="53">
        <f t="shared" si="48"/>
        <v>0</v>
      </c>
      <c r="G45" s="53">
        <f t="shared" si="48"/>
        <v>0</v>
      </c>
      <c r="H45" s="53">
        <f t="shared" si="48"/>
        <v>0</v>
      </c>
      <c r="I45" s="53">
        <f t="shared" ref="I45" si="49">I29-I37</f>
        <v>0</v>
      </c>
      <c r="J45" s="390">
        <f>I45-E45</f>
        <v>0</v>
      </c>
      <c r="K45" s="391" t="str">
        <f>IF(AND(E45=0,I45=0),"",IF(AND(E45=0,I45&gt;0),1,J45/E45))</f>
        <v/>
      </c>
      <c r="L45" s="393"/>
    </row>
    <row r="46" spans="1:12" s="361" customFormat="1" ht="20.100000000000001" customHeight="1">
      <c r="A46" s="369" t="str">
        <f t="shared" si="46"/>
        <v>一到二年</v>
      </c>
      <c r="B46" s="53">
        <f t="shared" ref="B46:D50" si="50">B30-B38</f>
        <v>0</v>
      </c>
      <c r="C46" s="53">
        <f t="shared" si="50"/>
        <v>0</v>
      </c>
      <c r="D46" s="53">
        <f t="shared" si="50"/>
        <v>0</v>
      </c>
      <c r="E46" s="53">
        <f t="shared" ref="E46:H46" si="51">E30-E38</f>
        <v>0</v>
      </c>
      <c r="F46" s="53">
        <f t="shared" si="51"/>
        <v>0</v>
      </c>
      <c r="G46" s="53">
        <f t="shared" si="51"/>
        <v>0</v>
      </c>
      <c r="H46" s="53">
        <f t="shared" si="51"/>
        <v>0</v>
      </c>
      <c r="I46" s="53">
        <f t="shared" ref="I46" si="52">I30-I38</f>
        <v>0</v>
      </c>
      <c r="J46" s="390">
        <f>I46-E46</f>
        <v>0</v>
      </c>
      <c r="K46" s="391" t="str">
        <f t="shared" ref="K46:K51" si="53">IF(AND(E46=0,I46=0),"",IF(AND(E46=0,I46&gt;0),1,J46/E46))</f>
        <v/>
      </c>
      <c r="L46" s="393"/>
    </row>
    <row r="47" spans="1:12" s="361" customFormat="1" ht="20.100000000000001" customHeight="1">
      <c r="A47" s="369" t="str">
        <f t="shared" si="46"/>
        <v>二到三年</v>
      </c>
      <c r="B47" s="53">
        <f t="shared" si="50"/>
        <v>0</v>
      </c>
      <c r="C47" s="53">
        <f t="shared" si="50"/>
        <v>0</v>
      </c>
      <c r="D47" s="53">
        <f t="shared" si="50"/>
        <v>0</v>
      </c>
      <c r="E47" s="53">
        <f t="shared" ref="E47:H47" si="54">E31-E39</f>
        <v>0</v>
      </c>
      <c r="F47" s="53">
        <f t="shared" si="54"/>
        <v>0</v>
      </c>
      <c r="G47" s="53">
        <f t="shared" si="54"/>
        <v>0</v>
      </c>
      <c r="H47" s="53">
        <f t="shared" si="54"/>
        <v>0</v>
      </c>
      <c r="I47" s="53">
        <f t="shared" ref="I47" si="55">I31-I39</f>
        <v>0</v>
      </c>
      <c r="J47" s="390">
        <f>I47-E47</f>
        <v>0</v>
      </c>
      <c r="K47" s="391" t="str">
        <f t="shared" si="53"/>
        <v/>
      </c>
      <c r="L47" s="393"/>
    </row>
    <row r="48" spans="1:12" s="361" customFormat="1" ht="20.100000000000001" customHeight="1">
      <c r="A48" s="369" t="str">
        <f t="shared" si="46"/>
        <v>三到四年</v>
      </c>
      <c r="B48" s="53">
        <f t="shared" si="50"/>
        <v>0</v>
      </c>
      <c r="C48" s="53">
        <f t="shared" si="50"/>
        <v>0</v>
      </c>
      <c r="D48" s="53">
        <f t="shared" si="50"/>
        <v>0</v>
      </c>
      <c r="E48" s="53">
        <f t="shared" ref="E48:H48" si="56">E32-E40</f>
        <v>0</v>
      </c>
      <c r="F48" s="53">
        <f t="shared" si="56"/>
        <v>0</v>
      </c>
      <c r="G48" s="53">
        <f t="shared" si="56"/>
        <v>0</v>
      </c>
      <c r="H48" s="53">
        <f t="shared" si="56"/>
        <v>0</v>
      </c>
      <c r="I48" s="53">
        <f t="shared" ref="I48" si="57">I32-I40</f>
        <v>0</v>
      </c>
      <c r="J48" s="390">
        <f>I48-E48</f>
        <v>0</v>
      </c>
      <c r="K48" s="391" t="str">
        <f t="shared" si="53"/>
        <v/>
      </c>
      <c r="L48" s="393"/>
    </row>
    <row r="49" spans="1:13" s="361" customFormat="1" ht="20.100000000000001" customHeight="1">
      <c r="A49" s="369" t="str">
        <f t="shared" si="46"/>
        <v>四到五年</v>
      </c>
      <c r="B49" s="53">
        <f t="shared" si="50"/>
        <v>0</v>
      </c>
      <c r="C49" s="53">
        <f t="shared" si="50"/>
        <v>0</v>
      </c>
      <c r="D49" s="53">
        <f t="shared" si="50"/>
        <v>0</v>
      </c>
      <c r="E49" s="53">
        <f t="shared" ref="E49:H49" si="58">E33-E41</f>
        <v>0</v>
      </c>
      <c r="F49" s="53">
        <f t="shared" si="58"/>
        <v>0</v>
      </c>
      <c r="G49" s="53">
        <f t="shared" si="58"/>
        <v>0</v>
      </c>
      <c r="H49" s="53">
        <f t="shared" si="58"/>
        <v>0</v>
      </c>
      <c r="I49" s="53">
        <f t="shared" ref="I49" si="59">I33-I41</f>
        <v>0</v>
      </c>
      <c r="J49" s="390">
        <f t="shared" ref="J49:J50" si="60">I49-E49</f>
        <v>0</v>
      </c>
      <c r="K49" s="391" t="str">
        <f t="shared" si="53"/>
        <v/>
      </c>
      <c r="L49" s="393"/>
    </row>
    <row r="50" spans="1:13" s="361" customFormat="1" ht="20.100000000000001" customHeight="1">
      <c r="A50" s="369" t="str">
        <f t="shared" si="46"/>
        <v>五年以上</v>
      </c>
      <c r="B50" s="53">
        <f t="shared" si="50"/>
        <v>0</v>
      </c>
      <c r="C50" s="53">
        <f t="shared" si="50"/>
        <v>0</v>
      </c>
      <c r="D50" s="53">
        <f t="shared" si="50"/>
        <v>0</v>
      </c>
      <c r="E50" s="53">
        <f t="shared" ref="E50:H50" si="61">E34-E42</f>
        <v>0</v>
      </c>
      <c r="F50" s="53">
        <f t="shared" si="61"/>
        <v>0</v>
      </c>
      <c r="G50" s="53">
        <f t="shared" si="61"/>
        <v>0</v>
      </c>
      <c r="H50" s="53">
        <f t="shared" si="61"/>
        <v>0</v>
      </c>
      <c r="I50" s="53">
        <f t="shared" ref="I50" si="62">I34-I42</f>
        <v>0</v>
      </c>
      <c r="J50" s="390">
        <f t="shared" si="60"/>
        <v>0</v>
      </c>
      <c r="K50" s="391" t="str">
        <f t="shared" si="53"/>
        <v/>
      </c>
      <c r="L50" s="393"/>
    </row>
    <row r="51" spans="1:13" s="361" customFormat="1" ht="20.100000000000001" customHeight="1">
      <c r="A51" s="364" t="s">
        <v>111</v>
      </c>
      <c r="B51" s="53">
        <f>SUM(B45:B50)</f>
        <v>0</v>
      </c>
      <c r="C51" s="53">
        <f t="shared" ref="C51:E51" si="63">SUM(C45:C50)</f>
        <v>0</v>
      </c>
      <c r="D51" s="53">
        <f t="shared" si="63"/>
        <v>0</v>
      </c>
      <c r="E51" s="53">
        <f t="shared" si="63"/>
        <v>0</v>
      </c>
      <c r="F51" s="53">
        <f t="shared" ref="F51:I51" si="64">SUM(F45:F50)</f>
        <v>0</v>
      </c>
      <c r="G51" s="53">
        <f t="shared" si="64"/>
        <v>0</v>
      </c>
      <c r="H51" s="53">
        <f t="shared" si="64"/>
        <v>0</v>
      </c>
      <c r="I51" s="53">
        <f t="shared" si="64"/>
        <v>0</v>
      </c>
      <c r="J51" s="390">
        <f t="shared" ref="J51" si="65">I51-E51</f>
        <v>0</v>
      </c>
      <c r="K51" s="391" t="str">
        <f t="shared" si="53"/>
        <v/>
      </c>
      <c r="L51" s="392"/>
    </row>
    <row r="52" spans="1:13" s="362" customFormat="1" ht="20.100000000000001" customHeight="1">
      <c r="A52" s="362" t="s">
        <v>121</v>
      </c>
      <c r="B52" s="374"/>
      <c r="C52" s="374"/>
      <c r="D52" s="374"/>
      <c r="E52" s="374"/>
      <c r="F52" s="374"/>
      <c r="G52" s="374"/>
      <c r="H52" s="374"/>
      <c r="I52" s="375"/>
      <c r="J52" s="397"/>
      <c r="K52" s="398"/>
      <c r="L52" s="399"/>
    </row>
    <row r="53" spans="1:13" s="362" customFormat="1" ht="20.100000000000001" customHeight="1">
      <c r="A53" s="362" t="s">
        <v>122</v>
      </c>
      <c r="B53" s="375"/>
      <c r="C53" s="375"/>
      <c r="D53" s="375"/>
      <c r="E53" s="376">
        <f>E27-E52</f>
        <v>0</v>
      </c>
      <c r="F53" s="375"/>
      <c r="G53" s="375"/>
      <c r="H53" s="375"/>
      <c r="I53" s="376">
        <f>I27-I52</f>
        <v>0</v>
      </c>
      <c r="J53" s="400"/>
      <c r="K53" s="398"/>
      <c r="L53" s="399"/>
    </row>
    <row r="54" spans="1:13" s="362" customFormat="1" ht="20.100000000000001" customHeight="1">
      <c r="A54" s="377"/>
      <c r="B54" s="378"/>
      <c r="C54" s="378"/>
      <c r="D54" s="378"/>
      <c r="E54" s="378"/>
      <c r="F54" s="378"/>
      <c r="G54" s="378"/>
      <c r="H54" s="378"/>
      <c r="I54" s="378"/>
      <c r="J54" s="399"/>
      <c r="K54" s="401"/>
      <c r="L54" s="399"/>
    </row>
    <row r="55" spans="1:13" s="362" customFormat="1" ht="20.100000000000001" customHeight="1">
      <c r="A55" s="379" t="s">
        <v>123</v>
      </c>
      <c r="B55" s="3"/>
      <c r="C55" s="3"/>
      <c r="D55" s="3"/>
      <c r="E55" s="3"/>
      <c r="F55" s="380"/>
      <c r="G55" s="380"/>
      <c r="H55" s="3"/>
      <c r="I55" s="402" t="s">
        <v>124</v>
      </c>
      <c r="J55" s="2"/>
      <c r="K55" s="2"/>
      <c r="L55" s="2"/>
      <c r="M55" s="2"/>
    </row>
    <row r="56" spans="1:13" s="363" customFormat="1" ht="20.100000000000001" customHeight="1">
      <c r="A56" s="381" t="s">
        <v>125</v>
      </c>
      <c r="B56" s="381"/>
      <c r="C56" s="381"/>
      <c r="D56" s="382"/>
      <c r="E56" s="383">
        <f>IF(AND(E27=0,I27=0),0,IF(AND(E27=0,I27&gt;0),1,(I27-E27)/E27))</f>
        <v>0</v>
      </c>
      <c r="F56" s="384"/>
      <c r="G56" s="384"/>
      <c r="H56" s="384"/>
      <c r="I56" s="384"/>
      <c r="J56" s="384"/>
      <c r="K56" s="384"/>
      <c r="L56" s="2"/>
      <c r="M56" s="2"/>
    </row>
    <row r="57" spans="1:13" s="362" customFormat="1" ht="20.100000000000001" customHeight="1">
      <c r="A57" s="381" t="s">
        <v>126</v>
      </c>
      <c r="B57" s="381"/>
      <c r="C57" s="381"/>
      <c r="D57" s="381"/>
      <c r="E57" s="381"/>
      <c r="F57" s="381"/>
      <c r="G57" s="381"/>
      <c r="H57" s="381"/>
      <c r="I57" s="381"/>
      <c r="J57" s="381"/>
      <c r="K57" s="381"/>
      <c r="L57" s="2"/>
      <c r="M57" s="2"/>
    </row>
    <row r="58" spans="1:13" s="363" customFormat="1" ht="20.100000000000001" customHeight="1">
      <c r="A58" s="381"/>
      <c r="B58" s="381"/>
      <c r="C58" s="381"/>
      <c r="D58" s="381"/>
      <c r="E58" s="381"/>
      <c r="F58" s="381"/>
      <c r="G58" s="381"/>
      <c r="H58" s="381"/>
      <c r="I58" s="381"/>
      <c r="J58" s="381"/>
      <c r="K58" s="381"/>
      <c r="L58" s="2"/>
      <c r="M58" s="2"/>
    </row>
    <row r="59" spans="1:13" s="363" customFormat="1" ht="20.100000000000001" customHeight="1">
      <c r="A59" s="385" t="s">
        <v>127</v>
      </c>
      <c r="B59" s="381"/>
      <c r="C59" s="381"/>
      <c r="D59" s="381"/>
      <c r="E59" s="381"/>
      <c r="F59" s="381"/>
      <c r="G59" s="381"/>
      <c r="H59" s="381"/>
      <c r="I59" s="381"/>
      <c r="J59" s="381"/>
      <c r="K59" s="381"/>
      <c r="L59" s="2"/>
      <c r="M59" s="2"/>
    </row>
    <row r="60" spans="1:13" s="363" customFormat="1" ht="20.100000000000001" customHeight="1">
      <c r="B60" s="385"/>
      <c r="C60" s="385"/>
      <c r="D60" s="385"/>
      <c r="E60" s="385"/>
      <c r="F60" s="385"/>
      <c r="G60" s="385"/>
      <c r="H60" s="385"/>
      <c r="I60" s="385"/>
      <c r="J60" s="385"/>
      <c r="K60" s="385"/>
      <c r="L60" s="2"/>
      <c r="M60" s="2"/>
    </row>
    <row r="61" spans="1:13" s="363" customFormat="1" ht="20.100000000000001" customHeight="1">
      <c r="B61" s="385"/>
      <c r="C61" s="385"/>
      <c r="D61" s="385"/>
      <c r="E61" s="385"/>
      <c r="F61" s="385"/>
      <c r="G61" s="385"/>
      <c r="H61" s="385"/>
      <c r="I61" s="385"/>
      <c r="J61" s="385"/>
      <c r="K61" s="385"/>
      <c r="L61" s="2"/>
      <c r="M61" s="2"/>
    </row>
    <row r="62" spans="1:13" ht="20.100000000000001" customHeight="1">
      <c r="A62" s="386"/>
      <c r="B62" s="387"/>
      <c r="C62" s="387"/>
      <c r="D62" s="387"/>
      <c r="E62" s="387"/>
      <c r="F62" s="387"/>
      <c r="G62" s="387"/>
      <c r="H62" s="387"/>
      <c r="I62" s="387"/>
      <c r="J62" s="387"/>
      <c r="K62" s="387"/>
    </row>
  </sheetData>
  <mergeCells count="7">
    <mergeCell ref="A1:L1"/>
    <mergeCell ref="A2:L2"/>
    <mergeCell ref="B5:E5"/>
    <mergeCell ref="F5:I5"/>
    <mergeCell ref="J5:K5"/>
    <mergeCell ref="A5:A6"/>
    <mergeCell ref="L5:L6"/>
  </mergeCells>
  <phoneticPr fontId="168" type="noConversion"/>
  <hyperlinks>
    <hyperlink ref="L3" location="底稿目录!A1" display="=底稿目录!F5"/>
  </hyperlinks>
  <pageMargins left="0.70833333333333304" right="0.70833333333333304" top="0.74791666666666701" bottom="0.74791666666666701" header="0.31458333333333299" footer="0.31458333333333299"/>
  <pageSetup paperSize="9" scale="80" orientation="landscape" blackAndWhite="1" r:id="rId1"/>
  <headerFooter alignWithMargins="0">
    <oddFooter>&amp;C&amp;P/&amp;N</oddFooter>
  </headerFooter>
  <rowBreaks count="1" manualBreakCount="1">
    <brk id="32"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34"/>
  <sheetViews>
    <sheetView view="pageBreakPreview" zoomScale="60" zoomScaleNormal="100" workbookViewId="0">
      <selection activeCell="K84" sqref="K84"/>
    </sheetView>
  </sheetViews>
  <sheetFormatPr defaultColWidth="9" defaultRowHeight="13.8"/>
  <cols>
    <col min="1" max="1" width="26.09765625" style="219" customWidth="1"/>
    <col min="2" max="2" width="14" style="219" customWidth="1"/>
    <col min="3" max="3" width="15" style="219" customWidth="1"/>
    <col min="4" max="4" width="16.5" style="219" customWidth="1"/>
    <col min="5" max="5" width="18.5" style="219" customWidth="1"/>
    <col min="6" max="6" width="13.5" style="219" customWidth="1"/>
    <col min="7" max="16384" width="9" style="219"/>
  </cols>
  <sheetData>
    <row r="1" spans="1:9" s="306" customFormat="1" ht="20.100000000000001" customHeight="1">
      <c r="A1" s="488" t="s">
        <v>128</v>
      </c>
      <c r="B1" s="488"/>
      <c r="C1" s="488"/>
      <c r="D1" s="488"/>
      <c r="E1" s="488"/>
      <c r="F1" s="488"/>
      <c r="G1" s="220"/>
      <c r="H1" s="220"/>
      <c r="I1" s="220"/>
    </row>
    <row r="2" spans="1:9" s="307" customFormat="1" ht="25.2" customHeight="1">
      <c r="A2" s="489" t="s">
        <v>129</v>
      </c>
      <c r="B2" s="489"/>
      <c r="C2" s="489"/>
      <c r="D2" s="489"/>
      <c r="E2" s="489"/>
      <c r="F2" s="489"/>
      <c r="G2" s="308"/>
      <c r="H2" s="308"/>
      <c r="I2" s="308"/>
    </row>
    <row r="3" spans="1:9" s="306" customFormat="1" ht="20.100000000000001" customHeight="1">
      <c r="A3" s="306" t="str">
        <f>底稿目录!A2</f>
        <v>被审计单位名称：</v>
      </c>
      <c r="C3" s="306" t="str">
        <f>底稿目录!A4</f>
        <v>编制人：</v>
      </c>
      <c r="E3" s="306" t="str">
        <f>底稿目录!A5</f>
        <v>编制日期：</v>
      </c>
      <c r="F3" s="306" t="s">
        <v>130</v>
      </c>
    </row>
    <row r="4" spans="1:9" s="306" customFormat="1" ht="20.100000000000001" customHeight="1">
      <c r="A4" s="306" t="str">
        <f>底稿目录!A3</f>
        <v>截止日：202X年12月31日</v>
      </c>
      <c r="B4" s="309"/>
      <c r="C4" s="306" t="str">
        <f>底稿目录!A6</f>
        <v>复核人：</v>
      </c>
      <c r="E4" s="306" t="str">
        <f>底稿目录!A7</f>
        <v>复核日期：</v>
      </c>
      <c r="F4" s="306" t="s">
        <v>131</v>
      </c>
      <c r="I4" s="309"/>
    </row>
    <row r="5" spans="1:9" s="218" customFormat="1" ht="20.100000000000001" customHeight="1">
      <c r="A5" s="218" t="s">
        <v>132</v>
      </c>
    </row>
    <row r="6" spans="1:9" s="218" customFormat="1" ht="20.100000000000001" customHeight="1">
      <c r="A6" s="310" t="s">
        <v>133</v>
      </c>
    </row>
    <row r="7" spans="1:9" s="218" customFormat="1" ht="20.100000000000001" customHeight="1">
      <c r="A7" s="311" t="s">
        <v>134</v>
      </c>
    </row>
    <row r="8" spans="1:9" s="218" customFormat="1" ht="20.100000000000001" customHeight="1">
      <c r="A8" s="485" t="s">
        <v>135</v>
      </c>
      <c r="B8" s="487" t="s">
        <v>136</v>
      </c>
      <c r="C8" s="487"/>
      <c r="D8" s="487"/>
      <c r="E8" s="487"/>
      <c r="F8" s="487"/>
    </row>
    <row r="9" spans="1:9" s="218" customFormat="1" ht="20.100000000000001" customHeight="1">
      <c r="A9" s="486"/>
      <c r="B9" s="226" t="s">
        <v>137</v>
      </c>
      <c r="C9" s="226" t="s">
        <v>138</v>
      </c>
      <c r="D9" s="226" t="s">
        <v>139</v>
      </c>
      <c r="E9" s="226" t="s">
        <v>140</v>
      </c>
      <c r="F9" s="226" t="s">
        <v>141</v>
      </c>
    </row>
    <row r="10" spans="1:9" s="218" customFormat="1" ht="31.2">
      <c r="A10" s="227" t="s">
        <v>142</v>
      </c>
      <c r="B10" s="233" t="e">
        <f>#REF!</f>
        <v>#REF!</v>
      </c>
      <c r="C10" s="244" t="e">
        <f>B10/$B$17</f>
        <v>#REF!</v>
      </c>
      <c r="D10" s="233" t="e">
        <f>#REF!</f>
        <v>#REF!</v>
      </c>
      <c r="E10" s="244" t="e">
        <f>IF(B10=0,,D10/B10)</f>
        <v>#REF!</v>
      </c>
      <c r="F10" s="233" t="e">
        <f>B10-D10</f>
        <v>#REF!</v>
      </c>
    </row>
    <row r="11" spans="1:9" s="218" customFormat="1" ht="31.2">
      <c r="A11" s="230" t="s">
        <v>143</v>
      </c>
      <c r="B11" s="233"/>
      <c r="C11" s="244"/>
      <c r="D11" s="233"/>
      <c r="E11" s="244"/>
      <c r="F11" s="233"/>
    </row>
    <row r="12" spans="1:9" s="218" customFormat="1" ht="20.100000000000001" customHeight="1">
      <c r="A12" s="232" t="s">
        <v>144</v>
      </c>
      <c r="B12" s="233" t="e">
        <f>#REF!</f>
        <v>#REF!</v>
      </c>
      <c r="C12" s="244" t="e">
        <f t="shared" ref="C12:C16" si="0">B12/$B$17</f>
        <v>#REF!</v>
      </c>
      <c r="D12" s="233" t="e">
        <f>#REF!</f>
        <v>#REF!</v>
      </c>
      <c r="E12" s="244" t="e">
        <f t="shared" ref="E12:E17" si="1">IF(B12=0,,D12/B12)</f>
        <v>#REF!</v>
      </c>
      <c r="F12" s="233" t="e">
        <f t="shared" ref="F12:F15" si="2">B12-D12</f>
        <v>#REF!</v>
      </c>
    </row>
    <row r="13" spans="1:9" s="218" customFormat="1" ht="20.100000000000001" customHeight="1">
      <c r="A13" s="232" t="s">
        <v>145</v>
      </c>
      <c r="B13" s="233" t="e">
        <f>#REF!</f>
        <v>#REF!</v>
      </c>
      <c r="C13" s="244" t="e">
        <f t="shared" si="0"/>
        <v>#REF!</v>
      </c>
      <c r="D13" s="233" t="e">
        <f>#REF!</f>
        <v>#REF!</v>
      </c>
      <c r="E13" s="244" t="e">
        <f t="shared" si="1"/>
        <v>#REF!</v>
      </c>
      <c r="F13" s="233" t="e">
        <f t="shared" si="2"/>
        <v>#REF!</v>
      </c>
    </row>
    <row r="14" spans="1:9" s="218" customFormat="1" ht="20.100000000000001" customHeight="1">
      <c r="A14" s="234" t="s">
        <v>146</v>
      </c>
      <c r="B14" s="233"/>
      <c r="C14" s="244" t="e">
        <f t="shared" si="0"/>
        <v>#REF!</v>
      </c>
      <c r="D14" s="233"/>
      <c r="E14" s="244">
        <f t="shared" si="1"/>
        <v>0</v>
      </c>
      <c r="F14" s="233">
        <f t="shared" si="2"/>
        <v>0</v>
      </c>
    </row>
    <row r="15" spans="1:9" s="218" customFormat="1" ht="20.100000000000001" customHeight="1">
      <c r="A15" s="234" t="s">
        <v>147</v>
      </c>
      <c r="B15" s="233"/>
      <c r="C15" s="244" t="e">
        <f t="shared" si="0"/>
        <v>#REF!</v>
      </c>
      <c r="D15" s="233"/>
      <c r="E15" s="244">
        <f t="shared" si="1"/>
        <v>0</v>
      </c>
      <c r="F15" s="233">
        <f t="shared" si="2"/>
        <v>0</v>
      </c>
    </row>
    <row r="16" spans="1:9" s="218" customFormat="1" ht="19.5" customHeight="1">
      <c r="A16" s="230" t="s">
        <v>148</v>
      </c>
      <c r="B16" s="233" t="e">
        <f t="shared" ref="B16:D16" si="3">SUM(B12:B15)</f>
        <v>#REF!</v>
      </c>
      <c r="C16" s="244" t="e">
        <f t="shared" si="0"/>
        <v>#REF!</v>
      </c>
      <c r="D16" s="233" t="e">
        <f t="shared" si="3"/>
        <v>#REF!</v>
      </c>
      <c r="E16" s="233" t="e">
        <f t="shared" si="1"/>
        <v>#REF!</v>
      </c>
      <c r="F16" s="233" t="e">
        <f>SUM(F12:F15)</f>
        <v>#REF!</v>
      </c>
    </row>
    <row r="17" spans="1:6" s="218" customFormat="1" ht="20.100000000000001" customHeight="1">
      <c r="A17" s="299" t="s">
        <v>149</v>
      </c>
      <c r="B17" s="237" t="e">
        <f>SUM(B10+B16)</f>
        <v>#REF!</v>
      </c>
      <c r="C17" s="312" t="e">
        <f>B17/B17</f>
        <v>#REF!</v>
      </c>
      <c r="D17" s="237" t="e">
        <f>SUM(D10+D16)</f>
        <v>#REF!</v>
      </c>
      <c r="E17" s="312" t="e">
        <f t="shared" si="1"/>
        <v>#REF!</v>
      </c>
      <c r="F17" s="237" t="e">
        <f>SUM(F10+F16)</f>
        <v>#REF!</v>
      </c>
    </row>
    <row r="18" spans="1:6" s="218" customFormat="1" ht="20.100000000000001" customHeight="1">
      <c r="A18" s="223" t="s">
        <v>150</v>
      </c>
    </row>
    <row r="19" spans="1:6" s="218" customFormat="1" ht="20.100000000000001" customHeight="1">
      <c r="A19" s="485" t="s">
        <v>135</v>
      </c>
      <c r="B19" s="487" t="s">
        <v>151</v>
      </c>
      <c r="C19" s="487"/>
      <c r="D19" s="487"/>
      <c r="E19" s="487"/>
      <c r="F19" s="487"/>
    </row>
    <row r="20" spans="1:6" s="218" customFormat="1" ht="20.100000000000001" customHeight="1">
      <c r="A20" s="486"/>
      <c r="B20" s="226" t="s">
        <v>137</v>
      </c>
      <c r="C20" s="226" t="s">
        <v>138</v>
      </c>
      <c r="D20" s="226" t="s">
        <v>139</v>
      </c>
      <c r="E20" s="226" t="s">
        <v>140</v>
      </c>
      <c r="F20" s="226" t="s">
        <v>141</v>
      </c>
    </row>
    <row r="21" spans="1:6" s="218" customFormat="1" ht="31.2">
      <c r="A21" s="227" t="s">
        <v>142</v>
      </c>
      <c r="B21" s="233"/>
      <c r="C21" s="244">
        <f>IF($B$28=0,0,B21/$B$28)</f>
        <v>0</v>
      </c>
      <c r="D21" s="233"/>
      <c r="E21" s="244">
        <f>IF(B21=0,0,D21/B21)</f>
        <v>0</v>
      </c>
      <c r="F21" s="233">
        <f>B21-D21</f>
        <v>0</v>
      </c>
    </row>
    <row r="22" spans="1:6" s="218" customFormat="1" ht="31.2">
      <c r="A22" s="230" t="s">
        <v>143</v>
      </c>
      <c r="C22" s="244"/>
      <c r="E22" s="244"/>
      <c r="F22" s="233"/>
    </row>
    <row r="23" spans="1:6" s="218" customFormat="1" ht="20.100000000000001" customHeight="1">
      <c r="A23" s="232" t="s">
        <v>144</v>
      </c>
      <c r="B23" s="233"/>
      <c r="C23" s="244">
        <f t="shared" ref="C23:C26" si="4">IF($B$28=0,0,B23/$B$28)</f>
        <v>0</v>
      </c>
      <c r="D23" s="233"/>
      <c r="E23" s="244">
        <f>IF(B23=0,0,D23/B23)</f>
        <v>0</v>
      </c>
      <c r="F23" s="233">
        <f t="shared" ref="F23:F25" si="5">B23-D23</f>
        <v>0</v>
      </c>
    </row>
    <row r="24" spans="1:6" s="218" customFormat="1" ht="20.100000000000001" customHeight="1">
      <c r="A24" s="232" t="s">
        <v>145</v>
      </c>
      <c r="B24" s="233"/>
      <c r="C24" s="244">
        <f t="shared" si="4"/>
        <v>0</v>
      </c>
      <c r="D24" s="233"/>
      <c r="E24" s="244">
        <f t="shared" ref="E24:E26" si="6">IF(B24=0,0,D24/B24)</f>
        <v>0</v>
      </c>
      <c r="F24" s="233">
        <f t="shared" si="5"/>
        <v>0</v>
      </c>
    </row>
    <row r="25" spans="1:6" s="218" customFormat="1" ht="19.5" customHeight="1">
      <c r="A25" s="234" t="s">
        <v>146</v>
      </c>
      <c r="B25" s="233"/>
      <c r="C25" s="244">
        <f t="shared" si="4"/>
        <v>0</v>
      </c>
      <c r="D25" s="233"/>
      <c r="E25" s="244">
        <f t="shared" si="6"/>
        <v>0</v>
      </c>
      <c r="F25" s="233">
        <f t="shared" si="5"/>
        <v>0</v>
      </c>
    </row>
    <row r="26" spans="1:6" s="218" customFormat="1" ht="20.100000000000001" customHeight="1">
      <c r="A26" s="234" t="s">
        <v>147</v>
      </c>
      <c r="B26" s="233"/>
      <c r="C26" s="244">
        <f t="shared" si="4"/>
        <v>0</v>
      </c>
      <c r="D26" s="233"/>
      <c r="E26" s="244">
        <f t="shared" si="6"/>
        <v>0</v>
      </c>
      <c r="F26" s="233">
        <f>SUM(F23:F25)</f>
        <v>0</v>
      </c>
    </row>
    <row r="27" spans="1:6" s="218" customFormat="1" ht="15.6">
      <c r="A27" s="230" t="s">
        <v>148</v>
      </c>
      <c r="B27" s="313">
        <f>SUM(B23:B26)</f>
        <v>0</v>
      </c>
      <c r="C27" s="244">
        <f>SUM(C23:C26)</f>
        <v>0</v>
      </c>
      <c r="D27" s="313">
        <f>SUM(D23:D26)</f>
        <v>0</v>
      </c>
      <c r="E27" s="244">
        <f>SUM(E23:E26)</f>
        <v>0</v>
      </c>
      <c r="F27" s="233">
        <f>B27-D27</f>
        <v>0</v>
      </c>
    </row>
    <row r="28" spans="1:6" s="218" customFormat="1" ht="20.100000000000001" customHeight="1">
      <c r="A28" s="299" t="s">
        <v>149</v>
      </c>
      <c r="B28" s="237">
        <f>SUM(B21+B27)</f>
        <v>0</v>
      </c>
      <c r="C28" s="312">
        <f>SUM(C21+C27)</f>
        <v>0</v>
      </c>
      <c r="D28" s="237">
        <f>SUM(D21+D27)</f>
        <v>0</v>
      </c>
      <c r="E28" s="312">
        <f>SUM(E21+E27)</f>
        <v>0</v>
      </c>
      <c r="F28" s="237">
        <f>SUM(F21+F27)</f>
        <v>0</v>
      </c>
    </row>
    <row r="29" spans="1:6" s="218" customFormat="1" ht="33.75" customHeight="1">
      <c r="A29" s="484" t="s">
        <v>152</v>
      </c>
      <c r="B29" s="484"/>
      <c r="C29" s="484"/>
      <c r="D29" s="484"/>
      <c r="E29" s="484"/>
      <c r="F29" s="484"/>
    </row>
    <row r="30" spans="1:6" s="218" customFormat="1" ht="20.100000000000001" customHeight="1">
      <c r="A30" s="224" t="s">
        <v>153</v>
      </c>
    </row>
    <row r="31" spans="1:6" s="218" customFormat="1" ht="20.100000000000001" customHeight="1">
      <c r="A31" s="314" t="s">
        <v>154</v>
      </c>
    </row>
    <row r="32" spans="1:6" s="218" customFormat="1" ht="20.100000000000001" customHeight="1">
      <c r="A32" s="299" t="s">
        <v>155</v>
      </c>
      <c r="B32" s="299" t="s">
        <v>156</v>
      </c>
      <c r="C32" s="299" t="s">
        <v>139</v>
      </c>
      <c r="D32" s="299" t="s">
        <v>140</v>
      </c>
      <c r="E32" s="299" t="s">
        <v>157</v>
      </c>
    </row>
    <row r="33" spans="1:6" s="218" customFormat="1" ht="20.100000000000001" customHeight="1">
      <c r="A33" s="315"/>
      <c r="B33" s="316"/>
      <c r="C33" s="235"/>
      <c r="D33" s="231">
        <f>IF(B33=0,0,C33/B33)</f>
        <v>0</v>
      </c>
      <c r="E33" s="231"/>
      <c r="F33" s="317"/>
    </row>
    <row r="34" spans="1:6" s="218" customFormat="1" ht="20.100000000000001" customHeight="1">
      <c r="A34" s="315"/>
      <c r="B34" s="316"/>
      <c r="C34" s="235"/>
      <c r="D34" s="231">
        <f t="shared" ref="D34:D38" si="7">IF(B34=0,0,C34/B34)</f>
        <v>0</v>
      </c>
      <c r="E34" s="231"/>
      <c r="F34" s="317"/>
    </row>
    <row r="35" spans="1:6" s="218" customFormat="1" ht="20.100000000000001" customHeight="1">
      <c r="A35" s="315"/>
      <c r="B35" s="316"/>
      <c r="C35" s="235"/>
      <c r="D35" s="231">
        <f t="shared" si="7"/>
        <v>0</v>
      </c>
      <c r="E35" s="231"/>
      <c r="F35" s="317"/>
    </row>
    <row r="36" spans="1:6" s="218" customFormat="1" ht="20.100000000000001" customHeight="1">
      <c r="A36" s="315"/>
      <c r="B36" s="316"/>
      <c r="C36" s="235"/>
      <c r="D36" s="231">
        <f t="shared" si="7"/>
        <v>0</v>
      </c>
      <c r="E36" s="231"/>
      <c r="F36" s="317"/>
    </row>
    <row r="37" spans="1:6" s="218" customFormat="1" ht="20.100000000000001" customHeight="1">
      <c r="A37" s="315"/>
      <c r="B37" s="316"/>
      <c r="C37" s="235"/>
      <c r="D37" s="231">
        <f t="shared" si="7"/>
        <v>0</v>
      </c>
      <c r="E37" s="231"/>
      <c r="F37" s="317"/>
    </row>
    <row r="38" spans="1:6" s="218" customFormat="1" ht="20.100000000000001" customHeight="1">
      <c r="A38" s="299" t="s">
        <v>149</v>
      </c>
      <c r="B38" s="318">
        <f>SUM(B33:B37)</f>
        <v>0</v>
      </c>
      <c r="C38" s="318">
        <f t="shared" ref="C38" si="8">SUM(C33:C37)</f>
        <v>0</v>
      </c>
      <c r="D38" s="319">
        <f t="shared" si="7"/>
        <v>0</v>
      </c>
      <c r="E38" s="320"/>
    </row>
    <row r="39" spans="1:6" s="218" customFormat="1" ht="20.100000000000001" customHeight="1">
      <c r="A39" s="314" t="s">
        <v>158</v>
      </c>
    </row>
    <row r="40" spans="1:6" s="218" customFormat="1" ht="20.100000000000001" customHeight="1">
      <c r="A40" s="487" t="s">
        <v>159</v>
      </c>
      <c r="B40" s="487" t="s">
        <v>136</v>
      </c>
      <c r="C40" s="487"/>
      <c r="D40" s="487"/>
      <c r="E40" s="487"/>
      <c r="F40" s="487"/>
    </row>
    <row r="41" spans="1:6" s="218" customFormat="1" ht="20.100000000000001" customHeight="1">
      <c r="A41" s="486"/>
      <c r="B41" s="226" t="s">
        <v>137</v>
      </c>
      <c r="C41" s="226" t="s">
        <v>138</v>
      </c>
      <c r="D41" s="226" t="s">
        <v>139</v>
      </c>
      <c r="E41" s="226" t="s">
        <v>140</v>
      </c>
      <c r="F41" s="226" t="s">
        <v>141</v>
      </c>
    </row>
    <row r="42" spans="1:6" s="218" customFormat="1" ht="20.100000000000001" customHeight="1">
      <c r="A42" s="321" t="e">
        <f>#REF!</f>
        <v>#REF!</v>
      </c>
      <c r="B42" s="228" t="e">
        <f>#REF!</f>
        <v>#REF!</v>
      </c>
      <c r="C42" s="322" t="e">
        <f>IF(B42=0,0,B42/$B$48)</f>
        <v>#REF!</v>
      </c>
      <c r="D42" s="323" t="e">
        <f>#REF!</f>
        <v>#REF!</v>
      </c>
      <c r="E42" s="322" t="e">
        <f>IF(D42=0,0,D42/B42)</f>
        <v>#REF!</v>
      </c>
      <c r="F42" s="324" t="e">
        <f>B42-D42</f>
        <v>#REF!</v>
      </c>
    </row>
    <row r="43" spans="1:6" s="218" customFormat="1" ht="20.100000000000001" customHeight="1">
      <c r="A43" s="321" t="e">
        <f>#REF!</f>
        <v>#REF!</v>
      </c>
      <c r="B43" s="233" t="e">
        <f>#REF!</f>
        <v>#REF!</v>
      </c>
      <c r="C43" s="325" t="e">
        <f>IF(B43=0,0,B43/$B$48)</f>
        <v>#REF!</v>
      </c>
      <c r="D43" s="326" t="e">
        <f>#REF!</f>
        <v>#REF!</v>
      </c>
      <c r="E43" s="325" t="e">
        <f t="shared" ref="E43:E48" si="9">IF(D43=0,0,D43/B43)</f>
        <v>#REF!</v>
      </c>
      <c r="F43" s="327" t="e">
        <f t="shared" ref="F43:F47" si="10">B43-D43</f>
        <v>#REF!</v>
      </c>
    </row>
    <row r="44" spans="1:6" s="218" customFormat="1" ht="20.100000000000001" customHeight="1">
      <c r="A44" s="321" t="e">
        <f>#REF!</f>
        <v>#REF!</v>
      </c>
      <c r="B44" s="233" t="e">
        <f>#REF!</f>
        <v>#REF!</v>
      </c>
      <c r="C44" s="325" t="e">
        <f>IF(B44=0,0,B44/$B$48)</f>
        <v>#REF!</v>
      </c>
      <c r="D44" s="326" t="e">
        <f>#REF!</f>
        <v>#REF!</v>
      </c>
      <c r="E44" s="325" t="e">
        <f t="shared" si="9"/>
        <v>#REF!</v>
      </c>
      <c r="F44" s="327" t="e">
        <f t="shared" si="10"/>
        <v>#REF!</v>
      </c>
    </row>
    <row r="45" spans="1:6" s="218" customFormat="1" ht="20.100000000000001" customHeight="1">
      <c r="A45" s="321" t="e">
        <f>#REF!</f>
        <v>#REF!</v>
      </c>
      <c r="B45" s="233" t="e">
        <f>#REF!</f>
        <v>#REF!</v>
      </c>
      <c r="C45" s="325" t="e">
        <f>IF(B45=0,0,B45/$B$48)</f>
        <v>#REF!</v>
      </c>
      <c r="D45" s="326" t="e">
        <f>#REF!</f>
        <v>#REF!</v>
      </c>
      <c r="E45" s="325" t="e">
        <f t="shared" si="9"/>
        <v>#REF!</v>
      </c>
      <c r="F45" s="327" t="e">
        <f t="shared" si="10"/>
        <v>#REF!</v>
      </c>
    </row>
    <row r="46" spans="1:6" s="218" customFormat="1" ht="20.100000000000001" customHeight="1">
      <c r="A46" s="321" t="e">
        <f>#REF!</f>
        <v>#REF!</v>
      </c>
      <c r="B46" s="233" t="e">
        <f>#REF!</f>
        <v>#REF!</v>
      </c>
      <c r="C46" s="325" t="e">
        <f t="shared" ref="C46:C47" si="11">IF(B46=0,0,B46/$B$48)</f>
        <v>#REF!</v>
      </c>
      <c r="D46" s="326" t="e">
        <f>#REF!</f>
        <v>#REF!</v>
      </c>
      <c r="E46" s="325" t="e">
        <f t="shared" si="9"/>
        <v>#REF!</v>
      </c>
      <c r="F46" s="327"/>
    </row>
    <row r="47" spans="1:6" s="218" customFormat="1" ht="20.100000000000001" customHeight="1">
      <c r="A47" s="321" t="e">
        <f>#REF!</f>
        <v>#REF!</v>
      </c>
      <c r="B47" s="253" t="e">
        <f>#REF!</f>
        <v>#REF!</v>
      </c>
      <c r="C47" s="325" t="e">
        <f t="shared" si="11"/>
        <v>#REF!</v>
      </c>
      <c r="D47" s="328" t="e">
        <f>#REF!</f>
        <v>#REF!</v>
      </c>
      <c r="E47" s="325" t="e">
        <f t="shared" si="9"/>
        <v>#REF!</v>
      </c>
      <c r="F47" s="329" t="e">
        <f t="shared" si="10"/>
        <v>#REF!</v>
      </c>
    </row>
    <row r="48" spans="1:6" s="218" customFormat="1" ht="20.100000000000001" customHeight="1">
      <c r="A48" s="299" t="s">
        <v>149</v>
      </c>
      <c r="B48" s="330" t="e">
        <f>SUM(B42:B47)</f>
        <v>#REF!</v>
      </c>
      <c r="C48" s="331" t="e">
        <f>SUM(C42:C47)</f>
        <v>#REF!</v>
      </c>
      <c r="D48" s="332" t="e">
        <f>SUM(D42:D47)</f>
        <v>#REF!</v>
      </c>
      <c r="E48" s="331" t="e">
        <f t="shared" si="9"/>
        <v>#REF!</v>
      </c>
      <c r="F48" s="332" t="e">
        <f>SUM(F42:F47)</f>
        <v>#REF!</v>
      </c>
    </row>
    <row r="49" spans="1:6" s="218" customFormat="1" ht="20.100000000000001" customHeight="1">
      <c r="A49" s="247" t="s">
        <v>160</v>
      </c>
    </row>
    <row r="50" spans="1:6" s="218" customFormat="1" ht="20.100000000000001" customHeight="1">
      <c r="A50" s="487" t="s">
        <v>159</v>
      </c>
      <c r="B50" s="487" t="s">
        <v>151</v>
      </c>
      <c r="C50" s="487"/>
      <c r="D50" s="487"/>
      <c r="E50" s="487"/>
      <c r="F50" s="487"/>
    </row>
    <row r="51" spans="1:6" s="218" customFormat="1" ht="20.100000000000001" customHeight="1">
      <c r="A51" s="486"/>
      <c r="B51" s="226" t="s">
        <v>137</v>
      </c>
      <c r="C51" s="226" t="s">
        <v>138</v>
      </c>
      <c r="D51" s="226" t="s">
        <v>139</v>
      </c>
      <c r="E51" s="226" t="s">
        <v>140</v>
      </c>
      <c r="F51" s="226" t="s">
        <v>141</v>
      </c>
    </row>
    <row r="52" spans="1:6" s="218" customFormat="1" ht="20.100000000000001" customHeight="1">
      <c r="A52" s="321"/>
      <c r="B52" s="233"/>
      <c r="C52" s="244">
        <f>IF(B52=0,0,B52/$B$58)</f>
        <v>0</v>
      </c>
      <c r="D52" s="233"/>
      <c r="E52" s="244">
        <f>IF(D52=0,0,D52/B52)</f>
        <v>0</v>
      </c>
      <c r="F52" s="271">
        <f>B52-D52</f>
        <v>0</v>
      </c>
    </row>
    <row r="53" spans="1:6" s="218" customFormat="1" ht="20.100000000000001" customHeight="1">
      <c r="A53" s="321"/>
      <c r="B53" s="233"/>
      <c r="C53" s="244">
        <f>IF(B53=0,0,B53/$B$58)</f>
        <v>0</v>
      </c>
      <c r="D53" s="233"/>
      <c r="E53" s="244">
        <f t="shared" ref="E53:E58" si="12">IF(D53=0,0,D53/B53)</f>
        <v>0</v>
      </c>
      <c r="F53" s="271">
        <f t="shared" ref="F53:F57" si="13">B53-D53</f>
        <v>0</v>
      </c>
    </row>
    <row r="54" spans="1:6" s="218" customFormat="1" ht="20.100000000000001" customHeight="1">
      <c r="A54" s="321"/>
      <c r="B54" s="233"/>
      <c r="C54" s="244">
        <f>IF(B54=0,0,B54/$B$58)</f>
        <v>0</v>
      </c>
      <c r="D54" s="233"/>
      <c r="E54" s="244">
        <f t="shared" si="12"/>
        <v>0</v>
      </c>
      <c r="F54" s="271">
        <f t="shared" si="13"/>
        <v>0</v>
      </c>
    </row>
    <row r="55" spans="1:6" s="218" customFormat="1" ht="20.100000000000001" customHeight="1">
      <c r="A55" s="321"/>
      <c r="B55" s="233"/>
      <c r="C55" s="244">
        <f>IF(B55=0,0,B55/$B$58)</f>
        <v>0</v>
      </c>
      <c r="D55" s="233"/>
      <c r="E55" s="244">
        <f t="shared" si="12"/>
        <v>0</v>
      </c>
      <c r="F55" s="271">
        <f t="shared" si="13"/>
        <v>0</v>
      </c>
    </row>
    <row r="56" spans="1:6" s="218" customFormat="1" ht="20.100000000000001" customHeight="1">
      <c r="A56" s="321"/>
      <c r="B56" s="233"/>
      <c r="C56" s="244">
        <f t="shared" ref="C56:C58" si="14">IF(B56=0,0,B56/$B$58)</f>
        <v>0</v>
      </c>
      <c r="D56" s="233"/>
      <c r="E56" s="244">
        <f t="shared" si="12"/>
        <v>0</v>
      </c>
      <c r="F56" s="271"/>
    </row>
    <row r="57" spans="1:6" s="218" customFormat="1" ht="20.100000000000001" customHeight="1">
      <c r="A57" s="321"/>
      <c r="B57" s="233"/>
      <c r="C57" s="244">
        <f t="shared" si="14"/>
        <v>0</v>
      </c>
      <c r="D57" s="233"/>
      <c r="E57" s="244">
        <f t="shared" si="12"/>
        <v>0</v>
      </c>
      <c r="F57" s="271">
        <f t="shared" si="13"/>
        <v>0</v>
      </c>
    </row>
    <row r="58" spans="1:6" s="218" customFormat="1" ht="20.100000000000001" customHeight="1">
      <c r="A58" s="299" t="s">
        <v>149</v>
      </c>
      <c r="B58" s="330">
        <f>SUM(B52:B57)</f>
        <v>0</v>
      </c>
      <c r="C58" s="256">
        <f t="shared" si="14"/>
        <v>0</v>
      </c>
      <c r="D58" s="330">
        <f>SUM(D52:D57)</f>
        <v>0</v>
      </c>
      <c r="E58" s="256">
        <f t="shared" si="12"/>
        <v>0</v>
      </c>
      <c r="F58" s="330">
        <f>SUM(F52:F57)</f>
        <v>0</v>
      </c>
    </row>
    <row r="59" spans="1:6" s="218" customFormat="1" ht="20.100000000000001" customHeight="1">
      <c r="A59" s="314" t="s">
        <v>161</v>
      </c>
    </row>
    <row r="60" spans="1:6" s="218" customFormat="1" ht="20.100000000000001" customHeight="1">
      <c r="A60" s="299" t="s">
        <v>162</v>
      </c>
      <c r="B60" s="299" t="s">
        <v>156</v>
      </c>
      <c r="C60" s="299" t="s">
        <v>139</v>
      </c>
      <c r="D60" s="333" t="s">
        <v>163</v>
      </c>
    </row>
    <row r="61" spans="1:6" s="218" customFormat="1" ht="20.100000000000001" customHeight="1">
      <c r="A61" s="334" t="s">
        <v>164</v>
      </c>
      <c r="B61" s="233"/>
      <c r="C61" s="233"/>
      <c r="D61" s="244">
        <f>IF(B61=0,0,C61/B61)</f>
        <v>0</v>
      </c>
    </row>
    <row r="62" spans="1:6" s="218" customFormat="1" ht="20.100000000000001" customHeight="1">
      <c r="A62" s="334" t="s">
        <v>165</v>
      </c>
      <c r="B62" s="233"/>
      <c r="C62" s="233"/>
      <c r="D62" s="251">
        <f t="shared" ref="D62:D64" si="15">IF(B62=0,0,C62/B62)</f>
        <v>0</v>
      </c>
    </row>
    <row r="63" spans="1:6" s="218" customFormat="1" ht="20.100000000000001" customHeight="1">
      <c r="A63" s="321" t="s">
        <v>166</v>
      </c>
      <c r="B63" s="233"/>
      <c r="C63" s="233"/>
      <c r="D63" s="251">
        <f t="shared" si="15"/>
        <v>0</v>
      </c>
    </row>
    <row r="64" spans="1:6" s="218" customFormat="1" ht="20.100000000000001" customHeight="1">
      <c r="A64" s="299" t="s">
        <v>149</v>
      </c>
      <c r="B64" s="330">
        <f>SUM(B61:B63)</f>
        <v>0</v>
      </c>
      <c r="C64" s="330">
        <f t="shared" ref="C64" si="16">SUM(C61:C63)</f>
        <v>0</v>
      </c>
      <c r="D64" s="335">
        <f t="shared" si="15"/>
        <v>0</v>
      </c>
    </row>
    <row r="65" spans="1:6" s="218" customFormat="1" ht="20.100000000000001" customHeight="1">
      <c r="A65" s="314" t="s">
        <v>167</v>
      </c>
    </row>
    <row r="66" spans="1:6" ht="20.100000000000001" customHeight="1">
      <c r="A66" s="299" t="s">
        <v>162</v>
      </c>
      <c r="B66" s="299" t="s">
        <v>156</v>
      </c>
      <c r="C66" s="299" t="s">
        <v>139</v>
      </c>
      <c r="D66" s="333" t="s">
        <v>163</v>
      </c>
      <c r="E66" s="218"/>
      <c r="F66" s="218"/>
    </row>
    <row r="67" spans="1:6" ht="20.100000000000001" customHeight="1">
      <c r="A67" s="334" t="s">
        <v>164</v>
      </c>
      <c r="B67" s="233"/>
      <c r="C67" s="233"/>
      <c r="D67" s="244">
        <f>IF(B67=0,0,C67/B67)</f>
        <v>0</v>
      </c>
      <c r="E67" s="218"/>
      <c r="F67" s="218"/>
    </row>
    <row r="68" spans="1:6" ht="20.100000000000001" customHeight="1">
      <c r="A68" s="334" t="s">
        <v>165</v>
      </c>
      <c r="B68" s="233"/>
      <c r="C68" s="233"/>
      <c r="D68" s="251">
        <f t="shared" ref="D68:D70" si="17">IF(B68=0,0,C68/B68)</f>
        <v>0</v>
      </c>
      <c r="E68" s="218"/>
      <c r="F68" s="218"/>
    </row>
    <row r="69" spans="1:6" ht="20.100000000000001" customHeight="1">
      <c r="A69" s="321" t="s">
        <v>166</v>
      </c>
      <c r="B69" s="233"/>
      <c r="C69" s="233"/>
      <c r="D69" s="251">
        <f t="shared" si="17"/>
        <v>0</v>
      </c>
      <c r="E69" s="218"/>
      <c r="F69" s="218"/>
    </row>
    <row r="70" spans="1:6" ht="20.100000000000001" customHeight="1">
      <c r="A70" s="336" t="s">
        <v>149</v>
      </c>
      <c r="B70" s="330">
        <f>SUM(B67:B69)</f>
        <v>0</v>
      </c>
      <c r="C70" s="330">
        <f>SUM(C67:C69)</f>
        <v>0</v>
      </c>
      <c r="D70" s="335">
        <f t="shared" si="17"/>
        <v>0</v>
      </c>
      <c r="E70" s="218"/>
      <c r="F70" s="218"/>
    </row>
    <row r="71" spans="1:6" ht="20.100000000000001" customHeight="1">
      <c r="A71" s="314" t="s">
        <v>168</v>
      </c>
      <c r="B71" s="218"/>
      <c r="C71" s="218"/>
      <c r="D71" s="218"/>
      <c r="E71" s="218"/>
      <c r="F71" s="218"/>
    </row>
    <row r="72" spans="1:6" ht="20.100000000000001" customHeight="1">
      <c r="A72" s="299" t="s">
        <v>162</v>
      </c>
      <c r="B72" s="299" t="s">
        <v>156</v>
      </c>
      <c r="C72" s="299" t="s">
        <v>139</v>
      </c>
      <c r="D72" s="333" t="s">
        <v>163</v>
      </c>
      <c r="E72" s="218"/>
      <c r="F72" s="218"/>
    </row>
    <row r="73" spans="1:6" ht="20.100000000000001" customHeight="1">
      <c r="A73" s="334" t="s">
        <v>164</v>
      </c>
      <c r="B73" s="233"/>
      <c r="C73" s="233"/>
      <c r="D73" s="244">
        <f>IF(B73=0,0,C73/B73)</f>
        <v>0</v>
      </c>
      <c r="E73" s="218"/>
      <c r="F73" s="218"/>
    </row>
    <row r="74" spans="1:6" ht="20.100000000000001" customHeight="1">
      <c r="A74" s="334" t="s">
        <v>165</v>
      </c>
      <c r="B74" s="233"/>
      <c r="C74" s="233"/>
      <c r="D74" s="251">
        <f t="shared" ref="D74:D76" si="18">IF(B74=0,0,C74/B74)</f>
        <v>0</v>
      </c>
      <c r="E74" s="218"/>
      <c r="F74" s="218"/>
    </row>
    <row r="75" spans="1:6" ht="20.100000000000001" customHeight="1">
      <c r="A75" s="321" t="s">
        <v>166</v>
      </c>
      <c r="B75" s="233"/>
      <c r="C75" s="233"/>
      <c r="D75" s="251">
        <f t="shared" si="18"/>
        <v>0</v>
      </c>
      <c r="E75" s="218"/>
      <c r="F75" s="218"/>
    </row>
    <row r="76" spans="1:6" ht="20.100000000000001" customHeight="1">
      <c r="A76" s="336" t="s">
        <v>149</v>
      </c>
      <c r="B76" s="330">
        <f>SUM(B73:B75)</f>
        <v>0</v>
      </c>
      <c r="C76" s="330">
        <f>SUM(C73:C75)</f>
        <v>0</v>
      </c>
      <c r="D76" s="335">
        <f t="shared" si="18"/>
        <v>0</v>
      </c>
      <c r="E76" s="218"/>
      <c r="F76" s="218"/>
    </row>
    <row r="77" spans="1:6" s="218" customFormat="1" ht="20.100000000000001" customHeight="1">
      <c r="A77" s="257" t="s">
        <v>169</v>
      </c>
    </row>
    <row r="78" spans="1:6" s="218" customFormat="1" ht="20.100000000000001" customHeight="1">
      <c r="A78" s="311" t="s">
        <v>170</v>
      </c>
    </row>
    <row r="79" spans="1:6" s="218" customFormat="1" ht="20.100000000000001" customHeight="1">
      <c r="A79" s="337"/>
      <c r="B79" s="338" t="s">
        <v>171</v>
      </c>
    </row>
    <row r="80" spans="1:6" s="218" customFormat="1" ht="20.100000000000001" customHeight="1">
      <c r="A80" s="339" t="s">
        <v>92</v>
      </c>
      <c r="B80" s="228"/>
    </row>
    <row r="81" spans="1:5" s="218" customFormat="1" ht="20.100000000000001" customHeight="1">
      <c r="A81" s="340" t="s">
        <v>172</v>
      </c>
      <c r="B81" s="233"/>
    </row>
    <row r="82" spans="1:5" s="218" customFormat="1" ht="20.100000000000001" customHeight="1">
      <c r="A82" s="340" t="s">
        <v>173</v>
      </c>
      <c r="B82" s="233"/>
    </row>
    <row r="83" spans="1:5" s="218" customFormat="1" ht="20.100000000000001" customHeight="1">
      <c r="A83" s="340" t="s">
        <v>174</v>
      </c>
      <c r="B83" s="233"/>
    </row>
    <row r="84" spans="1:5" s="218" customFormat="1" ht="20.100000000000001" customHeight="1">
      <c r="A84" s="315" t="s">
        <v>175</v>
      </c>
      <c r="B84" s="233"/>
    </row>
    <row r="85" spans="1:5" s="218" customFormat="1" ht="20.100000000000001" customHeight="1">
      <c r="A85" s="341" t="s">
        <v>176</v>
      </c>
      <c r="B85" s="253"/>
    </row>
    <row r="86" spans="1:5" s="218" customFormat="1" ht="20.100000000000001" customHeight="1">
      <c r="A86" s="342" t="s">
        <v>93</v>
      </c>
      <c r="B86" s="343">
        <f>B80+B81-B82-B83-B84-B85</f>
        <v>0</v>
      </c>
    </row>
    <row r="87" spans="1:5" s="218" customFormat="1" ht="20.100000000000001" customHeight="1">
      <c r="A87" s="223" t="s">
        <v>177</v>
      </c>
    </row>
    <row r="88" spans="1:5" s="218" customFormat="1" ht="27.75" customHeight="1">
      <c r="A88" s="299" t="s">
        <v>178</v>
      </c>
      <c r="B88" s="299" t="s">
        <v>179</v>
      </c>
      <c r="C88" s="299" t="s">
        <v>180</v>
      </c>
      <c r="D88" s="299" t="s">
        <v>181</v>
      </c>
      <c r="E88" s="299" t="s">
        <v>182</v>
      </c>
    </row>
    <row r="89" spans="1:5" s="218" customFormat="1" ht="20.100000000000001" customHeight="1">
      <c r="A89" s="344"/>
      <c r="B89" s="345"/>
      <c r="C89" s="345"/>
      <c r="D89" s="311"/>
      <c r="E89" s="346"/>
    </row>
    <row r="90" spans="1:5" s="218" customFormat="1" ht="20.100000000000001" customHeight="1">
      <c r="A90" s="344"/>
      <c r="B90" s="345"/>
      <c r="C90" s="345"/>
      <c r="D90" s="311"/>
      <c r="E90" s="346"/>
    </row>
    <row r="91" spans="1:5" s="218" customFormat="1" ht="20.100000000000001" customHeight="1">
      <c r="A91" s="344"/>
      <c r="B91" s="345"/>
      <c r="C91" s="345"/>
      <c r="D91" s="311"/>
      <c r="E91" s="346"/>
    </row>
    <row r="92" spans="1:5" s="218" customFormat="1" ht="20.100000000000001" customHeight="1">
      <c r="A92" s="344"/>
      <c r="B92" s="345"/>
      <c r="C92" s="345"/>
      <c r="D92" s="311"/>
      <c r="E92" s="346"/>
    </row>
    <row r="93" spans="1:5" s="218" customFormat="1" ht="20.100000000000001" customHeight="1">
      <c r="A93" s="344"/>
      <c r="B93" s="344"/>
      <c r="C93" s="344"/>
      <c r="D93" s="347"/>
      <c r="E93" s="346"/>
    </row>
    <row r="94" spans="1:5" s="218" customFormat="1" ht="20.100000000000001" customHeight="1">
      <c r="A94" s="236" t="s">
        <v>149</v>
      </c>
      <c r="B94" s="320"/>
      <c r="C94" s="320"/>
      <c r="D94" s="320"/>
      <c r="E94" s="348">
        <f>SUM(E89:E93)</f>
        <v>0</v>
      </c>
    </row>
    <row r="95" spans="1:5" s="218" customFormat="1" ht="20.100000000000001" customHeight="1">
      <c r="A95" s="347" t="s">
        <v>183</v>
      </c>
      <c r="B95" s="349"/>
      <c r="C95" s="349"/>
      <c r="D95" s="349"/>
      <c r="E95" s="349"/>
    </row>
    <row r="96" spans="1:5" s="218" customFormat="1" ht="20.100000000000001" customHeight="1">
      <c r="A96" s="311" t="s">
        <v>184</v>
      </c>
    </row>
    <row r="97" spans="1:6" s="218" customFormat="1" ht="20.100000000000001" customHeight="1">
      <c r="A97" s="299" t="s">
        <v>185</v>
      </c>
      <c r="B97" s="299" t="s">
        <v>186</v>
      </c>
    </row>
    <row r="98" spans="1:6" s="218" customFormat="1" ht="20.100000000000001" customHeight="1">
      <c r="A98" s="350" t="s">
        <v>187</v>
      </c>
      <c r="B98" s="351" t="e">
        <f>#REF!</f>
        <v>#REF!</v>
      </c>
    </row>
    <row r="99" spans="1:6" s="218" customFormat="1" ht="20.100000000000001" customHeight="1">
      <c r="A99" s="223" t="s">
        <v>188</v>
      </c>
    </row>
    <row r="100" spans="1:6" s="218" customFormat="1" ht="28.5" customHeight="1">
      <c r="A100" s="225" t="s">
        <v>178</v>
      </c>
      <c r="B100" s="225" t="s">
        <v>189</v>
      </c>
      <c r="C100" s="225" t="s">
        <v>186</v>
      </c>
      <c r="D100" s="225" t="s">
        <v>190</v>
      </c>
      <c r="E100" s="225" t="s">
        <v>191</v>
      </c>
      <c r="F100" s="225" t="s">
        <v>192</v>
      </c>
    </row>
    <row r="101" spans="1:6" s="218" customFormat="1" ht="20.100000000000001" customHeight="1">
      <c r="A101" s="224"/>
      <c r="B101" s="352"/>
      <c r="C101" s="289"/>
      <c r="D101" s="352"/>
      <c r="E101" s="352"/>
      <c r="F101" s="352"/>
    </row>
    <row r="102" spans="1:6" s="218" customFormat="1" ht="20.100000000000001" customHeight="1">
      <c r="A102" s="224"/>
      <c r="B102" s="352"/>
      <c r="C102" s="289"/>
      <c r="D102" s="352"/>
      <c r="E102" s="352"/>
      <c r="F102" s="352"/>
    </row>
    <row r="103" spans="1:6" s="218" customFormat="1" ht="20.100000000000001" customHeight="1">
      <c r="A103" s="257"/>
      <c r="B103" s="353"/>
      <c r="C103" s="346"/>
      <c r="D103" s="353"/>
      <c r="E103" s="353"/>
      <c r="F103" s="353"/>
    </row>
    <row r="104" spans="1:6" s="218" customFormat="1" ht="20.100000000000001" customHeight="1">
      <c r="A104" s="354" t="s">
        <v>149</v>
      </c>
      <c r="B104" s="355"/>
      <c r="C104" s="332">
        <f>SUM(C101:C103)</f>
        <v>0</v>
      </c>
      <c r="D104" s="355"/>
      <c r="E104" s="355"/>
      <c r="F104" s="355"/>
    </row>
    <row r="105" spans="1:6" s="218" customFormat="1" ht="30" customHeight="1">
      <c r="A105" s="484" t="s">
        <v>193</v>
      </c>
      <c r="B105" s="484"/>
      <c r="C105" s="484"/>
      <c r="D105" s="484"/>
      <c r="E105" s="484"/>
      <c r="F105" s="484"/>
    </row>
    <row r="106" spans="1:6" s="218" customFormat="1" ht="20.100000000000001" customHeight="1">
      <c r="A106" s="356" t="s">
        <v>194</v>
      </c>
    </row>
    <row r="107" spans="1:6" s="218" customFormat="1" ht="20.100000000000001" customHeight="1">
      <c r="A107" s="311" t="s">
        <v>195</v>
      </c>
    </row>
    <row r="108" spans="1:6" s="218" customFormat="1" ht="28.5" customHeight="1">
      <c r="A108" s="299" t="s">
        <v>178</v>
      </c>
      <c r="B108" s="299" t="s">
        <v>196</v>
      </c>
      <c r="C108" s="299" t="s">
        <v>197</v>
      </c>
      <c r="D108" s="299" t="s">
        <v>198</v>
      </c>
      <c r="E108" s="299" t="s">
        <v>199</v>
      </c>
      <c r="F108" s="299" t="s">
        <v>200</v>
      </c>
    </row>
    <row r="109" spans="1:6" s="218" customFormat="1" ht="20.100000000000001" customHeight="1">
      <c r="A109" s="223" t="e">
        <f>#REF!</f>
        <v>#REF!</v>
      </c>
      <c r="B109" s="223">
        <f>IF(ISERROR(VLOOKUP(A109,'明细表D2-2'!#REF!,2,0)),,VLOOKUP(A109,'明细表D2-2'!#REF!,2,0))</f>
        <v>0</v>
      </c>
      <c r="C109" s="326" t="e">
        <f>#REF!</f>
        <v>#REF!</v>
      </c>
      <c r="D109" s="352" t="e">
        <f>#REF!</f>
        <v>#REF!</v>
      </c>
      <c r="E109" s="325">
        <f>IF('审定表D2-1'!$I$13=0,0,C109/'审定表D2-1'!$I$13)</f>
        <v>0</v>
      </c>
      <c r="F109" s="326" t="e">
        <f>#REF!</f>
        <v>#REF!</v>
      </c>
    </row>
    <row r="110" spans="1:6" s="218" customFormat="1" ht="20.100000000000001" customHeight="1">
      <c r="A110" s="223" t="e">
        <f>#REF!</f>
        <v>#REF!</v>
      </c>
      <c r="B110" s="223">
        <f>IF(ISERROR(VLOOKUP(A110,'明细表D2-2'!#REF!,2,0)),,VLOOKUP(A110,'明细表D2-2'!#REF!,2,0))</f>
        <v>0</v>
      </c>
      <c r="C110" s="326" t="e">
        <f>#REF!</f>
        <v>#REF!</v>
      </c>
      <c r="D110" s="352" t="e">
        <f>#REF!</f>
        <v>#REF!</v>
      </c>
      <c r="E110" s="325">
        <f>IF('审定表D2-1'!$I$13=0,0,C110/'审定表D2-1'!$I$13)</f>
        <v>0</v>
      </c>
      <c r="F110" s="326" t="e">
        <f>#REF!</f>
        <v>#REF!</v>
      </c>
    </row>
    <row r="111" spans="1:6" s="218" customFormat="1" ht="20.100000000000001" customHeight="1">
      <c r="A111" s="223" t="e">
        <f>#REF!</f>
        <v>#REF!</v>
      </c>
      <c r="B111" s="223">
        <f>IF(ISERROR(VLOOKUP(A111,'明细表D2-2'!#REF!,2,0)),,VLOOKUP(A111,'明细表D2-2'!#REF!,2,0))</f>
        <v>0</v>
      </c>
      <c r="C111" s="326" t="e">
        <f>#REF!</f>
        <v>#REF!</v>
      </c>
      <c r="D111" s="352" t="e">
        <f>#REF!</f>
        <v>#REF!</v>
      </c>
      <c r="E111" s="325">
        <f>IF('审定表D2-1'!$I$13=0,0,C111/'审定表D2-1'!$I$13)</f>
        <v>0</v>
      </c>
      <c r="F111" s="326" t="e">
        <f>#REF!</f>
        <v>#REF!</v>
      </c>
    </row>
    <row r="112" spans="1:6" s="218" customFormat="1" ht="20.100000000000001" customHeight="1">
      <c r="A112" s="223" t="e">
        <f>#REF!</f>
        <v>#REF!</v>
      </c>
      <c r="B112" s="223">
        <f>IF(ISERROR(VLOOKUP(A112,'明细表D2-2'!#REF!,2,0)),,VLOOKUP(A112,'明细表D2-2'!#REF!,2,0))</f>
        <v>0</v>
      </c>
      <c r="C112" s="326" t="e">
        <f>#REF!</f>
        <v>#REF!</v>
      </c>
      <c r="D112" s="352" t="e">
        <f>#REF!</f>
        <v>#REF!</v>
      </c>
      <c r="E112" s="325">
        <f>IF('审定表D2-1'!$I$13=0,0,C112/'审定表D2-1'!$I$13)</f>
        <v>0</v>
      </c>
      <c r="F112" s="326" t="e">
        <f>#REF!</f>
        <v>#REF!</v>
      </c>
    </row>
    <row r="113" spans="1:6" s="218" customFormat="1" ht="20.100000000000001" customHeight="1">
      <c r="A113" s="223" t="e">
        <f>#REF!</f>
        <v>#REF!</v>
      </c>
      <c r="B113" s="223">
        <f>IF(ISERROR(VLOOKUP(A113,'明细表D2-2'!#REF!,2,0)),,VLOOKUP(A113,'明细表D2-2'!#REF!,2,0))</f>
        <v>0</v>
      </c>
      <c r="C113" s="346" t="e">
        <f>#REF!</f>
        <v>#REF!</v>
      </c>
      <c r="D113" s="352" t="e">
        <f>#REF!</f>
        <v>#REF!</v>
      </c>
      <c r="E113" s="325">
        <f>IF('审定表D2-1'!$I$13=0,0,C113/'审定表D2-1'!$I$13)</f>
        <v>0</v>
      </c>
      <c r="F113" s="326" t="e">
        <f>#REF!</f>
        <v>#REF!</v>
      </c>
    </row>
    <row r="114" spans="1:6" s="218" customFormat="1" ht="20.100000000000001" customHeight="1">
      <c r="A114" s="354" t="s">
        <v>149</v>
      </c>
      <c r="B114" s="355"/>
      <c r="C114" s="332" t="e">
        <f>SUM(C109:C113)</f>
        <v>#REF!</v>
      </c>
      <c r="D114" s="355"/>
      <c r="E114" s="357">
        <f t="shared" ref="E114:F114" si="19">SUM(E109:E113)</f>
        <v>0</v>
      </c>
      <c r="F114" s="332" t="e">
        <f t="shared" si="19"/>
        <v>#REF!</v>
      </c>
    </row>
    <row r="115" spans="1:6" s="218" customFormat="1" ht="32.25" customHeight="1">
      <c r="A115" s="484" t="s">
        <v>201</v>
      </c>
      <c r="B115" s="484"/>
      <c r="C115" s="484"/>
      <c r="D115" s="484"/>
      <c r="E115" s="484"/>
      <c r="F115" s="484"/>
    </row>
    <row r="116" spans="1:6" s="218" customFormat="1" ht="20.100000000000001" customHeight="1">
      <c r="A116" s="458" t="s">
        <v>202</v>
      </c>
      <c r="B116" s="458"/>
      <c r="C116" s="458"/>
      <c r="D116" s="458"/>
      <c r="E116" s="458"/>
    </row>
    <row r="117" spans="1:6" s="218" customFormat="1" ht="33" customHeight="1">
      <c r="A117" s="484" t="s">
        <v>203</v>
      </c>
      <c r="B117" s="484"/>
      <c r="C117" s="484"/>
      <c r="D117" s="484"/>
      <c r="E117" s="484"/>
    </row>
    <row r="118" spans="1:6" s="218" customFormat="1" ht="31.2">
      <c r="A118" s="299" t="s">
        <v>204</v>
      </c>
      <c r="B118" s="299" t="s">
        <v>205</v>
      </c>
      <c r="C118" s="299" t="s">
        <v>206</v>
      </c>
      <c r="D118" s="299" t="s">
        <v>207</v>
      </c>
    </row>
    <row r="119" spans="1:6" s="218" customFormat="1" ht="20.100000000000001" customHeight="1">
      <c r="A119" s="230"/>
      <c r="B119" s="230"/>
      <c r="C119" s="358"/>
      <c r="D119" s="301"/>
    </row>
    <row r="120" spans="1:6" s="218" customFormat="1" ht="20.100000000000001" customHeight="1">
      <c r="A120" s="230"/>
      <c r="B120" s="230"/>
      <c r="C120" s="358"/>
      <c r="D120" s="301"/>
    </row>
    <row r="121" spans="1:6" s="218" customFormat="1" ht="20.100000000000001" customHeight="1">
      <c r="A121" s="230"/>
      <c r="B121" s="230"/>
      <c r="C121" s="358"/>
      <c r="D121" s="301"/>
    </row>
    <row r="122" spans="1:6" s="218" customFormat="1" ht="20.100000000000001" customHeight="1">
      <c r="A122" s="299" t="s">
        <v>149</v>
      </c>
      <c r="B122" s="236"/>
      <c r="C122" s="359">
        <f>SUM(C119:C121)</f>
        <v>0</v>
      </c>
      <c r="D122" s="348">
        <f>SUM(D119:D121)</f>
        <v>0</v>
      </c>
    </row>
    <row r="123" spans="1:6" s="218" customFormat="1" ht="20.100000000000001" customHeight="1">
      <c r="A123" s="458" t="s">
        <v>208</v>
      </c>
      <c r="B123" s="458"/>
      <c r="C123" s="458"/>
      <c r="D123" s="458"/>
    </row>
    <row r="124" spans="1:6" s="218" customFormat="1" ht="20.100000000000001" customHeight="1">
      <c r="A124" s="273" t="s">
        <v>209</v>
      </c>
      <c r="B124" s="273"/>
      <c r="C124" s="273"/>
      <c r="D124" s="273"/>
    </row>
    <row r="125" spans="1:6" s="218" customFormat="1" ht="20.100000000000001" customHeight="1">
      <c r="A125" s="299" t="s">
        <v>204</v>
      </c>
      <c r="B125" s="299" t="s">
        <v>136</v>
      </c>
    </row>
    <row r="126" spans="1:6" s="218" customFormat="1" ht="20.100000000000001" customHeight="1">
      <c r="A126" s="321" t="s">
        <v>210</v>
      </c>
      <c r="B126" s="300"/>
    </row>
    <row r="127" spans="1:6" s="218" customFormat="1" ht="20.100000000000001" customHeight="1">
      <c r="A127" s="321"/>
      <c r="B127" s="301"/>
    </row>
    <row r="128" spans="1:6" s="218" customFormat="1" ht="20.100000000000001" customHeight="1">
      <c r="A128" s="321"/>
      <c r="B128" s="301"/>
    </row>
    <row r="129" spans="1:6" s="218" customFormat="1" ht="20.100000000000001" customHeight="1">
      <c r="A129" s="241" t="s">
        <v>211</v>
      </c>
      <c r="B129" s="360">
        <f>SUM(B127:B127)</f>
        <v>0</v>
      </c>
    </row>
    <row r="130" spans="1:6" s="218" customFormat="1" ht="20.100000000000001" customHeight="1">
      <c r="A130" s="321" t="s">
        <v>212</v>
      </c>
      <c r="B130" s="304"/>
    </row>
    <row r="131" spans="1:6" s="218" customFormat="1" ht="20.100000000000001" customHeight="1">
      <c r="A131" s="321"/>
      <c r="B131" s="305"/>
    </row>
    <row r="132" spans="1:6" s="218" customFormat="1" ht="20.100000000000001" customHeight="1">
      <c r="A132" s="321"/>
      <c r="B132" s="305"/>
    </row>
    <row r="133" spans="1:6" s="218" customFormat="1" ht="20.100000000000001" customHeight="1">
      <c r="A133" s="226" t="s">
        <v>213</v>
      </c>
      <c r="B133" s="298">
        <f>SUM(B131:B131)</f>
        <v>0</v>
      </c>
    </row>
    <row r="134" spans="1:6" s="218" customFormat="1" ht="34.5" customHeight="1">
      <c r="A134" s="459" t="s">
        <v>214</v>
      </c>
      <c r="B134" s="459"/>
      <c r="C134" s="459"/>
      <c r="D134" s="459"/>
      <c r="E134" s="459"/>
      <c r="F134" s="459"/>
    </row>
  </sheetData>
  <mergeCells count="17">
    <mergeCell ref="A1:F1"/>
    <mergeCell ref="A2:F2"/>
    <mergeCell ref="B8:F8"/>
    <mergeCell ref="B19:F19"/>
    <mergeCell ref="A29:F29"/>
    <mergeCell ref="A117:E117"/>
    <mergeCell ref="A123:D123"/>
    <mergeCell ref="A134:F134"/>
    <mergeCell ref="A8:A9"/>
    <mergeCell ref="A19:A20"/>
    <mergeCell ref="A40:A41"/>
    <mergeCell ref="A50:A51"/>
    <mergeCell ref="B40:F40"/>
    <mergeCell ref="B50:F50"/>
    <mergeCell ref="A105:F105"/>
    <mergeCell ref="A115:F115"/>
    <mergeCell ref="A116:E116"/>
  </mergeCells>
  <phoneticPr fontId="168" type="noConversion"/>
  <printOptions horizontalCentered="1"/>
  <pageMargins left="0.98425196850393704" right="0.74803149606299202" top="0.98425196850393704" bottom="0.98425196850393704" header="0.511811023622047" footer="0.511811023622047"/>
  <pageSetup paperSize="9" scale="70" fitToHeight="100" orientation="portrait" blackAndWhite="1" cellComments="atEnd" r:id="rId1"/>
  <headerFooter alignWithMargins="0"/>
  <rowBreaks count="2" manualBreakCount="2">
    <brk id="38" max="5" man="1"/>
    <brk id="95"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102"/>
  <sheetViews>
    <sheetView view="pageBreakPreview" topLeftCell="A87" zoomScale="70" zoomScaleNormal="100" workbookViewId="0">
      <selection activeCell="K84" sqref="K84"/>
    </sheetView>
  </sheetViews>
  <sheetFormatPr defaultColWidth="9" defaultRowHeight="13.8"/>
  <cols>
    <col min="1" max="1" width="30" style="219" customWidth="1"/>
    <col min="2" max="2" width="16.59765625" style="219" customWidth="1"/>
    <col min="3" max="3" width="19.19921875" style="219" customWidth="1"/>
    <col min="4" max="4" width="14.69921875" style="219" customWidth="1"/>
    <col min="5" max="5" width="16.19921875" style="219" customWidth="1"/>
    <col min="6" max="6" width="13.69921875" style="219" customWidth="1"/>
    <col min="7" max="7" width="12.69921875" style="219" customWidth="1"/>
    <col min="8" max="16384" width="9" style="219"/>
  </cols>
  <sheetData>
    <row r="1" spans="1:10" s="216" customFormat="1" ht="20.100000000000001" customHeight="1">
      <c r="A1" s="488" t="s">
        <v>128</v>
      </c>
      <c r="B1" s="488"/>
      <c r="C1" s="488"/>
      <c r="D1" s="488"/>
      <c r="E1" s="488"/>
      <c r="F1" s="488"/>
      <c r="G1" s="488"/>
      <c r="H1" s="220"/>
      <c r="I1" s="220"/>
      <c r="J1" s="220"/>
    </row>
    <row r="2" spans="1:10" s="217" customFormat="1" ht="25.2" customHeight="1">
      <c r="A2" s="474" t="s">
        <v>215</v>
      </c>
      <c r="B2" s="493"/>
      <c r="C2" s="493"/>
      <c r="D2" s="493"/>
      <c r="E2" s="493"/>
      <c r="F2" s="493"/>
      <c r="G2" s="493"/>
      <c r="H2" s="221"/>
      <c r="I2" s="221"/>
      <c r="J2" s="221"/>
    </row>
    <row r="3" spans="1:10" s="216" customFormat="1" ht="20.100000000000001" customHeight="1">
      <c r="A3" s="216" t="str">
        <f>底稿目录!A2</f>
        <v>被审计单位名称：</v>
      </c>
      <c r="C3" s="216" t="str">
        <f>底稿目录!A4</f>
        <v>编制人：</v>
      </c>
      <c r="E3" s="216" t="str">
        <f>底稿目录!A5</f>
        <v>编制日期：</v>
      </c>
      <c r="G3" s="216" t="s">
        <v>216</v>
      </c>
    </row>
    <row r="4" spans="1:10" s="216" customFormat="1" ht="20.100000000000001" customHeight="1">
      <c r="A4" s="216" t="str">
        <f>底稿目录!A3</f>
        <v>截止日：202X年12月31日</v>
      </c>
      <c r="B4" s="222"/>
      <c r="C4" s="216" t="str">
        <f>底稿目录!A6</f>
        <v>复核人：</v>
      </c>
      <c r="E4" s="216" t="str">
        <f>底稿目录!A7</f>
        <v>复核日期：</v>
      </c>
      <c r="G4" s="216" t="s">
        <v>217</v>
      </c>
      <c r="J4" s="222"/>
    </row>
    <row r="5" spans="1:10" s="218" customFormat="1" ht="20.100000000000001" customHeight="1">
      <c r="A5" s="218" t="s">
        <v>132</v>
      </c>
    </row>
    <row r="6" spans="1:10" s="218" customFormat="1" ht="20.100000000000001" customHeight="1">
      <c r="A6" s="223" t="s">
        <v>218</v>
      </c>
    </row>
    <row r="7" spans="1:10" s="218" customFormat="1" ht="20.100000000000001" customHeight="1">
      <c r="A7" s="224" t="s">
        <v>219</v>
      </c>
    </row>
    <row r="8" spans="1:10" s="218" customFormat="1" ht="20.100000000000001" customHeight="1">
      <c r="A8" s="487" t="s">
        <v>220</v>
      </c>
      <c r="B8" s="487" t="s">
        <v>136</v>
      </c>
      <c r="C8" s="487"/>
      <c r="D8" s="487"/>
      <c r="E8" s="487"/>
    </row>
    <row r="9" spans="1:10" s="218" customFormat="1" ht="20.100000000000001" customHeight="1">
      <c r="A9" s="486"/>
      <c r="B9" s="226" t="s">
        <v>156</v>
      </c>
      <c r="C9" s="226" t="s">
        <v>138</v>
      </c>
      <c r="D9" s="226" t="s">
        <v>139</v>
      </c>
      <c r="E9" s="226" t="s">
        <v>138</v>
      </c>
    </row>
    <row r="10" spans="1:10" s="218" customFormat="1" ht="15.6">
      <c r="A10" s="227" t="s">
        <v>142</v>
      </c>
      <c r="B10" s="228" t="e">
        <f>#REF!</f>
        <v>#REF!</v>
      </c>
      <c r="C10" s="229" t="e">
        <f>IF($B$17=0,0,B10/$B$17)</f>
        <v>#REF!</v>
      </c>
      <c r="D10" s="228" t="e">
        <f>#REF!</f>
        <v>#REF!</v>
      </c>
      <c r="E10" s="229" t="e">
        <f>IF(B10=0,0,D10/B10)</f>
        <v>#REF!</v>
      </c>
    </row>
    <row r="11" spans="1:10" s="218" customFormat="1" ht="15.6">
      <c r="A11" s="230" t="s">
        <v>143</v>
      </c>
      <c r="C11" s="231"/>
      <c r="E11" s="231"/>
    </row>
    <row r="12" spans="1:10" s="218" customFormat="1" ht="20.100000000000001" customHeight="1">
      <c r="A12" s="232" t="s">
        <v>144</v>
      </c>
      <c r="B12" s="233" t="e">
        <f>#REF!</f>
        <v>#REF!</v>
      </c>
      <c r="C12" s="231" t="e">
        <f>IF($B$17=0,0,B12/$B$17)</f>
        <v>#REF!</v>
      </c>
      <c r="D12" s="233" t="e">
        <f>#REF!</f>
        <v>#REF!</v>
      </c>
      <c r="E12" s="231" t="e">
        <f>IF(B12=0,0,D12/B12)</f>
        <v>#REF!</v>
      </c>
      <c r="F12" s="231"/>
    </row>
    <row r="13" spans="1:10" s="218" customFormat="1" ht="20.100000000000001" customHeight="1">
      <c r="A13" s="232" t="s">
        <v>145</v>
      </c>
      <c r="B13" s="233" t="e">
        <f>#REF!</f>
        <v>#REF!</v>
      </c>
      <c r="C13" s="231" t="e">
        <f>IF($B$17=0,0,B13/$B$17)</f>
        <v>#REF!</v>
      </c>
      <c r="D13" s="233" t="e">
        <f>#REF!</f>
        <v>#REF!</v>
      </c>
      <c r="E13" s="231" t="e">
        <f t="shared" ref="E13:E17" si="0">IF(B13=0,0,D13/B13)</f>
        <v>#REF!</v>
      </c>
      <c r="F13" s="231"/>
    </row>
    <row r="14" spans="1:10" s="218" customFormat="1" ht="20.100000000000001" customHeight="1">
      <c r="A14" s="234" t="s">
        <v>146</v>
      </c>
      <c r="B14" s="233"/>
      <c r="C14" s="231" t="e">
        <f>IF($B$17=0,0,B14/$B$17)</f>
        <v>#REF!</v>
      </c>
      <c r="D14" s="233"/>
      <c r="E14" s="231">
        <f t="shared" si="0"/>
        <v>0</v>
      </c>
      <c r="F14" s="235"/>
    </row>
    <row r="15" spans="1:10" s="218" customFormat="1" ht="20.100000000000001" customHeight="1">
      <c r="A15" s="234" t="s">
        <v>147</v>
      </c>
      <c r="B15" s="233"/>
      <c r="C15" s="231" t="e">
        <f>IF($B$17=0,0,B15/$B$17)</f>
        <v>#REF!</v>
      </c>
      <c r="D15" s="233"/>
      <c r="E15" s="231">
        <f t="shared" si="0"/>
        <v>0</v>
      </c>
      <c r="F15" s="235"/>
    </row>
    <row r="16" spans="1:10" s="218" customFormat="1" ht="20.100000000000001" customHeight="1">
      <c r="A16" s="230" t="s">
        <v>148</v>
      </c>
      <c r="B16" s="233" t="e">
        <f>SUM(B12:B15)</f>
        <v>#REF!</v>
      </c>
      <c r="C16" s="231" t="e">
        <f>IF($B$17=0,0,B16/$B$17)</f>
        <v>#REF!</v>
      </c>
      <c r="D16" s="233" t="e">
        <f>SUM(D12:D15)</f>
        <v>#REF!</v>
      </c>
      <c r="E16" s="231" t="e">
        <f t="shared" si="0"/>
        <v>#REF!</v>
      </c>
      <c r="F16" s="231"/>
    </row>
    <row r="17" spans="1:7" s="218" customFormat="1" ht="20.100000000000001" customHeight="1">
      <c r="A17" s="236" t="s">
        <v>149</v>
      </c>
      <c r="B17" s="237" t="e">
        <f>SUM(B10+B16)</f>
        <v>#REF!</v>
      </c>
      <c r="C17" s="238" t="e">
        <f>SUM(C10+C16)</f>
        <v>#REF!</v>
      </c>
      <c r="D17" s="237" t="e">
        <f>SUM(D10+D16)</f>
        <v>#REF!</v>
      </c>
      <c r="E17" s="239" t="e">
        <f t="shared" si="0"/>
        <v>#REF!</v>
      </c>
    </row>
    <row r="18" spans="1:7" s="218" customFormat="1" ht="20.100000000000001" customHeight="1">
      <c r="A18" s="224" t="s">
        <v>150</v>
      </c>
    </row>
    <row r="19" spans="1:7" s="218" customFormat="1" ht="20.100000000000001" customHeight="1">
      <c r="A19" s="487" t="s">
        <v>220</v>
      </c>
      <c r="B19" s="487" t="s">
        <v>221</v>
      </c>
      <c r="C19" s="487"/>
      <c r="D19" s="487"/>
      <c r="E19" s="487"/>
    </row>
    <row r="20" spans="1:7" s="218" customFormat="1" ht="20.100000000000001" customHeight="1">
      <c r="A20" s="486"/>
      <c r="B20" s="226" t="s">
        <v>156</v>
      </c>
      <c r="C20" s="226" t="s">
        <v>138</v>
      </c>
      <c r="D20" s="226" t="s">
        <v>139</v>
      </c>
      <c r="E20" s="226" t="s">
        <v>138</v>
      </c>
    </row>
    <row r="21" spans="1:7" s="218" customFormat="1" ht="15.6">
      <c r="A21" s="227" t="s">
        <v>142</v>
      </c>
      <c r="B21" s="228"/>
      <c r="C21" s="229">
        <f>IF($B$28=0,0,B21/$B$28)</f>
        <v>0</v>
      </c>
      <c r="D21" s="228"/>
      <c r="E21" s="229">
        <f>IF(B21=0,0,D21/B21)</f>
        <v>0</v>
      </c>
    </row>
    <row r="22" spans="1:7" s="218" customFormat="1" ht="15.6">
      <c r="A22" s="230" t="s">
        <v>143</v>
      </c>
      <c r="C22" s="231"/>
      <c r="E22" s="231"/>
    </row>
    <row r="23" spans="1:7" s="218" customFormat="1" ht="20.100000000000001" customHeight="1">
      <c r="A23" s="232" t="s">
        <v>144</v>
      </c>
      <c r="B23" s="233"/>
      <c r="C23" s="231">
        <f>IF($B$28=0,0,B23/$B$28)</f>
        <v>0</v>
      </c>
      <c r="D23" s="233"/>
      <c r="E23" s="231">
        <f>IF(B23=0,0,D23/B23)</f>
        <v>0</v>
      </c>
      <c r="F23" s="231"/>
    </row>
    <row r="24" spans="1:7" s="218" customFormat="1" ht="20.100000000000001" customHeight="1">
      <c r="A24" s="232" t="s">
        <v>145</v>
      </c>
      <c r="B24" s="233"/>
      <c r="C24" s="231">
        <f t="shared" ref="C24:C27" si="1">IF($B$28=0,0,B24/$B$28)</f>
        <v>0</v>
      </c>
      <c r="D24" s="233"/>
      <c r="E24" s="231">
        <f t="shared" ref="E24:E28" si="2">IF(B24=0,0,D24/B24)</f>
        <v>0</v>
      </c>
      <c r="F24" s="231"/>
    </row>
    <row r="25" spans="1:7" s="218" customFormat="1" ht="20.100000000000001" customHeight="1">
      <c r="A25" s="234" t="s">
        <v>146</v>
      </c>
      <c r="B25" s="233"/>
      <c r="C25" s="231">
        <f t="shared" si="1"/>
        <v>0</v>
      </c>
      <c r="D25" s="233"/>
      <c r="E25" s="231">
        <f t="shared" si="2"/>
        <v>0</v>
      </c>
      <c r="F25" s="235"/>
    </row>
    <row r="26" spans="1:7" s="218" customFormat="1" ht="20.100000000000001" customHeight="1">
      <c r="A26" s="234" t="s">
        <v>147</v>
      </c>
      <c r="B26" s="233"/>
      <c r="C26" s="231">
        <f t="shared" si="1"/>
        <v>0</v>
      </c>
      <c r="D26" s="233"/>
      <c r="E26" s="231">
        <f t="shared" si="2"/>
        <v>0</v>
      </c>
      <c r="F26" s="231"/>
    </row>
    <row r="27" spans="1:7" s="218" customFormat="1" ht="15.6">
      <c r="A27" s="230" t="s">
        <v>148</v>
      </c>
      <c r="B27" s="233">
        <f>SUM(B23:B26)</f>
        <v>0</v>
      </c>
      <c r="C27" s="240">
        <f t="shared" si="1"/>
        <v>0</v>
      </c>
      <c r="D27" s="233">
        <f>SUM(D23:D26)</f>
        <v>0</v>
      </c>
      <c r="E27" s="240">
        <f t="shared" si="2"/>
        <v>0</v>
      </c>
      <c r="F27" s="231"/>
    </row>
    <row r="28" spans="1:7" s="218" customFormat="1" ht="20.100000000000001" customHeight="1">
      <c r="A28" s="236" t="s">
        <v>149</v>
      </c>
      <c r="B28" s="237">
        <f>SUM(B21+B26+B27)</f>
        <v>0</v>
      </c>
      <c r="C28" s="238">
        <f>SUM(C21+C26+C27)</f>
        <v>0</v>
      </c>
      <c r="D28" s="237">
        <f>SUM(D21+D26+D27)</f>
        <v>0</v>
      </c>
      <c r="E28" s="239">
        <f t="shared" si="2"/>
        <v>0</v>
      </c>
    </row>
    <row r="29" spans="1:7" s="218" customFormat="1" ht="30" customHeight="1">
      <c r="A29" s="484" t="s">
        <v>222</v>
      </c>
      <c r="B29" s="484"/>
      <c r="C29" s="484"/>
      <c r="D29" s="484"/>
      <c r="E29" s="484"/>
    </row>
    <row r="30" spans="1:7" s="218" customFormat="1" ht="20.100000000000001" customHeight="1">
      <c r="A30" s="223" t="s">
        <v>223</v>
      </c>
    </row>
    <row r="31" spans="1:7" s="218" customFormat="1" ht="20.100000000000001" customHeight="1">
      <c r="A31" s="223" t="s">
        <v>224</v>
      </c>
    </row>
    <row r="32" spans="1:7" s="218" customFormat="1" ht="20.100000000000001" customHeight="1">
      <c r="A32" s="487" t="s">
        <v>159</v>
      </c>
      <c r="B32" s="487" t="s">
        <v>136</v>
      </c>
      <c r="C32" s="487"/>
      <c r="D32" s="487"/>
      <c r="E32" s="487" t="s">
        <v>221</v>
      </c>
      <c r="F32" s="487"/>
      <c r="G32" s="487"/>
    </row>
    <row r="33" spans="1:7" s="218" customFormat="1" ht="20.100000000000001" customHeight="1">
      <c r="A33" s="490"/>
      <c r="B33" s="490" t="s">
        <v>156</v>
      </c>
      <c r="C33" s="490"/>
      <c r="D33" s="490" t="s">
        <v>139</v>
      </c>
      <c r="E33" s="490" t="s">
        <v>156</v>
      </c>
      <c r="F33" s="490"/>
      <c r="G33" s="490" t="s">
        <v>139</v>
      </c>
    </row>
    <row r="34" spans="1:7" s="218" customFormat="1" ht="20.100000000000001" customHeight="1">
      <c r="A34" s="486"/>
      <c r="B34" s="226" t="s">
        <v>225</v>
      </c>
      <c r="C34" s="226" t="s">
        <v>226</v>
      </c>
      <c r="D34" s="486"/>
      <c r="E34" s="226" t="s">
        <v>225</v>
      </c>
      <c r="F34" s="226" t="s">
        <v>226</v>
      </c>
      <c r="G34" s="486"/>
    </row>
    <row r="35" spans="1:7" s="218" customFormat="1" ht="20.100000000000001" customHeight="1">
      <c r="A35" s="242" t="e">
        <f>#REF!</f>
        <v>#REF!</v>
      </c>
      <c r="B35" s="228" t="e">
        <f>#REF!</f>
        <v>#REF!</v>
      </c>
      <c r="C35" s="243" t="e">
        <f>IF(B35=0,0,B35/$B$41)</f>
        <v>#REF!</v>
      </c>
      <c r="D35" s="228" t="e">
        <f>#REF!</f>
        <v>#REF!</v>
      </c>
      <c r="E35" s="228"/>
      <c r="F35" s="243">
        <f>IF(E35=0,0,E35/$E$41)</f>
        <v>0</v>
      </c>
      <c r="G35" s="228"/>
    </row>
    <row r="36" spans="1:7" s="218" customFormat="1" ht="20.100000000000001" customHeight="1">
      <c r="A36" s="230" t="e">
        <f>#REF!</f>
        <v>#REF!</v>
      </c>
      <c r="B36" s="233" t="e">
        <f>#REF!</f>
        <v>#REF!</v>
      </c>
      <c r="C36" s="244" t="e">
        <f>IF(B36=0,0,B36/$B$41)</f>
        <v>#REF!</v>
      </c>
      <c r="D36" s="233" t="e">
        <f>#REF!</f>
        <v>#REF!</v>
      </c>
      <c r="E36" s="233"/>
      <c r="F36" s="244">
        <f>IF(E36=0,0,E36/$E$41)</f>
        <v>0</v>
      </c>
      <c r="G36" s="233"/>
    </row>
    <row r="37" spans="1:7" s="218" customFormat="1" ht="20.100000000000001" customHeight="1">
      <c r="A37" s="230" t="e">
        <f>#REF!</f>
        <v>#REF!</v>
      </c>
      <c r="B37" s="233" t="e">
        <f>#REF!</f>
        <v>#REF!</v>
      </c>
      <c r="C37" s="244" t="e">
        <f>IF(B37=0,0,B37/$B$41)</f>
        <v>#REF!</v>
      </c>
      <c r="D37" s="233" t="e">
        <f>#REF!</f>
        <v>#REF!</v>
      </c>
      <c r="E37" s="233"/>
      <c r="F37" s="244">
        <f>IF(E37=0,0,E37/$E$41)</f>
        <v>0</v>
      </c>
      <c r="G37" s="233"/>
    </row>
    <row r="38" spans="1:7" s="218" customFormat="1" ht="20.100000000000001" customHeight="1">
      <c r="A38" s="230" t="e">
        <f>#REF!</f>
        <v>#REF!</v>
      </c>
      <c r="B38" s="233" t="e">
        <f>#REF!</f>
        <v>#REF!</v>
      </c>
      <c r="C38" s="244" t="e">
        <f>IF(B38=0,0,B38/$B$41)</f>
        <v>#REF!</v>
      </c>
      <c r="D38" s="233" t="e">
        <f>#REF!</f>
        <v>#REF!</v>
      </c>
      <c r="E38" s="233"/>
      <c r="F38" s="244">
        <f>IF(E38=0,0,E38/$E$41)</f>
        <v>0</v>
      </c>
      <c r="G38" s="233"/>
    </row>
    <row r="39" spans="1:7" s="218" customFormat="1" ht="20.100000000000001" customHeight="1">
      <c r="A39" s="230" t="e">
        <f>#REF!</f>
        <v>#REF!</v>
      </c>
      <c r="B39" s="233" t="e">
        <f>#REF!</f>
        <v>#REF!</v>
      </c>
      <c r="C39" s="244" t="e">
        <f t="shared" ref="C39:C41" si="3">IF(B39=0,0,B39/$B$41)</f>
        <v>#REF!</v>
      </c>
      <c r="D39" s="233" t="e">
        <f>#REF!</f>
        <v>#REF!</v>
      </c>
      <c r="E39" s="233"/>
      <c r="F39" s="244">
        <f t="shared" ref="F39:F41" si="4">IF(E39=0,0,E39/$E$41)</f>
        <v>0</v>
      </c>
      <c r="G39" s="233"/>
    </row>
    <row r="40" spans="1:7" s="218" customFormat="1" ht="20.100000000000001" customHeight="1">
      <c r="A40" s="230" t="e">
        <f>#REF!</f>
        <v>#REF!</v>
      </c>
      <c r="B40" s="233" t="e">
        <f>#REF!</f>
        <v>#REF!</v>
      </c>
      <c r="C40" s="244" t="e">
        <f t="shared" si="3"/>
        <v>#REF!</v>
      </c>
      <c r="D40" s="233" t="e">
        <f>#REF!</f>
        <v>#REF!</v>
      </c>
      <c r="E40" s="233"/>
      <c r="F40" s="244">
        <f t="shared" si="4"/>
        <v>0</v>
      </c>
      <c r="G40" s="233"/>
    </row>
    <row r="41" spans="1:7" s="218" customFormat="1" ht="20.100000000000001" customHeight="1">
      <c r="A41" s="236" t="s">
        <v>149</v>
      </c>
      <c r="B41" s="245" t="e">
        <f>SUM(B35:B40)</f>
        <v>#REF!</v>
      </c>
      <c r="C41" s="246" t="e">
        <f t="shared" si="3"/>
        <v>#REF!</v>
      </c>
      <c r="D41" s="245" t="e">
        <f>SUM(D35:D40)</f>
        <v>#REF!</v>
      </c>
      <c r="E41" s="245">
        <f>SUM(E35:E40)</f>
        <v>0</v>
      </c>
      <c r="F41" s="246">
        <f t="shared" si="4"/>
        <v>0</v>
      </c>
      <c r="G41" s="245">
        <f>SUM(G35:G40)</f>
        <v>0</v>
      </c>
    </row>
    <row r="42" spans="1:7" s="218" customFormat="1" ht="20.100000000000001" customHeight="1">
      <c r="A42" s="247" t="s">
        <v>160</v>
      </c>
    </row>
    <row r="43" spans="1:7" s="218" customFormat="1" ht="20.100000000000001" customHeight="1">
      <c r="A43" s="223" t="s">
        <v>227</v>
      </c>
    </row>
    <row r="44" spans="1:7" s="218" customFormat="1" ht="20.100000000000001" customHeight="1">
      <c r="A44" s="487" t="s">
        <v>162</v>
      </c>
      <c r="B44" s="487" t="s">
        <v>136</v>
      </c>
      <c r="C44" s="487"/>
      <c r="D44" s="487"/>
      <c r="E44" s="487" t="s">
        <v>221</v>
      </c>
      <c r="F44" s="487"/>
      <c r="G44" s="487"/>
    </row>
    <row r="45" spans="1:7" s="218" customFormat="1" ht="20.100000000000001" customHeight="1">
      <c r="A45" s="490"/>
      <c r="B45" s="241" t="s">
        <v>156</v>
      </c>
      <c r="C45" s="241" t="s">
        <v>228</v>
      </c>
      <c r="D45" s="241" t="s">
        <v>139</v>
      </c>
      <c r="E45" s="241" t="s">
        <v>156</v>
      </c>
      <c r="F45" s="241" t="s">
        <v>228</v>
      </c>
      <c r="G45" s="241" t="s">
        <v>139</v>
      </c>
    </row>
    <row r="46" spans="1:7" s="218" customFormat="1" ht="20.100000000000001" customHeight="1">
      <c r="A46" s="248" t="s">
        <v>229</v>
      </c>
      <c r="B46" s="228"/>
      <c r="C46" s="249">
        <f>IF(B46=0,0,B46/$B$49)</f>
        <v>0</v>
      </c>
      <c r="D46" s="228"/>
      <c r="E46" s="228"/>
      <c r="F46" s="249">
        <f>IF(E46=0,0,E46/$E$49)</f>
        <v>0</v>
      </c>
      <c r="G46" s="228"/>
    </row>
    <row r="47" spans="1:7" s="218" customFormat="1" ht="20.100000000000001" customHeight="1">
      <c r="A47" s="250" t="s">
        <v>230</v>
      </c>
      <c r="B47" s="233"/>
      <c r="C47" s="251">
        <f t="shared" ref="C47:C48" si="5">IF(B47=0,0,B47/$B$49)</f>
        <v>0</v>
      </c>
      <c r="D47" s="233"/>
      <c r="F47" s="251">
        <f t="shared" ref="F47:F48" si="6">IF(E47=0,0,E47/$E$49)</f>
        <v>0</v>
      </c>
    </row>
    <row r="48" spans="1:7" s="218" customFormat="1" ht="20.100000000000001" customHeight="1">
      <c r="A48" s="252" t="s">
        <v>166</v>
      </c>
      <c r="B48" s="253"/>
      <c r="C48" s="254">
        <f t="shared" si="5"/>
        <v>0</v>
      </c>
      <c r="D48" s="253"/>
      <c r="E48" s="255"/>
      <c r="F48" s="254">
        <f t="shared" si="6"/>
        <v>0</v>
      </c>
      <c r="G48" s="255"/>
    </row>
    <row r="49" spans="1:7" s="218" customFormat="1" ht="20.100000000000001" customHeight="1">
      <c r="A49" s="236" t="s">
        <v>149</v>
      </c>
      <c r="B49" s="245">
        <f>SUM(B46:B48)</f>
        <v>0</v>
      </c>
      <c r="C49" s="256">
        <f>IF(B49=0,0,D49/B49)</f>
        <v>0</v>
      </c>
      <c r="D49" s="245">
        <f t="shared" ref="D49" si="7">SUM(D46:D48)</f>
        <v>0</v>
      </c>
      <c r="E49" s="245">
        <f t="shared" ref="E49" si="8">SUM(E46:E48)</f>
        <v>0</v>
      </c>
      <c r="F49" s="256">
        <f>IF(E49=0,0,G49/E49)</f>
        <v>0</v>
      </c>
      <c r="G49" s="245">
        <f t="shared" ref="G49" si="9">SUM(G46:G48)</f>
        <v>0</v>
      </c>
    </row>
    <row r="50" spans="1:7" s="218" customFormat="1" ht="20.100000000000001" customHeight="1">
      <c r="A50" s="257" t="s">
        <v>169</v>
      </c>
    </row>
    <row r="51" spans="1:7" s="218" customFormat="1" ht="20.100000000000001" customHeight="1">
      <c r="A51" s="223" t="s">
        <v>231</v>
      </c>
    </row>
    <row r="52" spans="1:7" s="218" customFormat="1" ht="20.100000000000001" customHeight="1">
      <c r="A52" s="491" t="s">
        <v>162</v>
      </c>
      <c r="B52" s="491" t="s">
        <v>136</v>
      </c>
      <c r="C52" s="491"/>
      <c r="D52" s="491"/>
      <c r="E52" s="491" t="s">
        <v>221</v>
      </c>
      <c r="F52" s="491"/>
      <c r="G52" s="491"/>
    </row>
    <row r="53" spans="1:7" s="218" customFormat="1" ht="20.100000000000001" customHeight="1">
      <c r="A53" s="492"/>
      <c r="B53" s="258" t="s">
        <v>156</v>
      </c>
      <c r="C53" s="258" t="s">
        <v>228</v>
      </c>
      <c r="D53" s="258" t="s">
        <v>139</v>
      </c>
      <c r="E53" s="258" t="s">
        <v>156</v>
      </c>
      <c r="F53" s="258" t="s">
        <v>228</v>
      </c>
      <c r="G53" s="258" t="s">
        <v>139</v>
      </c>
    </row>
    <row r="54" spans="1:7" s="218" customFormat="1" ht="20.100000000000001" customHeight="1">
      <c r="A54" s="259" t="s">
        <v>229</v>
      </c>
      <c r="B54" s="228"/>
      <c r="C54" s="249">
        <f>IF(B54=0,0,B54/$B$57)</f>
        <v>0</v>
      </c>
      <c r="D54" s="228"/>
      <c r="E54" s="228"/>
      <c r="F54" s="249">
        <f>IF(E54=0,0,E54/$E$57)</f>
        <v>0</v>
      </c>
      <c r="G54" s="228"/>
    </row>
    <row r="55" spans="1:7" s="218" customFormat="1" ht="20.100000000000001" customHeight="1">
      <c r="A55" s="260" t="s">
        <v>230</v>
      </c>
      <c r="B55" s="233"/>
      <c r="C55" s="251">
        <f>IF(B55=0,0,B55/$B$57)</f>
        <v>0</v>
      </c>
      <c r="D55" s="233"/>
      <c r="E55" s="233"/>
      <c r="F55" s="251">
        <f>IF(E55=0,0,E55/$E$57)</f>
        <v>0</v>
      </c>
      <c r="G55" s="233"/>
    </row>
    <row r="56" spans="1:7" s="218" customFormat="1" ht="20.100000000000001" customHeight="1">
      <c r="A56" s="261" t="s">
        <v>166</v>
      </c>
      <c r="B56" s="253"/>
      <c r="C56" s="254">
        <f>IF(B56=0,0,B56/$B$57)</f>
        <v>0</v>
      </c>
      <c r="D56" s="253"/>
      <c r="E56" s="255"/>
      <c r="F56" s="254">
        <f>IF(E56=0,0,E56/$E$57)</f>
        <v>0</v>
      </c>
      <c r="G56" s="255"/>
    </row>
    <row r="57" spans="1:7" s="218" customFormat="1" ht="20.100000000000001" customHeight="1">
      <c r="A57" s="262" t="s">
        <v>149</v>
      </c>
      <c r="B57" s="263">
        <f>SUM(B54:B56)</f>
        <v>0</v>
      </c>
      <c r="C57" s="256">
        <f>IF(B57=0,0,D57/B57)</f>
        <v>0</v>
      </c>
      <c r="D57" s="263">
        <f>SUM(D54:D56)</f>
        <v>0</v>
      </c>
      <c r="E57" s="263">
        <f>SUM(E54:E56)</f>
        <v>0</v>
      </c>
      <c r="F57" s="256">
        <f>IF(E57=0,0,G57/E57)</f>
        <v>0</v>
      </c>
      <c r="G57" s="263">
        <f>SUM(G54:G56)</f>
        <v>0</v>
      </c>
    </row>
    <row r="58" spans="1:7" s="218" customFormat="1" ht="20.100000000000001" customHeight="1">
      <c r="A58" s="257" t="s">
        <v>169</v>
      </c>
    </row>
    <row r="59" spans="1:7" s="218" customFormat="1" ht="20.100000000000001" customHeight="1">
      <c r="A59" s="223" t="s">
        <v>232</v>
      </c>
    </row>
    <row r="60" spans="1:7" s="218" customFormat="1" ht="20.100000000000001" customHeight="1">
      <c r="A60" s="487" t="s">
        <v>162</v>
      </c>
      <c r="B60" s="487" t="s">
        <v>136</v>
      </c>
      <c r="C60" s="487"/>
      <c r="D60" s="487"/>
      <c r="E60" s="487" t="s">
        <v>221</v>
      </c>
      <c r="F60" s="487"/>
      <c r="G60" s="487"/>
    </row>
    <row r="61" spans="1:7" s="218" customFormat="1" ht="20.100000000000001" customHeight="1">
      <c r="A61" s="490"/>
      <c r="B61" s="241" t="s">
        <v>156</v>
      </c>
      <c r="C61" s="241" t="s">
        <v>228</v>
      </c>
      <c r="D61" s="241" t="s">
        <v>139</v>
      </c>
      <c r="E61" s="241" t="s">
        <v>156</v>
      </c>
      <c r="F61" s="241" t="s">
        <v>228</v>
      </c>
      <c r="G61" s="241" t="s">
        <v>139</v>
      </c>
    </row>
    <row r="62" spans="1:7" s="218" customFormat="1" ht="20.100000000000001" customHeight="1">
      <c r="A62" s="248" t="s">
        <v>229</v>
      </c>
      <c r="B62" s="228"/>
      <c r="C62" s="249">
        <f>IF(B62=0,0,B62/$B$65)</f>
        <v>0</v>
      </c>
      <c r="D62" s="228"/>
      <c r="E62" s="228"/>
      <c r="F62" s="249">
        <f>IF(E62=0,0,E62/$E$65)</f>
        <v>0</v>
      </c>
      <c r="G62" s="228"/>
    </row>
    <row r="63" spans="1:7" s="218" customFormat="1" ht="20.100000000000001" customHeight="1">
      <c r="A63" s="250" t="s">
        <v>230</v>
      </c>
      <c r="B63" s="233"/>
      <c r="C63" s="251">
        <f>IF(B63=0,0,B63/$B$65)</f>
        <v>0</v>
      </c>
      <c r="D63" s="233"/>
      <c r="E63" s="233"/>
      <c r="F63" s="251">
        <f>IF(E63=0,0,E63/$E$65)</f>
        <v>0</v>
      </c>
      <c r="G63" s="233"/>
    </row>
    <row r="64" spans="1:7" s="218" customFormat="1" ht="20.100000000000001" customHeight="1">
      <c r="A64" s="252" t="s">
        <v>166</v>
      </c>
      <c r="B64" s="253"/>
      <c r="C64" s="254">
        <f>IF(B64=0,0,B64/$B$65)</f>
        <v>0</v>
      </c>
      <c r="D64" s="253"/>
      <c r="E64" s="255"/>
      <c r="F64" s="254">
        <f>IF(E64=0,0,E64/$E$65)</f>
        <v>0</v>
      </c>
      <c r="G64" s="255"/>
    </row>
    <row r="65" spans="1:7" s="218" customFormat="1" ht="20.100000000000001" customHeight="1">
      <c r="A65" s="264" t="s">
        <v>149</v>
      </c>
      <c r="B65" s="263">
        <f>SUM(B62:B64)</f>
        <v>0</v>
      </c>
      <c r="C65" s="256">
        <f>IF(B65=0,0,D65/B65)</f>
        <v>0</v>
      </c>
      <c r="D65" s="263">
        <f>SUM(D62:D64)</f>
        <v>0</v>
      </c>
      <c r="E65" s="263">
        <f>SUM(E62:E64)</f>
        <v>0</v>
      </c>
      <c r="F65" s="256">
        <f>IF(E65=0,0,G65/E65)</f>
        <v>0</v>
      </c>
      <c r="G65" s="263">
        <f>SUM(G62:G64)</f>
        <v>0</v>
      </c>
    </row>
    <row r="66" spans="1:7" s="218" customFormat="1" ht="20.100000000000001" customHeight="1">
      <c r="A66" s="257" t="s">
        <v>169</v>
      </c>
    </row>
    <row r="67" spans="1:7" s="218" customFormat="1" ht="20.100000000000001" customHeight="1">
      <c r="A67" s="223" t="s">
        <v>233</v>
      </c>
    </row>
    <row r="68" spans="1:7" s="218" customFormat="1" ht="20.100000000000001" customHeight="1">
      <c r="A68" s="225" t="s">
        <v>234</v>
      </c>
      <c r="B68" s="225" t="s">
        <v>156</v>
      </c>
      <c r="C68" s="225" t="s">
        <v>139</v>
      </c>
      <c r="D68" s="225" t="s">
        <v>198</v>
      </c>
      <c r="E68" s="225" t="s">
        <v>235</v>
      </c>
      <c r="F68" s="225" t="s">
        <v>157</v>
      </c>
    </row>
    <row r="69" spans="1:7" s="218" customFormat="1" ht="20.100000000000001" customHeight="1">
      <c r="A69" s="265"/>
      <c r="B69" s="266"/>
      <c r="C69" s="267"/>
      <c r="D69" s="268"/>
      <c r="E69" s="243">
        <f>IF(B69=0,0,C69/B69)</f>
        <v>0</v>
      </c>
      <c r="F69" s="269"/>
    </row>
    <row r="70" spans="1:7" s="218" customFormat="1" ht="20.100000000000001" customHeight="1">
      <c r="A70" s="270"/>
      <c r="B70" s="271"/>
      <c r="C70" s="272"/>
      <c r="E70" s="244">
        <f>IF(B70=0,0,C70/B70)</f>
        <v>0</v>
      </c>
      <c r="F70" s="273"/>
    </row>
    <row r="71" spans="1:7" s="218" customFormat="1" ht="20.100000000000001" customHeight="1">
      <c r="A71" s="270"/>
      <c r="B71" s="271"/>
      <c r="C71" s="272"/>
      <c r="E71" s="244">
        <f>IF(B71=0,0,C71/B71)</f>
        <v>0</v>
      </c>
      <c r="F71" s="273"/>
    </row>
    <row r="72" spans="1:7" s="218" customFormat="1" ht="20.100000000000001" customHeight="1">
      <c r="A72" s="270"/>
      <c r="B72" s="271"/>
      <c r="C72" s="272"/>
      <c r="E72" s="244">
        <f>IF(B72=0,0,C72/B72)</f>
        <v>0</v>
      </c>
      <c r="F72" s="273"/>
    </row>
    <row r="73" spans="1:7" s="218" customFormat="1" ht="20.100000000000001" customHeight="1">
      <c r="A73" s="274"/>
      <c r="B73" s="275"/>
      <c r="C73" s="276"/>
      <c r="D73" s="255"/>
      <c r="E73" s="277">
        <f>IF(B73=0,0,C73/B73)</f>
        <v>0</v>
      </c>
      <c r="F73" s="278"/>
    </row>
    <row r="74" spans="1:7" s="218" customFormat="1" ht="20.100000000000001" customHeight="1">
      <c r="A74" s="262" t="s">
        <v>149</v>
      </c>
      <c r="B74" s="279">
        <f>SUM(B69:B73)</f>
        <v>0</v>
      </c>
      <c r="C74" s="279">
        <f t="shared" ref="C74" si="10">SUM(C69:C73)</f>
        <v>0</v>
      </c>
      <c r="D74" s="279"/>
      <c r="E74" s="279"/>
      <c r="F74" s="278"/>
    </row>
    <row r="75" spans="1:7" s="218" customFormat="1" ht="20.100000000000001" customHeight="1">
      <c r="A75" s="223" t="s">
        <v>236</v>
      </c>
    </row>
    <row r="76" spans="1:7" s="218" customFormat="1" ht="46.8">
      <c r="A76" s="280" t="s">
        <v>234</v>
      </c>
      <c r="B76" s="281" t="s">
        <v>237</v>
      </c>
      <c r="C76" s="281" t="s">
        <v>238</v>
      </c>
      <c r="D76" s="281" t="s">
        <v>239</v>
      </c>
      <c r="E76" s="281" t="s">
        <v>182</v>
      </c>
    </row>
    <row r="77" spans="1:7" s="218" customFormat="1" ht="20.100000000000001" customHeight="1">
      <c r="A77" s="282" t="e">
        <f>#REF!</f>
        <v>#REF!</v>
      </c>
      <c r="B77" s="282" t="e">
        <f>#REF!</f>
        <v>#REF!</v>
      </c>
      <c r="C77" s="282" t="e">
        <f>#REF!</f>
        <v>#REF!</v>
      </c>
      <c r="D77" s="283" t="e">
        <f>#REF!</f>
        <v>#REF!</v>
      </c>
      <c r="E77" s="283" t="e">
        <f>#REF!</f>
        <v>#REF!</v>
      </c>
    </row>
    <row r="78" spans="1:7" s="218" customFormat="1" ht="20.100000000000001" customHeight="1">
      <c r="A78" s="223" t="e">
        <f>#REF!</f>
        <v>#REF!</v>
      </c>
      <c r="B78" s="223" t="e">
        <f>#REF!</f>
        <v>#REF!</v>
      </c>
      <c r="C78" s="223" t="e">
        <f>#REF!</f>
        <v>#REF!</v>
      </c>
      <c r="D78" s="284" t="e">
        <f>#REF!</f>
        <v>#REF!</v>
      </c>
      <c r="E78" s="284" t="e">
        <f>#REF!</f>
        <v>#REF!</v>
      </c>
    </row>
    <row r="79" spans="1:7" s="218" customFormat="1" ht="20.100000000000001" customHeight="1">
      <c r="A79" s="285" t="e">
        <f>#REF!</f>
        <v>#REF!</v>
      </c>
      <c r="B79" s="285" t="e">
        <f>#REF!</f>
        <v>#REF!</v>
      </c>
      <c r="C79" s="285" t="e">
        <f>#REF!</f>
        <v>#REF!</v>
      </c>
      <c r="D79" s="286" t="e">
        <f>#REF!</f>
        <v>#REF!</v>
      </c>
      <c r="E79" s="286" t="e">
        <f>#REF!</f>
        <v>#REF!</v>
      </c>
    </row>
    <row r="80" spans="1:7" s="218" customFormat="1" ht="20.100000000000001" customHeight="1">
      <c r="A80" s="262" t="s">
        <v>240</v>
      </c>
      <c r="B80" s="262"/>
      <c r="C80" s="262"/>
      <c r="D80" s="263" t="e">
        <f>SUM(D77:D79)</f>
        <v>#REF!</v>
      </c>
      <c r="E80" s="263" t="e">
        <f>SUM(E77:E79)</f>
        <v>#REF!</v>
      </c>
    </row>
    <row r="81" spans="1:5" s="218" customFormat="1" ht="28.5" customHeight="1">
      <c r="A81" s="484" t="s">
        <v>241</v>
      </c>
      <c r="B81" s="484"/>
      <c r="C81" s="484"/>
      <c r="D81" s="484"/>
      <c r="E81" s="484"/>
    </row>
    <row r="82" spans="1:5" s="218" customFormat="1" ht="20.100000000000001" customHeight="1">
      <c r="A82" s="223" t="s">
        <v>242</v>
      </c>
    </row>
    <row r="83" spans="1:5" s="218" customFormat="1" ht="39.75" customHeight="1">
      <c r="A83" s="225" t="s">
        <v>234</v>
      </c>
      <c r="B83" s="225" t="s">
        <v>243</v>
      </c>
      <c r="C83" s="225" t="s">
        <v>186</v>
      </c>
      <c r="D83" s="225" t="s">
        <v>190</v>
      </c>
      <c r="E83" s="225" t="s">
        <v>244</v>
      </c>
    </row>
    <row r="84" spans="1:5" s="218" customFormat="1" ht="20.100000000000001" customHeight="1">
      <c r="A84" s="287" t="e">
        <f>#REF!</f>
        <v>#REF!</v>
      </c>
      <c r="B84" s="282" t="e">
        <f>#REF!</f>
        <v>#REF!</v>
      </c>
      <c r="C84" s="288" t="e">
        <f>#REF!</f>
        <v>#REF!</v>
      </c>
      <c r="D84" s="282" t="e">
        <f>#REF!</f>
        <v>#REF!</v>
      </c>
      <c r="E84" s="282" t="e">
        <f>#REF!</f>
        <v>#REF!</v>
      </c>
    </row>
    <row r="85" spans="1:5" s="218" customFormat="1" ht="20.100000000000001" customHeight="1">
      <c r="A85" s="224" t="e">
        <f>#REF!</f>
        <v>#REF!</v>
      </c>
      <c r="B85" s="223" t="e">
        <f>#REF!</f>
        <v>#REF!</v>
      </c>
      <c r="C85" s="289" t="e">
        <f>#REF!</f>
        <v>#REF!</v>
      </c>
      <c r="D85" s="223" t="e">
        <f>#REF!</f>
        <v>#REF!</v>
      </c>
      <c r="E85" s="223" t="e">
        <f>#REF!</f>
        <v>#REF!</v>
      </c>
    </row>
    <row r="86" spans="1:5" s="218" customFormat="1" ht="20.100000000000001" customHeight="1">
      <c r="A86" s="290" t="e">
        <f>#REF!</f>
        <v>#REF!</v>
      </c>
      <c r="B86" s="285" t="e">
        <f>#REF!</f>
        <v>#REF!</v>
      </c>
      <c r="C86" s="291" t="e">
        <f>#REF!</f>
        <v>#REF!</v>
      </c>
      <c r="D86" s="285" t="e">
        <f>#REF!</f>
        <v>#REF!</v>
      </c>
      <c r="E86" s="285" t="e">
        <f>#REF!</f>
        <v>#REF!</v>
      </c>
    </row>
    <row r="87" spans="1:5" s="218" customFormat="1" ht="20.100000000000001" customHeight="1">
      <c r="A87" s="292" t="s">
        <v>240</v>
      </c>
      <c r="B87" s="292" t="s">
        <v>245</v>
      </c>
      <c r="C87" s="293" t="e">
        <f>SUM(C84:C86)</f>
        <v>#REF!</v>
      </c>
      <c r="D87" s="294" t="s">
        <v>245</v>
      </c>
      <c r="E87" s="294" t="s">
        <v>245</v>
      </c>
    </row>
    <row r="88" spans="1:5" s="218" customFormat="1" ht="20.100000000000001" customHeight="1">
      <c r="A88" s="223" t="s">
        <v>246</v>
      </c>
    </row>
    <row r="89" spans="1:5" s="218" customFormat="1" ht="47.4">
      <c r="A89" s="225" t="s">
        <v>178</v>
      </c>
      <c r="B89" s="225" t="s">
        <v>206</v>
      </c>
      <c r="C89" s="225" t="s">
        <v>247</v>
      </c>
    </row>
    <row r="90" spans="1:5" s="218" customFormat="1" ht="20.100000000000001" customHeight="1">
      <c r="A90" s="287" t="e">
        <f>#REF!</f>
        <v>#REF!</v>
      </c>
      <c r="B90" s="288" t="e">
        <f>#REF!</f>
        <v>#REF!</v>
      </c>
      <c r="C90" s="288" t="e">
        <f>#REF!</f>
        <v>#REF!</v>
      </c>
    </row>
    <row r="91" spans="1:5" s="218" customFormat="1" ht="20.100000000000001" customHeight="1">
      <c r="A91" s="224" t="e">
        <f>#REF!</f>
        <v>#REF!</v>
      </c>
      <c r="B91" s="289" t="e">
        <f>#REF!</f>
        <v>#REF!</v>
      </c>
      <c r="C91" s="289" t="e">
        <f>#REF!</f>
        <v>#REF!</v>
      </c>
    </row>
    <row r="92" spans="1:5" s="218" customFormat="1" ht="20.100000000000001" customHeight="1">
      <c r="A92" s="295"/>
      <c r="B92" s="296"/>
      <c r="C92" s="296"/>
    </row>
    <row r="93" spans="1:5" s="218" customFormat="1" ht="20.100000000000001" customHeight="1">
      <c r="A93" s="297" t="s">
        <v>149</v>
      </c>
      <c r="B93" s="298" t="e">
        <f>SUM(B90:B92)</f>
        <v>#REF!</v>
      </c>
      <c r="C93" s="298" t="e">
        <f>SUM(C90:C92)</f>
        <v>#REF!</v>
      </c>
    </row>
    <row r="94" spans="1:5" s="218" customFormat="1" ht="20.100000000000001" customHeight="1">
      <c r="A94" s="223" t="s">
        <v>248</v>
      </c>
    </row>
    <row r="95" spans="1:5" s="218" customFormat="1" ht="20.100000000000001" customHeight="1">
      <c r="A95" s="299" t="s">
        <v>204</v>
      </c>
      <c r="B95" s="299" t="s">
        <v>249</v>
      </c>
    </row>
    <row r="96" spans="1:5" s="218" customFormat="1" ht="20.100000000000001" customHeight="1">
      <c r="A96" s="230" t="s">
        <v>210</v>
      </c>
      <c r="B96" s="300"/>
    </row>
    <row r="97" spans="1:7" s="218" customFormat="1" ht="20.100000000000001" customHeight="1">
      <c r="A97" s="230"/>
      <c r="B97" s="301"/>
    </row>
    <row r="98" spans="1:7" s="218" customFormat="1" ht="20.100000000000001" customHeight="1">
      <c r="A98" s="302" t="s">
        <v>211</v>
      </c>
      <c r="B98" s="303">
        <f>SUM(B97:B97)</f>
        <v>0</v>
      </c>
    </row>
    <row r="99" spans="1:7" s="218" customFormat="1" ht="20.100000000000001" customHeight="1">
      <c r="A99" s="230" t="s">
        <v>212</v>
      </c>
      <c r="B99" s="304"/>
    </row>
    <row r="100" spans="1:7" s="218" customFormat="1" ht="20.100000000000001" customHeight="1">
      <c r="A100" s="230"/>
      <c r="B100" s="305"/>
    </row>
    <row r="101" spans="1:7" s="218" customFormat="1" ht="20.100000000000001" customHeight="1">
      <c r="A101" s="264" t="s">
        <v>213</v>
      </c>
      <c r="B101" s="298">
        <f>SUM(B100:B100)</f>
        <v>0</v>
      </c>
    </row>
    <row r="102" spans="1:7" s="218" customFormat="1" ht="30" customHeight="1">
      <c r="A102" s="459" t="s">
        <v>214</v>
      </c>
      <c r="B102" s="459"/>
      <c r="C102" s="459"/>
      <c r="D102" s="459"/>
      <c r="E102" s="459"/>
      <c r="F102" s="459"/>
      <c r="G102" s="459"/>
    </row>
  </sheetData>
  <mergeCells count="25">
    <mergeCell ref="B33:C33"/>
    <mergeCell ref="E33:F33"/>
    <mergeCell ref="B44:D44"/>
    <mergeCell ref="E44:G44"/>
    <mergeCell ref="A1:G1"/>
    <mergeCell ref="A2:G2"/>
    <mergeCell ref="B8:E8"/>
    <mergeCell ref="B19:E19"/>
    <mergeCell ref="A29:E29"/>
    <mergeCell ref="A102:G102"/>
    <mergeCell ref="A8:A9"/>
    <mergeCell ref="A19:A20"/>
    <mergeCell ref="A32:A34"/>
    <mergeCell ref="A44:A45"/>
    <mergeCell ref="A52:A53"/>
    <mergeCell ref="A60:A61"/>
    <mergeCell ref="D33:D34"/>
    <mergeCell ref="G33:G34"/>
    <mergeCell ref="B52:D52"/>
    <mergeCell ref="E52:G52"/>
    <mergeCell ref="B60:D60"/>
    <mergeCell ref="E60:G60"/>
    <mergeCell ref="A81:E81"/>
    <mergeCell ref="B32:D32"/>
    <mergeCell ref="E32:G32"/>
  </mergeCells>
  <phoneticPr fontId="168" type="noConversion"/>
  <printOptions horizontalCentered="1"/>
  <pageMargins left="0.74803149606299202" right="0.55118110236220497" top="0.98425196850393704" bottom="0.23622047244094499" header="0.511811023622047" footer="0.196850393700787"/>
  <pageSetup paperSize="9" scale="67" fitToHeight="3" orientation="portrait" blackAndWhite="1" cellComments="atEnd" r:id="rId1"/>
  <headerFooter alignWithMargins="0"/>
  <rowBreaks count="3" manualBreakCount="3">
    <brk id="17" max="6" man="1"/>
    <brk id="42" max="6" man="1"/>
    <brk id="52"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81"/>
  <sheetViews>
    <sheetView view="pageBreakPreview" zoomScale="85" zoomScaleNormal="70" workbookViewId="0">
      <selection sqref="A1:I1"/>
    </sheetView>
  </sheetViews>
  <sheetFormatPr defaultColWidth="8.19921875" defaultRowHeight="20.100000000000001" customHeight="1"/>
  <cols>
    <col min="1" max="1" width="20.09765625" style="150" customWidth="1"/>
    <col min="2" max="2" width="18.69921875" style="151" customWidth="1"/>
    <col min="3" max="3" width="17.19921875" style="147" customWidth="1"/>
    <col min="4" max="4" width="22.69921875" style="151" customWidth="1"/>
    <col min="5" max="5" width="23" style="151" customWidth="1"/>
    <col min="6" max="6" width="13" style="151" customWidth="1"/>
    <col min="7" max="7" width="23.5" style="151" customWidth="1"/>
    <col min="8" max="11" width="13.19921875" style="151" customWidth="1"/>
    <col min="12" max="16384" width="8.19921875" style="151"/>
  </cols>
  <sheetData>
    <row r="1" spans="1:9" ht="20.100000000000001" customHeight="1">
      <c r="A1" s="505" t="s">
        <v>250</v>
      </c>
      <c r="B1" s="505"/>
      <c r="C1" s="505"/>
      <c r="D1" s="505"/>
      <c r="E1" s="505"/>
      <c r="F1" s="505"/>
      <c r="G1" s="505"/>
      <c r="H1" s="505"/>
      <c r="I1" s="505"/>
    </row>
    <row r="2" spans="1:9" ht="20.100000000000001" customHeight="1">
      <c r="A2" s="506" t="s">
        <v>12</v>
      </c>
      <c r="B2" s="505"/>
      <c r="C2" s="505"/>
      <c r="D2" s="505"/>
      <c r="E2" s="505"/>
      <c r="F2" s="505"/>
      <c r="G2" s="505"/>
      <c r="H2" s="505"/>
      <c r="I2" s="505"/>
    </row>
    <row r="3" spans="1:9" ht="20.100000000000001" customHeight="1">
      <c r="A3" s="152" t="str">
        <f>底稿目录!A2</f>
        <v>被审计单位名称：</v>
      </c>
      <c r="B3" s="152"/>
      <c r="C3" s="152" t="str">
        <f>底稿目录!A4</f>
        <v>编制人：</v>
      </c>
      <c r="D3" s="152"/>
      <c r="E3" s="152" t="str">
        <f>底稿目录!A5</f>
        <v>编制日期：</v>
      </c>
      <c r="F3" s="152"/>
      <c r="G3" s="152"/>
      <c r="H3" s="153" t="s">
        <v>23</v>
      </c>
    </row>
    <row r="4" spans="1:9" ht="20.100000000000001" customHeight="1">
      <c r="A4" s="152" t="str">
        <f>底稿目录!A3</f>
        <v>截止日：202X年12月31日</v>
      </c>
      <c r="B4" s="152"/>
      <c r="C4" s="152" t="str">
        <f>底稿目录!A6</f>
        <v>复核人：</v>
      </c>
      <c r="D4" s="152"/>
      <c r="E4" s="152" t="str">
        <f>底稿目录!A7</f>
        <v>复核日期：</v>
      </c>
      <c r="F4" s="152"/>
      <c r="G4" s="152"/>
      <c r="H4" s="154" t="s">
        <v>251</v>
      </c>
    </row>
    <row r="5" spans="1:9" ht="25.5" customHeight="1">
      <c r="A5" s="155" t="s">
        <v>252</v>
      </c>
      <c r="B5" s="156"/>
      <c r="C5" s="156"/>
      <c r="D5" s="156"/>
      <c r="E5" s="157"/>
      <c r="F5" s="157"/>
      <c r="G5" s="156"/>
    </row>
    <row r="6" spans="1:9" ht="14.4">
      <c r="A6" s="150" t="s">
        <v>253</v>
      </c>
      <c r="C6" s="151"/>
    </row>
    <row r="7" spans="1:9" s="146" customFormat="1" ht="14.4">
      <c r="A7" s="158" t="s">
        <v>254</v>
      </c>
      <c r="B7" s="159" t="s">
        <v>255</v>
      </c>
      <c r="C7" s="159" t="s">
        <v>256</v>
      </c>
      <c r="D7" s="151"/>
      <c r="E7" s="151"/>
      <c r="F7" s="151"/>
      <c r="G7" s="151"/>
    </row>
    <row r="8" spans="1:9" ht="14.4">
      <c r="A8" s="160" t="s">
        <v>257</v>
      </c>
      <c r="B8" s="92">
        <f>'明细表D2-2'!AC26</f>
        <v>0</v>
      </c>
      <c r="C8" s="92">
        <f>'明细表D2-2'!I26</f>
        <v>0</v>
      </c>
    </row>
    <row r="9" spans="1:9" ht="14.4">
      <c r="A9" s="160" t="s">
        <v>258</v>
      </c>
      <c r="B9" s="161"/>
      <c r="C9" s="161"/>
    </row>
    <row r="10" spans="1:9" ht="14.4">
      <c r="A10" s="160" t="s">
        <v>259</v>
      </c>
      <c r="B10" s="161"/>
      <c r="C10" s="161"/>
    </row>
    <row r="11" spans="1:9" ht="14.4">
      <c r="A11" s="160" t="s">
        <v>260</v>
      </c>
      <c r="B11" s="161"/>
      <c r="C11" s="161"/>
    </row>
    <row r="12" spans="1:9" ht="14.4">
      <c r="A12" s="160" t="s">
        <v>261</v>
      </c>
      <c r="B12" s="162">
        <f>SUM(B9:B11)</f>
        <v>0</v>
      </c>
      <c r="C12" s="162">
        <f>SUM(C9:C11)</f>
        <v>0</v>
      </c>
    </row>
    <row r="13" spans="1:9" ht="14.4">
      <c r="A13" s="160" t="s">
        <v>262</v>
      </c>
      <c r="B13" s="92">
        <f>'明细表D2-2'!AD26</f>
        <v>0</v>
      </c>
      <c r="C13" s="92">
        <f>'明细表D2-2'!J26</f>
        <v>0</v>
      </c>
    </row>
    <row r="14" spans="1:9" ht="14.4">
      <c r="A14" s="160" t="s">
        <v>263</v>
      </c>
      <c r="B14" s="92">
        <f>'明细表D2-2'!AE26</f>
        <v>0</v>
      </c>
      <c r="C14" s="92">
        <f>'明细表D2-2'!K26</f>
        <v>0</v>
      </c>
    </row>
    <row r="15" spans="1:9" ht="14.4">
      <c r="A15" s="160" t="s">
        <v>264</v>
      </c>
      <c r="B15" s="92">
        <f>'明细表D2-2'!AF26</f>
        <v>0</v>
      </c>
      <c r="C15" s="92">
        <f>'明细表D2-2'!L26</f>
        <v>0</v>
      </c>
    </row>
    <row r="16" spans="1:9" s="146" customFormat="1" ht="14.4">
      <c r="A16" s="160" t="s">
        <v>265</v>
      </c>
      <c r="B16" s="92">
        <f>'明细表D2-2'!AG26</f>
        <v>0</v>
      </c>
      <c r="C16" s="92">
        <f>'明细表D2-2'!M26</f>
        <v>0</v>
      </c>
      <c r="D16" s="151"/>
      <c r="E16" s="151"/>
      <c r="F16" s="151"/>
      <c r="G16" s="151"/>
    </row>
    <row r="17" spans="1:7" ht="14.4">
      <c r="A17" s="160" t="s">
        <v>266</v>
      </c>
      <c r="B17" s="92">
        <f>'明细表D2-2'!AH26</f>
        <v>0</v>
      </c>
      <c r="C17" s="92">
        <f>'明细表D2-2'!N26</f>
        <v>0</v>
      </c>
    </row>
    <row r="18" spans="1:7" ht="14.4">
      <c r="A18" s="163" t="s">
        <v>267</v>
      </c>
      <c r="B18" s="108">
        <f>SUM(B12:B17)</f>
        <v>0</v>
      </c>
      <c r="C18" s="108">
        <f>SUM(C12:C17)</f>
        <v>0</v>
      </c>
    </row>
    <row r="19" spans="1:7" ht="14.4">
      <c r="A19" s="164" t="s">
        <v>268</v>
      </c>
      <c r="B19" s="138"/>
      <c r="C19" s="165"/>
    </row>
    <row r="20" spans="1:7" ht="14.4">
      <c r="A20" s="166" t="s">
        <v>269</v>
      </c>
      <c r="B20" s="100">
        <f>B18-B19</f>
        <v>0</v>
      </c>
      <c r="C20" s="100">
        <f>C18-C19</f>
        <v>0</v>
      </c>
    </row>
    <row r="21" spans="1:7" ht="14.4">
      <c r="A21" s="150" t="s">
        <v>270</v>
      </c>
      <c r="C21" s="151"/>
    </row>
    <row r="22" spans="1:7" ht="14.4">
      <c r="A22" s="496" t="s">
        <v>271</v>
      </c>
      <c r="B22" s="500" t="s">
        <v>255</v>
      </c>
      <c r="C22" s="501"/>
      <c r="D22" s="501"/>
      <c r="E22" s="501"/>
      <c r="F22" s="501"/>
    </row>
    <row r="23" spans="1:7" ht="14.4">
      <c r="A23" s="497"/>
      <c r="B23" s="502" t="s">
        <v>272</v>
      </c>
      <c r="C23" s="503"/>
      <c r="D23" s="502" t="s">
        <v>273</v>
      </c>
      <c r="E23" s="504"/>
      <c r="F23" s="499" t="s">
        <v>274</v>
      </c>
    </row>
    <row r="24" spans="1:7" s="147" customFormat="1" ht="14.4">
      <c r="A24" s="498"/>
      <c r="B24" s="167" t="s">
        <v>275</v>
      </c>
      <c r="C24" s="167" t="s">
        <v>276</v>
      </c>
      <c r="D24" s="167" t="s">
        <v>275</v>
      </c>
      <c r="E24" s="167" t="s">
        <v>277</v>
      </c>
      <c r="F24" s="498"/>
      <c r="G24" s="151"/>
    </row>
    <row r="25" spans="1:7" s="148" customFormat="1" ht="14.4">
      <c r="A25" s="160" t="s">
        <v>278</v>
      </c>
      <c r="B25" s="92"/>
      <c r="C25" s="168">
        <f>IFERROR(B25/$B$36,0)</f>
        <v>0</v>
      </c>
      <c r="D25" s="92"/>
      <c r="E25" s="168">
        <f t="shared" ref="E25:E36" si="0">IFERROR(D25/B25,0)</f>
        <v>0</v>
      </c>
      <c r="F25" s="169">
        <f t="shared" ref="F25:F36" si="1">B25-D25</f>
        <v>0</v>
      </c>
      <c r="G25" s="151"/>
    </row>
    <row r="26" spans="1:7" ht="14.4">
      <c r="A26" s="160" t="s">
        <v>279</v>
      </c>
      <c r="B26" s="92"/>
      <c r="C26" s="168"/>
      <c r="D26" s="92"/>
      <c r="E26" s="168"/>
      <c r="F26" s="169"/>
    </row>
    <row r="27" spans="1:7" s="146" customFormat="1" ht="14.4">
      <c r="A27" s="160" t="s">
        <v>280</v>
      </c>
      <c r="B27" s="92"/>
      <c r="C27" s="168">
        <f>IFERROR(B27/$B$36,0)</f>
        <v>0</v>
      </c>
      <c r="D27" s="92"/>
      <c r="E27" s="168">
        <f t="shared" si="0"/>
        <v>0</v>
      </c>
      <c r="F27" s="169">
        <f t="shared" si="1"/>
        <v>0</v>
      </c>
      <c r="G27" s="151"/>
    </row>
    <row r="28" spans="1:7" ht="14.4">
      <c r="A28" s="160" t="s">
        <v>280</v>
      </c>
      <c r="B28" s="92"/>
      <c r="C28" s="168">
        <f>IFERROR(B28/$B$36,0)</f>
        <v>0</v>
      </c>
      <c r="D28" s="92"/>
      <c r="E28" s="168">
        <f t="shared" si="0"/>
        <v>0</v>
      </c>
      <c r="F28" s="169">
        <f t="shared" si="1"/>
        <v>0</v>
      </c>
    </row>
    <row r="29" spans="1:7" ht="43.2">
      <c r="A29" s="160" t="s">
        <v>281</v>
      </c>
      <c r="B29" s="92"/>
      <c r="C29" s="168">
        <f>IFERROR(B29/$B$36,0)</f>
        <v>0</v>
      </c>
      <c r="D29" s="92"/>
      <c r="E29" s="168">
        <f t="shared" si="0"/>
        <v>0</v>
      </c>
      <c r="F29" s="169">
        <f t="shared" si="1"/>
        <v>0</v>
      </c>
    </row>
    <row r="30" spans="1:7" ht="14.4">
      <c r="A30" s="160" t="s">
        <v>279</v>
      </c>
      <c r="B30" s="170"/>
      <c r="C30" s="168"/>
      <c r="D30" s="170"/>
      <c r="E30" s="168"/>
      <c r="F30" s="169">
        <f t="shared" si="1"/>
        <v>0</v>
      </c>
    </row>
    <row r="31" spans="1:7" ht="14.4">
      <c r="A31" s="171"/>
      <c r="B31" s="92"/>
      <c r="C31" s="168">
        <f t="shared" ref="C31:C35" si="2">IFERROR(B31/$B$36,0)</f>
        <v>0</v>
      </c>
      <c r="D31" s="92"/>
      <c r="E31" s="168">
        <f t="shared" si="0"/>
        <v>0</v>
      </c>
      <c r="F31" s="169">
        <f t="shared" si="1"/>
        <v>0</v>
      </c>
    </row>
    <row r="32" spans="1:7" ht="14.4">
      <c r="A32" s="171"/>
      <c r="B32" s="92"/>
      <c r="C32" s="168">
        <f t="shared" si="2"/>
        <v>0</v>
      </c>
      <c r="D32" s="92"/>
      <c r="E32" s="168"/>
      <c r="F32" s="169"/>
    </row>
    <row r="33" spans="1:7" ht="14.4">
      <c r="A33" s="171"/>
      <c r="B33" s="92"/>
      <c r="C33" s="168">
        <f t="shared" si="2"/>
        <v>0</v>
      </c>
      <c r="D33" s="92"/>
      <c r="E33" s="168"/>
      <c r="F33" s="169"/>
    </row>
    <row r="34" spans="1:7" ht="14.4">
      <c r="A34" s="171"/>
      <c r="B34" s="92"/>
      <c r="C34" s="168">
        <f t="shared" si="2"/>
        <v>0</v>
      </c>
      <c r="D34" s="92"/>
      <c r="E34" s="168"/>
      <c r="F34" s="169"/>
    </row>
    <row r="35" spans="1:7" ht="14.4">
      <c r="A35" s="172"/>
      <c r="B35" s="138"/>
      <c r="C35" s="168">
        <f t="shared" si="2"/>
        <v>0</v>
      </c>
      <c r="D35" s="138"/>
      <c r="E35" s="168">
        <f t="shared" si="0"/>
        <v>0</v>
      </c>
      <c r="F35" s="169">
        <f t="shared" si="1"/>
        <v>0</v>
      </c>
    </row>
    <row r="36" spans="1:7" ht="14.4">
      <c r="A36" s="173" t="s">
        <v>269</v>
      </c>
      <c r="B36" s="174">
        <f>B25+B29</f>
        <v>0</v>
      </c>
      <c r="C36" s="175"/>
      <c r="D36" s="174">
        <f>D25+D29</f>
        <v>0</v>
      </c>
      <c r="E36" s="176">
        <f t="shared" si="0"/>
        <v>0</v>
      </c>
      <c r="F36" s="177">
        <f t="shared" si="1"/>
        <v>0</v>
      </c>
    </row>
    <row r="37" spans="1:7" ht="14.4">
      <c r="A37" s="150" t="s">
        <v>282</v>
      </c>
      <c r="C37" s="151"/>
    </row>
    <row r="38" spans="1:7" s="149" customFormat="1" ht="14.4">
      <c r="A38" s="496" t="s">
        <v>271</v>
      </c>
      <c r="B38" s="500" t="s">
        <v>256</v>
      </c>
      <c r="C38" s="501"/>
      <c r="D38" s="501"/>
      <c r="E38" s="501"/>
      <c r="F38" s="501"/>
      <c r="G38" s="151"/>
    </row>
    <row r="39" spans="1:7" ht="14.4">
      <c r="A39" s="497"/>
      <c r="B39" s="502" t="s">
        <v>272</v>
      </c>
      <c r="C39" s="503"/>
      <c r="D39" s="502" t="s">
        <v>273</v>
      </c>
      <c r="E39" s="504"/>
      <c r="F39" s="499" t="s">
        <v>274</v>
      </c>
    </row>
    <row r="40" spans="1:7" ht="14.4">
      <c r="A40" s="498"/>
      <c r="B40" s="167" t="s">
        <v>275</v>
      </c>
      <c r="C40" s="167" t="s">
        <v>276</v>
      </c>
      <c r="D40" s="167" t="s">
        <v>275</v>
      </c>
      <c r="E40" s="167" t="s">
        <v>277</v>
      </c>
      <c r="F40" s="498"/>
    </row>
    <row r="41" spans="1:7" s="146" customFormat="1" ht="14.4">
      <c r="A41" s="160" t="s">
        <v>278</v>
      </c>
      <c r="B41" s="161"/>
      <c r="C41" s="178">
        <f t="shared" ref="C41:C48" si="3">IFERROR(B41/$B$36,0)</f>
        <v>0</v>
      </c>
      <c r="D41" s="161"/>
      <c r="E41" s="178">
        <f t="shared" ref="E41:E49" si="4">IFERROR(D41/B41,0)</f>
        <v>0</v>
      </c>
      <c r="F41" s="169">
        <f t="shared" ref="F41:F49" si="5">B41-D41</f>
        <v>0</v>
      </c>
      <c r="G41" s="151"/>
    </row>
    <row r="42" spans="1:7" ht="14.4">
      <c r="A42" s="160" t="s">
        <v>279</v>
      </c>
      <c r="B42" s="161"/>
      <c r="C42" s="178">
        <f t="shared" si="3"/>
        <v>0</v>
      </c>
      <c r="D42" s="161"/>
      <c r="E42" s="178">
        <f t="shared" si="4"/>
        <v>0</v>
      </c>
      <c r="F42" s="169">
        <f t="shared" si="5"/>
        <v>0</v>
      </c>
    </row>
    <row r="43" spans="1:7" ht="14.4">
      <c r="A43" s="160" t="s">
        <v>280</v>
      </c>
      <c r="B43" s="161"/>
      <c r="C43" s="178">
        <f t="shared" si="3"/>
        <v>0</v>
      </c>
      <c r="D43" s="161"/>
      <c r="E43" s="178">
        <f t="shared" si="4"/>
        <v>0</v>
      </c>
      <c r="F43" s="169">
        <f t="shared" si="5"/>
        <v>0</v>
      </c>
    </row>
    <row r="44" spans="1:7" ht="14.4">
      <c r="A44" s="160" t="s">
        <v>280</v>
      </c>
      <c r="B44" s="161"/>
      <c r="C44" s="178">
        <f t="shared" si="3"/>
        <v>0</v>
      </c>
      <c r="D44" s="161"/>
      <c r="E44" s="178">
        <f t="shared" si="4"/>
        <v>0</v>
      </c>
      <c r="F44" s="169">
        <f t="shared" si="5"/>
        <v>0</v>
      </c>
    </row>
    <row r="45" spans="1:7" ht="43.2">
      <c r="A45" s="160" t="s">
        <v>281</v>
      </c>
      <c r="B45" s="161"/>
      <c r="C45" s="178">
        <f t="shared" si="3"/>
        <v>0</v>
      </c>
      <c r="D45" s="161"/>
      <c r="E45" s="178">
        <f t="shared" si="4"/>
        <v>0</v>
      </c>
      <c r="F45" s="169">
        <f t="shared" si="5"/>
        <v>0</v>
      </c>
    </row>
    <row r="46" spans="1:7" ht="14.4">
      <c r="A46" s="160" t="s">
        <v>279</v>
      </c>
      <c r="B46" s="161"/>
      <c r="C46" s="178">
        <f t="shared" si="3"/>
        <v>0</v>
      </c>
      <c r="D46" s="161"/>
      <c r="E46" s="178">
        <f t="shared" si="4"/>
        <v>0</v>
      </c>
      <c r="F46" s="169">
        <f t="shared" si="5"/>
        <v>0</v>
      </c>
    </row>
    <row r="47" spans="1:7" ht="14.4">
      <c r="A47" s="171" t="s">
        <v>283</v>
      </c>
      <c r="B47" s="161"/>
      <c r="C47" s="178">
        <f t="shared" si="3"/>
        <v>0</v>
      </c>
      <c r="D47" s="161"/>
      <c r="E47" s="178">
        <f t="shared" si="4"/>
        <v>0</v>
      </c>
      <c r="F47" s="169">
        <f t="shared" si="5"/>
        <v>0</v>
      </c>
    </row>
    <row r="48" spans="1:7" ht="14.4">
      <c r="A48" s="172" t="s">
        <v>284</v>
      </c>
      <c r="B48" s="165"/>
      <c r="C48" s="178">
        <f t="shared" si="3"/>
        <v>0</v>
      </c>
      <c r="D48" s="165"/>
      <c r="E48" s="178">
        <f t="shared" si="4"/>
        <v>0</v>
      </c>
      <c r="F48" s="169">
        <f t="shared" si="5"/>
        <v>0</v>
      </c>
    </row>
    <row r="49" spans="1:7" s="149" customFormat="1" ht="14.4">
      <c r="A49" s="173" t="s">
        <v>269</v>
      </c>
      <c r="B49" s="179">
        <f>B41+B45</f>
        <v>0</v>
      </c>
      <c r="C49" s="180"/>
      <c r="D49" s="179">
        <f>D41+D45</f>
        <v>0</v>
      </c>
      <c r="E49" s="181">
        <f t="shared" si="4"/>
        <v>0</v>
      </c>
      <c r="F49" s="177">
        <f t="shared" si="5"/>
        <v>0</v>
      </c>
      <c r="G49" s="151"/>
    </row>
    <row r="50" spans="1:7" ht="14.4">
      <c r="A50" s="150" t="s">
        <v>285</v>
      </c>
      <c r="C50" s="151"/>
    </row>
    <row r="51" spans="1:7" ht="14.4">
      <c r="A51" s="496" t="s">
        <v>286</v>
      </c>
      <c r="B51" s="500" t="s">
        <v>255</v>
      </c>
      <c r="C51" s="501"/>
      <c r="D51" s="501"/>
      <c r="E51" s="501"/>
    </row>
    <row r="52" spans="1:7" s="146" customFormat="1" ht="14.4">
      <c r="A52" s="498"/>
      <c r="B52" s="167" t="s">
        <v>272</v>
      </c>
      <c r="C52" s="167" t="s">
        <v>273</v>
      </c>
      <c r="D52" s="167" t="s">
        <v>287</v>
      </c>
      <c r="E52" s="167" t="s">
        <v>288</v>
      </c>
      <c r="F52" s="151"/>
      <c r="G52" s="151"/>
    </row>
    <row r="53" spans="1:7" ht="14.4">
      <c r="A53" s="182"/>
      <c r="B53" s="92"/>
      <c r="C53" s="92"/>
      <c r="D53" s="168">
        <f>IFERROR(C53/B53,0)</f>
        <v>0</v>
      </c>
      <c r="E53" s="161"/>
    </row>
    <row r="54" spans="1:7" ht="14.4">
      <c r="A54" s="182"/>
      <c r="B54" s="92"/>
      <c r="C54" s="92"/>
      <c r="D54" s="168">
        <f>IFERROR(C54/B54,0)</f>
        <v>0</v>
      </c>
      <c r="E54" s="161"/>
    </row>
    <row r="55" spans="1:7" ht="14.4">
      <c r="A55" s="183"/>
      <c r="B55" s="184"/>
      <c r="C55" s="184"/>
      <c r="D55" s="168">
        <f>IFERROR(C55/B55,0)</f>
        <v>0</v>
      </c>
      <c r="E55" s="165"/>
    </row>
    <row r="56" spans="1:7" ht="14.4">
      <c r="A56" s="185" t="s">
        <v>269</v>
      </c>
      <c r="B56" s="174">
        <f>SUM(B53:B55)</f>
        <v>0</v>
      </c>
      <c r="C56" s="174">
        <f>SUM(C53:C55)</f>
        <v>0</v>
      </c>
      <c r="D56" s="176">
        <f>IFERROR(C56/B56,0)</f>
        <v>0</v>
      </c>
      <c r="E56" s="167" t="s">
        <v>289</v>
      </c>
    </row>
    <row r="57" spans="1:7" ht="14.4">
      <c r="A57" s="150" t="s">
        <v>282</v>
      </c>
      <c r="C57" s="151"/>
    </row>
    <row r="58" spans="1:7" ht="14.4">
      <c r="A58" s="496" t="s">
        <v>286</v>
      </c>
      <c r="B58" s="500" t="s">
        <v>256</v>
      </c>
      <c r="C58" s="501"/>
      <c r="D58" s="501"/>
      <c r="E58" s="501"/>
    </row>
    <row r="59" spans="1:7" ht="14.4">
      <c r="A59" s="498"/>
      <c r="B59" s="167" t="s">
        <v>272</v>
      </c>
      <c r="C59" s="167" t="s">
        <v>273</v>
      </c>
      <c r="D59" s="167" t="s">
        <v>287</v>
      </c>
      <c r="E59" s="167" t="s">
        <v>288</v>
      </c>
    </row>
    <row r="60" spans="1:7" ht="14.4">
      <c r="A60" s="160"/>
      <c r="B60" s="161"/>
      <c r="C60" s="161"/>
      <c r="D60" s="178">
        <f>IFERROR(C60/B60,0)</f>
        <v>0</v>
      </c>
      <c r="E60" s="161"/>
    </row>
    <row r="61" spans="1:7" ht="14.4">
      <c r="A61" s="160"/>
      <c r="B61" s="161"/>
      <c r="C61" s="161"/>
      <c r="D61" s="178">
        <f>IFERROR(C61/B61,0)</f>
        <v>0</v>
      </c>
      <c r="E61" s="161"/>
    </row>
    <row r="62" spans="1:7" ht="14.4">
      <c r="A62" s="164"/>
      <c r="B62" s="165"/>
      <c r="C62" s="165"/>
      <c r="D62" s="178">
        <f>IFERROR(C62/B62,0)</f>
        <v>0</v>
      </c>
      <c r="E62" s="165"/>
    </row>
    <row r="63" spans="1:7" ht="14.4">
      <c r="A63" s="166" t="s">
        <v>269</v>
      </c>
      <c r="B63" s="179">
        <f>SUM(B60:B62)</f>
        <v>0</v>
      </c>
      <c r="C63" s="179">
        <f>SUM(C60:C62)</f>
        <v>0</v>
      </c>
      <c r="D63" s="181">
        <f>IFERROR(C63/B63,0)</f>
        <v>0</v>
      </c>
      <c r="E63" s="167" t="s">
        <v>289</v>
      </c>
    </row>
    <row r="64" spans="1:7" s="149" customFormat="1" ht="14.4">
      <c r="A64" s="150" t="s">
        <v>290</v>
      </c>
      <c r="B64" s="151"/>
      <c r="C64" s="151"/>
      <c r="D64" s="151"/>
      <c r="E64" s="151"/>
      <c r="F64" s="151"/>
      <c r="G64" s="151"/>
    </row>
    <row r="65" spans="1:7" s="149" customFormat="1" ht="14.4">
      <c r="A65" s="150" t="s">
        <v>291</v>
      </c>
      <c r="B65" s="151"/>
      <c r="C65" s="151"/>
      <c r="D65" s="151"/>
      <c r="E65" s="151"/>
      <c r="F65" s="151"/>
      <c r="G65" s="151"/>
    </row>
    <row r="66" spans="1:7" ht="14.4">
      <c r="A66" s="496"/>
      <c r="B66" s="500" t="s">
        <v>255</v>
      </c>
      <c r="C66" s="501"/>
      <c r="D66" s="501"/>
      <c r="E66" s="500" t="s">
        <v>256</v>
      </c>
      <c r="F66" s="501"/>
      <c r="G66" s="501"/>
    </row>
    <row r="67" spans="1:7" ht="14.4">
      <c r="A67" s="498"/>
      <c r="B67" s="167" t="s">
        <v>26</v>
      </c>
      <c r="C67" s="167" t="s">
        <v>273</v>
      </c>
      <c r="D67" s="167" t="s">
        <v>277</v>
      </c>
      <c r="E67" s="167" t="s">
        <v>26</v>
      </c>
      <c r="F67" s="167" t="s">
        <v>273</v>
      </c>
      <c r="G67" s="167" t="s">
        <v>277</v>
      </c>
    </row>
    <row r="68" spans="1:7" ht="14.4">
      <c r="A68" s="171" t="s">
        <v>257</v>
      </c>
      <c r="B68" s="92"/>
      <c r="C68" s="92"/>
      <c r="D68" s="178">
        <f>IFERROR(C68/B68,0)</f>
        <v>0</v>
      </c>
      <c r="E68" s="161"/>
      <c r="F68" s="161"/>
      <c r="G68" s="178">
        <f>IFERROR(F68/E68,0)</f>
        <v>0</v>
      </c>
    </row>
    <row r="69" spans="1:7" ht="14.4">
      <c r="A69" s="171" t="s">
        <v>292</v>
      </c>
      <c r="B69" s="92"/>
      <c r="C69" s="92"/>
      <c r="D69" s="178">
        <f>IFERROR(C69/B69,0)</f>
        <v>0</v>
      </c>
      <c r="E69" s="161"/>
      <c r="F69" s="161"/>
      <c r="G69" s="178">
        <f>IFERROR(F69/E69,0)</f>
        <v>0</v>
      </c>
    </row>
    <row r="70" spans="1:7" ht="14.4">
      <c r="A70" s="171" t="s">
        <v>293</v>
      </c>
      <c r="B70" s="92"/>
      <c r="C70" s="92"/>
      <c r="D70" s="178"/>
      <c r="E70" s="161"/>
      <c r="F70" s="161"/>
      <c r="G70" s="178"/>
    </row>
    <row r="71" spans="1:7" ht="14.4">
      <c r="A71" s="171" t="s">
        <v>294</v>
      </c>
      <c r="B71" s="92"/>
      <c r="C71" s="92"/>
      <c r="D71" s="178"/>
      <c r="E71" s="161"/>
      <c r="F71" s="161"/>
      <c r="G71" s="178"/>
    </row>
    <row r="72" spans="1:7" ht="14.4">
      <c r="A72" s="171" t="s">
        <v>295</v>
      </c>
      <c r="B72" s="92"/>
      <c r="C72" s="92"/>
      <c r="D72" s="178">
        <f>IFERROR(C72/B72,0)</f>
        <v>0</v>
      </c>
      <c r="E72" s="161"/>
      <c r="F72" s="161"/>
      <c r="G72" s="178">
        <f>IFERROR(F72/E72,0)</f>
        <v>0</v>
      </c>
    </row>
    <row r="73" spans="1:7" ht="14.4">
      <c r="A73" s="172" t="s">
        <v>266</v>
      </c>
      <c r="B73" s="138"/>
      <c r="C73" s="138"/>
      <c r="D73" s="178">
        <f>IFERROR(C73/B73,0)</f>
        <v>0</v>
      </c>
      <c r="E73" s="165"/>
      <c r="F73" s="165"/>
      <c r="G73" s="178">
        <f>IFERROR(F73/E73,0)</f>
        <v>0</v>
      </c>
    </row>
    <row r="74" spans="1:7" ht="14.4">
      <c r="A74" s="173" t="s">
        <v>269</v>
      </c>
      <c r="B74" s="179"/>
      <c r="C74" s="179"/>
      <c r="D74" s="181">
        <f>IFERROR(C74/B74,0)</f>
        <v>0</v>
      </c>
      <c r="E74" s="179">
        <f>SUM(E68:E73)</f>
        <v>0</v>
      </c>
      <c r="F74" s="179">
        <f>SUM(F68:F73)</f>
        <v>0</v>
      </c>
      <c r="G74" s="181">
        <f>IFERROR(F74/E74,0)</f>
        <v>0</v>
      </c>
    </row>
    <row r="75" spans="1:7" ht="14.4">
      <c r="A75" s="150" t="s">
        <v>296</v>
      </c>
      <c r="C75" s="151"/>
    </row>
    <row r="76" spans="1:7" ht="14.4">
      <c r="A76" s="496"/>
      <c r="B76" s="500" t="s">
        <v>255</v>
      </c>
      <c r="C76" s="501"/>
      <c r="D76" s="501"/>
      <c r="E76" s="500" t="s">
        <v>256</v>
      </c>
      <c r="F76" s="501"/>
      <c r="G76" s="501"/>
    </row>
    <row r="77" spans="1:7" s="149" customFormat="1" ht="14.4">
      <c r="A77" s="498"/>
      <c r="B77" s="167" t="s">
        <v>26</v>
      </c>
      <c r="C77" s="167" t="s">
        <v>273</v>
      </c>
      <c r="D77" s="167" t="s">
        <v>277</v>
      </c>
      <c r="E77" s="167" t="s">
        <v>26</v>
      </c>
      <c r="F77" s="167" t="s">
        <v>273</v>
      </c>
      <c r="G77" s="167" t="s">
        <v>277</v>
      </c>
    </row>
    <row r="78" spans="1:7" s="149" customFormat="1" ht="14.4">
      <c r="A78" s="171" t="s">
        <v>257</v>
      </c>
      <c r="B78" s="92"/>
      <c r="C78" s="92"/>
      <c r="D78" s="178">
        <f>IFERROR(C78/B78,0)</f>
        <v>0</v>
      </c>
      <c r="E78" s="161"/>
      <c r="F78" s="161"/>
      <c r="G78" s="178">
        <f>IFERROR(F78/E78,0)</f>
        <v>0</v>
      </c>
    </row>
    <row r="79" spans="1:7" s="149" customFormat="1" ht="14.4">
      <c r="A79" s="171" t="s">
        <v>292</v>
      </c>
      <c r="B79" s="92"/>
      <c r="C79" s="92"/>
      <c r="D79" s="178">
        <f>IFERROR(C79/B79,0)</f>
        <v>0</v>
      </c>
      <c r="E79" s="161"/>
      <c r="F79" s="161"/>
      <c r="G79" s="178">
        <f>IFERROR(F79/E79,0)</f>
        <v>0</v>
      </c>
    </row>
    <row r="80" spans="1:7" s="149" customFormat="1" ht="14.4">
      <c r="A80" s="171" t="s">
        <v>293</v>
      </c>
      <c r="B80" s="92"/>
      <c r="C80" s="92"/>
      <c r="D80" s="178"/>
      <c r="E80" s="161"/>
      <c r="F80" s="161"/>
      <c r="G80" s="178"/>
    </row>
    <row r="81" spans="1:7" s="149" customFormat="1" ht="14.4">
      <c r="A81" s="171" t="s">
        <v>294</v>
      </c>
      <c r="B81" s="92"/>
      <c r="C81" s="92"/>
      <c r="D81" s="178"/>
      <c r="E81" s="161"/>
      <c r="F81" s="161"/>
      <c r="G81" s="178"/>
    </row>
    <row r="82" spans="1:7" s="149" customFormat="1" ht="14.4">
      <c r="A82" s="171" t="s">
        <v>295</v>
      </c>
      <c r="B82" s="92"/>
      <c r="C82" s="92"/>
      <c r="D82" s="178">
        <f>IFERROR(C82/B82,0)</f>
        <v>0</v>
      </c>
      <c r="E82" s="161"/>
      <c r="F82" s="161"/>
      <c r="G82" s="178">
        <f>IFERROR(F82/E82,0)</f>
        <v>0</v>
      </c>
    </row>
    <row r="83" spans="1:7" s="149" customFormat="1" ht="14.4">
      <c r="A83" s="172" t="s">
        <v>266</v>
      </c>
      <c r="B83" s="138"/>
      <c r="C83" s="138"/>
      <c r="D83" s="178">
        <f>IFERROR(C83/B83,0)</f>
        <v>0</v>
      </c>
      <c r="E83" s="165"/>
      <c r="F83" s="165"/>
      <c r="G83" s="178">
        <f>IFERROR(F83/E83,0)</f>
        <v>0</v>
      </c>
    </row>
    <row r="84" spans="1:7" s="149" customFormat="1" ht="14.4">
      <c r="A84" s="173" t="s">
        <v>269</v>
      </c>
      <c r="B84" s="179"/>
      <c r="C84" s="179"/>
      <c r="D84" s="181">
        <f>IFERROR(C84/B84,0)</f>
        <v>0</v>
      </c>
      <c r="E84" s="179">
        <f>SUM(E78:E83)</f>
        <v>0</v>
      </c>
      <c r="F84" s="179">
        <f>SUM(F78:F83)</f>
        <v>0</v>
      </c>
      <c r="G84" s="181">
        <f>IFERROR(F84/E84,0)</f>
        <v>0</v>
      </c>
    </row>
    <row r="85" spans="1:7" s="149" customFormat="1" ht="14.4">
      <c r="A85" s="150" t="s">
        <v>297</v>
      </c>
      <c r="B85" s="151"/>
      <c r="C85" s="151"/>
      <c r="D85" s="151"/>
      <c r="E85" s="151"/>
      <c r="F85" s="151"/>
      <c r="G85" s="151"/>
    </row>
    <row r="86" spans="1:7" s="149" customFormat="1" ht="14.4">
      <c r="A86" s="496"/>
      <c r="B86" s="500" t="s">
        <v>255</v>
      </c>
      <c r="C86" s="501"/>
      <c r="D86" s="501"/>
      <c r="E86" s="500" t="s">
        <v>256</v>
      </c>
      <c r="F86" s="501"/>
      <c r="G86" s="501"/>
    </row>
    <row r="87" spans="1:7" s="149" customFormat="1" ht="14.4">
      <c r="A87" s="498"/>
      <c r="B87" s="167" t="s">
        <v>26</v>
      </c>
      <c r="C87" s="167" t="s">
        <v>273</v>
      </c>
      <c r="D87" s="167" t="s">
        <v>277</v>
      </c>
      <c r="E87" s="167" t="s">
        <v>26</v>
      </c>
      <c r="F87" s="167" t="s">
        <v>273</v>
      </c>
      <c r="G87" s="167" t="s">
        <v>277</v>
      </c>
    </row>
    <row r="88" spans="1:7" s="149" customFormat="1" ht="14.4">
      <c r="A88" s="171" t="s">
        <v>257</v>
      </c>
      <c r="B88" s="92"/>
      <c r="C88" s="92"/>
      <c r="D88" s="178">
        <f>IFERROR(C88/B88,0)</f>
        <v>0</v>
      </c>
      <c r="E88" s="161"/>
      <c r="F88" s="161"/>
      <c r="G88" s="178">
        <f>IFERROR(F88/E88,0)</f>
        <v>0</v>
      </c>
    </row>
    <row r="89" spans="1:7" s="149" customFormat="1" ht="14.4">
      <c r="A89" s="171" t="s">
        <v>292</v>
      </c>
      <c r="B89" s="92"/>
      <c r="C89" s="92"/>
      <c r="D89" s="178"/>
      <c r="E89" s="161"/>
      <c r="F89" s="161"/>
      <c r="G89" s="178"/>
    </row>
    <row r="90" spans="1:7" s="149" customFormat="1" ht="14.4">
      <c r="A90" s="171" t="s">
        <v>293</v>
      </c>
      <c r="B90" s="92"/>
      <c r="C90" s="92"/>
      <c r="D90" s="178">
        <f>IFERROR(C90/B90,0)</f>
        <v>0</v>
      </c>
      <c r="E90" s="161"/>
      <c r="F90" s="161"/>
      <c r="G90" s="178">
        <f>IFERROR(F90/E90,0)</f>
        <v>0</v>
      </c>
    </row>
    <row r="91" spans="1:7" s="149" customFormat="1" ht="14.4">
      <c r="A91" s="171" t="s">
        <v>294</v>
      </c>
      <c r="B91" s="92"/>
      <c r="C91" s="92"/>
      <c r="D91" s="178"/>
      <c r="E91" s="161"/>
      <c r="F91" s="161"/>
      <c r="G91" s="178"/>
    </row>
    <row r="92" spans="1:7" ht="14.4">
      <c r="A92" s="171" t="s">
        <v>295</v>
      </c>
      <c r="B92" s="92"/>
      <c r="C92" s="92"/>
      <c r="D92" s="178">
        <f>IFERROR(C92/B92,0)</f>
        <v>0</v>
      </c>
      <c r="E92" s="161"/>
      <c r="F92" s="161"/>
      <c r="G92" s="178">
        <f>IFERROR(F92/E92,0)</f>
        <v>0</v>
      </c>
    </row>
    <row r="93" spans="1:7" s="147" customFormat="1" ht="21.75" customHeight="1">
      <c r="A93" s="172" t="s">
        <v>266</v>
      </c>
      <c r="B93" s="138"/>
      <c r="C93" s="138"/>
      <c r="D93" s="178">
        <f>IFERROR(C93/B93,0)</f>
        <v>0</v>
      </c>
      <c r="E93" s="165"/>
      <c r="F93" s="165"/>
      <c r="G93" s="178">
        <f>IFERROR(F93/E93,0)</f>
        <v>0</v>
      </c>
    </row>
    <row r="94" spans="1:7" ht="21.75" customHeight="1">
      <c r="A94" s="173" t="s">
        <v>269</v>
      </c>
      <c r="B94" s="179"/>
      <c r="C94" s="179"/>
      <c r="D94" s="181">
        <f>IFERROR(C94/B94,0)</f>
        <v>0</v>
      </c>
      <c r="E94" s="179">
        <f>SUM(E88:E93)</f>
        <v>0</v>
      </c>
      <c r="F94" s="179">
        <f>SUM(F88:F93)</f>
        <v>0</v>
      </c>
      <c r="G94" s="181">
        <f>IFERROR(F94/E94,0)</f>
        <v>0</v>
      </c>
    </row>
    <row r="95" spans="1:7" ht="21.75" customHeight="1">
      <c r="A95" s="150" t="s">
        <v>298</v>
      </c>
      <c r="C95" s="151"/>
    </row>
    <row r="96" spans="1:7" ht="21.75" customHeight="1">
      <c r="A96" s="496"/>
      <c r="B96" s="500" t="s">
        <v>255</v>
      </c>
      <c r="C96" s="501"/>
      <c r="D96" s="501"/>
      <c r="E96" s="500" t="s">
        <v>256</v>
      </c>
      <c r="F96" s="501"/>
      <c r="G96" s="501"/>
    </row>
    <row r="97" spans="1:7" ht="21.75" customHeight="1">
      <c r="A97" s="498"/>
      <c r="B97" s="167" t="s">
        <v>26</v>
      </c>
      <c r="C97" s="167" t="s">
        <v>273</v>
      </c>
      <c r="D97" s="167" t="s">
        <v>277</v>
      </c>
      <c r="E97" s="167" t="s">
        <v>26</v>
      </c>
      <c r="F97" s="167" t="s">
        <v>273</v>
      </c>
      <c r="G97" s="167" t="s">
        <v>277</v>
      </c>
    </row>
    <row r="98" spans="1:7" ht="21.75" customHeight="1">
      <c r="A98" s="171" t="s">
        <v>257</v>
      </c>
      <c r="B98" s="92"/>
      <c r="C98" s="92"/>
      <c r="D98" s="178">
        <f>IFERROR(C98/B98,0)</f>
        <v>0</v>
      </c>
      <c r="E98" s="161"/>
      <c r="F98" s="161"/>
      <c r="G98" s="178">
        <f>IFERROR(F98/E98,0)</f>
        <v>0</v>
      </c>
    </row>
    <row r="99" spans="1:7" ht="21.75" customHeight="1">
      <c r="A99" s="171" t="s">
        <v>292</v>
      </c>
      <c r="B99" s="92"/>
      <c r="C99" s="92"/>
      <c r="D99" s="178">
        <f>IFERROR(C99/B99,0)</f>
        <v>0</v>
      </c>
      <c r="E99" s="161"/>
      <c r="F99" s="161"/>
      <c r="G99" s="178">
        <f>IFERROR(F99/E99,0)</f>
        <v>0</v>
      </c>
    </row>
    <row r="100" spans="1:7" ht="21.75" customHeight="1">
      <c r="A100" s="171" t="s">
        <v>293</v>
      </c>
      <c r="B100" s="92"/>
      <c r="C100" s="92"/>
      <c r="D100" s="178"/>
      <c r="E100" s="161"/>
      <c r="F100" s="161"/>
      <c r="G100" s="178"/>
    </row>
    <row r="101" spans="1:7" ht="21.75" customHeight="1">
      <c r="A101" s="171" t="s">
        <v>294</v>
      </c>
      <c r="B101" s="92"/>
      <c r="C101" s="92"/>
      <c r="D101" s="178"/>
      <c r="E101" s="161"/>
      <c r="F101" s="161"/>
      <c r="G101" s="178"/>
    </row>
    <row r="102" spans="1:7" ht="14.4">
      <c r="A102" s="171" t="s">
        <v>295</v>
      </c>
      <c r="B102" s="92"/>
      <c r="C102" s="92"/>
      <c r="D102" s="178">
        <f>IFERROR(C102/B102,0)</f>
        <v>0</v>
      </c>
      <c r="E102" s="161"/>
      <c r="F102" s="161"/>
      <c r="G102" s="178">
        <f>IFERROR(F102/E102,0)</f>
        <v>0</v>
      </c>
    </row>
    <row r="103" spans="1:7" ht="21.75" customHeight="1">
      <c r="A103" s="172" t="s">
        <v>266</v>
      </c>
      <c r="B103" s="138"/>
      <c r="C103" s="138"/>
      <c r="D103" s="178">
        <f>IFERROR(C103/B103,0)</f>
        <v>0</v>
      </c>
      <c r="E103" s="165"/>
      <c r="F103" s="165"/>
      <c r="G103" s="178">
        <f>IFERROR(F103/E103,0)</f>
        <v>0</v>
      </c>
    </row>
    <row r="104" spans="1:7" ht="21.75" customHeight="1">
      <c r="A104" s="173" t="s">
        <v>269</v>
      </c>
      <c r="B104" s="179"/>
      <c r="C104" s="179"/>
      <c r="D104" s="181">
        <f>IFERROR(C104/B104,0)</f>
        <v>0</v>
      </c>
      <c r="E104" s="179">
        <f>SUM(E98:E103)</f>
        <v>0</v>
      </c>
      <c r="F104" s="179">
        <f>SUM(F98:F103)</f>
        <v>0</v>
      </c>
      <c r="G104" s="181">
        <f>IFERROR(F104/E104,0)</f>
        <v>0</v>
      </c>
    </row>
    <row r="105" spans="1:7" ht="21.75" customHeight="1">
      <c r="A105" s="150" t="s">
        <v>299</v>
      </c>
      <c r="C105" s="151"/>
    </row>
    <row r="106" spans="1:7" s="146" customFormat="1" ht="24" customHeight="1">
      <c r="A106" s="496"/>
      <c r="B106" s="500" t="s">
        <v>255</v>
      </c>
      <c r="C106" s="501"/>
      <c r="D106" s="501"/>
      <c r="E106" s="500" t="s">
        <v>256</v>
      </c>
      <c r="F106" s="501"/>
      <c r="G106" s="501"/>
    </row>
    <row r="107" spans="1:7" ht="14.4">
      <c r="A107" s="498"/>
      <c r="B107" s="167" t="s">
        <v>26</v>
      </c>
      <c r="C107" s="167" t="s">
        <v>273</v>
      </c>
      <c r="D107" s="167" t="s">
        <v>277</v>
      </c>
      <c r="E107" s="167" t="s">
        <v>26</v>
      </c>
      <c r="F107" s="167" t="s">
        <v>273</v>
      </c>
      <c r="G107" s="167" t="s">
        <v>277</v>
      </c>
    </row>
    <row r="108" spans="1:7" ht="14.4">
      <c r="A108" s="171" t="s">
        <v>257</v>
      </c>
      <c r="B108" s="92"/>
      <c r="C108" s="92"/>
      <c r="D108" s="178">
        <f>IFERROR(C108/B108,0)</f>
        <v>0</v>
      </c>
      <c r="E108" s="161"/>
      <c r="F108" s="161"/>
      <c r="G108" s="178">
        <f>IFERROR(F108/E108,0)</f>
        <v>0</v>
      </c>
    </row>
    <row r="109" spans="1:7" ht="14.4">
      <c r="A109" s="171" t="s">
        <v>292</v>
      </c>
      <c r="B109" s="92"/>
      <c r="C109" s="92"/>
      <c r="D109" s="178">
        <f>IFERROR(C109/B109,0)</f>
        <v>0</v>
      </c>
      <c r="E109" s="161"/>
      <c r="F109" s="161"/>
      <c r="G109" s="178">
        <f>IFERROR(F109/E109,0)</f>
        <v>0</v>
      </c>
    </row>
    <row r="110" spans="1:7" ht="14.4">
      <c r="A110" s="171" t="s">
        <v>293</v>
      </c>
      <c r="B110" s="92"/>
      <c r="C110" s="92"/>
      <c r="D110" s="178"/>
      <c r="E110" s="161"/>
      <c r="F110" s="161"/>
      <c r="G110" s="178"/>
    </row>
    <row r="111" spans="1:7" ht="14.4">
      <c r="A111" s="171" t="s">
        <v>294</v>
      </c>
      <c r="B111" s="92"/>
      <c r="C111" s="92"/>
      <c r="D111" s="178"/>
      <c r="E111" s="161"/>
      <c r="F111" s="161"/>
      <c r="G111" s="178"/>
    </row>
    <row r="112" spans="1:7" ht="14.4">
      <c r="A112" s="171" t="s">
        <v>295</v>
      </c>
      <c r="B112" s="92"/>
      <c r="C112" s="92"/>
      <c r="D112" s="178">
        <f>IFERROR(C112/B112,0)</f>
        <v>0</v>
      </c>
      <c r="E112" s="161"/>
      <c r="F112" s="161"/>
      <c r="G112" s="178">
        <f>IFERROR(F112/E112,0)</f>
        <v>0</v>
      </c>
    </row>
    <row r="113" spans="1:7" ht="14.4">
      <c r="A113" s="172" t="s">
        <v>266</v>
      </c>
      <c r="B113" s="138"/>
      <c r="C113" s="138"/>
      <c r="D113" s="178">
        <f>IFERROR(C113/B113,0)</f>
        <v>0</v>
      </c>
      <c r="E113" s="165"/>
      <c r="F113" s="165"/>
      <c r="G113" s="178">
        <f>IFERROR(F113/E113,0)</f>
        <v>0</v>
      </c>
    </row>
    <row r="114" spans="1:7" ht="14.4">
      <c r="A114" s="173" t="s">
        <v>269</v>
      </c>
      <c r="B114" s="179"/>
      <c r="C114" s="179"/>
      <c r="D114" s="181">
        <f>IFERROR(C114/B114,0)</f>
        <v>0</v>
      </c>
      <c r="E114" s="179">
        <f>SUM(E108:E113)</f>
        <v>0</v>
      </c>
      <c r="F114" s="179">
        <f>SUM(F108:F113)</f>
        <v>0</v>
      </c>
      <c r="G114" s="181">
        <f>IFERROR(F114/E114,0)</f>
        <v>0</v>
      </c>
    </row>
    <row r="115" spans="1:7" ht="14.4">
      <c r="A115" s="150" t="s">
        <v>300</v>
      </c>
      <c r="C115" s="151"/>
    </row>
    <row r="116" spans="1:7" ht="14.4">
      <c r="A116" s="158"/>
      <c r="B116" s="186" t="s">
        <v>171</v>
      </c>
      <c r="C116" s="151"/>
    </row>
    <row r="117" spans="1:7" ht="14.4">
      <c r="A117" s="160" t="s">
        <v>256</v>
      </c>
      <c r="B117" s="170">
        <f>C19</f>
        <v>0</v>
      </c>
      <c r="C117" s="151"/>
    </row>
    <row r="118" spans="1:7" ht="14.4">
      <c r="A118" s="160" t="s">
        <v>172</v>
      </c>
      <c r="B118" s="187"/>
      <c r="C118" s="151"/>
    </row>
    <row r="119" spans="1:7" ht="14.4">
      <c r="A119" s="160" t="s">
        <v>173</v>
      </c>
      <c r="B119" s="161"/>
      <c r="C119" s="151"/>
    </row>
    <row r="120" spans="1:7" ht="14.4">
      <c r="A120" s="160" t="s">
        <v>174</v>
      </c>
      <c r="B120" s="161"/>
      <c r="C120" s="151"/>
    </row>
    <row r="121" spans="1:7" ht="14.4">
      <c r="A121" s="171" t="s">
        <v>301</v>
      </c>
      <c r="B121" s="187"/>
      <c r="C121" s="151"/>
    </row>
    <row r="122" spans="1:7" ht="14.4">
      <c r="A122" s="171" t="s">
        <v>302</v>
      </c>
      <c r="B122" s="161"/>
      <c r="C122" s="151"/>
    </row>
    <row r="123" spans="1:7" ht="32.25" customHeight="1">
      <c r="A123" s="166" t="s">
        <v>255</v>
      </c>
      <c r="B123" s="174">
        <f>B117+B118-B119-B120-B121-B122</f>
        <v>0</v>
      </c>
      <c r="C123" s="151"/>
    </row>
    <row r="124" spans="1:7" ht="14.4">
      <c r="A124" s="150" t="s">
        <v>303</v>
      </c>
      <c r="C124" s="151"/>
    </row>
    <row r="125" spans="1:7" ht="31.5" customHeight="1">
      <c r="A125" s="188" t="s">
        <v>304</v>
      </c>
      <c r="B125" s="189" t="s">
        <v>305</v>
      </c>
      <c r="C125" s="189" t="s">
        <v>306</v>
      </c>
      <c r="D125" s="189" t="s">
        <v>307</v>
      </c>
      <c r="E125" s="190" t="s">
        <v>308</v>
      </c>
    </row>
    <row r="126" spans="1:7" ht="14.4">
      <c r="A126" s="191"/>
      <c r="B126" s="192"/>
      <c r="C126" s="192"/>
      <c r="D126" s="192"/>
      <c r="E126" s="193"/>
    </row>
    <row r="127" spans="1:7" ht="14.4">
      <c r="A127" s="194"/>
      <c r="B127" s="195"/>
      <c r="C127" s="195"/>
      <c r="D127" s="195"/>
      <c r="E127" s="161"/>
    </row>
    <row r="128" spans="1:7" ht="14.4">
      <c r="A128" s="196"/>
      <c r="B128" s="197"/>
      <c r="C128" s="197"/>
      <c r="D128" s="197"/>
      <c r="E128" s="165"/>
    </row>
    <row r="129" spans="1:7" ht="14.4">
      <c r="A129" s="166" t="s">
        <v>269</v>
      </c>
      <c r="B129" s="198"/>
      <c r="C129" s="198"/>
      <c r="D129" s="198"/>
      <c r="E129" s="167"/>
    </row>
    <row r="130" spans="1:7" ht="14.4">
      <c r="A130" s="199" t="s">
        <v>309</v>
      </c>
      <c r="C130" s="151"/>
    </row>
    <row r="131" spans="1:7" s="146" customFormat="1" ht="38.25" customHeight="1">
      <c r="A131" s="200" t="s">
        <v>310</v>
      </c>
      <c r="B131" s="151"/>
      <c r="C131" s="151"/>
      <c r="D131" s="151"/>
      <c r="E131" s="151"/>
      <c r="F131" s="151"/>
      <c r="G131" s="151"/>
    </row>
    <row r="132" spans="1:7" ht="14.4">
      <c r="A132" s="201" t="s">
        <v>311</v>
      </c>
      <c r="C132" s="151"/>
    </row>
    <row r="133" spans="1:7" ht="14.4">
      <c r="A133" s="201" t="s">
        <v>312</v>
      </c>
      <c r="C133" s="151"/>
    </row>
    <row r="134" spans="1:7" ht="14.4">
      <c r="A134" s="201" t="s">
        <v>313</v>
      </c>
      <c r="C134" s="151"/>
    </row>
    <row r="135" spans="1:7" ht="14.4">
      <c r="A135" s="201" t="s">
        <v>314</v>
      </c>
      <c r="C135" s="151"/>
    </row>
    <row r="136" spans="1:7" ht="14.4">
      <c r="A136" s="150" t="s">
        <v>315</v>
      </c>
      <c r="C136" s="151"/>
    </row>
    <row r="137" spans="1:7" ht="14.4">
      <c r="A137" s="158" t="s">
        <v>316</v>
      </c>
      <c r="B137" s="159" t="s">
        <v>317</v>
      </c>
      <c r="C137" s="151"/>
    </row>
    <row r="138" spans="1:7" ht="14.4">
      <c r="A138" s="164" t="s">
        <v>318</v>
      </c>
      <c r="B138" s="202">
        <f>B120</f>
        <v>0</v>
      </c>
      <c r="C138" s="151"/>
    </row>
    <row r="139" spans="1:7" ht="14.4">
      <c r="A139" s="150" t="s">
        <v>319</v>
      </c>
      <c r="C139" s="151"/>
    </row>
    <row r="140" spans="1:7" ht="40.5" customHeight="1">
      <c r="A140" s="188" t="s">
        <v>304</v>
      </c>
      <c r="B140" s="189" t="s">
        <v>320</v>
      </c>
      <c r="C140" s="190" t="s">
        <v>317</v>
      </c>
      <c r="D140" s="190" t="s">
        <v>321</v>
      </c>
      <c r="E140" s="190" t="s">
        <v>322</v>
      </c>
      <c r="F140" s="190" t="s">
        <v>323</v>
      </c>
    </row>
    <row r="141" spans="1:7" ht="14.4">
      <c r="A141" s="203"/>
      <c r="B141" s="204"/>
      <c r="C141" s="205"/>
      <c r="D141" s="205"/>
      <c r="E141" s="205"/>
      <c r="F141" s="205"/>
    </row>
    <row r="142" spans="1:7" s="146" customFormat="1" ht="14.4">
      <c r="A142" s="182"/>
      <c r="B142" s="206"/>
      <c r="C142" s="170"/>
      <c r="D142" s="170"/>
      <c r="E142" s="170"/>
      <c r="F142" s="170"/>
      <c r="G142" s="151"/>
    </row>
    <row r="143" spans="1:7" ht="14.4">
      <c r="A143" s="207"/>
      <c r="B143" s="208"/>
      <c r="C143" s="202"/>
      <c r="D143" s="202"/>
      <c r="E143" s="202"/>
      <c r="F143" s="202"/>
    </row>
    <row r="144" spans="1:7" ht="14.4">
      <c r="A144" s="166" t="s">
        <v>269</v>
      </c>
      <c r="B144" s="198"/>
      <c r="C144" s="179">
        <f>SUM(C141:C143)</f>
        <v>0</v>
      </c>
      <c r="D144" s="167"/>
      <c r="E144" s="167"/>
      <c r="F144" s="167"/>
    </row>
    <row r="145" spans="1:9" ht="14.4">
      <c r="A145" s="199" t="s">
        <v>324</v>
      </c>
      <c r="C145" s="151"/>
    </row>
    <row r="146" spans="1:9" ht="14.4">
      <c r="A146" s="200" t="s">
        <v>325</v>
      </c>
      <c r="C146" s="151"/>
    </row>
    <row r="147" spans="1:9" ht="14.4">
      <c r="A147" s="150" t="s">
        <v>326</v>
      </c>
      <c r="C147" s="151"/>
    </row>
    <row r="148" spans="1:9" ht="34.049999999999997" customHeight="1">
      <c r="A148" s="494" t="s">
        <v>327</v>
      </c>
      <c r="B148" s="494"/>
      <c r="C148" s="494"/>
      <c r="D148" s="494"/>
      <c r="E148" s="494"/>
      <c r="F148" s="494"/>
      <c r="G148" s="494"/>
      <c r="H148" s="494"/>
      <c r="I148" s="494"/>
    </row>
    <row r="149" spans="1:9" ht="14.4">
      <c r="A149" s="199" t="s">
        <v>328</v>
      </c>
      <c r="C149" s="151"/>
    </row>
    <row r="150" spans="1:9" ht="14.4">
      <c r="A150" s="199" t="s">
        <v>329</v>
      </c>
      <c r="C150" s="151"/>
    </row>
    <row r="151" spans="1:9" ht="14.4">
      <c r="C151" s="151"/>
    </row>
    <row r="152" spans="1:9" ht="14.4">
      <c r="A152" s="199" t="s">
        <v>330</v>
      </c>
      <c r="C152" s="151"/>
    </row>
    <row r="153" spans="1:9" ht="47.25" customHeight="1">
      <c r="A153" s="188" t="s">
        <v>304</v>
      </c>
      <c r="B153" s="190" t="s">
        <v>331</v>
      </c>
      <c r="C153" s="190" t="s">
        <v>332</v>
      </c>
      <c r="D153" s="188" t="s">
        <v>333</v>
      </c>
      <c r="E153" s="190" t="s">
        <v>334</v>
      </c>
      <c r="F153" s="188" t="s">
        <v>335</v>
      </c>
    </row>
    <row r="154" spans="1:9" ht="14.4">
      <c r="A154" s="209"/>
      <c r="B154" s="210"/>
      <c r="C154" s="127"/>
      <c r="D154" s="127"/>
      <c r="E154" s="211"/>
      <c r="F154" s="127"/>
    </row>
    <row r="155" spans="1:9" ht="14.4">
      <c r="A155" s="170"/>
      <c r="B155" s="92"/>
      <c r="C155" s="101"/>
      <c r="D155" s="101"/>
      <c r="E155" s="212"/>
      <c r="F155" s="101"/>
    </row>
    <row r="156" spans="1:9" ht="14.4">
      <c r="A156" s="170"/>
      <c r="B156" s="92"/>
      <c r="C156" s="101"/>
      <c r="D156" s="101"/>
      <c r="E156" s="212"/>
      <c r="F156" s="101"/>
    </row>
    <row r="157" spans="1:9" ht="14.4">
      <c r="A157" s="170"/>
      <c r="B157" s="92"/>
      <c r="C157" s="101"/>
      <c r="D157" s="101"/>
      <c r="E157" s="212"/>
      <c r="F157" s="101"/>
    </row>
    <row r="158" spans="1:9" ht="14.4">
      <c r="A158" s="202"/>
      <c r="B158" s="138"/>
      <c r="C158" s="104"/>
      <c r="D158" s="104"/>
      <c r="E158" s="213"/>
      <c r="F158" s="104"/>
    </row>
    <row r="159" spans="1:9" ht="14.4">
      <c r="A159" s="166" t="s">
        <v>269</v>
      </c>
      <c r="B159" s="179">
        <f>SUM(B154:B158)</f>
        <v>0</v>
      </c>
      <c r="C159" s="179"/>
      <c r="D159" s="179"/>
      <c r="E159" s="213"/>
      <c r="F159" s="104" t="e">
        <f>#REF!</f>
        <v>#REF!</v>
      </c>
    </row>
    <row r="160" spans="1:9" ht="14.4">
      <c r="A160" s="150" t="s">
        <v>336</v>
      </c>
      <c r="C160" s="151"/>
    </row>
    <row r="161" spans="1:9" ht="33" customHeight="1">
      <c r="A161" s="494" t="s">
        <v>337</v>
      </c>
      <c r="B161" s="494"/>
      <c r="C161" s="494"/>
      <c r="D161" s="494"/>
      <c r="E161" s="494"/>
      <c r="F161" s="494"/>
      <c r="G161" s="494"/>
      <c r="H161" s="494"/>
      <c r="I161" s="494"/>
    </row>
    <row r="162" spans="1:9" ht="42.75" customHeight="1">
      <c r="A162" s="158" t="s">
        <v>316</v>
      </c>
      <c r="B162" s="214" t="s">
        <v>338</v>
      </c>
      <c r="C162" s="159" t="s">
        <v>339</v>
      </c>
      <c r="D162" s="159" t="s">
        <v>340</v>
      </c>
    </row>
    <row r="163" spans="1:9" ht="14.4">
      <c r="A163" s="160"/>
      <c r="B163" s="195"/>
      <c r="C163" s="161"/>
      <c r="D163" s="161"/>
    </row>
    <row r="164" spans="1:9" ht="14.4">
      <c r="A164" s="160"/>
      <c r="B164" s="195"/>
      <c r="C164" s="161"/>
      <c r="D164" s="161"/>
    </row>
    <row r="165" spans="1:9" ht="14.4">
      <c r="A165" s="164"/>
      <c r="B165" s="197"/>
      <c r="C165" s="165"/>
      <c r="D165" s="165"/>
    </row>
    <row r="166" spans="1:9" ht="14.4">
      <c r="A166" s="166" t="s">
        <v>269</v>
      </c>
      <c r="B166" s="198"/>
      <c r="C166" s="179">
        <f>SUM(C163:C165)</f>
        <v>0</v>
      </c>
      <c r="D166" s="179">
        <f>SUM(D163:D165)</f>
        <v>0</v>
      </c>
    </row>
    <row r="167" spans="1:9" ht="14.4">
      <c r="A167" s="150" t="s">
        <v>325</v>
      </c>
      <c r="C167" s="151"/>
    </row>
    <row r="168" spans="1:9" ht="14.4">
      <c r="A168" s="201" t="s">
        <v>341</v>
      </c>
      <c r="C168" s="151"/>
    </row>
    <row r="169" spans="1:9" ht="14.4">
      <c r="A169" s="201" t="s">
        <v>342</v>
      </c>
      <c r="C169" s="151"/>
    </row>
    <row r="170" spans="1:9" ht="14.4">
      <c r="A170" s="201" t="s">
        <v>343</v>
      </c>
      <c r="C170" s="151"/>
    </row>
    <row r="171" spans="1:9" ht="49.95" customHeight="1">
      <c r="A171" s="495" t="s">
        <v>344</v>
      </c>
      <c r="B171" s="495"/>
      <c r="C171" s="495"/>
      <c r="D171" s="495"/>
      <c r="E171" s="495"/>
      <c r="F171" s="495"/>
      <c r="G171" s="495"/>
      <c r="H171" s="495"/>
      <c r="I171" s="495"/>
    </row>
    <row r="172" spans="1:9" ht="14.4">
      <c r="A172" s="150" t="s">
        <v>345</v>
      </c>
      <c r="C172" s="151"/>
    </row>
    <row r="173" spans="1:9" ht="14.4">
      <c r="A173" s="199" t="s">
        <v>346</v>
      </c>
      <c r="C173" s="151"/>
    </row>
    <row r="174" spans="1:9" ht="28.8">
      <c r="A174" s="158" t="s">
        <v>316</v>
      </c>
      <c r="B174" s="158" t="s">
        <v>347</v>
      </c>
      <c r="C174" s="158" t="s">
        <v>348</v>
      </c>
      <c r="D174" s="159" t="s">
        <v>349</v>
      </c>
    </row>
    <row r="175" spans="1:9" ht="14.4">
      <c r="B175" s="160"/>
      <c r="C175" s="160"/>
      <c r="D175" s="161"/>
    </row>
    <row r="176" spans="1:9" ht="14.4">
      <c r="A176" s="160"/>
      <c r="B176" s="160"/>
      <c r="C176" s="160"/>
      <c r="D176" s="161"/>
    </row>
    <row r="177" spans="1:4" ht="14.4">
      <c r="A177" s="160"/>
      <c r="B177" s="160"/>
      <c r="C177" s="160"/>
      <c r="D177" s="169"/>
    </row>
    <row r="178" spans="1:4" ht="14.4">
      <c r="A178" s="160"/>
      <c r="B178" s="160"/>
      <c r="C178" s="160"/>
      <c r="D178" s="169"/>
    </row>
    <row r="179" spans="1:4" ht="14.4">
      <c r="A179" s="194"/>
      <c r="B179" s="194"/>
      <c r="C179" s="194"/>
      <c r="D179" s="169"/>
    </row>
    <row r="180" spans="1:4" ht="14.4">
      <c r="A180" s="164"/>
      <c r="B180" s="164"/>
      <c r="C180" s="164"/>
      <c r="D180" s="215"/>
    </row>
    <row r="181" spans="1:4" ht="14.4">
      <c r="A181" s="150" t="s">
        <v>350</v>
      </c>
      <c r="C181" s="151"/>
    </row>
  </sheetData>
  <mergeCells count="34">
    <mergeCell ref="A1:I1"/>
    <mergeCell ref="A2:I2"/>
    <mergeCell ref="B22:F22"/>
    <mergeCell ref="B23:C23"/>
    <mergeCell ref="D23:E23"/>
    <mergeCell ref="B38:F38"/>
    <mergeCell ref="B39:C39"/>
    <mergeCell ref="D39:E39"/>
    <mergeCell ref="B51:E51"/>
    <mergeCell ref="B58:E58"/>
    <mergeCell ref="E106:G106"/>
    <mergeCell ref="A148:I148"/>
    <mergeCell ref="B66:D66"/>
    <mergeCell ref="E66:G66"/>
    <mergeCell ref="B76:D76"/>
    <mergeCell ref="E76:G76"/>
    <mergeCell ref="B86:D86"/>
    <mergeCell ref="E86:G86"/>
    <mergeCell ref="A161:I161"/>
    <mergeCell ref="A171:I171"/>
    <mergeCell ref="A22:A24"/>
    <mergeCell ref="A38:A40"/>
    <mergeCell ref="A51:A52"/>
    <mergeCell ref="A58:A59"/>
    <mergeCell ref="A66:A67"/>
    <mergeCell ref="A76:A77"/>
    <mergeCell ref="A86:A87"/>
    <mergeCell ref="A96:A97"/>
    <mergeCell ref="A106:A107"/>
    <mergeCell ref="F23:F24"/>
    <mergeCell ref="F39:F40"/>
    <mergeCell ref="B96:D96"/>
    <mergeCell ref="E96:G96"/>
    <mergeCell ref="B106:D106"/>
  </mergeCells>
  <phoneticPr fontId="168" type="noConversion"/>
  <pageMargins left="0.70833333333333304" right="0.70833333333333304" top="0.74791666666666701" bottom="0.74791666666666701" header="0.31458333333333299" footer="0.31458333333333299"/>
  <pageSetup paperSize="9" scale="74"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8"/>
  <sheetViews>
    <sheetView view="pageBreakPreview" zoomScale="80" zoomScaleNormal="80" workbookViewId="0">
      <selection sqref="A1:I1"/>
    </sheetView>
  </sheetViews>
  <sheetFormatPr defaultColWidth="10.09765625" defaultRowHeight="20.25" customHeight="1"/>
  <cols>
    <col min="1" max="1" width="21.69921875" style="83" customWidth="1"/>
    <col min="2" max="2" width="18.5" style="83" customWidth="1"/>
    <col min="3" max="3" width="17.19921875" style="84" customWidth="1"/>
    <col min="4" max="4" width="20.5" style="83" customWidth="1"/>
    <col min="5" max="5" width="20.69921875" style="83" customWidth="1"/>
    <col min="6" max="18" width="12.69921875" style="83" customWidth="1"/>
    <col min="19" max="22" width="13.09765625" style="83" customWidth="1"/>
    <col min="23" max="25" width="13.69921875" style="83" customWidth="1"/>
    <col min="26" max="26" width="10.09765625" style="83" customWidth="1"/>
    <col min="27" max="16384" width="10.09765625" style="83"/>
  </cols>
  <sheetData>
    <row r="1" spans="1:10" ht="20.25" customHeight="1">
      <c r="A1" s="519" t="s">
        <v>22</v>
      </c>
      <c r="B1" s="519"/>
      <c r="C1" s="519"/>
      <c r="D1" s="519"/>
      <c r="E1" s="519"/>
      <c r="F1" s="519"/>
      <c r="G1" s="519"/>
      <c r="H1" s="519"/>
      <c r="I1" s="519"/>
    </row>
    <row r="2" spans="1:10" ht="20.25" customHeight="1">
      <c r="A2" s="519" t="s">
        <v>215</v>
      </c>
      <c r="B2" s="519"/>
      <c r="C2" s="519"/>
      <c r="D2" s="519"/>
      <c r="E2" s="519"/>
      <c r="F2" s="519"/>
      <c r="G2" s="519"/>
      <c r="H2" s="519"/>
      <c r="I2" s="519"/>
    </row>
    <row r="3" spans="1:10" ht="20.25" customHeight="1">
      <c r="A3" s="85" t="str">
        <f>底稿目录!A2</f>
        <v>被审计单位名称：</v>
      </c>
      <c r="B3" s="85"/>
      <c r="C3" s="85" t="str">
        <f>底稿目录!A4</f>
        <v>编制人：</v>
      </c>
      <c r="D3" s="85"/>
      <c r="E3" s="85" t="str">
        <f>底稿目录!A5</f>
        <v>编制日期：</v>
      </c>
      <c r="F3" s="85"/>
      <c r="G3" s="85"/>
      <c r="H3" s="85"/>
      <c r="J3" s="117" t="s">
        <v>23</v>
      </c>
    </row>
    <row r="4" spans="1:10" ht="20.25" customHeight="1">
      <c r="A4" s="85" t="str">
        <f>底稿目录!A3</f>
        <v>截止日：202X年12月31日</v>
      </c>
      <c r="B4" s="85"/>
      <c r="C4" s="85" t="str">
        <f>底稿目录!A6</f>
        <v>复核人：</v>
      </c>
      <c r="D4" s="85"/>
      <c r="E4" s="85" t="str">
        <f>底稿目录!A7</f>
        <v>复核日期：</v>
      </c>
      <c r="F4" s="85"/>
      <c r="G4" s="85"/>
      <c r="H4" s="85"/>
      <c r="J4" s="117" t="s">
        <v>351</v>
      </c>
    </row>
    <row r="5" spans="1:10" s="82" customFormat="1" ht="28.5" customHeight="1">
      <c r="A5" s="82" t="s">
        <v>252</v>
      </c>
      <c r="E5" s="86"/>
      <c r="F5" s="87"/>
    </row>
    <row r="6" spans="1:10" ht="14.4">
      <c r="A6" s="88" t="s">
        <v>352</v>
      </c>
      <c r="B6" s="89" t="s">
        <v>93</v>
      </c>
      <c r="C6" s="89" t="s">
        <v>92</v>
      </c>
    </row>
    <row r="7" spans="1:10" ht="14.4">
      <c r="A7" s="90" t="s">
        <v>353</v>
      </c>
      <c r="B7" s="91">
        <f>'明细表D2-2'!AC26</f>
        <v>0</v>
      </c>
      <c r="C7" s="92">
        <f>'明细表D2-2'!I26</f>
        <v>0</v>
      </c>
    </row>
    <row r="8" spans="1:10" ht="14.4">
      <c r="A8" s="90" t="s">
        <v>262</v>
      </c>
      <c r="B8" s="91">
        <f>'明细表D2-2'!AD26</f>
        <v>0</v>
      </c>
      <c r="C8" s="92">
        <f>'明细表D2-2'!J26</f>
        <v>0</v>
      </c>
    </row>
    <row r="9" spans="1:10" ht="14.4">
      <c r="A9" s="90" t="s">
        <v>263</v>
      </c>
      <c r="B9" s="91">
        <f>'明细表D2-2'!AE26</f>
        <v>0</v>
      </c>
      <c r="C9" s="92">
        <f>'明细表D2-2'!K26</f>
        <v>0</v>
      </c>
    </row>
    <row r="10" spans="1:10" ht="14.4">
      <c r="A10" s="90" t="s">
        <v>264</v>
      </c>
      <c r="B10" s="91">
        <f>'明细表D2-2'!AF26</f>
        <v>0</v>
      </c>
      <c r="C10" s="92">
        <f>'明细表D2-2'!L26</f>
        <v>0</v>
      </c>
    </row>
    <row r="11" spans="1:10" ht="14.4">
      <c r="A11" s="90" t="s">
        <v>265</v>
      </c>
      <c r="B11" s="91">
        <f>'明细表D2-2'!AG26</f>
        <v>0</v>
      </c>
      <c r="C11" s="92">
        <f>'明细表D2-2'!M26</f>
        <v>0</v>
      </c>
    </row>
    <row r="12" spans="1:10" ht="14.4">
      <c r="A12" s="90" t="s">
        <v>266</v>
      </c>
      <c r="B12" s="91">
        <f>'明细表D2-2'!AH26</f>
        <v>0</v>
      </c>
      <c r="C12" s="92">
        <f>'明细表D2-2'!N26</f>
        <v>0</v>
      </c>
    </row>
    <row r="13" spans="1:10" ht="14.4">
      <c r="A13" s="93" t="s">
        <v>267</v>
      </c>
      <c r="B13" s="94">
        <f>SUM(B7:B12)</f>
        <v>0</v>
      </c>
      <c r="C13" s="94">
        <f>SUM(C7:C12)</f>
        <v>0</v>
      </c>
    </row>
    <row r="14" spans="1:10" ht="14.4">
      <c r="A14" s="95" t="s">
        <v>268</v>
      </c>
      <c r="B14" s="96"/>
      <c r="C14" s="97"/>
    </row>
    <row r="15" spans="1:10" ht="14.4">
      <c r="A15" s="98" t="s">
        <v>269</v>
      </c>
      <c r="B15" s="99">
        <f>C13-B14</f>
        <v>0</v>
      </c>
      <c r="C15" s="99">
        <f>C13-C14</f>
        <v>0</v>
      </c>
    </row>
    <row r="16" spans="1:10" ht="14.4">
      <c r="A16" s="83" t="s">
        <v>354</v>
      </c>
      <c r="C16" s="83"/>
    </row>
    <row r="17" spans="1:11" ht="14.4">
      <c r="A17" s="510" t="s">
        <v>355</v>
      </c>
      <c r="B17" s="507" t="s">
        <v>93</v>
      </c>
      <c r="C17" s="501"/>
      <c r="D17" s="501"/>
      <c r="E17" s="501"/>
      <c r="F17" s="501"/>
      <c r="G17" s="507" t="s">
        <v>92</v>
      </c>
      <c r="H17" s="501"/>
      <c r="I17" s="501"/>
      <c r="J17" s="501"/>
      <c r="K17" s="501"/>
    </row>
    <row r="18" spans="1:11" ht="14.4">
      <c r="A18" s="511"/>
      <c r="B18" s="515" t="s">
        <v>272</v>
      </c>
      <c r="C18" s="518"/>
      <c r="D18" s="515" t="s">
        <v>273</v>
      </c>
      <c r="E18" s="511"/>
      <c r="F18" s="94" t="s">
        <v>356</v>
      </c>
      <c r="G18" s="515" t="s">
        <v>272</v>
      </c>
      <c r="H18" s="511"/>
      <c r="I18" s="515" t="s">
        <v>273</v>
      </c>
      <c r="J18" s="511"/>
      <c r="K18" s="94" t="s">
        <v>356</v>
      </c>
    </row>
    <row r="19" spans="1:11" ht="28.8">
      <c r="A19" s="498"/>
      <c r="B19" s="100" t="s">
        <v>275</v>
      </c>
      <c r="C19" s="100" t="s">
        <v>276</v>
      </c>
      <c r="D19" s="100" t="s">
        <v>275</v>
      </c>
      <c r="E19" s="100" t="s">
        <v>277</v>
      </c>
      <c r="F19" s="100" t="s">
        <v>357</v>
      </c>
      <c r="G19" s="100" t="s">
        <v>275</v>
      </c>
      <c r="H19" s="100" t="s">
        <v>276</v>
      </c>
      <c r="I19" s="100" t="s">
        <v>275</v>
      </c>
      <c r="J19" s="100" t="s">
        <v>277</v>
      </c>
      <c r="K19" s="100" t="s">
        <v>357</v>
      </c>
    </row>
    <row r="20" spans="1:11" ht="14.4">
      <c r="A20" s="90" t="s">
        <v>278</v>
      </c>
      <c r="B20" s="92"/>
      <c r="C20" s="101">
        <f>IFERROR(B20/$B$28*100,0)</f>
        <v>0</v>
      </c>
      <c r="D20" s="92"/>
      <c r="E20" s="101">
        <f>IFERROR(D20/B20*100,0)</f>
        <v>0</v>
      </c>
      <c r="F20" s="101">
        <f>B20-D20</f>
        <v>0</v>
      </c>
      <c r="G20" s="101"/>
      <c r="H20" s="101">
        <f>IFERROR(G20/$G$28*100,0)</f>
        <v>0</v>
      </c>
      <c r="I20" s="101"/>
      <c r="J20" s="101">
        <f>IFERROR(I20/G20*100,0)</f>
        <v>0</v>
      </c>
      <c r="K20" s="101">
        <f>G20-I20</f>
        <v>0</v>
      </c>
    </row>
    <row r="21" spans="1:11" ht="14.4">
      <c r="A21" s="90" t="s">
        <v>104</v>
      </c>
      <c r="B21" s="92"/>
      <c r="C21" s="101">
        <f>IFERROR(B21/$B$28*100,0)</f>
        <v>0</v>
      </c>
      <c r="D21" s="92"/>
      <c r="E21" s="101">
        <f>IFERROR(D21/B21*100,0)</f>
        <v>0</v>
      </c>
      <c r="F21" s="101">
        <f>B21-D21</f>
        <v>0</v>
      </c>
      <c r="G21" s="101"/>
      <c r="H21" s="101">
        <f>IFERROR(G21/$G$28*100,0)</f>
        <v>0</v>
      </c>
      <c r="I21" s="101"/>
      <c r="J21" s="101">
        <f>IFERROR(I21/G21*100,0)</f>
        <v>0</v>
      </c>
      <c r="K21" s="101">
        <f>G21-I21</f>
        <v>0</v>
      </c>
    </row>
    <row r="22" spans="1:11" ht="14.4">
      <c r="A22" s="517" t="s">
        <v>279</v>
      </c>
      <c r="B22" s="511"/>
      <c r="C22" s="518"/>
      <c r="D22" s="511"/>
      <c r="E22" s="511"/>
      <c r="F22" s="511"/>
      <c r="G22" s="511"/>
      <c r="H22" s="511"/>
      <c r="I22" s="511"/>
      <c r="J22" s="511"/>
      <c r="K22" s="511"/>
    </row>
    <row r="23" spans="1:11" ht="14.4">
      <c r="A23" s="102" t="e">
        <f>#REF!</f>
        <v>#REF!</v>
      </c>
      <c r="B23" s="101"/>
      <c r="C23" s="101">
        <f>IFERROR(B23/$B$28*100,0)</f>
        <v>0</v>
      </c>
      <c r="D23" s="101"/>
      <c r="E23" s="101">
        <f>IFERROR(D23/B23*100,0)</f>
        <v>0</v>
      </c>
      <c r="F23" s="101">
        <f>B23-D23</f>
        <v>0</v>
      </c>
      <c r="G23" s="101"/>
      <c r="H23" s="101">
        <f>IFERROR(G23/$G$28*100,0)</f>
        <v>0</v>
      </c>
      <c r="I23" s="101"/>
      <c r="J23" s="101">
        <f>IFERROR(I23/G23*100,0)</f>
        <v>0</v>
      </c>
      <c r="K23" s="101">
        <f>G23-I23</f>
        <v>0</v>
      </c>
    </row>
    <row r="24" spans="1:11" ht="14.4">
      <c r="A24" s="102" t="e">
        <f>#REF!</f>
        <v>#REF!</v>
      </c>
      <c r="B24" s="101"/>
      <c r="C24" s="101">
        <f t="shared" ref="C24:C28" si="0">IFERROR(B24/$B$28*100,0)</f>
        <v>0</v>
      </c>
      <c r="D24" s="101"/>
      <c r="E24" s="101">
        <f t="shared" ref="E24:E28" si="1">IFERROR(D24/B24*100,0)</f>
        <v>0</v>
      </c>
      <c r="F24" s="101">
        <f t="shared" ref="F24:F27" si="2">B24-D24</f>
        <v>0</v>
      </c>
      <c r="G24" s="101"/>
      <c r="H24" s="101">
        <f t="shared" ref="H24:H28" si="3">IFERROR(G24/$G$28*100,0)</f>
        <v>0</v>
      </c>
      <c r="I24" s="101"/>
      <c r="J24" s="101">
        <f t="shared" ref="J24:J28" si="4">IFERROR(I24/G24*100,0)</f>
        <v>0</v>
      </c>
      <c r="K24" s="101">
        <f t="shared" ref="K24:K27" si="5">G24-I24</f>
        <v>0</v>
      </c>
    </row>
    <row r="25" spans="1:11" ht="14.4">
      <c r="A25" s="102" t="e">
        <f>#REF!</f>
        <v>#REF!</v>
      </c>
      <c r="B25" s="101"/>
      <c r="C25" s="101">
        <f t="shared" si="0"/>
        <v>0</v>
      </c>
      <c r="D25" s="101"/>
      <c r="E25" s="101">
        <f t="shared" si="1"/>
        <v>0</v>
      </c>
      <c r="F25" s="101">
        <f t="shared" si="2"/>
        <v>0</v>
      </c>
      <c r="G25" s="101"/>
      <c r="H25" s="101">
        <f t="shared" si="3"/>
        <v>0</v>
      </c>
      <c r="I25" s="101"/>
      <c r="J25" s="101">
        <f t="shared" si="4"/>
        <v>0</v>
      </c>
      <c r="K25" s="101">
        <f t="shared" si="5"/>
        <v>0</v>
      </c>
    </row>
    <row r="26" spans="1:11" ht="14.4">
      <c r="A26" s="102" t="e">
        <f>#REF!</f>
        <v>#REF!</v>
      </c>
      <c r="B26" s="101"/>
      <c r="C26" s="101">
        <f t="shared" si="0"/>
        <v>0</v>
      </c>
      <c r="D26" s="101"/>
      <c r="E26" s="101">
        <f t="shared" si="1"/>
        <v>0</v>
      </c>
      <c r="F26" s="101">
        <f t="shared" si="2"/>
        <v>0</v>
      </c>
      <c r="G26" s="101"/>
      <c r="H26" s="101">
        <f t="shared" si="3"/>
        <v>0</v>
      </c>
      <c r="I26" s="101"/>
      <c r="J26" s="101">
        <f t="shared" si="4"/>
        <v>0</v>
      </c>
      <c r="K26" s="101">
        <f t="shared" si="5"/>
        <v>0</v>
      </c>
    </row>
    <row r="27" spans="1:11" ht="14.4">
      <c r="A27" s="103" t="e">
        <f>#REF!</f>
        <v>#REF!</v>
      </c>
      <c r="B27" s="104"/>
      <c r="C27" s="104">
        <f t="shared" si="0"/>
        <v>0</v>
      </c>
      <c r="D27" s="104"/>
      <c r="E27" s="104">
        <f t="shared" si="1"/>
        <v>0</v>
      </c>
      <c r="F27" s="104">
        <f t="shared" si="2"/>
        <v>0</v>
      </c>
      <c r="G27" s="104"/>
      <c r="H27" s="104">
        <f t="shared" si="3"/>
        <v>0</v>
      </c>
      <c r="I27" s="104"/>
      <c r="J27" s="104">
        <f t="shared" si="4"/>
        <v>0</v>
      </c>
      <c r="K27" s="104">
        <f t="shared" si="5"/>
        <v>0</v>
      </c>
    </row>
    <row r="28" spans="1:11" ht="14.4">
      <c r="A28" s="105" t="s">
        <v>269</v>
      </c>
      <c r="B28" s="106">
        <f>B20+B21</f>
        <v>0</v>
      </c>
      <c r="C28" s="104">
        <f t="shared" si="0"/>
        <v>0</v>
      </c>
      <c r="D28" s="106">
        <f>D20+D21</f>
        <v>0</v>
      </c>
      <c r="E28" s="104">
        <f t="shared" si="1"/>
        <v>0</v>
      </c>
      <c r="F28" s="106">
        <f>F20+F21</f>
        <v>0</v>
      </c>
      <c r="G28" s="106">
        <f>G20+G21</f>
        <v>0</v>
      </c>
      <c r="H28" s="104">
        <f t="shared" si="3"/>
        <v>0</v>
      </c>
      <c r="I28" s="106">
        <f>I20+I21</f>
        <v>0</v>
      </c>
      <c r="J28" s="104">
        <f t="shared" si="4"/>
        <v>0</v>
      </c>
      <c r="K28" s="106">
        <f>K20+K21</f>
        <v>0</v>
      </c>
    </row>
    <row r="29" spans="1:11" ht="14.4">
      <c r="A29" s="83" t="s">
        <v>358</v>
      </c>
      <c r="C29" s="83"/>
    </row>
    <row r="30" spans="1:11" ht="14.4">
      <c r="A30" s="88" t="s">
        <v>359</v>
      </c>
      <c r="B30" s="89" t="s">
        <v>272</v>
      </c>
      <c r="C30" s="89" t="s">
        <v>273</v>
      </c>
      <c r="D30" s="89" t="s">
        <v>360</v>
      </c>
      <c r="E30" s="89" t="s">
        <v>287</v>
      </c>
      <c r="F30" s="89"/>
    </row>
    <row r="31" spans="1:11" ht="14.4">
      <c r="A31" s="107"/>
      <c r="B31" s="108"/>
      <c r="C31" s="108"/>
      <c r="D31" s="108"/>
      <c r="E31" s="108"/>
      <c r="F31" s="94"/>
    </row>
    <row r="32" spans="1:11" ht="14.4">
      <c r="A32" s="109"/>
      <c r="B32" s="110"/>
      <c r="C32" s="110"/>
      <c r="D32" s="110"/>
      <c r="E32" s="110"/>
      <c r="F32" s="111"/>
    </row>
    <row r="33" spans="1:6" ht="14.4">
      <c r="A33" s="112" t="s">
        <v>269</v>
      </c>
      <c r="B33" s="112">
        <f>SUM(B31:B32)</f>
        <v>0</v>
      </c>
      <c r="C33" s="112">
        <f>SUM(C31:C32)</f>
        <v>0</v>
      </c>
      <c r="D33" s="112" t="s">
        <v>361</v>
      </c>
      <c r="E33" s="112" t="s">
        <v>361</v>
      </c>
      <c r="F33" s="112" t="s">
        <v>361</v>
      </c>
    </row>
    <row r="34" spans="1:6" ht="14.4">
      <c r="A34" s="83" t="s">
        <v>362</v>
      </c>
      <c r="C34" s="83"/>
    </row>
    <row r="35" spans="1:6" ht="14.4">
      <c r="A35" s="83" t="s">
        <v>291</v>
      </c>
      <c r="C35" s="83"/>
    </row>
    <row r="36" spans="1:6" ht="15" customHeight="1">
      <c r="A36" s="510" t="s">
        <v>360</v>
      </c>
      <c r="B36" s="507" t="s">
        <v>93</v>
      </c>
      <c r="C36" s="507"/>
      <c r="D36" s="507"/>
    </row>
    <row r="37" spans="1:6" ht="15" customHeight="1">
      <c r="A37" s="512"/>
      <c r="B37" s="515" t="s">
        <v>272</v>
      </c>
      <c r="C37" s="515"/>
      <c r="D37" s="515" t="s">
        <v>273</v>
      </c>
    </row>
    <row r="38" spans="1:6" ht="14.4">
      <c r="A38" s="498"/>
      <c r="B38" s="100" t="s">
        <v>26</v>
      </c>
      <c r="C38" s="100" t="s">
        <v>363</v>
      </c>
      <c r="D38" s="516"/>
    </row>
    <row r="39" spans="1:6" ht="14.4">
      <c r="A39" s="102" t="s">
        <v>353</v>
      </c>
      <c r="B39" s="108"/>
      <c r="C39" s="108"/>
      <c r="D39" s="108"/>
    </row>
    <row r="40" spans="1:6" ht="14.4">
      <c r="A40" s="90" t="s">
        <v>262</v>
      </c>
      <c r="B40" s="108"/>
      <c r="C40" s="108"/>
      <c r="D40" s="108"/>
    </row>
    <row r="41" spans="1:6" ht="14.4">
      <c r="A41" s="90" t="s">
        <v>263</v>
      </c>
      <c r="B41" s="108"/>
      <c r="C41" s="108"/>
      <c r="D41" s="108"/>
    </row>
    <row r="42" spans="1:6" ht="14.4">
      <c r="A42" s="90" t="s">
        <v>264</v>
      </c>
      <c r="B42" s="108"/>
      <c r="C42" s="108"/>
      <c r="D42" s="108"/>
    </row>
    <row r="43" spans="1:6" ht="14.4">
      <c r="A43" s="90" t="s">
        <v>265</v>
      </c>
      <c r="B43" s="108"/>
      <c r="C43" s="108"/>
      <c r="D43" s="108"/>
    </row>
    <row r="44" spans="1:6" ht="14.4">
      <c r="A44" s="90" t="s">
        <v>266</v>
      </c>
      <c r="B44" s="108"/>
      <c r="C44" s="108"/>
      <c r="D44" s="108"/>
    </row>
    <row r="45" spans="1:6" ht="14.4">
      <c r="A45" s="114" t="s">
        <v>269</v>
      </c>
      <c r="B45" s="115">
        <f>SUM(B39:B44)</f>
        <v>0</v>
      </c>
      <c r="C45" s="115" t="s">
        <v>361</v>
      </c>
      <c r="D45" s="115"/>
    </row>
    <row r="46" spans="1:6" ht="14.4">
      <c r="A46" s="116" t="s">
        <v>282</v>
      </c>
      <c r="C46" s="83"/>
    </row>
    <row r="47" spans="1:6" ht="14.4">
      <c r="A47" s="510" t="s">
        <v>360</v>
      </c>
      <c r="B47" s="507" t="s">
        <v>92</v>
      </c>
      <c r="C47" s="507"/>
      <c r="D47" s="507"/>
    </row>
    <row r="48" spans="1:6" ht="14.4">
      <c r="A48" s="512"/>
      <c r="B48" s="515" t="s">
        <v>272</v>
      </c>
      <c r="C48" s="515"/>
      <c r="D48" s="515" t="s">
        <v>273</v>
      </c>
    </row>
    <row r="49" spans="1:4" ht="14.4">
      <c r="A49" s="498"/>
      <c r="B49" s="100" t="s">
        <v>26</v>
      </c>
      <c r="C49" s="100" t="s">
        <v>363</v>
      </c>
      <c r="D49" s="516"/>
    </row>
    <row r="50" spans="1:4" ht="14.4">
      <c r="A50" s="102" t="s">
        <v>353</v>
      </c>
      <c r="B50" s="108"/>
      <c r="C50" s="108"/>
      <c r="D50" s="108"/>
    </row>
    <row r="51" spans="1:4" ht="14.4">
      <c r="A51" s="90" t="s">
        <v>262</v>
      </c>
      <c r="B51" s="108"/>
      <c r="C51" s="108"/>
      <c r="D51" s="108"/>
    </row>
    <row r="52" spans="1:4" ht="14.4">
      <c r="A52" s="90" t="s">
        <v>263</v>
      </c>
      <c r="B52" s="108"/>
      <c r="C52" s="108"/>
      <c r="D52" s="108"/>
    </row>
    <row r="53" spans="1:4" ht="14.4">
      <c r="A53" s="90" t="s">
        <v>264</v>
      </c>
      <c r="B53" s="108"/>
      <c r="C53" s="108"/>
      <c r="D53" s="108"/>
    </row>
    <row r="54" spans="1:4" ht="14.4">
      <c r="A54" s="90" t="s">
        <v>265</v>
      </c>
      <c r="B54" s="108"/>
      <c r="C54" s="108"/>
      <c r="D54" s="108"/>
    </row>
    <row r="55" spans="1:4" ht="14.4">
      <c r="A55" s="90" t="s">
        <v>266</v>
      </c>
      <c r="B55" s="108"/>
      <c r="C55" s="108"/>
      <c r="D55" s="108"/>
    </row>
    <row r="56" spans="1:4" ht="14.4">
      <c r="A56" s="114" t="s">
        <v>269</v>
      </c>
      <c r="B56" s="115"/>
      <c r="C56" s="115"/>
      <c r="D56" s="115"/>
    </row>
    <row r="57" spans="1:4" ht="14.4">
      <c r="A57" s="83" t="s">
        <v>296</v>
      </c>
      <c r="C57" s="83"/>
    </row>
    <row r="58" spans="1:4" ht="15" customHeight="1">
      <c r="A58" s="510" t="s">
        <v>360</v>
      </c>
      <c r="B58" s="507" t="s">
        <v>93</v>
      </c>
      <c r="C58" s="507"/>
      <c r="D58" s="507"/>
    </row>
    <row r="59" spans="1:4" ht="15" customHeight="1">
      <c r="A59" s="512"/>
      <c r="B59" s="515" t="s">
        <v>272</v>
      </c>
      <c r="C59" s="515"/>
      <c r="D59" s="515" t="s">
        <v>273</v>
      </c>
    </row>
    <row r="60" spans="1:4" ht="14.4">
      <c r="A60" s="498"/>
      <c r="B60" s="100" t="s">
        <v>26</v>
      </c>
      <c r="C60" s="100" t="s">
        <v>363</v>
      </c>
      <c r="D60" s="516"/>
    </row>
    <row r="61" spans="1:4" ht="14.4">
      <c r="A61" s="102" t="s">
        <v>353</v>
      </c>
      <c r="B61" s="108"/>
      <c r="C61" s="108"/>
      <c r="D61" s="108"/>
    </row>
    <row r="62" spans="1:4" ht="14.4">
      <c r="A62" s="90" t="s">
        <v>262</v>
      </c>
      <c r="B62" s="108"/>
      <c r="C62" s="108"/>
      <c r="D62" s="108"/>
    </row>
    <row r="63" spans="1:4" ht="14.4">
      <c r="A63" s="90" t="s">
        <v>263</v>
      </c>
      <c r="B63" s="108"/>
      <c r="C63" s="108"/>
      <c r="D63" s="108"/>
    </row>
    <row r="64" spans="1:4" ht="14.4">
      <c r="A64" s="90" t="s">
        <v>264</v>
      </c>
      <c r="B64" s="108"/>
      <c r="C64" s="108"/>
      <c r="D64" s="108"/>
    </row>
    <row r="65" spans="1:4" ht="14.4">
      <c r="A65" s="90" t="s">
        <v>265</v>
      </c>
      <c r="B65" s="108"/>
      <c r="C65" s="108"/>
      <c r="D65" s="108"/>
    </row>
    <row r="66" spans="1:4" ht="14.4">
      <c r="A66" s="118" t="s">
        <v>266</v>
      </c>
      <c r="B66" s="119"/>
      <c r="C66" s="119"/>
      <c r="D66" s="119"/>
    </row>
    <row r="67" spans="1:4" ht="14.4">
      <c r="A67" s="105" t="s">
        <v>269</v>
      </c>
      <c r="B67" s="106"/>
      <c r="C67" s="106"/>
      <c r="D67" s="106"/>
    </row>
    <row r="68" spans="1:4" ht="14.4">
      <c r="A68" s="120" t="s">
        <v>282</v>
      </c>
      <c r="C68" s="83"/>
    </row>
    <row r="69" spans="1:4" ht="14.4">
      <c r="A69" s="121"/>
      <c r="B69" s="121"/>
      <c r="C69" s="122"/>
      <c r="D69" s="122"/>
    </row>
    <row r="70" spans="1:4" ht="14.4">
      <c r="A70" s="510" t="s">
        <v>360</v>
      </c>
      <c r="B70" s="507" t="s">
        <v>92</v>
      </c>
      <c r="C70" s="507"/>
      <c r="D70" s="507"/>
    </row>
    <row r="71" spans="1:4" ht="14.4">
      <c r="A71" s="512"/>
      <c r="B71" s="515" t="s">
        <v>272</v>
      </c>
      <c r="C71" s="515"/>
      <c r="D71" s="515" t="s">
        <v>273</v>
      </c>
    </row>
    <row r="72" spans="1:4" ht="14.4">
      <c r="A72" s="498"/>
      <c r="B72" s="100" t="s">
        <v>26</v>
      </c>
      <c r="C72" s="100" t="s">
        <v>363</v>
      </c>
      <c r="D72" s="516"/>
    </row>
    <row r="73" spans="1:4" ht="14.4">
      <c r="A73" s="102" t="s">
        <v>353</v>
      </c>
      <c r="B73" s="94"/>
      <c r="C73" s="108" t="e">
        <f>ROUND(B73/$B$79,4)</f>
        <v>#DIV/0!</v>
      </c>
      <c r="D73" s="94"/>
    </row>
    <row r="74" spans="1:4" ht="14.4">
      <c r="A74" s="90" t="s">
        <v>262</v>
      </c>
      <c r="B74" s="94"/>
      <c r="C74" s="108" t="e">
        <f t="shared" ref="C74:C78" si="6">ROUND(B74/$B$79,4)</f>
        <v>#DIV/0!</v>
      </c>
      <c r="D74" s="94"/>
    </row>
    <row r="75" spans="1:4" ht="14.4">
      <c r="A75" s="90" t="s">
        <v>263</v>
      </c>
      <c r="B75" s="94"/>
      <c r="C75" s="108" t="e">
        <f t="shared" si="6"/>
        <v>#DIV/0!</v>
      </c>
      <c r="D75" s="94"/>
    </row>
    <row r="76" spans="1:4" ht="14.4">
      <c r="A76" s="90" t="s">
        <v>264</v>
      </c>
      <c r="B76" s="94"/>
      <c r="C76" s="108" t="e">
        <f t="shared" si="6"/>
        <v>#DIV/0!</v>
      </c>
      <c r="D76" s="94"/>
    </row>
    <row r="77" spans="1:4" ht="14.4">
      <c r="A77" s="90" t="s">
        <v>265</v>
      </c>
      <c r="B77" s="94"/>
      <c r="C77" s="108" t="e">
        <f t="shared" si="6"/>
        <v>#DIV/0!</v>
      </c>
      <c r="D77" s="94"/>
    </row>
    <row r="78" spans="1:4" ht="14.4">
      <c r="A78" s="118" t="s">
        <v>266</v>
      </c>
      <c r="B78" s="100"/>
      <c r="C78" s="108" t="e">
        <f t="shared" si="6"/>
        <v>#DIV/0!</v>
      </c>
      <c r="D78" s="100"/>
    </row>
    <row r="79" spans="1:4" ht="14.4">
      <c r="A79" s="105" t="s">
        <v>269</v>
      </c>
      <c r="B79" s="106">
        <f>SUM(B73:B78)</f>
        <v>0</v>
      </c>
      <c r="C79" s="115" t="s">
        <v>361</v>
      </c>
      <c r="D79" s="106">
        <f>SUM(D73:D78)</f>
        <v>0</v>
      </c>
    </row>
    <row r="80" spans="1:4" ht="14.4">
      <c r="A80" s="123" t="s">
        <v>364</v>
      </c>
      <c r="B80" s="124"/>
      <c r="C80" s="124"/>
      <c r="D80" s="101"/>
    </row>
    <row r="81" spans="1:7" ht="14.4">
      <c r="A81" s="125"/>
      <c r="B81" s="124"/>
      <c r="C81" s="124"/>
      <c r="D81" s="101"/>
    </row>
    <row r="82" spans="1:7" ht="14.4">
      <c r="A82" s="510" t="s">
        <v>365</v>
      </c>
      <c r="B82" s="507" t="s">
        <v>93</v>
      </c>
      <c r="C82" s="501"/>
      <c r="D82" s="501"/>
      <c r="E82" s="507" t="s">
        <v>366</v>
      </c>
      <c r="F82" s="501"/>
      <c r="G82" s="501"/>
    </row>
    <row r="83" spans="1:7" ht="28.8">
      <c r="A83" s="498"/>
      <c r="B83" s="113" t="s">
        <v>272</v>
      </c>
      <c r="C83" s="113" t="s">
        <v>367</v>
      </c>
      <c r="D83" s="113" t="s">
        <v>273</v>
      </c>
      <c r="E83" s="126" t="s">
        <v>272</v>
      </c>
      <c r="F83" s="126" t="s">
        <v>367</v>
      </c>
      <c r="G83" s="113" t="s">
        <v>273</v>
      </c>
    </row>
    <row r="84" spans="1:7" ht="14.4">
      <c r="A84" s="102"/>
      <c r="B84" s="94"/>
      <c r="C84" s="94"/>
      <c r="D84" s="127"/>
      <c r="E84" s="94"/>
      <c r="F84" s="94"/>
      <c r="G84" s="127"/>
    </row>
    <row r="85" spans="1:7" ht="14.4">
      <c r="A85" s="90"/>
      <c r="B85" s="94"/>
      <c r="C85" s="94"/>
      <c r="D85" s="101"/>
      <c r="E85" s="94"/>
      <c r="F85" s="94"/>
      <c r="G85" s="101"/>
    </row>
    <row r="86" spans="1:7" ht="14.4">
      <c r="A86" s="90"/>
      <c r="B86" s="94"/>
      <c r="C86" s="94"/>
      <c r="D86" s="101"/>
      <c r="E86" s="94"/>
      <c r="F86" s="94"/>
      <c r="G86" s="101"/>
    </row>
    <row r="87" spans="1:7" ht="14.4">
      <c r="A87" s="90"/>
      <c r="B87" s="94"/>
      <c r="C87" s="94"/>
      <c r="D87" s="101"/>
      <c r="E87" s="94"/>
      <c r="F87" s="94"/>
      <c r="G87" s="101"/>
    </row>
    <row r="88" spans="1:7" ht="14.4">
      <c r="A88" s="90"/>
      <c r="B88" s="94"/>
      <c r="C88" s="94"/>
      <c r="D88" s="101"/>
      <c r="E88" s="94"/>
      <c r="F88" s="94"/>
      <c r="G88" s="101"/>
    </row>
    <row r="89" spans="1:7" ht="14.4">
      <c r="A89" s="118"/>
      <c r="B89" s="100"/>
      <c r="C89" s="100"/>
      <c r="D89" s="104"/>
      <c r="E89" s="100"/>
      <c r="F89" s="100"/>
      <c r="G89" s="104"/>
    </row>
    <row r="90" spans="1:7" ht="14.4">
      <c r="A90" s="105" t="s">
        <v>269</v>
      </c>
      <c r="B90" s="106">
        <f>SUM(B84:B89)</f>
        <v>0</v>
      </c>
      <c r="C90" s="106">
        <f>SUM(C84:C89)</f>
        <v>0</v>
      </c>
      <c r="D90" s="104">
        <f t="shared" ref="D90" si="7">IFERROR(C90/B90*100,0)</f>
        <v>0</v>
      </c>
      <c r="E90" s="106">
        <f>SUM(E84:E89)</f>
        <v>0</v>
      </c>
      <c r="F90" s="106">
        <f>SUM(F84:F89)</f>
        <v>0</v>
      </c>
      <c r="G90" s="104">
        <f t="shared" ref="G90" si="8">IFERROR(F90/E90*100,0)</f>
        <v>0</v>
      </c>
    </row>
    <row r="91" spans="1:7" ht="14.4">
      <c r="A91" s="125"/>
      <c r="B91" s="124"/>
      <c r="C91" s="124"/>
      <c r="D91" s="101"/>
    </row>
    <row r="92" spans="1:7" ht="14.4">
      <c r="A92" s="128" t="s">
        <v>368</v>
      </c>
      <c r="C92" s="83"/>
    </row>
    <row r="93" spans="1:7" ht="14.4">
      <c r="A93" s="83" t="s">
        <v>369</v>
      </c>
      <c r="C93" s="83"/>
    </row>
    <row r="94" spans="1:7" ht="14.4">
      <c r="A94" s="513" t="s">
        <v>355</v>
      </c>
      <c r="B94" s="514" t="s">
        <v>92</v>
      </c>
      <c r="C94" s="508" t="s">
        <v>370</v>
      </c>
      <c r="D94" s="501"/>
      <c r="E94" s="501"/>
      <c r="F94" s="514" t="s">
        <v>93</v>
      </c>
    </row>
    <row r="95" spans="1:7" ht="14.4">
      <c r="A95" s="498"/>
      <c r="B95" s="498"/>
      <c r="C95" s="129" t="s">
        <v>371</v>
      </c>
      <c r="D95" s="129" t="s">
        <v>372</v>
      </c>
      <c r="E95" s="129" t="s">
        <v>373</v>
      </c>
      <c r="F95" s="498"/>
    </row>
    <row r="96" spans="1:7" ht="14.4">
      <c r="A96" s="102" t="s">
        <v>374</v>
      </c>
      <c r="B96" s="101"/>
      <c r="C96" s="101"/>
      <c r="D96" s="101"/>
      <c r="E96" s="101"/>
      <c r="F96" s="101">
        <f>B96+C96-D96-E96</f>
        <v>0</v>
      </c>
    </row>
    <row r="97" spans="1:11" ht="14.4">
      <c r="A97" s="102" t="s">
        <v>375</v>
      </c>
      <c r="B97" s="101"/>
      <c r="C97" s="101"/>
      <c r="D97" s="101"/>
      <c r="E97" s="101"/>
      <c r="F97" s="101">
        <f>B97+C97-D97-E97</f>
        <v>0</v>
      </c>
    </row>
    <row r="98" spans="1:11" ht="14.4">
      <c r="A98" s="118" t="s">
        <v>376</v>
      </c>
      <c r="B98" s="104"/>
      <c r="C98" s="104"/>
      <c r="D98" s="104"/>
      <c r="E98" s="104"/>
      <c r="F98" s="104">
        <f>B98+C98-D98-E98</f>
        <v>0</v>
      </c>
    </row>
    <row r="99" spans="1:11" ht="14.4">
      <c r="A99" s="105" t="s">
        <v>269</v>
      </c>
      <c r="B99" s="106">
        <f>B96+B97</f>
        <v>0</v>
      </c>
      <c r="C99" s="106">
        <f>C96+C97</f>
        <v>0</v>
      </c>
      <c r="D99" s="106">
        <f>D96+D97</f>
        <v>0</v>
      </c>
      <c r="E99" s="106">
        <f>E96+E97</f>
        <v>0</v>
      </c>
      <c r="F99" s="104">
        <f>B99+C99-D99-E99</f>
        <v>0</v>
      </c>
    </row>
    <row r="100" spans="1:11" ht="14.4">
      <c r="A100" s="83" t="s">
        <v>377</v>
      </c>
      <c r="C100" s="83"/>
    </row>
    <row r="101" spans="1:11" ht="23.7" customHeight="1">
      <c r="A101" s="130" t="s">
        <v>359</v>
      </c>
      <c r="B101" s="131" t="s">
        <v>308</v>
      </c>
      <c r="C101" s="131" t="s">
        <v>378</v>
      </c>
      <c r="D101" s="131" t="s">
        <v>379</v>
      </c>
    </row>
    <row r="102" spans="1:11" ht="14.4">
      <c r="A102" s="132"/>
      <c r="B102" s="127"/>
      <c r="C102" s="127"/>
      <c r="D102" s="127"/>
    </row>
    <row r="103" spans="1:11" ht="14.4">
      <c r="A103" s="133"/>
      <c r="B103" s="104"/>
      <c r="C103" s="104"/>
      <c r="D103" s="104"/>
    </row>
    <row r="104" spans="1:11" ht="14.4">
      <c r="A104" s="134" t="s">
        <v>269</v>
      </c>
      <c r="B104" s="100">
        <f>SUM(B102:B103)</f>
        <v>0</v>
      </c>
      <c r="C104" s="100">
        <f>SUM(C102:C103)</f>
        <v>0</v>
      </c>
      <c r="D104" s="100"/>
    </row>
    <row r="105" spans="1:11" ht="33" customHeight="1">
      <c r="A105" s="509" t="s">
        <v>380</v>
      </c>
      <c r="B105" s="509"/>
      <c r="C105" s="509"/>
      <c r="D105" s="509"/>
      <c r="E105" s="509"/>
      <c r="F105" s="509"/>
      <c r="G105" s="509"/>
      <c r="H105" s="509"/>
      <c r="I105" s="509"/>
      <c r="J105" s="509"/>
      <c r="K105" s="509"/>
    </row>
    <row r="106" spans="1:11" ht="14.4">
      <c r="A106" s="83" t="s">
        <v>381</v>
      </c>
      <c r="C106" s="83"/>
    </row>
    <row r="107" spans="1:11" ht="23.7" customHeight="1">
      <c r="A107" s="135" t="s">
        <v>359</v>
      </c>
      <c r="B107" s="89" t="s">
        <v>320</v>
      </c>
      <c r="C107" s="89" t="s">
        <v>317</v>
      </c>
      <c r="D107" s="89" t="s">
        <v>321</v>
      </c>
      <c r="E107" s="89" t="s">
        <v>322</v>
      </c>
      <c r="F107" s="89" t="s">
        <v>382</v>
      </c>
    </row>
    <row r="108" spans="1:11" ht="14.4">
      <c r="A108" s="136"/>
      <c r="B108" s="92"/>
      <c r="C108" s="92"/>
      <c r="D108" s="92"/>
      <c r="E108" s="92"/>
      <c r="F108" s="92"/>
    </row>
    <row r="109" spans="1:11" ht="14.4">
      <c r="A109" s="137"/>
      <c r="B109" s="138"/>
      <c r="C109" s="138"/>
      <c r="D109" s="138"/>
      <c r="E109" s="138"/>
      <c r="F109" s="138"/>
    </row>
    <row r="110" spans="1:11" ht="14.4">
      <c r="A110" s="134" t="s">
        <v>269</v>
      </c>
      <c r="B110" s="100" t="s">
        <v>361</v>
      </c>
      <c r="C110" s="100"/>
      <c r="D110" s="100" t="s">
        <v>361</v>
      </c>
      <c r="E110" s="100"/>
      <c r="F110" s="100" t="s">
        <v>361</v>
      </c>
    </row>
    <row r="111" spans="1:11" ht="14.4">
      <c r="A111" s="128" t="s">
        <v>383</v>
      </c>
      <c r="C111" s="83"/>
    </row>
    <row r="112" spans="1:11" ht="23.7" customHeight="1">
      <c r="A112" s="88" t="s">
        <v>359</v>
      </c>
      <c r="B112" s="89" t="s">
        <v>272</v>
      </c>
      <c r="C112" s="89" t="s">
        <v>384</v>
      </c>
      <c r="D112" s="89" t="s">
        <v>273</v>
      </c>
    </row>
    <row r="113" spans="1:4" ht="14.4">
      <c r="A113" s="139"/>
      <c r="B113" s="92"/>
      <c r="C113" s="101"/>
      <c r="D113" s="92"/>
    </row>
    <row r="114" spans="1:4" ht="14.4">
      <c r="A114" s="139"/>
      <c r="B114" s="92"/>
      <c r="C114" s="101"/>
      <c r="D114" s="92"/>
    </row>
    <row r="115" spans="1:4" ht="14.4">
      <c r="A115" s="139"/>
      <c r="B115" s="92"/>
      <c r="C115" s="101"/>
      <c r="D115" s="92"/>
    </row>
    <row r="116" spans="1:4" ht="14.4">
      <c r="A116" s="139"/>
      <c r="B116" s="92"/>
      <c r="C116" s="101"/>
      <c r="D116" s="92"/>
    </row>
    <row r="117" spans="1:4" ht="14.4">
      <c r="A117" s="140"/>
      <c r="B117" s="138"/>
      <c r="C117" s="104"/>
      <c r="D117" s="138"/>
    </row>
    <row r="118" spans="1:4" s="82" customFormat="1" ht="14.4">
      <c r="A118" s="112" t="s">
        <v>269</v>
      </c>
      <c r="B118" s="141">
        <f>SUM(B113:B117)</f>
        <v>0</v>
      </c>
      <c r="C118" s="100">
        <f t="shared" ref="C118" si="9">IFERROR(B118/$B$28*100,0)</f>
        <v>0</v>
      </c>
      <c r="D118" s="141">
        <f>SUM(D113:D117)</f>
        <v>0</v>
      </c>
    </row>
    <row r="119" spans="1:4" ht="14.4">
      <c r="A119" s="128" t="s">
        <v>385</v>
      </c>
      <c r="C119" s="83"/>
    </row>
    <row r="120" spans="1:4" ht="48" customHeight="1">
      <c r="A120" s="88" t="s">
        <v>359</v>
      </c>
      <c r="B120" s="89" t="s">
        <v>339</v>
      </c>
      <c r="C120" s="89" t="s">
        <v>386</v>
      </c>
    </row>
    <row r="121" spans="1:4" ht="14.4">
      <c r="A121" s="90"/>
      <c r="B121" s="101"/>
      <c r="C121" s="101"/>
    </row>
    <row r="122" spans="1:4" ht="14.4">
      <c r="A122" s="90"/>
      <c r="B122" s="142"/>
      <c r="C122" s="142"/>
    </row>
    <row r="123" spans="1:4" ht="14.4">
      <c r="A123" s="143"/>
      <c r="B123" s="111"/>
      <c r="C123" s="111"/>
    </row>
    <row r="124" spans="1:4" ht="14.4">
      <c r="A124" s="112" t="s">
        <v>269</v>
      </c>
      <c r="B124" s="100">
        <f>SUM(B121:B123)</f>
        <v>0</v>
      </c>
      <c r="C124" s="111">
        <f>SUM(C121:C123)</f>
        <v>0</v>
      </c>
    </row>
    <row r="125" spans="1:4" ht="14.4">
      <c r="A125" s="116" t="s">
        <v>325</v>
      </c>
      <c r="C125" s="83"/>
    </row>
    <row r="126" spans="1:4" ht="14.4">
      <c r="A126" s="83" t="s">
        <v>387</v>
      </c>
      <c r="C126" s="83"/>
    </row>
    <row r="127" spans="1:4" ht="14.4">
      <c r="A127" s="83" t="s">
        <v>388</v>
      </c>
      <c r="C127" s="83"/>
    </row>
    <row r="128" spans="1:4" ht="14.4">
      <c r="A128" s="144" t="s">
        <v>389</v>
      </c>
      <c r="C128" s="83"/>
    </row>
    <row r="129" spans="1:3" ht="14.4">
      <c r="A129" s="83" t="s">
        <v>390</v>
      </c>
      <c r="C129" s="83"/>
    </row>
    <row r="130" spans="1:3" ht="14.4">
      <c r="A130" s="88" t="s">
        <v>316</v>
      </c>
      <c r="B130" s="89" t="s">
        <v>391</v>
      </c>
      <c r="C130" s="83"/>
    </row>
    <row r="131" spans="1:3" ht="14.4">
      <c r="A131" s="90" t="s">
        <v>392</v>
      </c>
      <c r="B131" s="101"/>
      <c r="C131" s="83"/>
    </row>
    <row r="132" spans="1:3" ht="14.4">
      <c r="A132" s="90"/>
      <c r="B132" s="101"/>
      <c r="C132" s="83"/>
    </row>
    <row r="133" spans="1:3" ht="14.4">
      <c r="A133" s="93" t="s">
        <v>393</v>
      </c>
      <c r="B133" s="94">
        <f>SUM(B132)</f>
        <v>0</v>
      </c>
      <c r="C133" s="83"/>
    </row>
    <row r="134" spans="1:3" ht="14.4">
      <c r="A134" s="90" t="s">
        <v>394</v>
      </c>
      <c r="B134" s="142"/>
      <c r="C134" s="83"/>
    </row>
    <row r="135" spans="1:3" ht="14.4">
      <c r="A135" s="145"/>
      <c r="B135" s="142"/>
      <c r="C135" s="83"/>
    </row>
    <row r="136" spans="1:3" ht="14.4">
      <c r="A136" s="112" t="s">
        <v>395</v>
      </c>
      <c r="B136" s="100">
        <f>SUM(B135)</f>
        <v>0</v>
      </c>
      <c r="C136" s="83"/>
    </row>
    <row r="137" spans="1:3" ht="14.4">
      <c r="A137" s="116" t="s">
        <v>325</v>
      </c>
      <c r="C137" s="83"/>
    </row>
    <row r="138" spans="1:3" ht="14.4">
      <c r="A138" s="128" t="s">
        <v>396</v>
      </c>
      <c r="C138" s="83"/>
    </row>
  </sheetData>
  <mergeCells count="34">
    <mergeCell ref="A1:I1"/>
    <mergeCell ref="A2:I2"/>
    <mergeCell ref="B17:F17"/>
    <mergeCell ref="G17:K17"/>
    <mergeCell ref="B18:C18"/>
    <mergeCell ref="D18:E18"/>
    <mergeCell ref="G18:H18"/>
    <mergeCell ref="I18:J18"/>
    <mergeCell ref="A22:K22"/>
    <mergeCell ref="B36:D36"/>
    <mergeCell ref="B37:C37"/>
    <mergeCell ref="B47:D47"/>
    <mergeCell ref="B48:C48"/>
    <mergeCell ref="B58:D58"/>
    <mergeCell ref="B59:C59"/>
    <mergeCell ref="B70:D70"/>
    <mergeCell ref="B71:C71"/>
    <mergeCell ref="B82:D82"/>
    <mergeCell ref="E82:G82"/>
    <mergeCell ref="C94:E94"/>
    <mergeCell ref="A105:K105"/>
    <mergeCell ref="A17:A19"/>
    <mergeCell ref="A36:A38"/>
    <mergeCell ref="A47:A49"/>
    <mergeCell ref="A58:A60"/>
    <mergeCell ref="A70:A72"/>
    <mergeCell ref="A82:A83"/>
    <mergeCell ref="A94:A95"/>
    <mergeCell ref="B94:B95"/>
    <mergeCell ref="D37:D38"/>
    <mergeCell ref="D48:D49"/>
    <mergeCell ref="D59:D60"/>
    <mergeCell ref="D71:D72"/>
    <mergeCell ref="F94:F95"/>
  </mergeCells>
  <phoneticPr fontId="168" type="noConversion"/>
  <pageMargins left="0.70833333333333304" right="0.70833333333333304" top="0.74791666666666701" bottom="0.74791666666666701" header="0.31458333333333299" footer="0.31458333333333299"/>
  <pageSetup paperSize="9" scale="70"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M35"/>
  <sheetViews>
    <sheetView view="pageBreakPreview" zoomScaleNormal="100" workbookViewId="0">
      <pane xSplit="5" ySplit="12" topLeftCell="F13" activePane="bottomRight" state="frozen"/>
      <selection pane="topRight"/>
      <selection pane="bottomLeft"/>
      <selection pane="bottomRight" sqref="A1:S1"/>
    </sheetView>
  </sheetViews>
  <sheetFormatPr defaultColWidth="7" defaultRowHeight="20.100000000000001" customHeight="1"/>
  <cols>
    <col min="1" max="1" width="5.5" style="41" customWidth="1"/>
    <col min="2" max="2" width="19.19921875" style="41" customWidth="1"/>
    <col min="3" max="3" width="10" style="41" customWidth="1"/>
    <col min="4" max="4" width="13.09765625" style="41" customWidth="1"/>
    <col min="5" max="8" width="10.19921875" style="41" customWidth="1"/>
    <col min="9" max="9" width="9.59765625" style="41" customWidth="1"/>
    <col min="10" max="10" width="9.3984375" style="41" customWidth="1"/>
    <col min="11" max="11" width="10" style="41" customWidth="1"/>
    <col min="12" max="12" width="10.09765625" style="41" customWidth="1"/>
    <col min="13" max="13" width="9.5" style="41" customWidth="1"/>
    <col min="14" max="14" width="9.3984375" style="41" customWidth="1"/>
    <col min="15" max="19" width="9.69921875" style="41" customWidth="1"/>
    <col min="20" max="25" width="9.59765625" style="41" customWidth="1"/>
    <col min="26" max="26" width="10.59765625" style="41" customWidth="1"/>
    <col min="27" max="27" width="10.69921875" style="41" customWidth="1"/>
    <col min="28" max="28" width="8.8984375" style="41" customWidth="1"/>
    <col min="29" max="34" width="9.796875" style="41" customWidth="1"/>
    <col min="35" max="35" width="10.5" style="41" customWidth="1"/>
    <col min="36" max="36" width="10.19921875" style="41" customWidth="1"/>
    <col min="37" max="37" width="6.3984375" style="41" customWidth="1"/>
    <col min="38" max="38" width="8.5" style="41" customWidth="1"/>
    <col min="39" max="16384" width="7" style="41"/>
  </cols>
  <sheetData>
    <row r="1" spans="1:39" ht="20.100000000000001" customHeight="1">
      <c r="A1" s="529" t="s">
        <v>22</v>
      </c>
      <c r="B1" s="529"/>
      <c r="C1" s="529"/>
      <c r="D1" s="529"/>
      <c r="E1" s="529"/>
      <c r="F1" s="529"/>
      <c r="G1" s="529"/>
      <c r="H1" s="529"/>
      <c r="I1" s="529"/>
      <c r="J1" s="529"/>
      <c r="K1" s="529"/>
      <c r="L1" s="529"/>
      <c r="M1" s="529"/>
      <c r="N1" s="529"/>
      <c r="O1" s="529"/>
      <c r="P1" s="529"/>
      <c r="Q1" s="529"/>
      <c r="R1" s="529"/>
      <c r="S1" s="529"/>
      <c r="T1" s="529" t="s">
        <v>22</v>
      </c>
      <c r="U1" s="529"/>
      <c r="V1" s="529"/>
      <c r="W1" s="529"/>
      <c r="X1" s="529"/>
      <c r="Y1" s="529"/>
      <c r="Z1" s="529"/>
      <c r="AA1" s="529"/>
      <c r="AB1" s="529"/>
      <c r="AC1" s="529"/>
      <c r="AD1" s="529"/>
      <c r="AE1" s="529"/>
      <c r="AF1" s="529"/>
      <c r="AG1" s="529"/>
      <c r="AH1" s="529"/>
      <c r="AI1" s="529"/>
      <c r="AJ1" s="529"/>
      <c r="AK1" s="529"/>
      <c r="AL1" s="529"/>
      <c r="AM1" s="529"/>
    </row>
    <row r="2" spans="1:39" ht="20.100000000000001" customHeight="1">
      <c r="A2" s="530" t="s">
        <v>397</v>
      </c>
      <c r="B2" s="530"/>
      <c r="C2" s="530"/>
      <c r="D2" s="530"/>
      <c r="E2" s="530"/>
      <c r="F2" s="530"/>
      <c r="G2" s="530"/>
      <c r="H2" s="530"/>
      <c r="I2" s="530"/>
      <c r="J2" s="530"/>
      <c r="K2" s="530"/>
      <c r="L2" s="530"/>
      <c r="M2" s="530"/>
      <c r="N2" s="530"/>
      <c r="O2" s="530"/>
      <c r="P2" s="530"/>
      <c r="Q2" s="530"/>
      <c r="R2" s="530"/>
      <c r="S2" s="530"/>
      <c r="T2" s="530" t="s">
        <v>397</v>
      </c>
      <c r="U2" s="530"/>
      <c r="V2" s="530"/>
      <c r="W2" s="530"/>
      <c r="X2" s="530"/>
      <c r="Y2" s="530"/>
      <c r="Z2" s="530"/>
      <c r="AA2" s="530"/>
      <c r="AB2" s="530"/>
      <c r="AC2" s="530"/>
      <c r="AD2" s="530"/>
      <c r="AE2" s="530"/>
      <c r="AF2" s="530"/>
      <c r="AG2" s="530"/>
      <c r="AH2" s="530"/>
      <c r="AI2" s="530"/>
      <c r="AJ2" s="530"/>
      <c r="AK2" s="530"/>
      <c r="AL2" s="530"/>
      <c r="AM2" s="530"/>
    </row>
    <row r="3" spans="1:39" ht="20.100000000000001" customHeight="1">
      <c r="A3" s="42" t="str">
        <f>底稿目录!A2</f>
        <v>被审计单位名称：</v>
      </c>
      <c r="E3" s="37"/>
      <c r="F3" s="37" t="str">
        <f>底稿目录!A4</f>
        <v>编制人：</v>
      </c>
      <c r="G3" s="37"/>
      <c r="H3" s="37"/>
      <c r="I3" s="37"/>
      <c r="J3" s="41" t="str">
        <f>底稿目录!A5</f>
        <v>编制日期：</v>
      </c>
      <c r="K3" s="37"/>
      <c r="L3" s="37"/>
      <c r="M3" s="37"/>
      <c r="N3" s="37"/>
      <c r="Q3" s="65"/>
      <c r="R3" s="65" t="s">
        <v>23</v>
      </c>
      <c r="S3" s="455" t="s">
        <v>17</v>
      </c>
      <c r="T3" s="42" t="str">
        <f>底稿目录!A2</f>
        <v>被审计单位名称：</v>
      </c>
      <c r="U3" s="37"/>
      <c r="V3" s="37"/>
      <c r="W3" s="37"/>
      <c r="X3" s="37"/>
      <c r="Y3" s="37"/>
      <c r="AB3" s="37" t="str">
        <f>底稿目录!A4</f>
        <v>编制人：</v>
      </c>
      <c r="AG3" s="41" t="str">
        <f>底稿目录!A5</f>
        <v>编制日期：</v>
      </c>
      <c r="AL3" s="65" t="s">
        <v>23</v>
      </c>
      <c r="AM3" s="455" t="s">
        <v>17</v>
      </c>
    </row>
    <row r="4" spans="1:39" ht="20.100000000000001" customHeight="1">
      <c r="A4" s="42" t="str">
        <f>底稿目录!A3</f>
        <v>截止日：202X年12月31日</v>
      </c>
      <c r="E4" s="37"/>
      <c r="F4" s="37" t="str">
        <f>底稿目录!A6</f>
        <v>复核人：</v>
      </c>
      <c r="G4" s="37"/>
      <c r="H4" s="37"/>
      <c r="I4" s="37"/>
      <c r="J4" s="41" t="str">
        <f>底稿目录!A7</f>
        <v>复核日期：</v>
      </c>
      <c r="K4" s="37"/>
      <c r="L4" s="37"/>
      <c r="M4" s="37"/>
      <c r="N4" s="37"/>
      <c r="Q4" s="65"/>
      <c r="R4" s="65" t="s">
        <v>24</v>
      </c>
      <c r="T4" s="42" t="str">
        <f>底稿目录!A3</f>
        <v>截止日：202X年12月31日</v>
      </c>
      <c r="U4" s="37"/>
      <c r="V4" s="37"/>
      <c r="W4" s="37"/>
      <c r="X4" s="37"/>
      <c r="Y4" s="37"/>
      <c r="AB4" s="37" t="str">
        <f>底稿目录!A6</f>
        <v>复核人：</v>
      </c>
      <c r="AG4" s="41" t="str">
        <f>底稿目录!A7</f>
        <v>复核日期：</v>
      </c>
      <c r="AL4" s="65" t="s">
        <v>24</v>
      </c>
    </row>
    <row r="5" spans="1:39" s="37" customFormat="1" ht="20.100000000000001" customHeight="1">
      <c r="A5" s="43" t="s">
        <v>398</v>
      </c>
      <c r="B5" s="44"/>
      <c r="C5" s="44"/>
      <c r="D5" s="44"/>
      <c r="O5" s="66"/>
    </row>
    <row r="6" spans="1:39" s="37" customFormat="1" ht="20.100000000000001" customHeight="1">
      <c r="A6" s="45" t="s">
        <v>399</v>
      </c>
      <c r="B6" s="46"/>
      <c r="C6" s="46"/>
      <c r="D6" s="46"/>
      <c r="AA6" s="46"/>
    </row>
    <row r="7" spans="1:39" s="37" customFormat="1" ht="20.100000000000001" customHeight="1">
      <c r="A7" s="47" t="s">
        <v>400</v>
      </c>
      <c r="Z7" s="70"/>
    </row>
    <row r="8" spans="1:39" s="37" customFormat="1" ht="20.100000000000001" customHeight="1">
      <c r="A8" s="451" t="s">
        <v>488</v>
      </c>
      <c r="B8" s="452"/>
      <c r="C8" s="452"/>
      <c r="D8" s="452"/>
      <c r="E8" s="453"/>
      <c r="F8" s="453"/>
      <c r="G8" s="453"/>
      <c r="H8" s="451" t="s">
        <v>489</v>
      </c>
    </row>
    <row r="9" spans="1:39" s="37" customFormat="1" ht="20.100000000000001" customHeight="1">
      <c r="A9" s="451" t="s">
        <v>490</v>
      </c>
      <c r="B9" s="452"/>
      <c r="C9" s="452"/>
      <c r="D9" s="452"/>
      <c r="E9" s="453"/>
      <c r="F9" s="453"/>
      <c r="G9" s="453"/>
      <c r="H9" s="451" t="s">
        <v>492</v>
      </c>
    </row>
    <row r="10" spans="1:39" s="37" customFormat="1" ht="20.100000000000001" customHeight="1">
      <c r="A10" s="451" t="s">
        <v>491</v>
      </c>
      <c r="B10" s="452"/>
      <c r="C10" s="452"/>
      <c r="D10" s="452"/>
      <c r="E10" s="453"/>
      <c r="F10" s="453"/>
      <c r="G10" s="453"/>
      <c r="H10" s="453"/>
    </row>
    <row r="11" spans="1:39" ht="20.100000000000001" customHeight="1">
      <c r="A11" s="525" t="s">
        <v>2</v>
      </c>
      <c r="B11" s="525" t="s">
        <v>401</v>
      </c>
      <c r="C11" s="520" t="s">
        <v>493</v>
      </c>
      <c r="D11" s="525" t="s">
        <v>402</v>
      </c>
      <c r="E11" s="525" t="s">
        <v>403</v>
      </c>
      <c r="F11" s="525" t="s">
        <v>404</v>
      </c>
      <c r="G11" s="525" t="s">
        <v>405</v>
      </c>
      <c r="H11" s="525" t="s">
        <v>406</v>
      </c>
      <c r="I11" s="525" t="s">
        <v>407</v>
      </c>
      <c r="J11" s="525"/>
      <c r="K11" s="525"/>
      <c r="L11" s="525"/>
      <c r="M11" s="525"/>
      <c r="N11" s="525"/>
      <c r="O11" s="525" t="s">
        <v>408</v>
      </c>
      <c r="P11" s="525" t="s">
        <v>409</v>
      </c>
      <c r="Q11" s="522" t="s">
        <v>494</v>
      </c>
      <c r="R11" s="523" t="s">
        <v>495</v>
      </c>
      <c r="S11" s="522" t="s">
        <v>496</v>
      </c>
      <c r="T11" s="525" t="s">
        <v>410</v>
      </c>
      <c r="U11" s="525"/>
      <c r="V11" s="525"/>
      <c r="W11" s="525"/>
      <c r="X11" s="525"/>
      <c r="Y11" s="525"/>
      <c r="Z11" s="525" t="s">
        <v>97</v>
      </c>
      <c r="AA11" s="525" t="s">
        <v>98</v>
      </c>
      <c r="AB11" s="525" t="s">
        <v>411</v>
      </c>
      <c r="AC11" s="525" t="s">
        <v>412</v>
      </c>
      <c r="AD11" s="525"/>
      <c r="AE11" s="525"/>
      <c r="AF11" s="525"/>
      <c r="AG11" s="525"/>
      <c r="AH11" s="525"/>
      <c r="AI11" s="525" t="s">
        <v>413</v>
      </c>
      <c r="AJ11" s="525" t="s">
        <v>365</v>
      </c>
      <c r="AK11" s="526" t="s">
        <v>414</v>
      </c>
      <c r="AL11" s="526" t="s">
        <v>415</v>
      </c>
      <c r="AM11" s="527" t="s">
        <v>416</v>
      </c>
    </row>
    <row r="12" spans="1:39" ht="20.100000000000001" customHeight="1">
      <c r="A12" s="525"/>
      <c r="B12" s="525"/>
      <c r="C12" s="521"/>
      <c r="D12" s="525"/>
      <c r="E12" s="525"/>
      <c r="F12" s="531"/>
      <c r="G12" s="531"/>
      <c r="H12" s="525"/>
      <c r="I12" s="48" t="s">
        <v>257</v>
      </c>
      <c r="J12" s="48" t="s">
        <v>292</v>
      </c>
      <c r="K12" s="48" t="s">
        <v>293</v>
      </c>
      <c r="L12" s="48" t="s">
        <v>294</v>
      </c>
      <c r="M12" s="48" t="s">
        <v>295</v>
      </c>
      <c r="N12" s="48" t="s">
        <v>266</v>
      </c>
      <c r="O12" s="525"/>
      <c r="P12" s="525"/>
      <c r="Q12" s="522" t="s">
        <v>497</v>
      </c>
      <c r="R12" s="524"/>
      <c r="S12" s="522" t="s">
        <v>497</v>
      </c>
      <c r="T12" s="48" t="s">
        <v>257</v>
      </c>
      <c r="U12" s="48" t="s">
        <v>292</v>
      </c>
      <c r="V12" s="48" t="s">
        <v>293</v>
      </c>
      <c r="W12" s="48" t="s">
        <v>294</v>
      </c>
      <c r="X12" s="48" t="s">
        <v>295</v>
      </c>
      <c r="Y12" s="48" t="s">
        <v>266</v>
      </c>
      <c r="Z12" s="525"/>
      <c r="AA12" s="525"/>
      <c r="AB12" s="525"/>
      <c r="AC12" s="48" t="s">
        <v>257</v>
      </c>
      <c r="AD12" s="48" t="s">
        <v>292</v>
      </c>
      <c r="AE12" s="48" t="s">
        <v>293</v>
      </c>
      <c r="AF12" s="48" t="s">
        <v>294</v>
      </c>
      <c r="AG12" s="48" t="s">
        <v>295</v>
      </c>
      <c r="AH12" s="48" t="s">
        <v>266</v>
      </c>
      <c r="AI12" s="525"/>
      <c r="AJ12" s="525"/>
      <c r="AK12" s="526"/>
      <c r="AL12" s="526"/>
      <c r="AM12" s="528"/>
    </row>
    <row r="13" spans="1:39" ht="20.100000000000001" customHeight="1">
      <c r="A13" s="446">
        <v>1</v>
      </c>
      <c r="B13" s="49"/>
      <c r="C13" s="49"/>
      <c r="D13" s="49"/>
      <c r="E13" s="50"/>
      <c r="F13" s="50"/>
      <c r="G13" s="50"/>
      <c r="H13" s="50">
        <f>E13+F13+G13</f>
        <v>0</v>
      </c>
      <c r="I13" s="50"/>
      <c r="J13" s="50"/>
      <c r="K13" s="50"/>
      <c r="L13" s="50"/>
      <c r="M13" s="50"/>
      <c r="N13" s="50"/>
      <c r="O13" s="50"/>
      <c r="P13" s="50"/>
      <c r="Q13" s="454">
        <f>E13+O13-P13</f>
        <v>0</v>
      </c>
      <c r="R13" s="50"/>
      <c r="S13" s="53">
        <f>Q13+R13</f>
        <v>0</v>
      </c>
      <c r="T13" s="71"/>
      <c r="U13" s="71"/>
      <c r="V13" s="71"/>
      <c r="W13" s="71"/>
      <c r="X13" s="71"/>
      <c r="Y13" s="71"/>
      <c r="Z13" s="50"/>
      <c r="AA13" s="50"/>
      <c r="AB13" s="53">
        <f t="shared" ref="AB13:AB25" si="0">S13+Z13+AA13</f>
        <v>0</v>
      </c>
      <c r="AC13" s="50"/>
      <c r="AD13" s="72"/>
      <c r="AE13" s="50"/>
      <c r="AF13" s="50"/>
      <c r="AG13" s="50"/>
      <c r="AH13" s="50"/>
      <c r="AI13" s="73" t="s">
        <v>417</v>
      </c>
      <c r="AJ13" s="73" t="s">
        <v>417</v>
      </c>
      <c r="AK13" s="49"/>
      <c r="AL13" s="80"/>
      <c r="AM13" s="80"/>
    </row>
    <row r="14" spans="1:39" ht="20.100000000000001" customHeight="1">
      <c r="A14" s="446">
        <v>2</v>
      </c>
      <c r="B14" s="49"/>
      <c r="C14" s="49"/>
      <c r="D14" s="49"/>
      <c r="E14" s="50"/>
      <c r="F14" s="50"/>
      <c r="G14" s="50"/>
      <c r="H14" s="50">
        <f>E14+F14+G14</f>
        <v>0</v>
      </c>
      <c r="I14" s="50"/>
      <c r="J14" s="50"/>
      <c r="K14" s="50"/>
      <c r="L14" s="50"/>
      <c r="M14" s="50"/>
      <c r="N14" s="50"/>
      <c r="O14" s="50"/>
      <c r="P14" s="50"/>
      <c r="Q14" s="454">
        <f t="shared" ref="Q14:Q25" si="1">E14+O14-P14</f>
        <v>0</v>
      </c>
      <c r="R14" s="50"/>
      <c r="S14" s="53">
        <f t="shared" ref="S14:S25" si="2">Q14+R14</f>
        <v>0</v>
      </c>
      <c r="T14" s="71"/>
      <c r="U14" s="71"/>
      <c r="V14" s="71"/>
      <c r="W14" s="71"/>
      <c r="X14" s="71"/>
      <c r="Y14" s="71"/>
      <c r="Z14" s="50"/>
      <c r="AA14" s="50"/>
      <c r="AB14" s="53">
        <f t="shared" si="0"/>
        <v>0</v>
      </c>
      <c r="AC14" s="50"/>
      <c r="AD14" s="72"/>
      <c r="AE14" s="50"/>
      <c r="AF14" s="50"/>
      <c r="AG14" s="50"/>
      <c r="AH14" s="50"/>
      <c r="AI14" s="73" t="s">
        <v>106</v>
      </c>
      <c r="AJ14" s="73" t="s">
        <v>418</v>
      </c>
      <c r="AK14" s="49"/>
      <c r="AL14" s="80"/>
      <c r="AM14" s="80"/>
    </row>
    <row r="15" spans="1:39" s="38" customFormat="1" ht="20.100000000000001" customHeight="1">
      <c r="A15" s="446">
        <v>3</v>
      </c>
      <c r="B15" s="49"/>
      <c r="C15" s="49"/>
      <c r="D15" s="49"/>
      <c r="E15" s="50"/>
      <c r="F15" s="50"/>
      <c r="G15" s="50"/>
      <c r="H15" s="50">
        <f>E15+F15+G15</f>
        <v>0</v>
      </c>
      <c r="I15" s="50"/>
      <c r="J15" s="50"/>
      <c r="K15" s="50"/>
      <c r="L15" s="50"/>
      <c r="M15" s="50"/>
      <c r="N15" s="50"/>
      <c r="O15" s="50"/>
      <c r="P15" s="50"/>
      <c r="Q15" s="454">
        <f t="shared" si="1"/>
        <v>0</v>
      </c>
      <c r="R15" s="50"/>
      <c r="S15" s="53">
        <f t="shared" si="2"/>
        <v>0</v>
      </c>
      <c r="T15" s="71"/>
      <c r="U15" s="71"/>
      <c r="V15" s="71"/>
      <c r="W15" s="71"/>
      <c r="X15" s="71"/>
      <c r="Y15" s="71"/>
      <c r="Z15" s="50"/>
      <c r="AA15" s="50"/>
      <c r="AB15" s="53">
        <f t="shared" si="0"/>
        <v>0</v>
      </c>
      <c r="AC15" s="50"/>
      <c r="AD15" s="72"/>
      <c r="AE15" s="50"/>
      <c r="AF15" s="50"/>
      <c r="AG15" s="50"/>
      <c r="AH15" s="50"/>
      <c r="AI15" s="73" t="s">
        <v>106</v>
      </c>
      <c r="AJ15" s="73" t="s">
        <v>419</v>
      </c>
      <c r="AK15" s="49"/>
      <c r="AL15" s="81"/>
      <c r="AM15" s="81"/>
    </row>
    <row r="16" spans="1:39" s="38" customFormat="1" ht="20.100000000000001" customHeight="1">
      <c r="A16" s="446">
        <v>4</v>
      </c>
      <c r="B16" s="49"/>
      <c r="C16" s="49"/>
      <c r="D16" s="49"/>
      <c r="E16" s="50"/>
      <c r="F16" s="50"/>
      <c r="G16" s="50"/>
      <c r="H16" s="50">
        <f>E16+F16+G16</f>
        <v>0</v>
      </c>
      <c r="I16" s="50"/>
      <c r="J16" s="50"/>
      <c r="K16" s="50"/>
      <c r="L16" s="50"/>
      <c r="M16" s="50"/>
      <c r="N16" s="50"/>
      <c r="O16" s="50"/>
      <c r="P16" s="50"/>
      <c r="Q16" s="454">
        <f t="shared" si="1"/>
        <v>0</v>
      </c>
      <c r="R16" s="50"/>
      <c r="S16" s="53">
        <f t="shared" si="2"/>
        <v>0</v>
      </c>
      <c r="T16" s="71"/>
      <c r="U16" s="71"/>
      <c r="V16" s="71"/>
      <c r="W16" s="71"/>
      <c r="X16" s="71"/>
      <c r="Y16" s="71"/>
      <c r="Z16" s="50"/>
      <c r="AA16" s="50"/>
      <c r="AB16" s="53">
        <f t="shared" si="0"/>
        <v>0</v>
      </c>
      <c r="AC16" s="50"/>
      <c r="AD16" s="72"/>
      <c r="AE16" s="50"/>
      <c r="AF16" s="50"/>
      <c r="AG16" s="50"/>
      <c r="AH16" s="50"/>
      <c r="AI16" s="73" t="s">
        <v>106</v>
      </c>
      <c r="AJ16" s="73" t="s">
        <v>420</v>
      </c>
      <c r="AK16" s="49"/>
      <c r="AL16" s="81"/>
      <c r="AM16" s="81"/>
    </row>
    <row r="17" spans="1:39" s="38" customFormat="1" ht="20.100000000000001" customHeight="1">
      <c r="A17" s="446">
        <v>5</v>
      </c>
      <c r="B17" s="49"/>
      <c r="C17" s="49"/>
      <c r="D17" s="49"/>
      <c r="E17" s="50"/>
      <c r="F17" s="50"/>
      <c r="G17" s="50"/>
      <c r="H17" s="50">
        <f>E17+F17+G17</f>
        <v>0</v>
      </c>
      <c r="I17" s="50"/>
      <c r="J17" s="50"/>
      <c r="K17" s="50"/>
      <c r="L17" s="50"/>
      <c r="M17" s="50"/>
      <c r="N17" s="50"/>
      <c r="O17" s="50"/>
      <c r="P17" s="50"/>
      <c r="Q17" s="454">
        <f t="shared" si="1"/>
        <v>0</v>
      </c>
      <c r="R17" s="50"/>
      <c r="S17" s="53">
        <f t="shared" si="2"/>
        <v>0</v>
      </c>
      <c r="T17" s="71"/>
      <c r="U17" s="71"/>
      <c r="V17" s="71"/>
      <c r="W17" s="71"/>
      <c r="X17" s="71"/>
      <c r="Y17" s="71"/>
      <c r="Z17" s="50"/>
      <c r="AA17" s="50"/>
      <c r="AB17" s="53">
        <f t="shared" si="0"/>
        <v>0</v>
      </c>
      <c r="AC17" s="50"/>
      <c r="AD17" s="72"/>
      <c r="AE17" s="50"/>
      <c r="AF17" s="50"/>
      <c r="AG17" s="50"/>
      <c r="AH17" s="50"/>
      <c r="AI17" s="73" t="s">
        <v>106</v>
      </c>
      <c r="AJ17" s="73" t="s">
        <v>421</v>
      </c>
      <c r="AK17" s="49"/>
      <c r="AL17" s="81"/>
      <c r="AM17" s="81"/>
    </row>
    <row r="18" spans="1:39" s="38" customFormat="1" ht="20.100000000000001" customHeight="1">
      <c r="A18" s="446">
        <v>6</v>
      </c>
      <c r="B18" s="49"/>
      <c r="C18" s="49"/>
      <c r="D18" s="49"/>
      <c r="E18" s="50"/>
      <c r="F18" s="50"/>
      <c r="G18" s="50"/>
      <c r="H18" s="50">
        <f>E18+F18+G18</f>
        <v>0</v>
      </c>
      <c r="I18" s="50"/>
      <c r="J18" s="50"/>
      <c r="K18" s="50"/>
      <c r="L18" s="50"/>
      <c r="M18" s="50"/>
      <c r="N18" s="50"/>
      <c r="O18" s="50"/>
      <c r="P18" s="50"/>
      <c r="Q18" s="454">
        <f t="shared" si="1"/>
        <v>0</v>
      </c>
      <c r="R18" s="50"/>
      <c r="S18" s="53">
        <f t="shared" si="2"/>
        <v>0</v>
      </c>
      <c r="T18" s="71"/>
      <c r="U18" s="71"/>
      <c r="V18" s="71"/>
      <c r="W18" s="71"/>
      <c r="X18" s="71"/>
      <c r="Y18" s="71"/>
      <c r="Z18" s="50"/>
      <c r="AA18" s="50"/>
      <c r="AB18" s="53">
        <f t="shared" si="0"/>
        <v>0</v>
      </c>
      <c r="AC18" s="50"/>
      <c r="AD18" s="72"/>
      <c r="AE18" s="50"/>
      <c r="AF18" s="50"/>
      <c r="AG18" s="50"/>
      <c r="AH18" s="50"/>
      <c r="AI18" s="73" t="s">
        <v>106</v>
      </c>
      <c r="AJ18" s="73" t="s">
        <v>422</v>
      </c>
      <c r="AK18" s="49"/>
      <c r="AL18" s="81"/>
      <c r="AM18" s="81"/>
    </row>
    <row r="19" spans="1:39" s="38" customFormat="1" ht="20.100000000000001" customHeight="1">
      <c r="A19" s="446">
        <v>7</v>
      </c>
      <c r="B19" s="49"/>
      <c r="C19" s="49"/>
      <c r="D19" s="49"/>
      <c r="E19" s="50"/>
      <c r="F19" s="50"/>
      <c r="G19" s="50"/>
      <c r="H19" s="50">
        <f>E19+F19+G19</f>
        <v>0</v>
      </c>
      <c r="I19" s="50"/>
      <c r="J19" s="50"/>
      <c r="K19" s="50"/>
      <c r="L19" s="50"/>
      <c r="M19" s="50"/>
      <c r="N19" s="50"/>
      <c r="O19" s="50"/>
      <c r="P19" s="50"/>
      <c r="Q19" s="454">
        <f t="shared" si="1"/>
        <v>0</v>
      </c>
      <c r="R19" s="50"/>
      <c r="S19" s="53">
        <f t="shared" si="2"/>
        <v>0</v>
      </c>
      <c r="T19" s="71"/>
      <c r="U19" s="71"/>
      <c r="V19" s="71"/>
      <c r="W19" s="71"/>
      <c r="X19" s="71"/>
      <c r="Y19" s="71"/>
      <c r="Z19" s="50"/>
      <c r="AA19" s="50"/>
      <c r="AB19" s="53">
        <f t="shared" si="0"/>
        <v>0</v>
      </c>
      <c r="AC19" s="50"/>
      <c r="AD19" s="72"/>
      <c r="AE19" s="50"/>
      <c r="AF19" s="50"/>
      <c r="AG19" s="50"/>
      <c r="AH19" s="50"/>
      <c r="AI19" s="73"/>
      <c r="AJ19" s="73"/>
      <c r="AK19" s="49"/>
      <c r="AL19" s="81"/>
      <c r="AM19" s="81"/>
    </row>
    <row r="20" spans="1:39" s="38" customFormat="1" ht="20.100000000000001" customHeight="1">
      <c r="A20" s="446">
        <v>8</v>
      </c>
      <c r="B20" s="49"/>
      <c r="C20" s="49"/>
      <c r="D20" s="49"/>
      <c r="E20" s="50"/>
      <c r="F20" s="50"/>
      <c r="G20" s="50"/>
      <c r="H20" s="50">
        <f>E20+F20+G20</f>
        <v>0</v>
      </c>
      <c r="I20" s="50"/>
      <c r="J20" s="50"/>
      <c r="K20" s="50"/>
      <c r="L20" s="50"/>
      <c r="M20" s="50"/>
      <c r="N20" s="50"/>
      <c r="O20" s="50"/>
      <c r="P20" s="50"/>
      <c r="Q20" s="454">
        <f t="shared" si="1"/>
        <v>0</v>
      </c>
      <c r="R20" s="50"/>
      <c r="S20" s="53">
        <f t="shared" si="2"/>
        <v>0</v>
      </c>
      <c r="T20" s="71"/>
      <c r="U20" s="71"/>
      <c r="V20" s="71"/>
      <c r="W20" s="71"/>
      <c r="X20" s="71"/>
      <c r="Y20" s="71"/>
      <c r="Z20" s="50"/>
      <c r="AA20" s="50"/>
      <c r="AB20" s="53">
        <f t="shared" si="0"/>
        <v>0</v>
      </c>
      <c r="AC20" s="50"/>
      <c r="AD20" s="72"/>
      <c r="AE20" s="50"/>
      <c r="AF20" s="50"/>
      <c r="AG20" s="50"/>
      <c r="AH20" s="50"/>
      <c r="AI20" s="73"/>
      <c r="AJ20" s="73"/>
      <c r="AK20" s="49"/>
      <c r="AL20" s="81"/>
      <c r="AM20" s="81"/>
    </row>
    <row r="21" spans="1:39" s="38" customFormat="1" ht="20.100000000000001" customHeight="1">
      <c r="A21" s="446">
        <v>9</v>
      </c>
      <c r="B21" s="49"/>
      <c r="C21" s="49"/>
      <c r="D21" s="49"/>
      <c r="E21" s="50"/>
      <c r="F21" s="50"/>
      <c r="G21" s="50"/>
      <c r="H21" s="50">
        <f>E21+F21+G21</f>
        <v>0</v>
      </c>
      <c r="I21" s="50"/>
      <c r="J21" s="50"/>
      <c r="K21" s="50"/>
      <c r="L21" s="50"/>
      <c r="M21" s="50"/>
      <c r="N21" s="50"/>
      <c r="O21" s="50"/>
      <c r="P21" s="50"/>
      <c r="Q21" s="454">
        <f t="shared" si="1"/>
        <v>0</v>
      </c>
      <c r="R21" s="50"/>
      <c r="S21" s="53">
        <f t="shared" si="2"/>
        <v>0</v>
      </c>
      <c r="T21" s="71"/>
      <c r="U21" s="71"/>
      <c r="V21" s="71"/>
      <c r="W21" s="71"/>
      <c r="X21" s="71"/>
      <c r="Y21" s="71"/>
      <c r="Z21" s="50"/>
      <c r="AA21" s="50"/>
      <c r="AB21" s="53">
        <f t="shared" si="0"/>
        <v>0</v>
      </c>
      <c r="AC21" s="50"/>
      <c r="AD21" s="72"/>
      <c r="AE21" s="50"/>
      <c r="AF21" s="50"/>
      <c r="AG21" s="50"/>
      <c r="AH21" s="50"/>
      <c r="AI21" s="73"/>
      <c r="AJ21" s="73"/>
      <c r="AK21" s="49"/>
      <c r="AL21" s="81"/>
      <c r="AM21" s="81"/>
    </row>
    <row r="22" spans="1:39" s="38" customFormat="1" ht="20.100000000000001" customHeight="1">
      <c r="A22" s="446">
        <v>10</v>
      </c>
      <c r="B22" s="49"/>
      <c r="C22" s="49"/>
      <c r="D22" s="49"/>
      <c r="E22" s="50"/>
      <c r="F22" s="50"/>
      <c r="G22" s="50"/>
      <c r="H22" s="50">
        <f>E22+F22+G22</f>
        <v>0</v>
      </c>
      <c r="I22" s="50"/>
      <c r="J22" s="50"/>
      <c r="K22" s="50"/>
      <c r="L22" s="50"/>
      <c r="M22" s="50"/>
      <c r="N22" s="50"/>
      <c r="O22" s="50"/>
      <c r="P22" s="50"/>
      <c r="Q22" s="454">
        <f t="shared" si="1"/>
        <v>0</v>
      </c>
      <c r="R22" s="50"/>
      <c r="S22" s="53">
        <f t="shared" si="2"/>
        <v>0</v>
      </c>
      <c r="T22" s="71"/>
      <c r="U22" s="71"/>
      <c r="V22" s="71"/>
      <c r="W22" s="71"/>
      <c r="X22" s="71"/>
      <c r="Y22" s="71"/>
      <c r="Z22" s="50"/>
      <c r="AA22" s="50"/>
      <c r="AB22" s="53">
        <f t="shared" si="0"/>
        <v>0</v>
      </c>
      <c r="AC22" s="50"/>
      <c r="AD22" s="72"/>
      <c r="AE22" s="50"/>
      <c r="AF22" s="50"/>
      <c r="AG22" s="50"/>
      <c r="AH22" s="50"/>
      <c r="AI22" s="73"/>
      <c r="AJ22" s="73"/>
      <c r="AK22" s="49"/>
      <c r="AL22" s="81"/>
      <c r="AM22" s="81"/>
    </row>
    <row r="23" spans="1:39" s="38" customFormat="1" ht="20.100000000000001" customHeight="1">
      <c r="A23" s="446">
        <v>11</v>
      </c>
      <c r="B23" s="49"/>
      <c r="C23" s="49"/>
      <c r="D23" s="49"/>
      <c r="E23" s="50"/>
      <c r="F23" s="50"/>
      <c r="G23" s="50"/>
      <c r="H23" s="50">
        <f>E23+F23+G23</f>
        <v>0</v>
      </c>
      <c r="I23" s="50"/>
      <c r="J23" s="50"/>
      <c r="K23" s="50"/>
      <c r="L23" s="50"/>
      <c r="M23" s="50"/>
      <c r="N23" s="50"/>
      <c r="O23" s="50"/>
      <c r="P23" s="50"/>
      <c r="Q23" s="454">
        <f t="shared" si="1"/>
        <v>0</v>
      </c>
      <c r="R23" s="50"/>
      <c r="S23" s="53">
        <f t="shared" si="2"/>
        <v>0</v>
      </c>
      <c r="T23" s="71"/>
      <c r="U23" s="71"/>
      <c r="V23" s="71"/>
      <c r="W23" s="71"/>
      <c r="X23" s="71"/>
      <c r="Y23" s="71"/>
      <c r="Z23" s="50"/>
      <c r="AA23" s="50"/>
      <c r="AB23" s="53">
        <f t="shared" si="0"/>
        <v>0</v>
      </c>
      <c r="AC23" s="50"/>
      <c r="AD23" s="72"/>
      <c r="AE23" s="50"/>
      <c r="AF23" s="50"/>
      <c r="AG23" s="50"/>
      <c r="AH23" s="50"/>
      <c r="AI23" s="73"/>
      <c r="AJ23" s="73"/>
      <c r="AK23" s="49"/>
      <c r="AL23" s="81"/>
      <c r="AM23" s="81"/>
    </row>
    <row r="24" spans="1:39" ht="20.100000000000001" customHeight="1">
      <c r="A24" s="446">
        <v>12</v>
      </c>
      <c r="B24" s="49"/>
      <c r="C24" s="49"/>
      <c r="D24" s="49"/>
      <c r="E24" s="50"/>
      <c r="F24" s="50"/>
      <c r="G24" s="50"/>
      <c r="H24" s="50">
        <f>E24+F24+G24</f>
        <v>0</v>
      </c>
      <c r="I24" s="50"/>
      <c r="J24" s="50"/>
      <c r="K24" s="50"/>
      <c r="L24" s="50"/>
      <c r="M24" s="50"/>
      <c r="N24" s="50"/>
      <c r="O24" s="50"/>
      <c r="P24" s="50"/>
      <c r="Q24" s="454">
        <f t="shared" si="1"/>
        <v>0</v>
      </c>
      <c r="R24" s="50"/>
      <c r="S24" s="53">
        <f t="shared" si="2"/>
        <v>0</v>
      </c>
      <c r="T24" s="71"/>
      <c r="U24" s="71"/>
      <c r="V24" s="71"/>
      <c r="W24" s="71"/>
      <c r="X24" s="71"/>
      <c r="Y24" s="71"/>
      <c r="Z24" s="50"/>
      <c r="AA24" s="50"/>
      <c r="AB24" s="53">
        <f t="shared" si="0"/>
        <v>0</v>
      </c>
      <c r="AC24" s="50"/>
      <c r="AD24" s="72"/>
      <c r="AE24" s="50"/>
      <c r="AF24" s="50"/>
      <c r="AG24" s="50"/>
      <c r="AH24" s="50"/>
      <c r="AI24" s="73"/>
      <c r="AJ24" s="73"/>
      <c r="AK24" s="49"/>
      <c r="AL24" s="80"/>
      <c r="AM24" s="80"/>
    </row>
    <row r="25" spans="1:39" ht="20.100000000000001" customHeight="1">
      <c r="A25" s="446" t="s">
        <v>166</v>
      </c>
      <c r="B25" s="49"/>
      <c r="C25" s="49"/>
      <c r="D25" s="49"/>
      <c r="E25" s="50"/>
      <c r="F25" s="50"/>
      <c r="G25" s="50"/>
      <c r="H25" s="50">
        <f>E25+F25+G25</f>
        <v>0</v>
      </c>
      <c r="I25" s="50"/>
      <c r="J25" s="50"/>
      <c r="K25" s="50"/>
      <c r="L25" s="50"/>
      <c r="M25" s="50"/>
      <c r="N25" s="50"/>
      <c r="O25" s="50"/>
      <c r="P25" s="50"/>
      <c r="Q25" s="454">
        <f t="shared" si="1"/>
        <v>0</v>
      </c>
      <c r="R25" s="50"/>
      <c r="S25" s="53">
        <f t="shared" si="2"/>
        <v>0</v>
      </c>
      <c r="T25" s="71"/>
      <c r="U25" s="71"/>
      <c r="V25" s="71"/>
      <c r="W25" s="71"/>
      <c r="X25" s="71"/>
      <c r="Y25" s="71"/>
      <c r="Z25" s="50"/>
      <c r="AA25" s="50"/>
      <c r="AB25" s="53">
        <f t="shared" si="0"/>
        <v>0</v>
      </c>
      <c r="AC25" s="50"/>
      <c r="AD25" s="72"/>
      <c r="AE25" s="50"/>
      <c r="AF25" s="50"/>
      <c r="AG25" s="50"/>
      <c r="AH25" s="50"/>
      <c r="AI25" s="73"/>
      <c r="AJ25" s="73"/>
      <c r="AK25" s="49"/>
      <c r="AL25" s="80"/>
      <c r="AM25" s="80"/>
    </row>
    <row r="26" spans="1:39" s="39" customFormat="1" ht="20.100000000000001" customHeight="1">
      <c r="A26" s="51" t="s">
        <v>111</v>
      </c>
      <c r="B26" s="52"/>
      <c r="C26" s="52"/>
      <c r="D26" s="52"/>
      <c r="E26" s="53">
        <f>SUM(E13:E25)</f>
        <v>0</v>
      </c>
      <c r="F26" s="53">
        <f t="shared" ref="F26:H26" si="3">SUM(F13:F25)</f>
        <v>0</v>
      </c>
      <c r="G26" s="53">
        <f t="shared" si="3"/>
        <v>0</v>
      </c>
      <c r="H26" s="53">
        <f t="shared" si="3"/>
        <v>0</v>
      </c>
      <c r="I26" s="53">
        <f t="shared" ref="I26:J26" si="4">SUM(I13:I25)</f>
        <v>0</v>
      </c>
      <c r="J26" s="53">
        <f t="shared" si="4"/>
        <v>0</v>
      </c>
      <c r="K26" s="53">
        <f t="shared" ref="K26" si="5">SUM(K13:K25)</f>
        <v>0</v>
      </c>
      <c r="L26" s="53">
        <f t="shared" ref="L26:M26" si="6">SUM(L13:L25)</f>
        <v>0</v>
      </c>
      <c r="M26" s="53">
        <f t="shared" si="6"/>
        <v>0</v>
      </c>
      <c r="N26" s="53">
        <f t="shared" ref="N26:O26" si="7">SUM(N13:N25)</f>
        <v>0</v>
      </c>
      <c r="O26" s="53">
        <f t="shared" si="7"/>
        <v>0</v>
      </c>
      <c r="P26" s="53">
        <f t="shared" ref="P26:R26" si="8">SUM(P13:P25)</f>
        <v>0</v>
      </c>
      <c r="Q26" s="53">
        <f t="shared" si="8"/>
        <v>0</v>
      </c>
      <c r="R26" s="53">
        <f t="shared" si="8"/>
        <v>0</v>
      </c>
      <c r="S26" s="53">
        <f>SUM(S13:S25)</f>
        <v>0</v>
      </c>
      <c r="T26" s="53">
        <f t="shared" ref="T26:Y26" si="9">SUM(T13:T25)</f>
        <v>0</v>
      </c>
      <c r="U26" s="53">
        <f t="shared" si="9"/>
        <v>0</v>
      </c>
      <c r="V26" s="53">
        <f t="shared" si="9"/>
        <v>0</v>
      </c>
      <c r="W26" s="53">
        <f t="shared" si="9"/>
        <v>0</v>
      </c>
      <c r="X26" s="53">
        <f t="shared" si="9"/>
        <v>0</v>
      </c>
      <c r="Y26" s="53">
        <f t="shared" si="9"/>
        <v>0</v>
      </c>
      <c r="Z26" s="53">
        <f t="shared" ref="Z26" si="10">SUM(Z13:Z25)</f>
        <v>0</v>
      </c>
      <c r="AA26" s="53">
        <f t="shared" ref="AA26:AB26" si="11">SUM(AA13:AA25)</f>
        <v>0</v>
      </c>
      <c r="AB26" s="53">
        <f t="shared" si="11"/>
        <v>0</v>
      </c>
      <c r="AC26" s="53">
        <f t="shared" ref="AC26" si="12">SUM(AC13:AC25)</f>
        <v>0</v>
      </c>
      <c r="AD26" s="53">
        <f t="shared" ref="AD26" si="13">SUM(AD13:AD25)</f>
        <v>0</v>
      </c>
      <c r="AE26" s="53">
        <f t="shared" ref="AE26" si="14">SUM(AE13:AE25)</f>
        <v>0</v>
      </c>
      <c r="AF26" s="53">
        <f t="shared" ref="AF26" si="15">SUM(AF13:AF25)</f>
        <v>0</v>
      </c>
      <c r="AG26" s="53">
        <f t="shared" ref="AG26" si="16">SUM(AG13:AG25)</f>
        <v>0</v>
      </c>
      <c r="AH26" s="53">
        <f t="shared" ref="AH26" si="17">SUM(AH13:AH25)</f>
        <v>0</v>
      </c>
      <c r="AI26" s="74"/>
      <c r="AJ26" s="74"/>
      <c r="AK26" s="74"/>
      <c r="AL26" s="74"/>
      <c r="AM26" s="74"/>
    </row>
    <row r="27" spans="1:39" s="40" customFormat="1" ht="20.100000000000001" customHeight="1">
      <c r="A27" s="54" t="s">
        <v>423</v>
      </c>
      <c r="B27" s="54"/>
      <c r="C27" s="54"/>
      <c r="D27" s="54"/>
      <c r="E27" s="55"/>
      <c r="F27" s="55"/>
      <c r="G27" s="55"/>
      <c r="H27" s="56" t="str">
        <f>IF((H26-SUM(I26:N26)=0),"OK","账龄与审定不匹配")</f>
        <v>OK</v>
      </c>
      <c r="I27" s="57" t="e">
        <f>ROUND(I26/$H$26,4)</f>
        <v>#DIV/0!</v>
      </c>
      <c r="J27" s="57" t="e">
        <f t="shared" ref="J27:N27" si="18">ROUND(J26/$H$26,4)</f>
        <v>#DIV/0!</v>
      </c>
      <c r="K27" s="57" t="e">
        <f t="shared" si="18"/>
        <v>#DIV/0!</v>
      </c>
      <c r="L27" s="57" t="e">
        <f t="shared" si="18"/>
        <v>#DIV/0!</v>
      </c>
      <c r="M27" s="57" t="e">
        <f t="shared" si="18"/>
        <v>#DIV/0!</v>
      </c>
      <c r="N27" s="57" t="e">
        <f t="shared" si="18"/>
        <v>#DIV/0!</v>
      </c>
      <c r="O27" s="67"/>
      <c r="P27" s="67"/>
      <c r="Q27" s="67"/>
      <c r="R27" s="67"/>
      <c r="S27" s="68" t="str">
        <f>IF((S26=E26+O26-P26),"OK","否")</f>
        <v>OK</v>
      </c>
      <c r="T27" s="57" t="e">
        <f t="shared" ref="T27:Y27" si="19">ROUND(T26/$S$26,4)</f>
        <v>#DIV/0!</v>
      </c>
      <c r="U27" s="57" t="e">
        <f t="shared" si="19"/>
        <v>#DIV/0!</v>
      </c>
      <c r="V27" s="57" t="e">
        <f t="shared" si="19"/>
        <v>#DIV/0!</v>
      </c>
      <c r="W27" s="57" t="e">
        <f t="shared" si="19"/>
        <v>#DIV/0!</v>
      </c>
      <c r="X27" s="57" t="e">
        <f t="shared" si="19"/>
        <v>#DIV/0!</v>
      </c>
      <c r="Y27" s="57" t="e">
        <f t="shared" si="19"/>
        <v>#DIV/0!</v>
      </c>
      <c r="Z27" s="67"/>
      <c r="AA27" s="67"/>
      <c r="AB27" s="68" t="str">
        <f>IF((AB26-SUM(AC26:AH26)=0),"OK","账龄与审定不匹配")</f>
        <v>OK</v>
      </c>
      <c r="AC27" s="75" t="e">
        <f>ROUND(AC26/$AB$26,4)</f>
        <v>#DIV/0!</v>
      </c>
      <c r="AD27" s="75" t="e">
        <f t="shared" ref="AD27:AH27" si="20">ROUND(AD26/$AB$26,4)</f>
        <v>#DIV/0!</v>
      </c>
      <c r="AE27" s="75" t="e">
        <f t="shared" si="20"/>
        <v>#DIV/0!</v>
      </c>
      <c r="AF27" s="75" t="e">
        <f t="shared" si="20"/>
        <v>#DIV/0!</v>
      </c>
      <c r="AG27" s="75" t="e">
        <f t="shared" si="20"/>
        <v>#DIV/0!</v>
      </c>
      <c r="AH27" s="75" t="e">
        <f t="shared" si="20"/>
        <v>#DIV/0!</v>
      </c>
      <c r="AI27" s="76"/>
      <c r="AJ27" s="76"/>
      <c r="AK27" s="76"/>
      <c r="AL27" s="76"/>
      <c r="AM27" s="76"/>
    </row>
    <row r="28" spans="1:39" s="40" customFormat="1" ht="20.100000000000001" customHeight="1">
      <c r="A28" s="58" t="s">
        <v>424</v>
      </c>
      <c r="B28" s="58"/>
      <c r="C28" s="58"/>
      <c r="D28" s="58"/>
      <c r="E28" s="59"/>
      <c r="F28" s="59"/>
      <c r="G28" s="59"/>
      <c r="H28" s="56"/>
      <c r="I28" s="60"/>
      <c r="J28" s="60"/>
      <c r="K28" s="60"/>
      <c r="L28" s="60"/>
      <c r="M28" s="60"/>
      <c r="N28" s="60"/>
      <c r="O28" s="69"/>
      <c r="P28" s="69"/>
      <c r="Q28" s="69"/>
      <c r="R28" s="69"/>
      <c r="S28" s="56"/>
      <c r="T28" s="56"/>
      <c r="U28" s="56"/>
      <c r="V28" s="56"/>
      <c r="W28" s="56"/>
      <c r="X28" s="56"/>
      <c r="Y28" s="56"/>
      <c r="Z28" s="69"/>
      <c r="AA28" s="69"/>
      <c r="AB28" s="56"/>
      <c r="AC28" s="77"/>
      <c r="AD28" s="78" t="b">
        <f>IF(AD26&lt;=T26,TRUE,FALSE)</f>
        <v>1</v>
      </c>
      <c r="AE28" s="78" t="b">
        <f>IF(AE26&lt;=J26,TRUE,FALSE)</f>
        <v>1</v>
      </c>
      <c r="AF28" s="78" t="b">
        <f>IF(AF26&lt;=K26,TRUE,FALSE)</f>
        <v>1</v>
      </c>
      <c r="AG28" s="78" t="b">
        <f>IF(AG26&lt;=L26,TRUE,FALSE)</f>
        <v>1</v>
      </c>
      <c r="AH28" s="78" t="b">
        <f>IF(AH26&lt;=(M26+N26),TRUE,FALSE)</f>
        <v>1</v>
      </c>
      <c r="AI28" s="79"/>
      <c r="AJ28" s="79"/>
      <c r="AK28" s="79"/>
      <c r="AL28" s="79"/>
      <c r="AM28" s="79"/>
    </row>
    <row r="29" spans="1:39" ht="20.100000000000001" customHeight="1">
      <c r="A29" s="61" t="s">
        <v>425</v>
      </c>
      <c r="B29" s="62"/>
      <c r="C29" s="62"/>
      <c r="D29" s="62"/>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row>
    <row r="30" spans="1:39" ht="20.100000000000001" customHeight="1">
      <c r="A30" s="64"/>
      <c r="B30" s="62"/>
      <c r="C30" s="62"/>
      <c r="D30" s="62"/>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row>
    <row r="31" spans="1:39" ht="20.100000000000001" customHeight="1">
      <c r="A31" s="64"/>
      <c r="B31" s="62"/>
      <c r="C31" s="62"/>
      <c r="D31" s="62"/>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row>
    <row r="32" spans="1:39" ht="20.100000000000001" customHeight="1">
      <c r="A32" s="62"/>
      <c r="B32" s="62"/>
      <c r="C32" s="62"/>
      <c r="D32" s="62"/>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row>
    <row r="33" spans="1:39" ht="20.100000000000001" customHeight="1">
      <c r="A33" s="61" t="s">
        <v>426</v>
      </c>
      <c r="B33" s="62"/>
      <c r="C33" s="62"/>
      <c r="D33" s="62"/>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row>
    <row r="34" spans="1:39" ht="20.100000000000001" customHeight="1">
      <c r="A34" s="62"/>
      <c r="B34" s="62"/>
      <c r="C34" s="62"/>
      <c r="D34" s="62"/>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row>
    <row r="35" spans="1:39" ht="20.100000000000001" customHeight="1">
      <c r="A35" s="37"/>
      <c r="B35" s="37"/>
      <c r="C35" s="37"/>
      <c r="D35" s="37"/>
    </row>
  </sheetData>
  <mergeCells count="28">
    <mergeCell ref="A1:S1"/>
    <mergeCell ref="T1:AM1"/>
    <mergeCell ref="A2:S2"/>
    <mergeCell ref="T2:AM2"/>
    <mergeCell ref="I11:N11"/>
    <mergeCell ref="T11:Y11"/>
    <mergeCell ref="AC11:AH11"/>
    <mergeCell ref="A11:A12"/>
    <mergeCell ref="B11:B12"/>
    <mergeCell ref="D11:D12"/>
    <mergeCell ref="E11:E12"/>
    <mergeCell ref="F11:F12"/>
    <mergeCell ref="G11:G12"/>
    <mergeCell ref="H11:H12"/>
    <mergeCell ref="O11:O12"/>
    <mergeCell ref="P11:P12"/>
    <mergeCell ref="AL11:AL12"/>
    <mergeCell ref="AM11:AM12"/>
    <mergeCell ref="S11:S12"/>
    <mergeCell ref="Z11:Z12"/>
    <mergeCell ref="AA11:AA12"/>
    <mergeCell ref="AB11:AB12"/>
    <mergeCell ref="AI11:AI12"/>
    <mergeCell ref="C11:C12"/>
    <mergeCell ref="Q11:Q12"/>
    <mergeCell ref="R11:R12"/>
    <mergeCell ref="AJ11:AJ12"/>
    <mergeCell ref="AK11:AK12"/>
  </mergeCells>
  <phoneticPr fontId="168" type="noConversion"/>
  <dataValidations count="7">
    <dataValidation type="list" allowBlank="1" showInputMessage="1" showErrorMessage="1" sqref="D13:D24">
      <formula1>"合并范围内关联方,合并范围外关联方,非关联方"</formula1>
    </dataValidation>
    <dataValidation type="list" allowBlank="1" showInputMessage="1" showErrorMessage="1" prompt="如要修改下列框的选项，单击“数据-数据有效性-设置-序列-来源”。" sqref="AI13:AI25">
      <formula1>"单项计提,账龄组合,客户类型组合,其他组合"</formula1>
    </dataValidation>
    <dataValidation type="list" allowBlank="1" showInputMessage="1" showErrorMessage="1" prompt="如要修改下列框的选项，单击“数据-数据有效性-设置-序列-来源”。" sqref="AJ13:AJ25">
      <formula1>"单项计提,组合1,组合2,组合3,组合4,组合X"</formula1>
    </dataValidation>
    <dataValidation type="list" allowBlank="1" showInputMessage="1" showErrorMessage="1" sqref="AN65539:AN65553 AN131075:AN131089 AN196611:AN196625 AN262147:AN262161 AN327683:AN327697 AN393219:AN393233 AN458755:AN458769 AN524291:AN524305 AN589827:AN589841 AN655363:AN655377 AN720899:AN720913 AN786435:AN786449 AN851971:AN851985 AN917507:AN917521 AN983043:AN983057">
      <formula1>"√,×"</formula1>
    </dataValidation>
    <dataValidation type="list" allowBlank="1" showInputMessage="1" showErrorMessage="1" sqref="AP65539:AP65553 AP131075:AP131089 AP196611:AP196625 AP262147:AP262161 AP327683:AP327697 AP393219:AP393233 AP458755:AP458769 AP524291:AP524305 AP589827:AP589841 AP655363:AP655377 AP720899:AP720913 AP786435:AP786449 AP851971:AP851985 AP917507:AP917521 AP983043:AP983057">
      <formula1>"未支付,全额支付,部分支付"</formula1>
    </dataValidation>
    <dataValidation type="list" allowBlank="1" showInputMessage="1" sqref="E65539:N65553 E131075:N131089 E196611:N196625 E262147:N262161 E327683:N327697 E393219:N393233 E458755:N458769 E524291:N524305 E589827:N589841 E655363:N655377 E720899:N720913 E786435:N786449 E851971:N851985 E917507:N917521 E983043:N983057">
      <formula1>"人民币,美元,港元,日元,欧元,英镑,瑞士法郎,加拿大元,澳大利亚元,新加坡元,丹麦克朗,挪威克朗,瑞典克朗,澳门元,新西兰元,韩元,其他(请填写) "</formula1>
    </dataValidation>
    <dataValidation type="list" allowBlank="1" showInputMessage="1" showErrorMessage="1" sqref="B65538:D65553 B131074:D131089 B196610:D196625 B262146:D262161 B327682:D327697 B393218:D393233 B458754:D458769 B524290:D524305 B589826:D589841 B655362:D655377 B720898:D720913 B786434:D786449 B851970:D851985 B917506:D917521 B983042:D983057">
      <formula1>"是,否"</formula1>
    </dataValidation>
  </dataValidations>
  <hyperlinks>
    <hyperlink ref="S3" location="底稿目录!A1" display="D2-2"/>
    <hyperlink ref="AM3" location="底稿目录!A1" display="D2-2"/>
  </hyperlinks>
  <pageMargins left="0.70833333333333304" right="0.70833333333333304" top="0.74791666666666701" bottom="0.74791666666666701" header="0.31458333333333299" footer="0.31458333333333299"/>
  <pageSetup paperSize="9" scale="61" orientation="landscape" blackAndWhite="1" r:id="rId1"/>
  <headerFooter alignWithMargins="0">
    <oddFooter>&amp;C&amp;P/&amp;N</oddFooter>
  </headerFooter>
  <colBreaks count="1" manualBreakCount="1">
    <brk id="19" max="33"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N41"/>
  <sheetViews>
    <sheetView view="pageBreakPreview" zoomScaleNormal="100" workbookViewId="0">
      <selection sqref="A1:N1"/>
    </sheetView>
  </sheetViews>
  <sheetFormatPr defaultColWidth="9" defaultRowHeight="12"/>
  <cols>
    <col min="1" max="1" width="16" style="1" customWidth="1"/>
    <col min="2" max="2" width="11.59765625" style="1" customWidth="1"/>
    <col min="3" max="4" width="13" style="1" customWidth="1"/>
    <col min="5" max="5" width="12.09765625" style="1" customWidth="1"/>
    <col min="6" max="6" width="10.69921875" style="1" customWidth="1"/>
    <col min="7" max="10" width="9" style="1"/>
    <col min="11" max="11" width="11.5" style="1" customWidth="1"/>
    <col min="12" max="12" width="13.5" style="1" customWidth="1"/>
    <col min="13" max="13" width="13.59765625" style="1" customWidth="1"/>
    <col min="14" max="14" width="11" style="1" customWidth="1"/>
    <col min="15" max="16384" width="9" style="1"/>
  </cols>
  <sheetData>
    <row r="1" spans="1:14" s="2" customFormat="1" ht="20.100000000000001" customHeight="1">
      <c r="A1" s="474" t="s">
        <v>22</v>
      </c>
      <c r="B1" s="474"/>
      <c r="C1" s="474"/>
      <c r="D1" s="474"/>
      <c r="E1" s="474"/>
      <c r="F1" s="474"/>
      <c r="G1" s="474"/>
      <c r="H1" s="474"/>
      <c r="I1" s="474"/>
      <c r="J1" s="474"/>
      <c r="K1" s="474"/>
      <c r="L1" s="474"/>
      <c r="M1" s="474"/>
      <c r="N1" s="474"/>
    </row>
    <row r="2" spans="1:14" s="2" customFormat="1" ht="25.2" customHeight="1">
      <c r="A2" s="475" t="s">
        <v>427</v>
      </c>
      <c r="B2" s="475"/>
      <c r="C2" s="475"/>
      <c r="D2" s="475"/>
      <c r="E2" s="475"/>
      <c r="F2" s="475"/>
      <c r="G2" s="475"/>
      <c r="H2" s="475"/>
      <c r="I2" s="475"/>
      <c r="J2" s="475"/>
      <c r="K2" s="475"/>
      <c r="L2" s="475"/>
      <c r="M2" s="475"/>
      <c r="N2" s="475"/>
    </row>
    <row r="3" spans="1:14" s="2" customFormat="1" ht="21" customHeight="1">
      <c r="A3" s="2" t="str">
        <f>底稿目录!A2</f>
        <v>被审计单位名称：</v>
      </c>
      <c r="E3" s="3" t="str">
        <f>底稿目录!A4</f>
        <v>编制人：</v>
      </c>
      <c r="I3" s="3" t="str">
        <f>底稿目录!A5</f>
        <v>编制日期：</v>
      </c>
      <c r="M3" s="13" t="s">
        <v>23</v>
      </c>
      <c r="N3" s="455" t="s">
        <v>19</v>
      </c>
    </row>
    <row r="4" spans="1:14" s="2" customFormat="1" ht="21" customHeight="1">
      <c r="A4" s="2" t="str">
        <f>底稿目录!A3</f>
        <v>截止日：202X年12月31日</v>
      </c>
      <c r="B4" s="16"/>
      <c r="E4" s="3" t="str">
        <f>底稿目录!A6</f>
        <v>复核人：</v>
      </c>
      <c r="I4" s="3" t="str">
        <f>底稿目录!A7</f>
        <v>复核日期：</v>
      </c>
      <c r="M4" s="13" t="s">
        <v>24</v>
      </c>
      <c r="N4" s="3"/>
    </row>
    <row r="5" spans="1:14" ht="21" customHeight="1">
      <c r="A5" s="17" t="s">
        <v>398</v>
      </c>
    </row>
    <row r="6" spans="1:14" ht="21" customHeight="1">
      <c r="A6" s="18" t="s">
        <v>399</v>
      </c>
    </row>
    <row r="7" spans="1:14" ht="21" customHeight="1">
      <c r="A7" s="19" t="s">
        <v>400</v>
      </c>
    </row>
    <row r="8" spans="1:14" ht="21" customHeight="1">
      <c r="A8" s="20" t="s">
        <v>428</v>
      </c>
    </row>
    <row r="9" spans="1:14" ht="21" customHeight="1">
      <c r="A9" s="21"/>
    </row>
    <row r="10" spans="1:14" ht="21" customHeight="1">
      <c r="A10" s="532" t="s">
        <v>91</v>
      </c>
      <c r="B10" s="532" t="s">
        <v>92</v>
      </c>
      <c r="C10" s="532"/>
      <c r="D10" s="532"/>
      <c r="E10" s="532"/>
      <c r="F10" s="532" t="s">
        <v>429</v>
      </c>
      <c r="G10" s="532"/>
      <c r="H10" s="532" t="s">
        <v>430</v>
      </c>
      <c r="I10" s="532"/>
      <c r="J10" s="532"/>
      <c r="K10" s="532" t="s">
        <v>93</v>
      </c>
      <c r="L10" s="532"/>
      <c r="M10" s="532"/>
      <c r="N10" s="532"/>
    </row>
    <row r="11" spans="1:14" ht="21" customHeight="1">
      <c r="A11" s="532"/>
      <c r="B11" s="22" t="s">
        <v>431</v>
      </c>
      <c r="C11" s="22" t="s">
        <v>404</v>
      </c>
      <c r="D11" s="22" t="s">
        <v>98</v>
      </c>
      <c r="E11" s="22" t="s">
        <v>432</v>
      </c>
      <c r="F11" s="22" t="s">
        <v>371</v>
      </c>
      <c r="G11" s="22" t="s">
        <v>433</v>
      </c>
      <c r="H11" s="22" t="s">
        <v>434</v>
      </c>
      <c r="I11" s="22" t="s">
        <v>435</v>
      </c>
      <c r="J11" s="22" t="s">
        <v>436</v>
      </c>
      <c r="K11" s="22" t="s">
        <v>437</v>
      </c>
      <c r="L11" s="22" t="s">
        <v>438</v>
      </c>
      <c r="M11" s="22" t="s">
        <v>98</v>
      </c>
      <c r="N11" s="22" t="s">
        <v>439</v>
      </c>
    </row>
    <row r="12" spans="1:14" ht="21" customHeight="1">
      <c r="A12" s="23" t="s">
        <v>440</v>
      </c>
      <c r="B12" s="24">
        <f t="shared" ref="B12:N12" si="0">SUM(B13:B16)</f>
        <v>0</v>
      </c>
      <c r="C12" s="24">
        <f t="shared" si="0"/>
        <v>0</v>
      </c>
      <c r="D12" s="24">
        <f t="shared" si="0"/>
        <v>0</v>
      </c>
      <c r="E12" s="24">
        <f t="shared" si="0"/>
        <v>0</v>
      </c>
      <c r="F12" s="24">
        <f t="shared" si="0"/>
        <v>0</v>
      </c>
      <c r="G12" s="24">
        <f t="shared" si="0"/>
        <v>0</v>
      </c>
      <c r="H12" s="24">
        <f t="shared" si="0"/>
        <v>0</v>
      </c>
      <c r="I12" s="24">
        <f t="shared" si="0"/>
        <v>0</v>
      </c>
      <c r="J12" s="24">
        <f t="shared" si="0"/>
        <v>0</v>
      </c>
      <c r="K12" s="24">
        <f t="shared" si="0"/>
        <v>0</v>
      </c>
      <c r="L12" s="24">
        <f t="shared" si="0"/>
        <v>0</v>
      </c>
      <c r="M12" s="24">
        <f t="shared" si="0"/>
        <v>0</v>
      </c>
      <c r="N12" s="24">
        <f t="shared" si="0"/>
        <v>0</v>
      </c>
    </row>
    <row r="13" spans="1:14" ht="21" customHeight="1">
      <c r="A13" s="25" t="s">
        <v>279</v>
      </c>
      <c r="B13" s="26"/>
      <c r="C13" s="26"/>
      <c r="D13" s="26"/>
      <c r="E13" s="27">
        <f>B13+C13+D13</f>
        <v>0</v>
      </c>
      <c r="F13" s="26"/>
      <c r="G13" s="26"/>
      <c r="H13" s="26"/>
      <c r="I13" s="26"/>
      <c r="J13" s="26"/>
      <c r="K13" s="24">
        <f t="shared" ref="K13:K21" si="1">B13+SUM(F13:G13)-SUM(H13:J13)</f>
        <v>0</v>
      </c>
      <c r="L13" s="26"/>
      <c r="M13" s="26"/>
      <c r="N13" s="27">
        <f>K13+L13+M13</f>
        <v>0</v>
      </c>
    </row>
    <row r="14" spans="1:14" ht="21" customHeight="1">
      <c r="A14" s="25"/>
      <c r="B14" s="26"/>
      <c r="C14" s="26"/>
      <c r="D14" s="26"/>
      <c r="E14" s="27">
        <f t="shared" ref="E14:E16" si="2">B14+C14+D14</f>
        <v>0</v>
      </c>
      <c r="F14" s="26"/>
      <c r="G14" s="26"/>
      <c r="H14" s="26"/>
      <c r="I14" s="26"/>
      <c r="J14" s="26"/>
      <c r="K14" s="24">
        <f t="shared" si="1"/>
        <v>0</v>
      </c>
      <c r="L14" s="26"/>
      <c r="M14" s="26"/>
      <c r="N14" s="27">
        <f t="shared" ref="N14:N16" si="3">K14+L14+M14</f>
        <v>0</v>
      </c>
    </row>
    <row r="15" spans="1:14" ht="21" customHeight="1">
      <c r="A15" s="25"/>
      <c r="B15" s="26"/>
      <c r="C15" s="26"/>
      <c r="D15" s="26"/>
      <c r="E15" s="27">
        <f t="shared" si="2"/>
        <v>0</v>
      </c>
      <c r="F15" s="26"/>
      <c r="G15" s="26"/>
      <c r="H15" s="26"/>
      <c r="I15" s="26"/>
      <c r="J15" s="26"/>
      <c r="K15" s="24">
        <f t="shared" si="1"/>
        <v>0</v>
      </c>
      <c r="L15" s="26"/>
      <c r="M15" s="26"/>
      <c r="N15" s="27">
        <f t="shared" si="3"/>
        <v>0</v>
      </c>
    </row>
    <row r="16" spans="1:14" ht="21" customHeight="1">
      <c r="A16" s="25"/>
      <c r="B16" s="26"/>
      <c r="C16" s="26"/>
      <c r="D16" s="26"/>
      <c r="E16" s="27">
        <f t="shared" si="2"/>
        <v>0</v>
      </c>
      <c r="F16" s="26"/>
      <c r="G16" s="26"/>
      <c r="H16" s="26"/>
      <c r="I16" s="26"/>
      <c r="J16" s="26"/>
      <c r="K16" s="24">
        <f t="shared" si="1"/>
        <v>0</v>
      </c>
      <c r="L16" s="26"/>
      <c r="M16" s="26"/>
      <c r="N16" s="27">
        <f t="shared" si="3"/>
        <v>0</v>
      </c>
    </row>
    <row r="17" spans="1:14" ht="21" customHeight="1">
      <c r="A17" s="23" t="s">
        <v>441</v>
      </c>
      <c r="B17" s="24">
        <f t="shared" ref="B17:J17" si="4">SUM(B18:B21)</f>
        <v>0</v>
      </c>
      <c r="C17" s="24">
        <f t="shared" si="4"/>
        <v>0</v>
      </c>
      <c r="D17" s="24">
        <f t="shared" si="4"/>
        <v>0</v>
      </c>
      <c r="E17" s="24">
        <f>SUM(E18:E21)</f>
        <v>0</v>
      </c>
      <c r="F17" s="24">
        <f t="shared" si="4"/>
        <v>0</v>
      </c>
      <c r="G17" s="24">
        <f t="shared" si="4"/>
        <v>0</v>
      </c>
      <c r="H17" s="24">
        <f t="shared" si="4"/>
        <v>0</v>
      </c>
      <c r="I17" s="24">
        <f t="shared" si="4"/>
        <v>0</v>
      </c>
      <c r="J17" s="24">
        <f t="shared" si="4"/>
        <v>0</v>
      </c>
      <c r="K17" s="24">
        <f>SUM(K18:K21)</f>
        <v>0</v>
      </c>
      <c r="L17" s="24">
        <f>SUM(L18:L21)</f>
        <v>0</v>
      </c>
      <c r="M17" s="24">
        <f>SUM(M18:M21)</f>
        <v>0</v>
      </c>
      <c r="N17" s="24">
        <f>SUM(N18:N21)</f>
        <v>0</v>
      </c>
    </row>
    <row r="18" spans="1:14" ht="21" customHeight="1">
      <c r="A18" s="28" t="s">
        <v>279</v>
      </c>
      <c r="B18" s="26"/>
      <c r="C18" s="26"/>
      <c r="D18" s="26"/>
      <c r="E18" s="27">
        <f>B18+C18+D18</f>
        <v>0</v>
      </c>
      <c r="F18" s="26"/>
      <c r="G18" s="26"/>
      <c r="H18" s="26"/>
      <c r="I18" s="26"/>
      <c r="J18" s="26"/>
      <c r="K18" s="24">
        <f>B18+SUM(F18:G18)-SUM(H18:J18)</f>
        <v>0</v>
      </c>
      <c r="L18" s="26"/>
      <c r="M18" s="26"/>
      <c r="N18" s="27">
        <f>K18+L18+M18</f>
        <v>0</v>
      </c>
    </row>
    <row r="19" spans="1:14" ht="21" customHeight="1">
      <c r="A19" s="29"/>
      <c r="B19" s="26"/>
      <c r="C19" s="26"/>
      <c r="D19" s="26"/>
      <c r="E19" s="27">
        <f t="shared" ref="E19:E21" si="5">B19+C19+D19</f>
        <v>0</v>
      </c>
      <c r="F19" s="26"/>
      <c r="G19" s="26"/>
      <c r="H19" s="26"/>
      <c r="I19" s="26"/>
      <c r="J19" s="26"/>
      <c r="K19" s="24">
        <f t="shared" si="1"/>
        <v>0</v>
      </c>
      <c r="L19" s="26"/>
      <c r="M19" s="26"/>
      <c r="N19" s="27">
        <f>K19+L19+M19</f>
        <v>0</v>
      </c>
    </row>
    <row r="20" spans="1:14" ht="21" customHeight="1">
      <c r="A20" s="25"/>
      <c r="B20" s="26"/>
      <c r="C20" s="26"/>
      <c r="D20" s="26"/>
      <c r="E20" s="27">
        <f t="shared" si="5"/>
        <v>0</v>
      </c>
      <c r="F20" s="26"/>
      <c r="G20" s="26"/>
      <c r="H20" s="26"/>
      <c r="I20" s="26"/>
      <c r="J20" s="26"/>
      <c r="K20" s="24">
        <f t="shared" si="1"/>
        <v>0</v>
      </c>
      <c r="L20" s="26"/>
      <c r="M20" s="26"/>
      <c r="N20" s="27">
        <f>K20+L20+M20</f>
        <v>0</v>
      </c>
    </row>
    <row r="21" spans="1:14" ht="21" customHeight="1">
      <c r="A21" s="25"/>
      <c r="B21" s="26"/>
      <c r="C21" s="26"/>
      <c r="D21" s="26"/>
      <c r="E21" s="27">
        <f t="shared" si="5"/>
        <v>0</v>
      </c>
      <c r="F21" s="26"/>
      <c r="G21" s="26"/>
      <c r="H21" s="26"/>
      <c r="I21" s="26"/>
      <c r="J21" s="26"/>
      <c r="K21" s="24">
        <f t="shared" si="1"/>
        <v>0</v>
      </c>
      <c r="L21" s="36"/>
      <c r="M21" s="36"/>
      <c r="N21" s="27">
        <f>K21+L21+M21</f>
        <v>0</v>
      </c>
    </row>
    <row r="22" spans="1:14" ht="21" customHeight="1">
      <c r="A22" s="30" t="s">
        <v>442</v>
      </c>
      <c r="B22" s="31">
        <f>B12+B17</f>
        <v>0</v>
      </c>
      <c r="C22" s="31">
        <f>C12+C17</f>
        <v>0</v>
      </c>
      <c r="D22" s="31">
        <f>D12+D17</f>
        <v>0</v>
      </c>
      <c r="E22" s="31">
        <f>E12+E17</f>
        <v>0</v>
      </c>
      <c r="F22" s="31">
        <f t="shared" ref="F22:N22" si="6">F12+F17</f>
        <v>0</v>
      </c>
      <c r="G22" s="31">
        <f t="shared" si="6"/>
        <v>0</v>
      </c>
      <c r="H22" s="31">
        <f t="shared" si="6"/>
        <v>0</v>
      </c>
      <c r="I22" s="31">
        <f t="shared" si="6"/>
        <v>0</v>
      </c>
      <c r="J22" s="31">
        <f t="shared" si="6"/>
        <v>0</v>
      </c>
      <c r="K22" s="31">
        <f t="shared" si="6"/>
        <v>0</v>
      </c>
      <c r="L22" s="31">
        <f t="shared" si="6"/>
        <v>0</v>
      </c>
      <c r="M22" s="31">
        <f t="shared" si="6"/>
        <v>0</v>
      </c>
      <c r="N22" s="31">
        <f t="shared" si="6"/>
        <v>0</v>
      </c>
    </row>
    <row r="23" spans="1:14" ht="19.5" customHeight="1">
      <c r="A23" s="32" t="s">
        <v>443</v>
      </c>
    </row>
    <row r="24" spans="1:14" ht="19.5" customHeight="1"/>
    <row r="25" spans="1:14" ht="19.5" customHeight="1">
      <c r="A25" s="33"/>
    </row>
    <row r="26" spans="1:14" ht="19.5" customHeight="1">
      <c r="A26" s="34"/>
    </row>
    <row r="27" spans="1:14" ht="19.5" customHeight="1">
      <c r="A27" s="35" t="s">
        <v>426</v>
      </c>
    </row>
    <row r="28" spans="1:14" ht="19.5" customHeight="1"/>
    <row r="29" spans="1:14" ht="19.5" customHeight="1"/>
    <row r="30" spans="1:14" ht="19.5" customHeight="1"/>
    <row r="31" spans="1:14" ht="19.5" customHeight="1"/>
    <row r="32" spans="1:14" ht="19.5" customHeight="1"/>
    <row r="33" ht="19.5" customHeight="1"/>
    <row r="34" ht="19.5" customHeight="1"/>
    <row r="35" ht="19.5" customHeight="1"/>
    <row r="36" ht="19.5" customHeight="1"/>
    <row r="37" ht="19.5" customHeight="1"/>
    <row r="38" ht="19.5" customHeight="1"/>
    <row r="39" ht="19.5" customHeight="1"/>
    <row r="40" ht="19.5" customHeight="1"/>
    <row r="41" ht="19.5" customHeight="1"/>
  </sheetData>
  <mergeCells count="7">
    <mergeCell ref="A1:N1"/>
    <mergeCell ref="A2:N2"/>
    <mergeCell ref="B10:E10"/>
    <mergeCell ref="F10:G10"/>
    <mergeCell ref="H10:J10"/>
    <mergeCell ref="K10:N10"/>
    <mergeCell ref="A10:A11"/>
  </mergeCells>
  <phoneticPr fontId="168" type="noConversion"/>
  <hyperlinks>
    <hyperlink ref="N3" location="底稿目录!A1" display="D2-3"/>
  </hyperlinks>
  <pageMargins left="0.70833333333333304" right="0.70833333333333304" top="0.74791666666666701" bottom="0.74791666666666701" header="0.31458333333333299" footer="0.31458333333333299"/>
  <pageSetup paperSize="9" scale="76" orientation="landscape"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5"/>
  <sheetViews>
    <sheetView view="pageBreakPreview" zoomScaleNormal="100" workbookViewId="0">
      <selection sqref="A1:J1"/>
    </sheetView>
  </sheetViews>
  <sheetFormatPr defaultColWidth="9" defaultRowHeight="20.100000000000001" customHeight="1"/>
  <cols>
    <col min="1" max="1" width="12.69921875" style="1" customWidth="1"/>
    <col min="2" max="2" width="11.59765625" style="1" customWidth="1"/>
    <col min="3" max="6" width="9" style="1"/>
    <col min="7" max="7" width="9.09765625" style="1" customWidth="1"/>
    <col min="8" max="16384" width="9" style="1"/>
  </cols>
  <sheetData>
    <row r="1" spans="1:10" ht="20.100000000000001" customHeight="1">
      <c r="A1" s="474" t="s">
        <v>22</v>
      </c>
      <c r="B1" s="474"/>
      <c r="C1" s="474"/>
      <c r="D1" s="474"/>
      <c r="E1" s="474"/>
      <c r="F1" s="474"/>
      <c r="G1" s="474"/>
      <c r="H1" s="474"/>
      <c r="I1" s="474"/>
      <c r="J1" s="474"/>
    </row>
    <row r="2" spans="1:10" ht="20.100000000000001" customHeight="1">
      <c r="A2" s="475" t="s">
        <v>444</v>
      </c>
      <c r="B2" s="475"/>
      <c r="C2" s="475"/>
      <c r="D2" s="475"/>
      <c r="E2" s="475"/>
      <c r="F2" s="475"/>
      <c r="G2" s="475"/>
      <c r="H2" s="475"/>
      <c r="I2" s="475"/>
      <c r="J2" s="475"/>
    </row>
    <row r="3" spans="1:10" ht="20.100000000000001" customHeight="1">
      <c r="A3" s="2" t="str">
        <f>底稿目录!A2</f>
        <v>被审计单位名称：</v>
      </c>
      <c r="B3" s="2"/>
      <c r="C3" s="2"/>
      <c r="D3" s="2" t="str">
        <f>底稿目录!A4</f>
        <v>编制人：</v>
      </c>
      <c r="E3" s="2"/>
      <c r="F3" s="3"/>
      <c r="G3" s="2" t="str">
        <f>底稿目录!A5</f>
        <v>编制日期：</v>
      </c>
      <c r="H3" s="2"/>
      <c r="I3" s="13" t="s">
        <v>23</v>
      </c>
      <c r="J3" s="455" t="s">
        <v>21</v>
      </c>
    </row>
    <row r="4" spans="1:10" ht="20.100000000000001" customHeight="1">
      <c r="A4" s="2" t="str">
        <f>底稿目录!A3</f>
        <v>截止日：202X年12月31日</v>
      </c>
      <c r="B4" s="2"/>
      <c r="C4" s="2"/>
      <c r="D4" s="2" t="str">
        <f>底稿目录!A6</f>
        <v>复核人：</v>
      </c>
      <c r="E4" s="2"/>
      <c r="F4" s="3"/>
      <c r="G4" s="2" t="str">
        <f>底稿目录!A7</f>
        <v>复核日期：</v>
      </c>
      <c r="H4" s="2"/>
      <c r="I4" s="13" t="s">
        <v>24</v>
      </c>
      <c r="J4" s="14"/>
    </row>
    <row r="5" spans="1:10" ht="45.75" customHeight="1">
      <c r="A5" s="4" t="s">
        <v>445</v>
      </c>
      <c r="B5" s="5" t="s">
        <v>446</v>
      </c>
      <c r="C5" s="5" t="s">
        <v>447</v>
      </c>
      <c r="D5" s="6" t="s">
        <v>448</v>
      </c>
      <c r="E5" s="6" t="s">
        <v>449</v>
      </c>
      <c r="F5" s="6" t="s">
        <v>166</v>
      </c>
      <c r="G5" s="6" t="s">
        <v>450</v>
      </c>
      <c r="H5" s="6" t="s">
        <v>451</v>
      </c>
      <c r="I5" s="6" t="s">
        <v>452</v>
      </c>
      <c r="J5" s="6" t="s">
        <v>416</v>
      </c>
    </row>
    <row r="6" spans="1:10" ht="20.100000000000001" customHeight="1">
      <c r="A6" s="7"/>
      <c r="B6" s="7"/>
      <c r="C6" s="7"/>
      <c r="D6" s="7"/>
      <c r="E6" s="7"/>
      <c r="F6" s="7"/>
      <c r="G6" s="8"/>
      <c r="H6" s="8"/>
      <c r="I6" s="15"/>
      <c r="J6" s="7"/>
    </row>
    <row r="7" spans="1:10" ht="20.100000000000001" customHeight="1">
      <c r="A7" s="9"/>
      <c r="B7" s="7"/>
      <c r="C7" s="7"/>
      <c r="D7" s="7"/>
      <c r="E7" s="7"/>
      <c r="F7" s="7"/>
      <c r="G7" s="8"/>
      <c r="H7" s="8"/>
      <c r="I7" s="15"/>
      <c r="J7" s="7"/>
    </row>
    <row r="8" spans="1:10" ht="20.100000000000001" customHeight="1">
      <c r="A8" s="10"/>
      <c r="B8" s="7"/>
      <c r="C8" s="7"/>
      <c r="D8" s="7"/>
      <c r="E8" s="7"/>
      <c r="F8" s="7"/>
      <c r="G8" s="8"/>
      <c r="H8" s="8"/>
      <c r="I8" s="15"/>
      <c r="J8" s="7"/>
    </row>
    <row r="9" spans="1:10" ht="20.100000000000001" customHeight="1">
      <c r="A9" s="10"/>
      <c r="B9" s="7"/>
      <c r="C9" s="7"/>
      <c r="D9" s="7"/>
      <c r="E9" s="7"/>
      <c r="F9" s="7"/>
      <c r="G9" s="8"/>
      <c r="H9" s="8"/>
      <c r="I9" s="15"/>
      <c r="J9" s="7"/>
    </row>
    <row r="10" spans="1:10" ht="20.100000000000001" customHeight="1">
      <c r="A10" s="10"/>
      <c r="B10" s="7"/>
      <c r="C10" s="7"/>
      <c r="D10" s="7"/>
      <c r="E10" s="7"/>
      <c r="F10" s="7"/>
      <c r="G10" s="8"/>
      <c r="H10" s="8"/>
      <c r="I10" s="15"/>
      <c r="J10" s="7"/>
    </row>
    <row r="11" spans="1:10" ht="20.100000000000001" customHeight="1">
      <c r="A11" s="11"/>
      <c r="B11" s="7"/>
      <c r="C11" s="7"/>
      <c r="D11" s="7"/>
      <c r="E11" s="7"/>
      <c r="F11" s="7"/>
      <c r="G11" s="8"/>
      <c r="H11" s="8"/>
      <c r="I11" s="15"/>
      <c r="J11" s="7"/>
    </row>
    <row r="12" spans="1:10" ht="20.100000000000001" customHeight="1">
      <c r="A12" s="10"/>
      <c r="B12" s="7"/>
      <c r="C12" s="7"/>
      <c r="D12" s="7"/>
      <c r="E12" s="7"/>
      <c r="F12" s="7"/>
      <c r="G12" s="8"/>
      <c r="H12" s="8"/>
      <c r="I12" s="15"/>
      <c r="J12" s="7"/>
    </row>
    <row r="13" spans="1:10" ht="20.100000000000001" customHeight="1">
      <c r="A13" s="10"/>
      <c r="B13" s="7"/>
      <c r="C13" s="7"/>
      <c r="D13" s="7"/>
      <c r="E13" s="7"/>
      <c r="F13" s="7"/>
      <c r="G13" s="8"/>
      <c r="H13" s="8"/>
      <c r="I13" s="15"/>
      <c r="J13" s="7"/>
    </row>
    <row r="14" spans="1:10" ht="20.100000000000001" customHeight="1">
      <c r="A14" s="10"/>
      <c r="B14" s="7"/>
      <c r="C14" s="7"/>
      <c r="D14" s="7"/>
      <c r="E14" s="7"/>
      <c r="F14" s="7"/>
      <c r="G14" s="8"/>
      <c r="H14" s="8"/>
      <c r="I14" s="15"/>
      <c r="J14" s="7"/>
    </row>
    <row r="15" spans="1:10" ht="20.100000000000001" customHeight="1">
      <c r="A15" s="10"/>
      <c r="B15" s="7"/>
      <c r="C15" s="7"/>
      <c r="D15" s="7"/>
      <c r="E15" s="7"/>
      <c r="F15" s="7"/>
      <c r="G15" s="8"/>
      <c r="H15" s="8"/>
      <c r="I15" s="15"/>
      <c r="J15" s="7"/>
    </row>
    <row r="16" spans="1:10" ht="20.100000000000001" customHeight="1">
      <c r="A16" s="10"/>
      <c r="B16" s="7"/>
      <c r="C16" s="7"/>
      <c r="D16" s="7"/>
      <c r="E16" s="7"/>
      <c r="F16" s="7"/>
      <c r="G16" s="8"/>
      <c r="H16" s="8"/>
      <c r="I16" s="15"/>
      <c r="J16" s="7"/>
    </row>
    <row r="17" spans="1:10" ht="20.100000000000001" customHeight="1">
      <c r="A17" s="10"/>
      <c r="B17" s="7"/>
      <c r="C17" s="7"/>
      <c r="D17" s="7"/>
      <c r="E17" s="7"/>
      <c r="F17" s="7"/>
      <c r="G17" s="8"/>
      <c r="H17" s="8"/>
      <c r="I17" s="15"/>
      <c r="J17" s="7"/>
    </row>
    <row r="18" spans="1:10" ht="20.100000000000001" customHeight="1">
      <c r="A18" s="10"/>
      <c r="B18" s="7"/>
      <c r="C18" s="7"/>
      <c r="D18" s="7"/>
      <c r="E18" s="7"/>
      <c r="F18" s="7"/>
      <c r="G18" s="8"/>
      <c r="H18" s="8"/>
      <c r="I18" s="15"/>
      <c r="J18" s="7"/>
    </row>
    <row r="19" spans="1:10" ht="20.100000000000001" customHeight="1">
      <c r="A19" s="10"/>
      <c r="B19" s="7"/>
      <c r="C19" s="7"/>
      <c r="D19" s="7"/>
      <c r="E19" s="7"/>
      <c r="F19" s="7"/>
      <c r="G19" s="8"/>
      <c r="H19" s="8"/>
      <c r="I19" s="15"/>
      <c r="J19" s="7"/>
    </row>
    <row r="20" spans="1:10" ht="20.100000000000001" customHeight="1">
      <c r="A20" s="10"/>
      <c r="B20" s="7"/>
      <c r="C20" s="7"/>
      <c r="D20" s="7"/>
      <c r="E20" s="7"/>
      <c r="F20" s="7"/>
      <c r="G20" s="8"/>
      <c r="H20" s="8"/>
      <c r="I20" s="15"/>
      <c r="J20" s="7"/>
    </row>
    <row r="21" spans="1:10" ht="20.100000000000001" customHeight="1">
      <c r="A21" s="12"/>
      <c r="B21" s="12"/>
      <c r="C21" s="12"/>
      <c r="D21" s="12"/>
      <c r="E21" s="12"/>
      <c r="F21" s="12"/>
      <c r="G21" s="12"/>
      <c r="H21" s="12"/>
      <c r="I21" s="12"/>
      <c r="J21" s="12"/>
    </row>
    <row r="22" spans="1:10" ht="20.100000000000001" customHeight="1">
      <c r="A22" s="12"/>
      <c r="B22" s="12"/>
      <c r="C22" s="12"/>
      <c r="D22" s="12"/>
      <c r="E22" s="12"/>
      <c r="F22" s="12"/>
      <c r="G22" s="12"/>
      <c r="H22" s="12"/>
      <c r="I22" s="12"/>
      <c r="J22" s="12"/>
    </row>
    <row r="23" spans="1:10" ht="34.5" customHeight="1">
      <c r="A23" s="533" t="s">
        <v>453</v>
      </c>
      <c r="B23" s="534"/>
      <c r="C23" s="534"/>
      <c r="D23" s="534"/>
      <c r="E23" s="534"/>
      <c r="F23" s="534"/>
      <c r="G23" s="534"/>
      <c r="H23" s="534"/>
      <c r="I23" s="534"/>
      <c r="J23" s="534"/>
    </row>
    <row r="24" spans="1:10" ht="20.100000000000001" customHeight="1">
      <c r="A24" s="12"/>
      <c r="B24" s="12"/>
      <c r="C24" s="12"/>
      <c r="D24" s="12"/>
      <c r="E24" s="12"/>
      <c r="F24" s="12"/>
      <c r="G24" s="12"/>
      <c r="H24" s="12"/>
      <c r="I24" s="12"/>
      <c r="J24" s="12"/>
    </row>
    <row r="25" spans="1:10" ht="20.100000000000001" customHeight="1">
      <c r="A25" s="12"/>
      <c r="B25" s="12"/>
      <c r="C25" s="12"/>
      <c r="D25" s="12"/>
      <c r="E25" s="12"/>
      <c r="F25" s="12"/>
      <c r="G25" s="12"/>
      <c r="H25" s="12"/>
      <c r="I25" s="12"/>
      <c r="J25" s="12"/>
    </row>
  </sheetData>
  <mergeCells count="3">
    <mergeCell ref="A1:J1"/>
    <mergeCell ref="A2:J2"/>
    <mergeCell ref="A23:J23"/>
  </mergeCells>
  <phoneticPr fontId="168" type="noConversion"/>
  <dataValidations count="1">
    <dataValidation type="list" allowBlank="1" showInputMessage="1" showErrorMessage="1" sqref="B6:B20">
      <formula1>"账项调整,报表调整,其他"</formula1>
    </dataValidation>
  </dataValidations>
  <hyperlinks>
    <hyperlink ref="J3" location="底稿目录!A1" display="D2-4"/>
  </hyperlinks>
  <pageMargins left="0.70833333333333304" right="0.70833333333333304" top="0.74791666666666701" bottom="0.74791666666666701" header="0.31458333333333299" footer="0.31458333333333299"/>
  <pageSetup paperSize="9" scale="85"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454</v>
      </c>
      <c r="B1" t="s">
        <v>455</v>
      </c>
    </row>
    <row r="2" spans="1:2">
      <c r="A2" t="s">
        <v>456</v>
      </c>
      <c r="B2" t="s">
        <v>457</v>
      </c>
    </row>
    <row r="3" spans="1:2">
      <c r="A3" t="s">
        <v>458</v>
      </c>
      <c r="B3" t="s">
        <v>459</v>
      </c>
    </row>
    <row r="4" spans="1:2">
      <c r="A4" t="s">
        <v>460</v>
      </c>
      <c r="B4" t="s">
        <v>461</v>
      </c>
    </row>
    <row r="5" spans="1:2">
      <c r="A5" t="s">
        <v>462</v>
      </c>
      <c r="B5" t="s">
        <v>463</v>
      </c>
    </row>
    <row r="6" spans="1:2">
      <c r="A6" t="s">
        <v>464</v>
      </c>
      <c r="B6" t="s">
        <v>465</v>
      </c>
    </row>
    <row r="7" spans="1:2">
      <c r="A7" t="s">
        <v>466</v>
      </c>
      <c r="B7" t="s">
        <v>467</v>
      </c>
    </row>
    <row r="8" spans="1:2">
      <c r="A8" t="s">
        <v>468</v>
      </c>
      <c r="B8" t="s">
        <v>469</v>
      </c>
    </row>
  </sheetData>
  <phoneticPr fontId="16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29</vt:i4>
      </vt:variant>
    </vt:vector>
  </HeadingPairs>
  <TitlesOfParts>
    <vt:vector size="40" baseType="lpstr">
      <vt:lpstr>底稿目录</vt:lpstr>
      <vt:lpstr>应收账款实质性程序表D2A</vt:lpstr>
      <vt:lpstr>审定表D2-1</vt:lpstr>
      <vt:lpstr>附注披露信息(上市公司）D2-1</vt:lpstr>
      <vt:lpstr>附注披露信息（国企）D2-1</vt:lpstr>
      <vt:lpstr>附注披露信息(上市公司)</vt:lpstr>
      <vt:lpstr>附注披露信息(国企)</vt:lpstr>
      <vt:lpstr>明细表D2-2</vt:lpstr>
      <vt:lpstr>坏账准备明细表D2-3</vt:lpstr>
      <vt:lpstr>调整分录汇总表D2-4</vt:lpstr>
      <vt:lpstr>GT_Custom</vt:lpstr>
      <vt:lpstr>'附注披露信息(上市公司)'!_jds82</vt:lpstr>
      <vt:lpstr>'附注披露信息(上市公司)'!_jds83</vt:lpstr>
      <vt:lpstr>'附注披露信息(上市公司)'!_jds85</vt:lpstr>
      <vt:lpstr>'附注披露信息(上市公司)'!_jds86</vt:lpstr>
      <vt:lpstr>'附注披露信息(上市公司)'!_jds87</vt:lpstr>
      <vt:lpstr>'附注披露信息(上市公司)'!_jds88</vt:lpstr>
      <vt:lpstr>'附注披露信息(上市公司)'!_jds89</vt:lpstr>
      <vt:lpstr>'附注披露信息(上市公司)'!_jds91</vt:lpstr>
      <vt:lpstr>'附注披露信息(上市公司)'!_jds92</vt:lpstr>
      <vt:lpstr>'附注披露信息(上市公司)'!_jds93</vt:lpstr>
      <vt:lpstr>'附注披露信息(上市公司)'!_jds94</vt:lpstr>
      <vt:lpstr>'附注披露信息(上市公司)'!_jds95</vt:lpstr>
      <vt:lpstr>'附注披露信息(上市公司)'!_jds96</vt:lpstr>
      <vt:lpstr>'附注披露信息(上市公司)'!_jds97</vt:lpstr>
      <vt:lpstr>'附注披露信息(上市公司)'!_jds98</vt:lpstr>
      <vt:lpstr>'附注披露信息(上市公司)'!_Ref82415221</vt:lpstr>
      <vt:lpstr>'附注披露信息(上市公司)'!_Ref82415222</vt:lpstr>
      <vt:lpstr>'调整分录汇总表D2-4'!Print_Area</vt:lpstr>
      <vt:lpstr>'附注披露信息(国企)'!Print_Area</vt:lpstr>
      <vt:lpstr>'附注披露信息（国企）D2-1'!Print_Area</vt:lpstr>
      <vt:lpstr>'附注披露信息(上市公司)'!Print_Area</vt:lpstr>
      <vt:lpstr>'附注披露信息(上市公司）D2-1'!Print_Area</vt:lpstr>
      <vt:lpstr>'坏账准备明细表D2-3'!Print_Area</vt:lpstr>
      <vt:lpstr>'明细表D2-2'!Print_Area</vt:lpstr>
      <vt:lpstr>'审定表D2-1'!Print_Area</vt:lpstr>
      <vt:lpstr>应收账款实质性程序表D2A!Print_Area</vt:lpstr>
      <vt:lpstr>'明细表D2-2'!Print_Titles</vt:lpstr>
      <vt:lpstr>'审定表D2-1'!Print_Titles</vt:lpstr>
      <vt:lpstr>应收账款实质性程序表D2A!Print_Titles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2025-10-30T03:14:20Z</cp:lastPrinted>
  <dcterms:created xsi:type="dcterms:W3CDTF">2007-05-20T08:51:00Z</dcterms:created>
  <dcterms:modified xsi:type="dcterms:W3CDTF">2025-10-30T10:09:32Z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B510077688BB48ECAEAB0D89A49A0527_12</vt:lpwstr>
  </property>
  <property fmtid="{D5CDD505-2E9C-101B-9397-08002B2CF9AE}" pid="3" name="KSOProductBuildVer">
    <vt:lpwstr>2052-12.1.0.22529</vt:lpwstr>
  </property>
</Properties>
</file>