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2188" windowHeight="9180" tabRatio="869" firstSheet="0" activeTab="0" autoFilterDateGrouping="1"/>
  </bookViews>
  <sheets>
    <sheet xmlns:r="http://schemas.openxmlformats.org/officeDocument/2006/relationships" name="底稿目录" sheetId="1" state="visible" r:id="rId1"/>
    <sheet xmlns:r="http://schemas.openxmlformats.org/officeDocument/2006/relationships" name="递延所得税资产审计程序表的N1A" sheetId="2" state="visible" r:id="rId2"/>
    <sheet xmlns:r="http://schemas.openxmlformats.org/officeDocument/2006/relationships" name="递延所得税资产审定表N1-1" sheetId="3" state="visible" r:id="rId3"/>
    <sheet xmlns:r="http://schemas.openxmlformats.org/officeDocument/2006/relationships" name="附注披露信息（上市公司）" sheetId="4" state="visible" r:id="rId4"/>
    <sheet xmlns:r="http://schemas.openxmlformats.org/officeDocument/2006/relationships" name="附注披露信息（国企）" sheetId="5" state="visible" r:id="rId5"/>
    <sheet xmlns:r="http://schemas.openxmlformats.org/officeDocument/2006/relationships" name="递延所得税资产明细表N1-2" sheetId="6" state="visible" r:id="rId6"/>
    <sheet xmlns:r="http://schemas.openxmlformats.org/officeDocument/2006/relationships" name="调整分录汇总N1-3" sheetId="7" state="visible" r:id="rId7"/>
    <sheet xmlns:r="http://schemas.openxmlformats.org/officeDocument/2006/relationships" name="递延所得税资产（负债）测算表N1-4" sheetId="8" state="visible" r:id="rId8"/>
    <sheet xmlns:r="http://schemas.openxmlformats.org/officeDocument/2006/relationships" name="可用以后年度税前利润弥补的亏损检查表的N1-5" sheetId="9" state="visible" r:id="rId9"/>
    <sheet xmlns:r="http://schemas.openxmlformats.org/officeDocument/2006/relationships" name="GT_Custom" sheetId="10" state="hidden" r:id="rId10"/>
  </sheets>
  <definedNames>
    <definedName name="AS2DocOpenMode" hidden="1">"AS2DocumentEdit"</definedName>
    <definedName name="bs" hidden="1">{#N/A,#N/A,FALSE,"BBPREP"}</definedName>
    <definedName name="bs_1" hidden="1">{#N/A,#N/A,FALSE,"BBPREP"}</definedName>
    <definedName name="gg" hidden="1">{#N/A,#N/A,FALSE,"BBPREP"}</definedName>
    <definedName name="TextRefCopyRangeCount" hidden="1">136</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 name="发的撒发" hidden="1">{#N/A,#N/A,FALSE,"BBPREP"}</definedName>
    <definedName name="_xlnm.Print_Area" localSheetId="1">'递延所得税资产审计程序表的N1A'!$A$1:$J$25</definedName>
    <definedName name="_xlnm.Print_Area" localSheetId="2">'递延所得税资产审定表N1-1'!$A$1:$N$28</definedName>
    <definedName name="_xlnm.Print_Area" localSheetId="3">'附注披露信息（上市公司）'!$A$1:$E$54</definedName>
    <definedName name="_xlnm.Print_Area" localSheetId="4">'附注披露信息（国企）'!$A$1:$E$74</definedName>
    <definedName name="_xlnm._FilterDatabase" localSheetId="5" hidden="1">'递延所得税资产明细表N1-2'!$A$10:$N$40</definedName>
    <definedName name="_xlnm.Print_Area" localSheetId="5">'递延所得税资产明细表N1-2'!$A$1:$N$48</definedName>
    <definedName name="_xlnm.Print_Area" localSheetId="6">'调整分录汇总N1-3'!$A$1:$J$26</definedName>
    <definedName name="bs" localSheetId="7" hidden="1">{#N/A,#N/A,FALSE,"BBPREP"}</definedName>
    <definedName name="bs_1" localSheetId="7" hidden="1">{#N/A,#N/A,FALSE,"BBPREP"}</definedName>
    <definedName name="gg" localSheetId="7" hidden="1">{#N/A,#N/A,FALSE,"BBPREP"}</definedName>
    <definedName name="XREF_COLUMN_1" localSheetId="7" hidden="1">#REF!</definedName>
    <definedName name="XREF_COLUMN_2" localSheetId="7" hidden="1">[1]Breakdown!#REF!</definedName>
    <definedName name="XREF_COLUMN_3" localSheetId="7" hidden="1">#REF!</definedName>
    <definedName name="XREF_COLUMN_5" localSheetId="7" hidden="1">'[2]2004'!#REF!</definedName>
    <definedName name="XRefActiveRow" localSheetId="7" hidden="1">#REF!</definedName>
    <definedName name="XRefCopy1" localSheetId="7" hidden="1">#REF!</definedName>
    <definedName name="XRefCopy1Row" localSheetId="7" hidden="1">#REF!</definedName>
    <definedName name="XRefCopy2Row" localSheetId="7" hidden="1">#REF!</definedName>
    <definedName name="XRefPaste1" localSheetId="7" hidden="1">#REF!</definedName>
    <definedName name="XRefPaste1Row" localSheetId="7" hidden="1">#REF!</definedName>
    <definedName name="XRefPaste2" localSheetId="7" hidden="1">#REF!</definedName>
    <definedName name="XRefPaste2Row" localSheetId="7" hidden="1">#REF!</definedName>
    <definedName name="XRefPaste3" localSheetId="7" hidden="1">#REF!</definedName>
    <definedName name="XRefPaste3Row" localSheetId="7" hidden="1">#REF!</definedName>
    <definedName name="发的撒发" localSheetId="7" hidden="1">{#N/A,#N/A,FALSE,"BBPREP"}</definedName>
    <definedName name="_xlnm.Print_Area" localSheetId="7">'递延所得税资产（负债）测算表N1-4'!$A$1:$N$45</definedName>
    <definedName name="bs" localSheetId="8" hidden="1">{#N/A,#N/A,FALSE,"BBPREP"}</definedName>
    <definedName name="bs_1" localSheetId="8" hidden="1">{#N/A,#N/A,FALSE,"BBPREP"}</definedName>
    <definedName name="gg" localSheetId="8" hidden="1">{#N/A,#N/A,FALSE,"BBPREP"}</definedName>
    <definedName name="XREF_COLUMN_1" localSheetId="8" hidden="1">#REF!</definedName>
    <definedName name="XREF_COLUMN_2" localSheetId="8" hidden="1">[1]Breakdown!#REF!</definedName>
    <definedName name="XREF_COLUMN_3" localSheetId="8" hidden="1">#REF!</definedName>
    <definedName name="XREF_COLUMN_5" localSheetId="8" hidden="1">'[2]2004'!#REF!</definedName>
    <definedName name="XRefActiveRow" localSheetId="8" hidden="1">#REF!</definedName>
    <definedName name="XRefCopy1" localSheetId="8" hidden="1">#REF!</definedName>
    <definedName name="XRefCopy1Row" localSheetId="8" hidden="1">#REF!</definedName>
    <definedName name="XRefCopy2Row" localSheetId="8" hidden="1">#REF!</definedName>
    <definedName name="XRefPaste1" localSheetId="8" hidden="1">#REF!</definedName>
    <definedName name="XRefPaste1Row" localSheetId="8" hidden="1">#REF!</definedName>
    <definedName name="XRefPaste2" localSheetId="8" hidden="1">#REF!</definedName>
    <definedName name="XRefPaste2Row" localSheetId="8" hidden="1">#REF!</definedName>
    <definedName name="XRefPaste3" localSheetId="8" hidden="1">#REF!</definedName>
    <definedName name="XRefPaste3Row" localSheetId="8" hidden="1">#REF!</definedName>
    <definedName name="发的撒发" localSheetId="8" hidden="1">{#N/A,#N/A,FALSE,"BBPREP"}</definedName>
    <definedName name="_xlnm.Print_Area" localSheetId="8">'可用以后年度税前利润弥补的亏损检查表的N1-5'!$A$1:$M$31</definedName>
  </definedNames>
  <calcPr calcId="162913" fullCalcOnLoad="1"/>
</workbook>
</file>

<file path=xl/styles.xml><?xml version="1.0" encoding="utf-8"?>
<styleSheet xmlns="http://schemas.openxmlformats.org/spreadsheetml/2006/main">
  <numFmts count="33">
    <numFmt numFmtId="164" formatCode="_ * #,##0.00_ ;_ * \-#,##0.00_ ;_ * &quot;-&quot;??_ ;_ @_ "/>
    <numFmt numFmtId="165" formatCode="_([$€-2]* #,##0.00_);_([$€-2]* \(#,##0.00\);_([$€-2]* &quot;-&quot;??_)"/>
    <numFmt numFmtId="166" formatCode="#,##0.00_ "/>
    <numFmt numFmtId="167" formatCode="_-#,##0_-;\(#,##0\);_-\ \ &quot;-&quot;_-;_-@_-"/>
    <numFmt numFmtId="168" formatCode="_-#,##0.00_-;\(#,##0.00\);_-\ \ &quot;-&quot;_-;_-@_-"/>
    <numFmt numFmtId="169" formatCode="mmm/dd/yyyy;_-\ &quot;N/A&quot;_-;_-\ &quot;-&quot;_-"/>
    <numFmt numFmtId="170" formatCode="mmm/yyyy;_-\ &quot;N/A&quot;_-;_-\ &quot;-&quot;_-"/>
    <numFmt numFmtId="171" formatCode="_-#,##0%_-;\(#,##0%\);_-\ &quot;-&quot;_-"/>
    <numFmt numFmtId="172" formatCode="_-#,###,_-;\(#,###,\);_-\ \ &quot;-&quot;_-;_-@_-"/>
    <numFmt numFmtId="173" formatCode="_-#,###.00,_-;\(#,###.00,\);_-\ \ &quot;-&quot;_-;_-@_-"/>
    <numFmt numFmtId="174" formatCode="_-#0&quot;.&quot;0,_-;\(#0&quot;.&quot;0,\);_-\ \ &quot;-&quot;_-;_-@_-"/>
    <numFmt numFmtId="175" formatCode="_-#0&quot;.&quot;0000_-;\(#0&quot;.&quot;0000\);_-\ \ &quot;-&quot;_-;_-@_-"/>
    <numFmt numFmtId="176" formatCode="0%;\(0%\)"/>
    <numFmt numFmtId="177" formatCode="0.0%"/>
    <numFmt numFmtId="178" formatCode="\¥#,##0;\-\¥#,##0"/>
    <numFmt numFmtId="179" formatCode="&quot;$&quot;#,##0_);\(&quot;$&quot;#,##0\)"/>
    <numFmt numFmtId="180" formatCode="#,##0&quot; F&quot;_);\(#,##0&quot; F&quot;\)"/>
    <numFmt numFmtId="181" formatCode="&quot;$&quot;#,##0;[Red]&quot;$&quot;&quot;$&quot;&quot;$&quot;&quot;$&quot;&quot;$&quot;&quot;$&quot;&quot;$&quot;\-#,##0"/>
    <numFmt numFmtId="182" formatCode="#,##0.0_);\(#,##0.0\)"/>
    <numFmt numFmtId="183" formatCode="hh:mm\ AM/PM_)"/>
    <numFmt numFmtId="184" formatCode="&quot;$&quot;#,##0.00_);\(&quot;$&quot;#,##0.00\)"/>
    <numFmt numFmtId="185" formatCode=";;;"/>
    <numFmt numFmtId="186" formatCode="&quot;\&quot;#,##0;[Red]&quot;\&quot;&quot;\&quot;\-#,##0"/>
    <numFmt numFmtId="187" formatCode="&quot;\&quot;#,##0.00;[Red]&quot;\&quot;&quot;\&quot;\-#,##0.00"/>
    <numFmt numFmtId="188" formatCode="_(&quot;$&quot;* #,##0.00_);_(&quot;$&quot;* \(#,##0.00\);_(&quot;$&quot;* &quot;-&quot;??_);_(@_)"/>
    <numFmt numFmtId="189" formatCode="_-* #,##0_-;\-* #,##0_-;_-* &quot;-&quot;??_-;_-@_-"/>
    <numFmt numFmtId="190" formatCode="0.00000000000_);[Red]\(0.00000000000\)"/>
    <numFmt numFmtId="191" formatCode="&quot;\&quot;#,##0;&quot;\&quot;&quot;\&quot;\-#,##0"/>
    <numFmt numFmtId="192" formatCode="0%_);\(0%\)"/>
    <numFmt numFmtId="193" formatCode="&quot;\&quot;#,##0.00;[Red]&quot;\&quot;&quot;\&quot;&quot;\&quot;&quot;\&quot;&quot;\&quot;&quot;\&quot;\-#,##0.00"/>
    <numFmt numFmtId="194" formatCode="&quot;\&quot;#,##0.00;[Red]&quot;\&quot;\-#,##0.00"/>
    <numFmt numFmtId="195" formatCode="&quot;\&quot;#,##0;[Red]&quot;\&quot;\-#,##0"/>
    <numFmt numFmtId="196" formatCode="_ * #,##0_)\ _F_ ;_ * \(#,##0\)\ _F_ ;_ * &quot;-&quot;_)\ _F_ ;_ @_ "/>
  </numFmts>
  <fonts count="96">
    <font>
      <name val="宋体"/>
      <charset val="134"/>
      <sz val="12"/>
    </font>
    <font>
      <name val="宋体"/>
      <charset val="134"/>
      <family val="2"/>
      <color theme="1"/>
      <sz val="11"/>
      <scheme val="minor"/>
    </font>
    <font>
      <name val="Arial Narrow"/>
      <family val="2"/>
      <sz val="12"/>
    </font>
    <font>
      <name val="Arial Narrow"/>
      <family val="2"/>
      <sz val="10"/>
    </font>
    <font>
      <name val="Arial Narrow"/>
      <family val="2"/>
      <b val="1"/>
      <sz val="10"/>
    </font>
    <font>
      <name val="宋体"/>
      <charset val="134"/>
      <family val="3"/>
      <b val="1"/>
      <sz val="10"/>
    </font>
    <font>
      <name val="宋体"/>
      <charset val="134"/>
      <family val="3"/>
      <b val="1"/>
      <sz val="12"/>
    </font>
    <font>
      <name val="宋体"/>
      <charset val="134"/>
      <family val="3"/>
      <sz val="10"/>
    </font>
    <font>
      <name val="宋体"/>
      <charset val="134"/>
      <family val="3"/>
      <sz val="12"/>
      <scheme val="minor"/>
    </font>
    <font>
      <name val="宋体"/>
      <charset val="134"/>
      <family val="3"/>
      <b val="1"/>
      <sz val="12"/>
      <scheme val="minor"/>
    </font>
    <font>
      <name val="宋体"/>
      <charset val="134"/>
      <family val="3"/>
      <b val="1"/>
      <sz val="14"/>
      <scheme val="minor"/>
    </font>
    <font>
      <name val="宋体"/>
      <charset val="134"/>
      <family val="3"/>
      <sz val="10"/>
      <scheme val="minor"/>
    </font>
    <font>
      <name val="宋体"/>
      <charset val="134"/>
      <family val="3"/>
      <b val="1"/>
      <color indexed="8"/>
      <sz val="10"/>
      <scheme val="minor"/>
    </font>
    <font>
      <name val="宋体"/>
      <charset val="134"/>
      <family val="3"/>
      <b val="1"/>
      <sz val="10"/>
      <scheme val="minor"/>
    </font>
    <font>
      <name val="宋体"/>
      <charset val="134"/>
      <family val="3"/>
      <b val="1"/>
      <color rgb="FFE92841"/>
      <sz val="10"/>
      <scheme val="minor"/>
    </font>
    <font>
      <name val="宋体"/>
      <charset val="134"/>
      <family val="3"/>
      <color indexed="8"/>
      <sz val="10"/>
      <scheme val="minor"/>
    </font>
    <font>
      <name val="Arial Narrow"/>
      <family val="2"/>
      <color indexed="8"/>
      <sz val="10"/>
    </font>
    <font>
      <name val="宋体"/>
      <charset val="134"/>
      <family val="3"/>
      <color rgb="FFFF0000"/>
      <sz val="10"/>
      <scheme val="minor"/>
    </font>
    <font>
      <name val="宋体"/>
      <charset val="134"/>
      <family val="3"/>
      <color indexed="12"/>
      <sz val="10"/>
      <scheme val="minor"/>
    </font>
    <font>
      <name val="宋体"/>
      <charset val="134"/>
      <family val="3"/>
      <color rgb="FF0000FF"/>
      <sz val="10"/>
    </font>
    <font>
      <name val="宋体"/>
      <charset val="134"/>
      <family val="3"/>
      <b val="1"/>
      <sz val="9"/>
    </font>
    <font>
      <name val="宋体"/>
      <charset val="134"/>
      <family val="3"/>
      <color rgb="FFFF0000"/>
      <sz val="9"/>
    </font>
    <font>
      <name val="Arial"/>
      <family val="2"/>
      <sz val="9"/>
    </font>
    <font>
      <name val="Arial Narrow"/>
      <family val="2"/>
      <b val="1"/>
      <sz val="12"/>
    </font>
    <font>
      <name val="仿宋_GB2312"/>
      <charset val="134"/>
      <family val="3"/>
      <sz val="12"/>
    </font>
    <font>
      <name val="仿宋_GB2312"/>
      <charset val="134"/>
      <family val="3"/>
      <color rgb="FF0000FF"/>
      <sz val="12"/>
    </font>
    <font>
      <name val="仿宋_GB2312"/>
      <charset val="134"/>
      <family val="3"/>
      <b val="1"/>
      <sz val="12"/>
    </font>
    <font>
      <name val="仿宋_GB2312"/>
      <charset val="134"/>
      <family val="3"/>
      <b val="1"/>
      <color rgb="FF000000"/>
      <sz val="12"/>
    </font>
    <font>
      <name val="Arial Narrow"/>
      <family val="2"/>
      <b val="1"/>
      <color rgb="FF000000"/>
      <sz val="12"/>
    </font>
    <font>
      <name val="宋体"/>
      <charset val="134"/>
      <family val="3"/>
      <b val="1"/>
      <sz val="14"/>
    </font>
    <font>
      <name val="Arial Narrow"/>
      <family val="2"/>
      <b val="1"/>
      <color indexed="8"/>
      <sz val="10"/>
    </font>
    <font>
      <name val="宋体"/>
      <charset val="134"/>
      <family val="3"/>
      <sz val="9"/>
    </font>
    <font>
      <name val="宋体"/>
      <charset val="134"/>
      <family val="3"/>
      <i val="1"/>
      <color indexed="12"/>
      <sz val="10"/>
      <u val="single"/>
      <scheme val="minor"/>
    </font>
    <font>
      <name val="宋体"/>
      <charset val="134"/>
      <family val="3"/>
      <sz val="10"/>
      <u val="single"/>
      <scheme val="minor"/>
    </font>
    <font>
      <name val="Arial Narrow"/>
      <family val="2"/>
      <color indexed="12"/>
      <sz val="10"/>
    </font>
    <font>
      <name val="宋体"/>
      <charset val="134"/>
      <family val="3"/>
      <b val="1"/>
      <color indexed="12"/>
      <sz val="10"/>
    </font>
    <font>
      <name val="宋体"/>
      <charset val="134"/>
      <family val="3"/>
      <b val="1"/>
      <color rgb="FF0000FF"/>
      <sz val="10"/>
    </font>
    <font>
      <name val="Arial"/>
      <family val="2"/>
      <b val="1"/>
      <sz val="10"/>
    </font>
    <font>
      <name val="Arial"/>
      <family val="2"/>
      <b val="1"/>
      <sz val="12"/>
    </font>
    <font>
      <name val="Arial"/>
      <family val="2"/>
      <sz val="10"/>
    </font>
    <font>
      <name val="宋体"/>
      <charset val="134"/>
      <family val="3"/>
      <color theme="1"/>
      <sz val="10"/>
    </font>
    <font>
      <name val="Arial"/>
      <family val="2"/>
      <b val="1"/>
      <color indexed="10"/>
      <sz val="10"/>
    </font>
    <font>
      <name val="宋体"/>
      <charset val="134"/>
      <family val="3"/>
      <color rgb="FFFF0000"/>
      <sz val="10"/>
    </font>
    <font>
      <name val="Times New Roman"/>
      <family val="1"/>
      <sz val="10"/>
    </font>
    <font>
      <name val="黑体"/>
      <charset val="134"/>
      <family val="3"/>
      <b val="1"/>
      <sz val="10"/>
    </font>
    <font>
      <name val="宋体"/>
      <charset val="134"/>
      <family val="3"/>
      <color theme="1"/>
      <sz val="11"/>
      <scheme val="minor"/>
    </font>
    <font>
      <name val="宋体"/>
      <charset val="134"/>
      <family val="3"/>
      <color indexed="12"/>
      <sz val="12"/>
      <u val="single"/>
    </font>
    <font>
      <name val="Arial"/>
      <family val="2"/>
      <color indexed="8"/>
      <sz val="10"/>
    </font>
    <font>
      <name val="Times New Roman"/>
      <family val="1"/>
      <sz val="10"/>
      <u val="singleAccounting"/>
      <vertAlign val="subscript"/>
    </font>
    <font>
      <name val="Times New Roman"/>
      <family val="1"/>
      <i val="1"/>
      <sz val="9"/>
    </font>
    <font>
      <name val="Tms Rmn"/>
      <family val="1"/>
      <sz val="13"/>
    </font>
    <font>
      <name val="Times New Roman"/>
      <family val="1"/>
      <sz val="12"/>
    </font>
    <font>
      <name val="Helv"/>
      <family val="2"/>
      <sz val="7"/>
    </font>
    <font>
      <name val="MS Sans Serif"/>
      <family val="1"/>
      <b val="1"/>
      <sz val="10"/>
    </font>
    <font>
      <name val="Tms Rmn"/>
      <family val="1"/>
      <b val="1"/>
      <sz val="13"/>
    </font>
    <font>
      <name val="Arial"/>
      <family val="2"/>
      <b val="1"/>
      <sz val="8"/>
    </font>
    <font>
      <name val="MS Sans Serif"/>
      <family val="2"/>
      <sz val="10"/>
    </font>
    <font>
      <name val="Times New Roman"/>
      <family val="1"/>
      <sz val="9"/>
    </font>
    <font>
      <name val="Arial"/>
      <family val="2"/>
      <sz val="8"/>
    </font>
    <font>
      <name val="Arial"/>
      <family val="2"/>
      <color indexed="36"/>
      <sz val="7.5"/>
      <u val="single"/>
    </font>
    <font>
      <name val="Arial"/>
      <family val="2"/>
      <color indexed="12"/>
      <sz val="7.5"/>
      <u val="single"/>
    </font>
    <font>
      <name val="Small Fonts"/>
      <family val="2"/>
      <sz val="7"/>
    </font>
    <font>
      <name val="Courier"/>
      <family val="3"/>
      <sz val="10"/>
    </font>
    <font>
      <name val="MS Sans Serif"/>
      <family val="2"/>
      <color indexed="8"/>
      <sz val="10"/>
    </font>
    <font>
      <name val="Helv"/>
      <family val="2"/>
      <color indexed="10"/>
      <sz val="7"/>
    </font>
    <font>
      <name val="Century Schoolbook"/>
      <family val="1"/>
      <color indexed="16"/>
      <sz val="8"/>
    </font>
    <font>
      <name val="宋体"/>
      <charset val="134"/>
      <family val="3"/>
      <color indexed="8"/>
      <sz val="9"/>
    </font>
    <font>
      <name val="Times New Roman"/>
      <family val="1"/>
      <b val="1"/>
      <i val="1"/>
      <sz val="10"/>
    </font>
    <font>
      <name val="MS Sans Serif"/>
      <family val="2"/>
      <b val="1"/>
      <sz val="12"/>
    </font>
    <font>
      <name val="MS Sans Serif"/>
      <family val="2"/>
      <sz val="12"/>
    </font>
    <font>
      <name val="Times New Roman"/>
      <family val="1"/>
      <b val="1"/>
      <sz val="9"/>
    </font>
    <font>
      <name val="Geneva"/>
      <family val="1"/>
      <sz val="10"/>
    </font>
    <font>
      <name val="明朝"/>
      <family val="2"/>
      <sz val="11"/>
    </font>
    <font>
      <name val="柧挬"/>
      <family val="2"/>
      <sz val="14"/>
    </font>
    <font>
      <name val="Century Schoolbook"/>
      <family val="1"/>
      <sz val="8"/>
    </font>
    <font>
      <name val="宋体"/>
      <charset val="134"/>
      <family val="3"/>
      <color indexed="12"/>
      <sz val="10"/>
      <u val="single"/>
    </font>
    <font>
      <name val="官帕眉"/>
      <family val="2"/>
      <sz val="12"/>
    </font>
    <font>
      <name val="奔覆眉"/>
      <family val="2"/>
      <sz val="10"/>
    </font>
    <font>
      <name val="柧挬"/>
      <family val="2"/>
      <sz val="12"/>
    </font>
    <font>
      <name val="ＭＳ Ｐゴシック"/>
      <family val="2"/>
      <sz val="11"/>
    </font>
    <font>
      <name val="바탕체"/>
      <family val="3"/>
      <sz val="12"/>
    </font>
    <font>
      <name val="宋体"/>
      <charset val="134"/>
      <family val="3"/>
      <b val="1"/>
      <color indexed="8"/>
      <sz val="10"/>
    </font>
    <font>
      <name val="Arial Narrow"/>
      <family val="2"/>
      <color rgb="FFFF0000"/>
      <sz val="10"/>
    </font>
    <font>
      <name val="宋体"/>
      <charset val="134"/>
      <family val="3"/>
      <color indexed="10"/>
      <sz val="10"/>
      <scheme val="minor"/>
    </font>
    <font>
      <name val="Arial Narrow"/>
      <family val="2"/>
      <color rgb="FF0000FF"/>
      <sz val="12"/>
    </font>
    <font>
      <name val="宋体"/>
      <charset val="134"/>
      <family val="3"/>
      <sz val="12"/>
    </font>
    <font>
      <name val="宋体"/>
      <charset val="134"/>
      <family val="3"/>
      <color theme="10"/>
      <sz val="11"/>
      <u val="single"/>
      <scheme val="minor"/>
    </font>
    <font>
      <name val="Arial Narrow"/>
      <family val="2"/>
      <color rgb="FF0000FF"/>
      <sz val="10"/>
    </font>
    <font>
      <name val="宋体"/>
      <charset val="134"/>
      <family val="3"/>
      <color indexed="12"/>
      <sz val="10"/>
    </font>
    <font>
      <name val="Tahoma"/>
      <family val="2"/>
      <b val="1"/>
      <sz val="9"/>
    </font>
    <font>
      <name val="Tahoma"/>
      <family val="2"/>
      <sz val="9"/>
    </font>
    <font>
      <name val="宋体"/>
      <charset val="134"/>
      <family val="3"/>
      <color indexed="12"/>
      <sz val="11"/>
      <u val="single"/>
    </font>
    <font>
      <name val="Arial Narrow"/>
      <family val="2"/>
      <sz val="11"/>
    </font>
    <font>
      <name val="宋体"/>
      <charset val="134"/>
      <family val="2"/>
      <sz val="9"/>
      <scheme val="minor"/>
    </font>
    <font>
      <name val="宋体"/>
      <charset val="134"/>
      <family val="3"/>
      <b val="1"/>
      <color indexed="81"/>
      <sz val="9"/>
    </font>
    <font>
      <name val="宋体"/>
      <charset val="134"/>
      <family val="3"/>
      <color indexed="81"/>
      <sz val="9"/>
    </font>
  </fonts>
  <fills count="13">
    <fill>
      <patternFill/>
    </fill>
    <fill>
      <patternFill patternType="gray125"/>
    </fill>
    <fill>
      <patternFill patternType="solid">
        <fgColor theme="7" tint="0.7999511703848384"/>
        <bgColor indexed="64"/>
      </patternFill>
    </fill>
    <fill>
      <patternFill patternType="solid">
        <fgColor rgb="FFE4DFEC"/>
        <bgColor indexed="64"/>
      </patternFill>
    </fill>
    <fill>
      <patternFill patternType="solid">
        <fgColor rgb="FFC0C0C0"/>
        <bgColor indexed="64"/>
      </patternFill>
    </fill>
    <fill>
      <patternFill patternType="solid">
        <fgColor indexed="14"/>
        <bgColor indexed="64"/>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64"/>
      </patternFill>
    </fill>
    <fill>
      <patternFill patternType="solid">
        <fgColor theme="0"/>
        <bgColor indexed="64"/>
      </patternFill>
    </fill>
    <fill>
      <patternFill patternType="solid">
        <fgColor theme="7" tint="0.7999816888943144"/>
        <bgColor indexed="64"/>
      </patternFill>
    </fill>
  </fills>
  <borders count="19">
    <border>
      <left/>
      <right/>
      <top/>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auto="1"/>
      </right>
      <top/>
      <bottom style="hair">
        <color auto="1"/>
      </bottom>
      <diagonal/>
    </border>
    <border>
      <left/>
      <right/>
      <top style="medium">
        <color auto="1"/>
      </top>
      <bottom/>
      <diagonal/>
    </border>
    <border>
      <left/>
      <right/>
      <top/>
      <bottom style="medium">
        <color auto="1"/>
      </bottom>
      <diagonal/>
    </border>
    <border>
      <left/>
      <right/>
      <top style="medium">
        <color auto="1"/>
      </top>
      <bottom style="medium">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style="hair">
        <color auto="1"/>
      </top>
      <bottom/>
      <diagonal/>
    </border>
    <border>
      <left/>
      <right style="hair">
        <color auto="1"/>
      </right>
      <top style="hair">
        <color auto="1"/>
      </top>
      <bottom/>
      <diagonal/>
    </border>
    <border>
      <left style="hair">
        <color auto="1"/>
      </left>
      <right/>
      <top/>
      <bottom/>
      <diagonal/>
    </border>
    <border>
      <left style="hair">
        <color auto="1"/>
      </left>
      <right style="hair">
        <color auto="1"/>
      </right>
      <top/>
      <bottom/>
      <diagonal/>
    </border>
  </borders>
  <cellStyleXfs count="182">
    <xf numFmtId="0" fontId="0" fillId="0" borderId="0" applyProtection="1">
      <protection locked="0" hidden="0"/>
    </xf>
    <xf numFmtId="43" fontId="85" fillId="0" borderId="0"/>
    <xf numFmtId="9" fontId="85" fillId="0" borderId="0" applyAlignment="1">
      <alignment vertical="center"/>
    </xf>
    <xf numFmtId="0" fontId="46" fillId="0" borderId="0" applyAlignment="1" applyProtection="1">
      <alignment vertical="top"/>
      <protection locked="0" hidden="0"/>
    </xf>
    <xf numFmtId="0" fontId="39" fillId="0" borderId="0"/>
    <xf numFmtId="0" fontId="39" fillId="0" borderId="0"/>
    <xf numFmtId="0" fontId="39" fillId="0" borderId="0"/>
    <xf numFmtId="0" fontId="39" fillId="0" borderId="0"/>
    <xf numFmtId="49" fontId="43" fillId="0" borderId="0" applyAlignment="1">
      <alignment horizontal="left"/>
    </xf>
    <xf numFmtId="0" fontId="47" fillId="0" borderId="0" applyAlignment="1" applyProtection="1">
      <alignment vertical="top"/>
      <protection locked="0" hidden="0"/>
    </xf>
    <xf numFmtId="0" fontId="47" fillId="0" borderId="0" applyAlignment="1" applyProtection="1">
      <alignment vertical="top"/>
      <protection locked="0" hidden="0"/>
    </xf>
    <xf numFmtId="0" fontId="47" fillId="0" borderId="0" applyAlignment="1" applyProtection="1">
      <alignment vertical="top"/>
      <protection locked="0" hidden="0"/>
    </xf>
    <xf numFmtId="0" fontId="47" fillId="0" borderId="0" applyAlignment="1" applyProtection="1">
      <alignment vertical="top"/>
      <protection locked="0" hidden="0"/>
    </xf>
    <xf numFmtId="0" fontId="47" fillId="0" borderId="0" applyAlignment="1" applyProtection="1">
      <alignment vertical="top"/>
      <protection locked="0" hidden="0"/>
    </xf>
    <xf numFmtId="0" fontId="47" fillId="0" borderId="0" applyAlignment="1" applyProtection="1">
      <alignment vertical="top"/>
      <protection locked="0" hidden="0"/>
    </xf>
    <xf numFmtId="0" fontId="47" fillId="0" borderId="0" applyAlignment="1" applyProtection="1">
      <alignment vertical="top"/>
      <protection locked="0" hidden="0"/>
    </xf>
    <xf numFmtId="0" fontId="47" fillId="0" borderId="0" applyAlignment="1">
      <alignment vertical="top"/>
    </xf>
    <xf numFmtId="0" fontId="47" fillId="0" borderId="0" applyAlignment="1" applyProtection="1">
      <alignment vertical="top"/>
      <protection locked="0" hidden="0"/>
    </xf>
    <xf numFmtId="0" fontId="47" fillId="0" borderId="0" applyAlignment="1">
      <alignment vertical="top"/>
    </xf>
    <xf numFmtId="0" fontId="47" fillId="0" borderId="0" applyAlignment="1">
      <alignment vertical="top"/>
    </xf>
    <xf numFmtId="0" fontId="47" fillId="0" borderId="0" applyAlignment="1" applyProtection="1">
      <alignment vertical="top"/>
      <protection locked="0" hidden="0"/>
    </xf>
    <xf numFmtId="0" fontId="47" fillId="0" borderId="0" applyAlignment="1" applyProtection="1">
      <alignment vertical="top"/>
      <protection locked="0" hidden="0"/>
    </xf>
    <xf numFmtId="0" fontId="47" fillId="0" borderId="0" applyAlignment="1" applyProtection="1">
      <alignment vertical="top"/>
      <protection locked="0" hidden="0"/>
    </xf>
    <xf numFmtId="0" fontId="47" fillId="0" borderId="0" applyAlignment="1">
      <alignment vertical="top"/>
    </xf>
    <xf numFmtId="0" fontId="47" fillId="0" borderId="0" applyAlignment="1">
      <alignment vertical="top"/>
    </xf>
    <xf numFmtId="0" fontId="47" fillId="0" borderId="0" applyAlignment="1" applyProtection="1">
      <alignment vertical="top"/>
      <protection locked="0" hidden="0"/>
    </xf>
    <xf numFmtId="0" fontId="47" fillId="0" borderId="0" applyAlignment="1">
      <alignment vertical="top"/>
    </xf>
    <xf numFmtId="0" fontId="47" fillId="0" borderId="0" applyAlignment="1">
      <alignment vertical="top"/>
    </xf>
    <xf numFmtId="0" fontId="47" fillId="0" borderId="0" applyAlignment="1">
      <alignment vertical="top"/>
    </xf>
    <xf numFmtId="0" fontId="47" fillId="0" borderId="0" applyAlignment="1">
      <alignment vertical="top"/>
    </xf>
    <xf numFmtId="0" fontId="47" fillId="0" borderId="0" applyAlignment="1" applyProtection="1">
      <alignment vertical="top"/>
      <protection locked="0" hidden="0"/>
    </xf>
    <xf numFmtId="0" fontId="47" fillId="0" borderId="0" applyAlignment="1">
      <alignment vertical="top"/>
    </xf>
    <xf numFmtId="0" fontId="47" fillId="0" borderId="0" applyAlignment="1" applyProtection="1">
      <alignment vertical="top"/>
      <protection locked="0" hidden="0"/>
    </xf>
    <xf numFmtId="0" fontId="47" fillId="0" borderId="0" applyAlignment="1" applyProtection="1">
      <alignment vertical="top"/>
      <protection locked="0" hidden="0"/>
    </xf>
    <xf numFmtId="0" fontId="47" fillId="0" borderId="0" applyAlignment="1" applyProtection="1">
      <alignment vertical="top"/>
      <protection locked="0" hidden="0"/>
    </xf>
    <xf numFmtId="0" fontId="47" fillId="0" borderId="0" applyAlignment="1">
      <alignment vertical="top"/>
    </xf>
    <xf numFmtId="0" fontId="47" fillId="0" borderId="0" applyAlignment="1">
      <alignment vertical="top"/>
    </xf>
    <xf numFmtId="0" fontId="47" fillId="0" borderId="0" applyAlignment="1">
      <alignment vertical="top"/>
    </xf>
    <xf numFmtId="0" fontId="47" fillId="0" borderId="0" applyAlignment="1">
      <alignment vertical="top"/>
    </xf>
    <xf numFmtId="0" fontId="47" fillId="0" borderId="0" applyAlignment="1">
      <alignment vertical="top"/>
    </xf>
    <xf numFmtId="0" fontId="47" fillId="0" borderId="0" applyAlignment="1">
      <alignment vertical="top"/>
    </xf>
    <xf numFmtId="0" fontId="47" fillId="0" borderId="0" applyAlignment="1" applyProtection="1">
      <alignment vertical="top"/>
      <protection locked="0" hidden="0"/>
    </xf>
    <xf numFmtId="0" fontId="47" fillId="0" borderId="0" applyAlignment="1" applyProtection="1">
      <alignment vertical="top"/>
      <protection locked="0" hidden="0"/>
    </xf>
    <xf numFmtId="0" fontId="47" fillId="0" borderId="0" applyAlignment="1">
      <alignment vertical="top"/>
    </xf>
    <xf numFmtId="0" fontId="47" fillId="0" borderId="0" applyAlignment="1">
      <alignment vertical="top"/>
    </xf>
    <xf numFmtId="0" fontId="47" fillId="0" borderId="0" applyAlignment="1" applyProtection="1">
      <alignment vertical="top"/>
      <protection locked="0" hidden="0"/>
    </xf>
    <xf numFmtId="0" fontId="47" fillId="0" borderId="0" applyAlignment="1">
      <alignment vertical="top"/>
    </xf>
    <xf numFmtId="167" fontId="43" fillId="0" borderId="0" applyAlignment="1">
      <alignment horizontal="right"/>
    </xf>
    <xf numFmtId="168" fontId="43" fillId="0" borderId="0" applyAlignment="1">
      <alignment horizontal="right"/>
    </xf>
    <xf numFmtId="169" fontId="48" fillId="0" borderId="0" applyAlignment="1">
      <alignment horizontal="center"/>
    </xf>
    <xf numFmtId="170" fontId="48" fillId="0" borderId="0" applyAlignment="1">
      <alignment horizontal="center"/>
    </xf>
    <xf numFmtId="171" fontId="49" fillId="0" borderId="0" applyAlignment="1">
      <alignment horizontal="right"/>
    </xf>
    <xf numFmtId="172" fontId="43" fillId="0" borderId="0" applyAlignment="1">
      <alignment horizontal="right"/>
    </xf>
    <xf numFmtId="173" fontId="43" fillId="0" borderId="0" applyAlignment="1">
      <alignment horizontal="right"/>
    </xf>
    <xf numFmtId="174" fontId="43" fillId="0" borderId="0" applyAlignment="1">
      <alignment horizontal="right"/>
    </xf>
    <xf numFmtId="175" fontId="43" fillId="0" borderId="0" applyAlignment="1">
      <alignment horizontal="right"/>
    </xf>
    <xf numFmtId="176" fontId="50" fillId="0" borderId="0"/>
    <xf numFmtId="0" fontId="51" fillId="0" borderId="0"/>
    <xf numFmtId="177" fontId="50" fillId="0" borderId="0"/>
    <xf numFmtId="10" fontId="50" fillId="0" borderId="0"/>
    <xf numFmtId="178" fontId="85" fillId="0" borderId="0"/>
    <xf numFmtId="3" fontId="52" fillId="0" borderId="0"/>
    <xf numFmtId="179" fontId="53" fillId="0" borderId="11"/>
    <xf numFmtId="180" fontId="85" fillId="0" borderId="0"/>
    <xf numFmtId="0" fontId="54" fillId="0" borderId="12" applyAlignment="1">
      <alignment horizontal="center"/>
    </xf>
    <xf numFmtId="0" fontId="55" fillId="0" borderId="13" applyAlignment="1">
      <alignment horizontal="center"/>
    </xf>
    <xf numFmtId="181" fontId="39" fillId="0" borderId="0"/>
    <xf numFmtId="181" fontId="39" fillId="0" borderId="0"/>
    <xf numFmtId="181" fontId="39" fillId="0" borderId="0"/>
    <xf numFmtId="181" fontId="39" fillId="0" borderId="0"/>
    <xf numFmtId="181" fontId="39" fillId="0" borderId="0"/>
    <xf numFmtId="181" fontId="39" fillId="0" borderId="0"/>
    <xf numFmtId="181" fontId="39" fillId="0" borderId="0"/>
    <xf numFmtId="181" fontId="39" fillId="0" borderId="0"/>
    <xf numFmtId="38" fontId="56" fillId="0" borderId="0"/>
    <xf numFmtId="37" fontId="50" fillId="0" borderId="0"/>
    <xf numFmtId="182" fontId="50" fillId="0" borderId="0"/>
    <xf numFmtId="39" fontId="50" fillId="0" borderId="0"/>
    <xf numFmtId="40" fontId="56" fillId="0" borderId="0"/>
    <xf numFmtId="183" fontId="85" fillId="0" borderId="0"/>
    <xf numFmtId="179" fontId="50" fillId="0" borderId="0"/>
    <xf numFmtId="184" fontId="50" fillId="0" borderId="0"/>
    <xf numFmtId="185" fontId="85" fillId="0" borderId="0"/>
    <xf numFmtId="41" fontId="39" fillId="0" borderId="0"/>
    <xf numFmtId="43" fontId="39" fillId="0" borderId="0"/>
    <xf numFmtId="0" fontId="57" fillId="0" borderId="0" applyAlignment="1">
      <alignment horizontal="left"/>
    </xf>
    <xf numFmtId="0" fontId="58" fillId="6" borderId="10"/>
    <xf numFmtId="165" fontId="43" fillId="0" borderId="0"/>
    <xf numFmtId="0" fontId="59" fillId="0" borderId="0" applyAlignment="1" applyProtection="1">
      <alignment vertical="top"/>
      <protection locked="0" hidden="0"/>
    </xf>
    <xf numFmtId="38" fontId="58" fillId="7" borderId="0"/>
    <xf numFmtId="0" fontId="38" fillId="0" borderId="7" applyAlignment="1">
      <alignment horizontal="left" vertical="center"/>
    </xf>
    <xf numFmtId="0" fontId="38" fillId="0" borderId="14" applyAlignment="1">
      <alignment horizontal="left" vertical="center"/>
    </xf>
    <xf numFmtId="14" fontId="37" fillId="8" borderId="6" applyAlignment="1">
      <alignment horizontal="center" vertical="center" wrapText="1"/>
    </xf>
    <xf numFmtId="0" fontId="60" fillId="0" borderId="0" applyAlignment="1" applyProtection="1">
      <alignment vertical="top"/>
      <protection locked="0" hidden="0"/>
    </xf>
    <xf numFmtId="10" fontId="58" fillId="9" borderId="10"/>
    <xf numFmtId="0" fontId="43" fillId="0" borderId="0" applyAlignment="1">
      <alignment horizontal="left" vertical="center"/>
    </xf>
    <xf numFmtId="41" fontId="39" fillId="0" borderId="0"/>
    <xf numFmtId="43" fontId="39" fillId="0" borderId="0"/>
    <xf numFmtId="186" fontId="85" fillId="0" borderId="0"/>
    <xf numFmtId="187" fontId="85" fillId="0" borderId="0"/>
    <xf numFmtId="42" fontId="39" fillId="0" borderId="0"/>
    <xf numFmtId="188" fontId="39" fillId="0" borderId="0"/>
    <xf numFmtId="189" fontId="39" fillId="0" borderId="0"/>
    <xf numFmtId="190" fontId="85" fillId="0" borderId="0"/>
    <xf numFmtId="37" fontId="61" fillId="0" borderId="0"/>
    <xf numFmtId="0" fontId="62" fillId="0" borderId="0"/>
    <xf numFmtId="191" fontId="85" fillId="0" borderId="0"/>
    <xf numFmtId="0" fontId="7" fillId="0" borderId="0" applyAlignment="1">
      <alignment vertical="center"/>
    </xf>
    <xf numFmtId="0" fontId="56" fillId="0" borderId="0"/>
    <xf numFmtId="0" fontId="63" fillId="0" borderId="0"/>
    <xf numFmtId="192" fontId="39" fillId="0" borderId="0"/>
    <xf numFmtId="10" fontId="39" fillId="0" borderId="0"/>
    <xf numFmtId="0" fontId="58" fillId="7" borderId="10"/>
    <xf numFmtId="4" fontId="57" fillId="0" borderId="0" applyAlignment="1">
      <alignment horizontal="right"/>
    </xf>
    <xf numFmtId="3" fontId="64" fillId="0" borderId="0"/>
    <xf numFmtId="4" fontId="65" fillId="0" borderId="0" applyAlignment="1">
      <alignment horizontal="right"/>
    </xf>
    <xf numFmtId="41" fontId="43" fillId="0" borderId="0"/>
    <xf numFmtId="0" fontId="66" fillId="10" borderId="0" applyAlignment="1">
      <alignment horizontal="left" vertical="center"/>
    </xf>
    <xf numFmtId="0" fontId="66" fillId="10" borderId="0" applyAlignment="1">
      <alignment horizontal="right" vertical="center"/>
    </xf>
    <xf numFmtId="0" fontId="67" fillId="0" borderId="0" applyAlignment="1">
      <alignment horizontal="left"/>
    </xf>
    <xf numFmtId="0" fontId="68" fillId="0" borderId="10" applyAlignment="1">
      <alignment horizontal="center"/>
    </xf>
    <xf numFmtId="0" fontId="68" fillId="0" borderId="0" applyAlignment="1">
      <alignment horizontal="center" vertical="center"/>
    </xf>
    <xf numFmtId="0" fontId="69" fillId="0" borderId="0" applyAlignment="1">
      <alignment horizontal="left" vertical="center"/>
    </xf>
    <xf numFmtId="0" fontId="41" fillId="0" borderId="0" applyAlignment="1">
      <alignment horizontal="left" vertical="top"/>
    </xf>
    <xf numFmtId="0" fontId="70" fillId="0" borderId="0" applyAlignment="1">
      <alignment horizontal="center"/>
    </xf>
    <xf numFmtId="0" fontId="71" fillId="0" borderId="0" applyAlignment="1">
      <alignment horizontal="center" vertical="center" wrapText="1"/>
    </xf>
    <xf numFmtId="9" fontId="72" fillId="0" borderId="0"/>
    <xf numFmtId="0" fontId="3" fillId="0" borderId="0"/>
    <xf numFmtId="9" fontId="51" fillId="0" borderId="0"/>
    <xf numFmtId="9" fontId="85" fillId="0" borderId="0"/>
    <xf numFmtId="0" fontId="73" fillId="0" borderId="0"/>
    <xf numFmtId="0" fontId="73" fillId="0" borderId="0"/>
    <xf numFmtId="4" fontId="74" fillId="0" borderId="0" applyAlignment="1">
      <alignment horizontal="right"/>
    </xf>
    <xf numFmtId="165" fontId="45" fillId="0" borderId="0" applyAlignment="1">
      <alignment vertical="center"/>
    </xf>
    <xf numFmtId="0" fontId="85" fillId="0" borderId="0" applyAlignment="1" applyProtection="1">
      <alignment vertical="center"/>
      <protection locked="0" hidden="0"/>
    </xf>
    <xf numFmtId="0" fontId="85" fillId="0" borderId="0" applyProtection="1">
      <protection locked="0" hidden="0"/>
    </xf>
    <xf numFmtId="0" fontId="85" fillId="0" borderId="0" applyProtection="1">
      <protection locked="0" hidden="0"/>
    </xf>
    <xf numFmtId="165" fontId="45" fillId="0" borderId="0" applyAlignment="1">
      <alignment vertical="center"/>
    </xf>
    <xf numFmtId="165" fontId="85" fillId="0" borderId="0"/>
    <xf numFmtId="165" fontId="45" fillId="0" borderId="0" applyAlignment="1">
      <alignment vertical="center"/>
    </xf>
    <xf numFmtId="0" fontId="85" fillId="0" borderId="0"/>
    <xf numFmtId="0" fontId="85" fillId="0" borderId="0" applyAlignment="1">
      <alignment vertical="center"/>
    </xf>
    <xf numFmtId="0" fontId="51" fillId="0" borderId="0"/>
    <xf numFmtId="0" fontId="85" fillId="0" borderId="0"/>
    <xf numFmtId="0" fontId="85" fillId="0" borderId="0"/>
    <xf numFmtId="0" fontId="85" fillId="0" borderId="0"/>
    <xf numFmtId="0" fontId="85" fillId="0" borderId="0" applyAlignment="1">
      <alignment vertical="center"/>
    </xf>
    <xf numFmtId="0" fontId="75" fillId="0" borderId="0" applyAlignment="1" applyProtection="1">
      <alignment vertical="top"/>
      <protection locked="0" hidden="0"/>
    </xf>
    <xf numFmtId="0" fontId="46" fillId="0" borderId="0" applyAlignment="1" applyProtection="1">
      <alignment vertical="top"/>
      <protection locked="0" hidden="0"/>
    </xf>
    <xf numFmtId="0" fontId="53" fillId="0" borderId="0"/>
    <xf numFmtId="4" fontId="71" fillId="0" borderId="0"/>
    <xf numFmtId="41" fontId="39" fillId="0" borderId="0"/>
    <xf numFmtId="186" fontId="39" fillId="0" borderId="0"/>
    <xf numFmtId="193" fontId="39" fillId="0" borderId="0"/>
    <xf numFmtId="194" fontId="76" fillId="0" borderId="0"/>
    <xf numFmtId="195" fontId="76" fillId="0" borderId="0"/>
    <xf numFmtId="0" fontId="43" fillId="0" borderId="0"/>
    <xf numFmtId="0" fontId="43" fillId="0" borderId="0"/>
    <xf numFmtId="0" fontId="43" fillId="0" borderId="0"/>
    <xf numFmtId="41" fontId="85" fillId="0" borderId="0"/>
    <xf numFmtId="43" fontId="85" fillId="0" borderId="0"/>
    <xf numFmtId="0" fontId="77" fillId="0" borderId="0"/>
    <xf numFmtId="188" fontId="39" fillId="0" borderId="0"/>
    <xf numFmtId="196" fontId="85" fillId="0" borderId="0"/>
    <xf numFmtId="0" fontId="47" fillId="0" borderId="0" applyAlignment="1" applyProtection="1">
      <alignment vertical="top"/>
      <protection locked="0" hidden="0"/>
    </xf>
    <xf numFmtId="0" fontId="78" fillId="0" borderId="0"/>
    <xf numFmtId="40" fontId="73" fillId="0" borderId="0"/>
    <xf numFmtId="38" fontId="73" fillId="0" borderId="0"/>
    <xf numFmtId="38" fontId="79" fillId="0" borderId="0"/>
    <xf numFmtId="40" fontId="79" fillId="0" borderId="0"/>
    <xf numFmtId="0" fontId="79" fillId="0" borderId="0"/>
    <xf numFmtId="0" fontId="79" fillId="0" borderId="0"/>
    <xf numFmtId="0" fontId="80" fillId="0" borderId="0"/>
    <xf numFmtId="0" fontId="85" fillId="0" borderId="0" applyProtection="1">
      <protection locked="0" hidden="0"/>
    </xf>
    <xf numFmtId="0" fontId="85" fillId="0" borderId="0" applyProtection="1">
      <protection locked="0" hidden="0"/>
    </xf>
    <xf numFmtId="0" fontId="45" fillId="0" borderId="0"/>
    <xf numFmtId="0" fontId="86" fillId="0" borderId="0"/>
    <xf numFmtId="9" fontId="85" fillId="0" borderId="0" applyAlignment="1">
      <alignment vertical="center"/>
    </xf>
    <xf numFmtId="0" fontId="85" fillId="0" borderId="0"/>
    <xf numFmtId="43" fontId="85" fillId="0" borderId="0"/>
    <xf numFmtId="43" fontId="85" fillId="0" borderId="0"/>
    <xf numFmtId="165" fontId="1" fillId="0" borderId="0" applyAlignment="1">
      <alignment vertical="center"/>
    </xf>
  </cellStyleXfs>
  <cellXfs count="390">
    <xf numFmtId="0" fontId="0" fillId="0" borderId="0" applyProtection="1" pivotButton="0" quotePrefix="0" xfId="0">
      <protection locked="0" hidden="0"/>
    </xf>
    <xf numFmtId="0" fontId="3" fillId="0" borderId="0" applyAlignment="1" applyProtection="1" pivotButton="0" quotePrefix="0" xfId="0">
      <alignment vertical="center"/>
      <protection locked="0" hidden="0"/>
    </xf>
    <xf numFmtId="0" fontId="3" fillId="0" borderId="0" applyAlignment="1" pivotButton="0" quotePrefix="0" xfId="146">
      <alignment vertical="center"/>
    </xf>
    <xf numFmtId="0" fontId="7" fillId="0" borderId="0" applyAlignment="1" applyProtection="1" pivotButton="0" quotePrefix="0" xfId="0">
      <alignment vertical="center"/>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right" vertical="center"/>
      <protection locked="0" hidden="0"/>
    </xf>
    <xf numFmtId="0" fontId="8" fillId="0" borderId="0" applyAlignment="1" applyProtection="1" pivotButton="0" quotePrefix="0" xfId="0">
      <alignment vertical="center"/>
      <protection locked="0" hidden="0"/>
    </xf>
    <xf numFmtId="0" fontId="11" fillId="0" borderId="0" applyAlignment="1" pivotButton="0" quotePrefix="0" xfId="145">
      <alignment vertical="center"/>
    </xf>
    <xf numFmtId="0" fontId="11" fillId="0" borderId="0" applyAlignment="1" pivotButton="0" quotePrefix="0" xfId="145">
      <alignment horizontal="left" vertical="center"/>
    </xf>
    <xf numFmtId="0" fontId="12" fillId="2" borderId="2" applyAlignment="1" pivotButton="0" quotePrefix="0" xfId="135">
      <alignment vertical="center"/>
    </xf>
    <xf numFmtId="0" fontId="12" fillId="2" borderId="2" applyAlignment="1" pivotButton="0" quotePrefix="0" xfId="135">
      <alignment vertical="center" wrapText="1"/>
    </xf>
    <xf numFmtId="0" fontId="12" fillId="2" borderId="2" applyAlignment="1" pivotButton="0" quotePrefix="0" xfId="135">
      <alignment horizontal="center" vertical="center" wrapText="1"/>
    </xf>
    <xf numFmtId="0" fontId="13" fillId="2" borderId="2" applyAlignment="1" applyProtection="1" pivotButton="0" quotePrefix="0" xfId="138">
      <alignment horizontal="center" vertical="center" wrapText="1"/>
      <protection locked="0" hidden="0"/>
    </xf>
    <xf numFmtId="0" fontId="14" fillId="2" borderId="2" applyAlignment="1" applyProtection="1" pivotButton="0" quotePrefix="0" xfId="138">
      <alignment horizontal="center" vertical="center" wrapText="1"/>
      <protection locked="0" hidden="0"/>
    </xf>
    <xf numFmtId="0" fontId="15" fillId="0" borderId="2" applyAlignment="1" pivotButton="0" quotePrefix="0" xfId="135">
      <alignment vertical="center"/>
    </xf>
    <xf numFmtId="164" fontId="16" fillId="0" borderId="2" applyAlignment="1" pivotButton="0" quotePrefix="0" xfId="135">
      <alignment vertical="center"/>
    </xf>
    <xf numFmtId="0" fontId="11" fillId="0" borderId="2" applyAlignment="1" pivotButton="0" quotePrefix="0" xfId="135">
      <alignment vertical="center"/>
    </xf>
    <xf numFmtId="0" fontId="17" fillId="0" borderId="2" applyAlignment="1" pivotButton="0" quotePrefix="0" xfId="135">
      <alignment horizontal="left" vertical="center"/>
    </xf>
    <xf numFmtId="0" fontId="12" fillId="0" borderId="2" applyAlignment="1" pivotButton="0" quotePrefix="0" xfId="135">
      <alignment horizontal="center" vertical="center"/>
    </xf>
    <xf numFmtId="0" fontId="13" fillId="0" borderId="0" applyAlignment="1" pivotButton="0" quotePrefix="0" xfId="145">
      <alignment horizontal="left" vertical="center"/>
    </xf>
    <xf numFmtId="0" fontId="11" fillId="0" borderId="0" applyAlignment="1" pivotButton="0" quotePrefix="0" xfId="142">
      <alignment vertical="center"/>
    </xf>
    <xf numFmtId="0" fontId="11" fillId="0" borderId="0" applyAlignment="1" pivotButton="0" quotePrefix="0" xfId="142">
      <alignment horizontal="left" vertical="center"/>
    </xf>
    <xf numFmtId="0" fontId="11" fillId="0" borderId="0" applyAlignment="1" pivotButton="0" quotePrefix="0" xfId="145">
      <alignment vertical="center"/>
    </xf>
    <xf numFmtId="0" fontId="13" fillId="0" borderId="0" applyAlignment="1" pivotButton="0" quotePrefix="0" xfId="142">
      <alignment vertical="center"/>
    </xf>
    <xf numFmtId="0" fontId="18" fillId="0" borderId="0" applyAlignment="1" applyProtection="1" pivotButton="0" quotePrefix="0" xfId="135">
      <alignment vertical="center"/>
      <protection locked="0" hidden="0"/>
    </xf>
    <xf numFmtId="0" fontId="8" fillId="0" borderId="0" applyAlignment="1" applyProtection="1" pivotButton="0" quotePrefix="0" xfId="135">
      <alignment vertical="center"/>
      <protection locked="0" hidden="0"/>
    </xf>
    <xf numFmtId="0" fontId="8" fillId="0" borderId="0" applyAlignment="1" applyProtection="1" pivotButton="0" quotePrefix="0" xfId="135">
      <alignment vertical="center" wrapText="1"/>
      <protection locked="0" hidden="0"/>
    </xf>
    <xf numFmtId="0" fontId="11" fillId="0" borderId="0" applyAlignment="1" pivotButton="0" quotePrefix="0" xfId="145">
      <alignment horizontal="right" vertical="center"/>
    </xf>
    <xf numFmtId="0" fontId="16" fillId="0" borderId="2" applyAlignment="1" pivotButton="0" quotePrefix="0" xfId="135">
      <alignment vertical="center"/>
    </xf>
    <xf numFmtId="0" fontId="11" fillId="0" borderId="0" applyAlignment="1" applyProtection="1" pivotButton="0" quotePrefix="0" xfId="0">
      <alignment vertical="center"/>
      <protection locked="0" hidden="0"/>
    </xf>
    <xf numFmtId="0" fontId="11" fillId="0" borderId="0" applyAlignment="1" pivotButton="0" quotePrefix="0" xfId="146">
      <alignment vertical="center"/>
    </xf>
    <xf numFmtId="0" fontId="11" fillId="0" borderId="0" applyProtection="1" pivotButton="0" quotePrefix="0" xfId="0">
      <protection locked="0" hidden="0"/>
    </xf>
    <xf numFmtId="0" fontId="19" fillId="0" borderId="0" applyAlignment="1" pivotButton="0" quotePrefix="0" xfId="0">
      <alignment vertical="center"/>
    </xf>
    <xf numFmtId="0" fontId="20" fillId="3" borderId="2" applyAlignment="1" pivotButton="0" quotePrefix="0" xfId="143">
      <alignment horizontal="center" vertical="center" wrapText="1"/>
    </xf>
    <xf numFmtId="165" fontId="4" fillId="2" borderId="2" applyAlignment="1" applyProtection="1" pivotButton="0" quotePrefix="0" xfId="137">
      <alignment horizontal="center" vertical="center" wrapText="1"/>
      <protection locked="0" hidden="0"/>
    </xf>
    <xf numFmtId="0" fontId="21" fillId="0" borderId="2" applyAlignment="1" pivotButton="0" quotePrefix="0" xfId="140">
      <alignment horizontal="left" vertical="center"/>
    </xf>
    <xf numFmtId="164" fontId="22" fillId="0" borderId="2" applyAlignment="1" applyProtection="1" pivotButton="0" quotePrefix="0" xfId="1">
      <alignment vertical="center"/>
      <protection locked="0" hidden="0"/>
    </xf>
    <xf numFmtId="164" fontId="22" fillId="0" borderId="2" applyAlignment="1" applyProtection="1" pivotButton="0" quotePrefix="0" xfId="1">
      <alignment horizontal="center" vertical="center"/>
      <protection locked="0" hidden="0"/>
    </xf>
    <xf numFmtId="164" fontId="22" fillId="3" borderId="2" applyAlignment="1" pivotButton="0" quotePrefix="0" xfId="1">
      <alignment vertical="center"/>
    </xf>
    <xf numFmtId="0" fontId="21" fillId="0" borderId="2" applyAlignment="1" pivotButton="0" quotePrefix="0" xfId="140">
      <alignment vertical="center"/>
    </xf>
    <xf numFmtId="0" fontId="21" fillId="0" borderId="2" applyAlignment="1" pivotButton="0" quotePrefix="0" xfId="144">
      <alignment horizontal="left" vertical="center"/>
    </xf>
    <xf numFmtId="0" fontId="21" fillId="0" borderId="2" applyAlignment="1" applyProtection="1" pivotButton="0" quotePrefix="0" xfId="143">
      <alignment vertical="center"/>
      <protection locked="0" hidden="0"/>
    </xf>
    <xf numFmtId="164" fontId="22" fillId="3" borderId="2" applyAlignment="1" applyProtection="1" pivotButton="0" quotePrefix="0" xfId="1">
      <alignment vertical="center"/>
      <protection locked="0" hidden="0"/>
    </xf>
    <xf numFmtId="164" fontId="22" fillId="3" borderId="2" applyAlignment="1" applyProtection="1" pivotButton="0" quotePrefix="0" xfId="1">
      <alignment horizontal="center" vertical="center"/>
      <protection locked="0" hidden="0"/>
    </xf>
    <xf numFmtId="0" fontId="21" fillId="0" borderId="2" applyAlignment="1" pivotButton="0" quotePrefix="0" xfId="143">
      <alignment horizontal="center" vertical="center"/>
    </xf>
    <xf numFmtId="0" fontId="19" fillId="4" borderId="0" applyAlignment="1" pivotButton="0" quotePrefix="0" xfId="144">
      <alignment horizontal="left" vertical="center"/>
    </xf>
    <xf numFmtId="0" fontId="19" fillId="4" borderId="0" applyAlignment="1" pivotButton="0" quotePrefix="0" xfId="140">
      <alignment vertical="center"/>
    </xf>
    <xf numFmtId="0" fontId="11" fillId="0" borderId="0" applyAlignment="1" applyProtection="1" pivotButton="0" quotePrefix="0" xfId="0">
      <alignment horizontal="right" vertical="center"/>
      <protection locked="0" hidden="0"/>
    </xf>
    <xf numFmtId="0" fontId="20" fillId="3" borderId="2" applyAlignment="1" pivotButton="0" quotePrefix="0" xfId="107">
      <alignment horizontal="center" vertical="center" wrapText="1"/>
    </xf>
    <xf numFmtId="164" fontId="22" fillId="3" borderId="2" applyAlignment="1" pivotButton="0" quotePrefix="0" xfId="107">
      <alignment vertical="center"/>
    </xf>
    <xf numFmtId="0" fontId="0"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4" fillId="0" borderId="0" applyAlignment="1" applyProtection="1" pivotButton="0" quotePrefix="0" xfId="136">
      <alignment vertical="center"/>
      <protection locked="0" hidden="0"/>
    </xf>
    <xf numFmtId="0" fontId="23" fillId="0" borderId="0" applyAlignment="1" applyProtection="1" pivotButton="0" quotePrefix="0" xfId="136">
      <alignment vertical="center"/>
      <protection locked="0" hidden="0"/>
    </xf>
    <xf numFmtId="164" fontId="3" fillId="0" borderId="0" applyAlignment="1" pivotButton="0" quotePrefix="0" xfId="145">
      <alignment vertical="center"/>
    </xf>
    <xf numFmtId="0" fontId="3" fillId="0" borderId="0" applyAlignment="1" applyProtection="1" pivotButton="0" quotePrefix="0" xfId="136">
      <alignment horizontal="left" vertical="center"/>
      <protection locked="0" hidden="0"/>
    </xf>
    <xf numFmtId="0" fontId="24" fillId="0" borderId="0" applyAlignment="1" applyProtection="1" pivotButton="0" quotePrefix="0" xfId="0">
      <alignment horizontal="left" vertical="center"/>
      <protection locked="0" hidden="0"/>
    </xf>
    <xf numFmtId="0" fontId="85" fillId="0" borderId="0" applyAlignment="1" applyProtection="1" pivotButton="0" quotePrefix="0" xfId="136">
      <alignment vertical="center"/>
      <protection locked="0" hidden="0"/>
    </xf>
    <xf numFmtId="0" fontId="25" fillId="0" borderId="0" applyAlignment="1" applyProtection="1" pivotButton="0" quotePrefix="0" xfId="0">
      <alignment horizontal="left" vertical="center"/>
      <protection locked="0" hidden="0"/>
    </xf>
    <xf numFmtId="0" fontId="26" fillId="0" borderId="6" applyAlignment="1" applyProtection="1" pivotButton="0" quotePrefix="0" xfId="0">
      <alignment horizontal="justify" vertical="center" wrapText="1"/>
      <protection locked="0" hidden="0"/>
    </xf>
    <xf numFmtId="0" fontId="26" fillId="0" borderId="6" applyAlignment="1" applyProtection="1" pivotButton="0" quotePrefix="0" xfId="0">
      <alignment horizontal="right" vertical="center" wrapText="1"/>
      <protection locked="0" hidden="0"/>
    </xf>
    <xf numFmtId="0" fontId="26" fillId="0" borderId="0" applyAlignment="1" applyProtection="1" pivotButton="0" quotePrefix="0" xfId="0">
      <alignment horizontal="justify" vertical="center" wrapText="1"/>
      <protection locked="0" hidden="0"/>
    </xf>
    <xf numFmtId="0" fontId="23" fillId="0" borderId="0" applyAlignment="1" applyProtection="1" pivotButton="0" quotePrefix="0" xfId="0">
      <alignment horizontal="right" vertical="center" wrapText="1"/>
      <protection locked="0" hidden="0"/>
    </xf>
    <xf numFmtId="0" fontId="24" fillId="0" borderId="0" applyAlignment="1" applyProtection="1" pivotButton="0" quotePrefix="0" xfId="0">
      <alignment horizontal="justify" vertical="center" wrapText="1"/>
      <protection locked="0" hidden="0"/>
    </xf>
    <xf numFmtId="164" fontId="2" fillId="0" borderId="0" applyAlignment="1" applyProtection="1" pivotButton="0" quotePrefix="0" xfId="0">
      <alignment horizontal="right" vertical="center" wrapText="1"/>
      <protection locked="0" hidden="0"/>
    </xf>
    <xf numFmtId="0" fontId="26" fillId="0" borderId="6" applyAlignment="1" applyProtection="1" pivotButton="0" quotePrefix="0" xfId="0">
      <alignment horizontal="left" vertical="center" wrapText="1"/>
      <protection locked="0" hidden="0"/>
    </xf>
    <xf numFmtId="164" fontId="23" fillId="0" borderId="6" applyAlignment="1" applyProtection="1" pivotButton="0" quotePrefix="0" xfId="1">
      <alignment horizontal="right" vertical="center" wrapText="1"/>
      <protection locked="0" hidden="0"/>
    </xf>
    <xf numFmtId="164" fontId="25" fillId="0" borderId="0" applyAlignment="1" pivotButton="0" quotePrefix="0" xfId="0">
      <alignment vertical="center"/>
    </xf>
    <xf numFmtId="164" fontId="28" fillId="0" borderId="0" applyAlignment="1" applyProtection="1" pivotButton="0" quotePrefix="0" xfId="1">
      <alignment horizontal="right" vertical="center" wrapText="1"/>
      <protection locked="0" hidden="0"/>
    </xf>
    <xf numFmtId="164" fontId="28" fillId="0" borderId="6" applyAlignment="1" applyProtection="1" pivotButton="0" quotePrefix="0" xfId="1">
      <alignment horizontal="right" vertical="center" wrapText="1"/>
      <protection locked="0" hidden="0"/>
    </xf>
    <xf numFmtId="164" fontId="23" fillId="0" borderId="0" applyAlignment="1" applyProtection="1" pivotButton="0" quotePrefix="0" xfId="1">
      <alignment horizontal="right" vertical="center" wrapText="1"/>
      <protection locked="0" hidden="0"/>
    </xf>
    <xf numFmtId="0" fontId="2" fillId="0" borderId="0" applyAlignment="1" applyProtection="1" pivotButton="0" quotePrefix="0" xfId="0">
      <alignment horizontal="left" vertical="center"/>
      <protection locked="0" hidden="0"/>
    </xf>
    <xf numFmtId="0" fontId="26" fillId="0" borderId="7" applyAlignment="1" applyProtection="1" pivotButton="0" quotePrefix="0" xfId="0">
      <alignment horizontal="center" vertical="center" wrapText="1"/>
      <protection locked="0" hidden="0"/>
    </xf>
    <xf numFmtId="0" fontId="26" fillId="0" borderId="7" applyAlignment="1" applyProtection="1" pivotButton="0" quotePrefix="0" xfId="0">
      <alignment horizontal="right" vertical="center" wrapText="1"/>
      <protection locked="0" hidden="0"/>
    </xf>
    <xf numFmtId="0" fontId="24" fillId="0" borderId="6" applyAlignment="1" applyProtection="1" pivotButton="0" quotePrefix="0" xfId="0">
      <alignment horizontal="justify" vertical="center" wrapText="1"/>
      <protection locked="0" hidden="0"/>
    </xf>
    <xf numFmtId="164" fontId="2" fillId="0" borderId="6" applyAlignment="1" applyProtection="1" pivotButton="0" quotePrefix="0" xfId="1">
      <alignment vertical="center"/>
      <protection locked="0" hidden="0"/>
    </xf>
    <xf numFmtId="164" fontId="2" fillId="0" borderId="0" applyAlignment="1" applyProtection="1" pivotButton="0" quotePrefix="0" xfId="1">
      <alignment vertical="center"/>
      <protection locked="0" hidden="0"/>
    </xf>
    <xf numFmtId="0" fontId="2" fillId="0" borderId="0" applyAlignment="1" applyProtection="1" pivotButton="0" quotePrefix="0" xfId="0">
      <alignment horizontal="justify" vertical="center" wrapText="1"/>
      <protection locked="0" hidden="0"/>
    </xf>
    <xf numFmtId="0" fontId="2" fillId="0" borderId="6" applyAlignment="1" applyProtection="1" pivotButton="0" quotePrefix="0" xfId="0">
      <alignment horizontal="justify" vertical="center" wrapText="1"/>
      <protection locked="0" hidden="0"/>
    </xf>
    <xf numFmtId="0" fontId="27" fillId="0" borderId="7" applyAlignment="1" applyProtection="1" pivotButton="0" quotePrefix="0" xfId="0">
      <alignment horizontal="right" vertical="center" wrapText="1"/>
      <protection locked="0" hidden="0"/>
    </xf>
    <xf numFmtId="164" fontId="2" fillId="0" borderId="6" applyAlignment="1" applyProtection="1" pivotButton="0" quotePrefix="0" xfId="0">
      <alignment horizontal="right" vertical="center" wrapText="1"/>
      <protection locked="0" hidden="0"/>
    </xf>
    <xf numFmtId="0" fontId="26" fillId="0" borderId="6" applyAlignment="1" applyProtection="1" pivotButton="0" quotePrefix="0" xfId="0">
      <alignment horizontal="center" vertical="center" wrapText="1"/>
      <protection locked="0" hidden="0"/>
    </xf>
    <xf numFmtId="0" fontId="3" fillId="0" borderId="0" applyAlignment="1" applyProtection="1" pivotButton="0" quotePrefix="0" xfId="136">
      <alignment vertical="center"/>
      <protection locked="0" hidden="0"/>
    </xf>
    <xf numFmtId="0" fontId="24" fillId="0" borderId="0" applyAlignment="1" applyProtection="1" pivotButton="0" quotePrefix="0" xfId="0">
      <alignment horizontal="right" vertical="center" wrapText="1"/>
      <protection locked="0" hidden="0"/>
    </xf>
    <xf numFmtId="0" fontId="2" fillId="0" borderId="0" applyAlignment="1" applyProtection="1" pivotButton="0" quotePrefix="0" xfId="0">
      <alignment horizontal="right" vertical="center" wrapText="1"/>
      <protection locked="0" hidden="0"/>
    </xf>
    <xf numFmtId="164" fontId="2" fillId="0" borderId="0" applyAlignment="1" applyProtection="1" pivotButton="0" quotePrefix="0" xfId="1">
      <alignment horizontal="right" vertical="center" wrapText="1"/>
      <protection locked="0" hidden="0"/>
    </xf>
    <xf numFmtId="164" fontId="2" fillId="0" borderId="6" applyAlignment="1" applyProtection="1" pivotButton="0" quotePrefix="0" xfId="1">
      <alignment horizontal="right" vertical="center" wrapText="1"/>
      <protection locked="0" hidden="0"/>
    </xf>
    <xf numFmtId="0" fontId="24" fillId="0" borderId="6" applyAlignment="1" applyProtection="1" pivotButton="0" quotePrefix="0" xfId="0">
      <alignment horizontal="right" vertical="center" wrapText="1"/>
      <protection locked="0" hidden="0"/>
    </xf>
    <xf numFmtId="0" fontId="2" fillId="0" borderId="6" applyAlignment="1" applyProtection="1" pivotButton="0" quotePrefix="0" xfId="0">
      <alignment horizontal="right" vertical="center" wrapText="1"/>
      <protection locked="0" hidden="0"/>
    </xf>
    <xf numFmtId="164" fontId="28" fillId="0" borderId="7" applyAlignment="1" applyProtection="1" pivotButton="0" quotePrefix="0" xfId="1">
      <alignment horizontal="right" vertical="center" wrapText="1"/>
      <protection locked="0" hidden="0"/>
    </xf>
    <xf numFmtId="0" fontId="23" fillId="0" borderId="6" applyAlignment="1" applyProtection="1" pivotButton="0" quotePrefix="0" xfId="0">
      <alignment horizontal="right" vertical="center" wrapText="1"/>
      <protection locked="0" hidden="0"/>
    </xf>
    <xf numFmtId="0" fontId="25" fillId="0" borderId="5" applyAlignment="1" applyProtection="1" pivotButton="0" quotePrefix="0" xfId="0">
      <alignment vertical="center"/>
      <protection locked="0" hidden="0"/>
    </xf>
    <xf numFmtId="0" fontId="2" fillId="0" borderId="0" applyAlignment="1" applyProtection="1" pivotButton="0" quotePrefix="0" xfId="0">
      <alignment horizontal="right" vertical="center"/>
      <protection locked="0" hidden="0"/>
    </xf>
    <xf numFmtId="164" fontId="7" fillId="0" borderId="0" applyAlignment="1" pivotButton="0" quotePrefix="0" xfId="145">
      <alignment vertical="center"/>
    </xf>
    <xf numFmtId="0" fontId="5" fillId="0" borderId="0" applyAlignment="1" pivotButton="0" quotePrefix="0" xfId="142">
      <alignment vertical="center"/>
    </xf>
    <xf numFmtId="164" fontId="6" fillId="0" borderId="0" applyAlignment="1" pivotButton="0" quotePrefix="0" xfId="145">
      <alignment vertical="center"/>
    </xf>
    <xf numFmtId="0" fontId="24" fillId="0" borderId="0" applyAlignment="1" applyProtection="1" pivotButton="0" quotePrefix="0" xfId="0">
      <alignment horizontal="justify" vertical="center"/>
      <protection locked="0" hidden="0"/>
    </xf>
    <xf numFmtId="0" fontId="25" fillId="0" borderId="0" applyAlignment="1" pivotButton="0" quotePrefix="0" xfId="0">
      <alignment horizontal="left" vertical="center"/>
    </xf>
    <xf numFmtId="0" fontId="26" fillId="0" borderId="7" applyAlignment="1" applyProtection="1" pivotButton="0" quotePrefix="0" xfId="0">
      <alignment horizontal="justify" vertical="center" wrapText="1"/>
      <protection locked="0" hidden="0"/>
    </xf>
    <xf numFmtId="0" fontId="2" fillId="0" borderId="0" applyAlignment="1" applyProtection="1" pivotButton="0" quotePrefix="0" xfId="0">
      <alignment horizontal="center" vertical="center" wrapText="1"/>
      <protection locked="0" hidden="0"/>
    </xf>
    <xf numFmtId="0" fontId="2" fillId="0" borderId="6" applyAlignment="1" applyProtection="1" pivotButton="0" quotePrefix="0" xfId="0">
      <alignment horizontal="center" vertical="center" wrapText="1"/>
      <protection locked="0" hidden="0"/>
    </xf>
    <xf numFmtId="0" fontId="23" fillId="0" borderId="7" applyAlignment="1" applyProtection="1" pivotButton="0" quotePrefix="0" xfId="0">
      <alignment horizontal="right" vertical="center" wrapText="1"/>
      <protection locked="0" hidden="0"/>
    </xf>
    <xf numFmtId="49" fontId="3" fillId="0" borderId="0" applyAlignment="1" pivotButton="0" quotePrefix="0" xfId="145">
      <alignment vertical="center"/>
    </xf>
    <xf numFmtId="164" fontId="2" fillId="0" borderId="0" applyAlignment="1" pivotButton="0" quotePrefix="0" xfId="145">
      <alignment vertical="center"/>
    </xf>
    <xf numFmtId="164" fontId="4" fillId="0" borderId="0" applyAlignment="1" pivotButton="0" quotePrefix="0" xfId="145">
      <alignment vertical="center"/>
    </xf>
    <xf numFmtId="164" fontId="3" fillId="0" borderId="0" applyAlignment="1" pivotButton="0" quotePrefix="0" xfId="145">
      <alignment vertical="center"/>
    </xf>
    <xf numFmtId="164" fontId="7" fillId="0" borderId="0" applyAlignment="1" pivotButton="0" quotePrefix="0" xfId="145">
      <alignment horizontal="left" vertical="center"/>
    </xf>
    <xf numFmtId="14" fontId="7" fillId="0" borderId="0" applyAlignment="1" pivotButton="0" quotePrefix="0" xfId="145">
      <alignment vertical="center"/>
    </xf>
    <xf numFmtId="49" fontId="7" fillId="0" borderId="0" applyAlignment="1" pivotButton="0" quotePrefix="0" xfId="145">
      <alignment vertical="center"/>
    </xf>
    <xf numFmtId="0" fontId="31" fillId="3" borderId="2" applyAlignment="1" pivotButton="0" quotePrefix="0" xfId="140">
      <alignment horizontal="left" vertical="center"/>
    </xf>
    <xf numFmtId="164" fontId="3" fillId="3" borderId="2" applyAlignment="1" pivotButton="0" quotePrefix="0" xfId="1">
      <alignment horizontal="center" vertical="center"/>
    </xf>
    <xf numFmtId="164" fontId="5" fillId="2" borderId="2" applyAlignment="1" pivotButton="0" quotePrefix="0" xfId="1">
      <alignment horizontal="center" vertical="center"/>
    </xf>
    <xf numFmtId="164" fontId="4" fillId="3" borderId="2" applyAlignment="1" pivotButton="0" quotePrefix="0" xfId="1">
      <alignment horizontal="center" vertical="center"/>
    </xf>
    <xf numFmtId="164" fontId="5" fillId="0" borderId="0" applyAlignment="1" pivotButton="0" quotePrefix="0" xfId="1">
      <alignment horizontal="center" vertical="center"/>
    </xf>
    <xf numFmtId="164" fontId="4" fillId="0" borderId="0" applyAlignment="1" pivotButton="0" quotePrefix="0" xfId="1">
      <alignment horizontal="center" vertical="center"/>
    </xf>
    <xf numFmtId="164" fontId="13" fillId="0" borderId="0" applyAlignment="1" pivotButton="0" quotePrefix="0" xfId="1">
      <alignment horizontal="center" vertical="center"/>
    </xf>
    <xf numFmtId="164" fontId="13" fillId="3" borderId="0" applyAlignment="1" pivotButton="0" quotePrefix="0" xfId="1">
      <alignment horizontal="center" vertical="center"/>
    </xf>
    <xf numFmtId="164" fontId="13" fillId="0" borderId="0" applyAlignment="1" pivotButton="0" quotePrefix="0" xfId="145">
      <alignment vertical="center"/>
    </xf>
    <xf numFmtId="164" fontId="11" fillId="0" borderId="0" applyAlignment="1" pivotButton="0" quotePrefix="0" xfId="145">
      <alignment horizontal="left" vertical="center"/>
    </xf>
    <xf numFmtId="164" fontId="32" fillId="0" borderId="0" applyAlignment="1" pivotButton="0" quotePrefix="0" xfId="3">
      <alignment horizontal="center" vertical="center"/>
    </xf>
    <xf numFmtId="164" fontId="11" fillId="0" borderId="0" applyAlignment="1" pivotButton="0" quotePrefix="0" xfId="145">
      <alignment vertical="center"/>
    </xf>
    <xf numFmtId="0" fontId="11" fillId="0" borderId="0" applyAlignment="1" pivotButton="0" quotePrefix="0" xfId="142">
      <alignment vertical="center"/>
    </xf>
    <xf numFmtId="0" fontId="11" fillId="0" borderId="0" applyAlignment="1" pivotButton="0" quotePrefix="0" xfId="142">
      <alignment horizontal="left" vertical="center"/>
    </xf>
    <xf numFmtId="0" fontId="13" fillId="0" borderId="0" applyAlignment="1" pivotButton="0" quotePrefix="0" xfId="142">
      <alignment vertical="center"/>
    </xf>
    <xf numFmtId="0" fontId="3" fillId="0" borderId="0" applyAlignment="1" pivotButton="0" quotePrefix="0" xfId="142">
      <alignment vertical="center"/>
    </xf>
    <xf numFmtId="164" fontId="34" fillId="0" borderId="0" applyAlignment="1" pivotButton="0" quotePrefix="0" xfId="145">
      <alignment vertical="center"/>
    </xf>
    <xf numFmtId="164" fontId="34" fillId="0" borderId="0" applyAlignment="1" pivotButton="0" quotePrefix="0" xfId="145">
      <alignment horizontal="right" vertical="center"/>
    </xf>
    <xf numFmtId="164" fontId="35" fillId="0" borderId="0" applyAlignment="1" pivotButton="0" quotePrefix="0" xfId="145">
      <alignment vertical="center"/>
    </xf>
    <xf numFmtId="165" fontId="3" fillId="0" borderId="0" applyAlignment="1" applyProtection="1" pivotButton="0" quotePrefix="0" xfId="137">
      <alignment vertical="center" wrapText="1"/>
      <protection locked="0" hidden="0"/>
    </xf>
    <xf numFmtId="164" fontId="7" fillId="0" borderId="0" applyAlignment="1" pivotButton="0" quotePrefix="0" xfId="145">
      <alignment horizontal="right" vertical="center"/>
    </xf>
    <xf numFmtId="0" fontId="3" fillId="0" borderId="0" applyAlignment="1" pivotButton="0" quotePrefix="0" xfId="145">
      <alignment horizontal="center" vertical="center"/>
    </xf>
    <xf numFmtId="165" fontId="30" fillId="2" borderId="2" applyAlignment="1" applyProtection="1" pivotButton="0" quotePrefix="0" xfId="136">
      <alignment horizontal="center" vertical="center" wrapText="1"/>
      <protection locked="0" hidden="0"/>
    </xf>
    <xf numFmtId="164" fontId="36" fillId="0" borderId="0" applyAlignment="1" pivotButton="0" quotePrefix="0" xfId="145">
      <alignment vertical="center"/>
    </xf>
    <xf numFmtId="165" fontId="4" fillId="2" borderId="2" applyAlignment="1" applyProtection="1" pivotButton="0" quotePrefix="0" xfId="136">
      <alignment horizontal="center" vertical="center"/>
      <protection locked="0" hidden="0"/>
    </xf>
    <xf numFmtId="0" fontId="4" fillId="2" borderId="2" applyAlignment="1" applyProtection="1" pivotButton="0" quotePrefix="0" xfId="136">
      <alignment horizontal="center" vertical="center"/>
      <protection locked="0" hidden="0"/>
    </xf>
    <xf numFmtId="164" fontId="3" fillId="3" borderId="2" applyAlignment="1" pivotButton="0" quotePrefix="0" xfId="1">
      <alignment horizontal="right" vertical="center" wrapText="1"/>
    </xf>
    <xf numFmtId="10" fontId="3" fillId="3" borderId="2" applyAlignment="1" pivotButton="0" quotePrefix="0" xfId="2">
      <alignment horizontal="right" vertical="center" wrapText="1"/>
    </xf>
    <xf numFmtId="164" fontId="3" fillId="0" borderId="0" applyAlignment="1" pivotButton="0" quotePrefix="0" xfId="1">
      <alignment horizontal="right" vertical="center" wrapText="1"/>
    </xf>
    <xf numFmtId="10" fontId="3" fillId="0" borderId="0" applyAlignment="1" pivotButton="0" quotePrefix="0" xfId="2">
      <alignment horizontal="right" vertical="center" wrapText="1"/>
    </xf>
    <xf numFmtId="164" fontId="3" fillId="0" borderId="0" applyAlignment="1" pivotButton="0" quotePrefix="0" xfId="1">
      <alignment horizontal="center" vertical="center"/>
    </xf>
    <xf numFmtId="164" fontId="11" fillId="0" borderId="0" applyAlignment="1" pivotButton="0" quotePrefix="0" xfId="1">
      <alignment horizontal="right" vertical="center" wrapText="1"/>
    </xf>
    <xf numFmtId="10" fontId="11" fillId="0" borderId="0" applyAlignment="1" pivotButton="0" quotePrefix="0" xfId="2">
      <alignment horizontal="right" vertical="center" wrapText="1"/>
    </xf>
    <xf numFmtId="164" fontId="11" fillId="0" borderId="0" applyAlignment="1" pivotButton="0" quotePrefix="0" xfId="1">
      <alignment horizontal="center" vertical="center"/>
    </xf>
    <xf numFmtId="0" fontId="40" fillId="0" borderId="0" applyAlignment="1" applyProtection="1" pivotButton="0" quotePrefix="0" xfId="0">
      <alignment vertical="center"/>
      <protection locked="0" hidden="0"/>
    </xf>
    <xf numFmtId="0" fontId="5" fillId="0" borderId="0" applyAlignment="1" applyProtection="1" pivotButton="0" quotePrefix="0" xfId="0">
      <alignment horizontal="left" vertical="center"/>
      <protection locked="0" hidden="0"/>
    </xf>
    <xf numFmtId="0" fontId="7" fillId="0" borderId="0" applyAlignment="1" pivotButton="0" quotePrefix="0" xfId="146">
      <alignment vertical="center"/>
    </xf>
    <xf numFmtId="0" fontId="40" fillId="0" borderId="0" applyAlignment="1" pivotButton="0" quotePrefix="0" xfId="146">
      <alignment vertical="center"/>
    </xf>
    <xf numFmtId="0" fontId="7" fillId="0" borderId="0" applyAlignment="1" applyProtection="1" pivotButton="0" quotePrefix="0" xfId="0">
      <alignment vertical="center"/>
      <protection locked="0" hidden="0"/>
    </xf>
    <xf numFmtId="0" fontId="7" fillId="0" borderId="0" applyAlignment="1" applyProtection="1" pivotButton="0" quotePrefix="0" xfId="0">
      <alignment vertical="center" wrapText="1"/>
      <protection locked="0" hidden="0"/>
    </xf>
    <xf numFmtId="49" fontId="5" fillId="0" borderId="0" applyAlignment="1" applyProtection="1" pivotButton="0" quotePrefix="0" xfId="0">
      <alignment horizontal="left" vertical="center"/>
      <protection locked="0" hidden="0"/>
    </xf>
    <xf numFmtId="0" fontId="5" fillId="0" borderId="0" applyAlignment="1" applyProtection="1" pivotButton="0" quotePrefix="0" xfId="0">
      <alignment horizontal="justify" vertical="center"/>
      <protection locked="0" hidden="0"/>
    </xf>
    <xf numFmtId="165" fontId="5" fillId="2" borderId="2" applyAlignment="1" applyProtection="1" pivotButton="0" quotePrefix="0" xfId="139">
      <alignment horizontal="center" vertical="center"/>
      <protection locked="0" hidden="0"/>
    </xf>
    <xf numFmtId="165" fontId="5" fillId="2" borderId="2" applyAlignment="1" applyProtection="1" pivotButton="0" quotePrefix="0" xfId="139">
      <alignment horizontal="center" vertical="center" wrapText="1"/>
      <protection locked="0" hidden="0"/>
    </xf>
    <xf numFmtId="0" fontId="3" fillId="0" borderId="2" applyAlignment="1" applyProtection="1" pivotButton="0" quotePrefix="0" xfId="0">
      <alignment horizontal="center" vertical="center"/>
      <protection locked="0" hidden="0"/>
    </xf>
    <xf numFmtId="0" fontId="7" fillId="0" borderId="2" applyAlignment="1" applyProtection="1" pivotButton="0" quotePrefix="0" xfId="0">
      <alignment horizontal="left" vertical="center" wrapText="1"/>
      <protection locked="0" hidden="0"/>
    </xf>
    <xf numFmtId="0" fontId="40" fillId="0" borderId="2" applyAlignment="1" applyProtection="1" pivotButton="0" quotePrefix="0" xfId="0">
      <alignment horizontal="left" vertical="center" wrapText="1"/>
      <protection locked="0" hidden="0"/>
    </xf>
    <xf numFmtId="0" fontId="7" fillId="0" borderId="2" applyAlignment="1" applyProtection="1" pivotButton="0" quotePrefix="0" xfId="0">
      <alignment horizontal="center" vertical="center" wrapText="1"/>
      <protection locked="0" hidden="0"/>
    </xf>
    <xf numFmtId="0" fontId="3" fillId="0" borderId="2" applyAlignment="1" applyProtection="1" pivotButton="0" quotePrefix="0" xfId="0">
      <alignment horizontal="center" vertical="center" wrapText="1"/>
      <protection locked="0" hidden="0"/>
    </xf>
    <xf numFmtId="0" fontId="40" fillId="0" borderId="2" applyAlignment="1" pivotButton="0" quotePrefix="0" xfId="0">
      <alignment horizontal="left" vertical="center" wrapText="1"/>
    </xf>
    <xf numFmtId="165" fontId="40" fillId="0" borderId="2" applyAlignment="1" pivotButton="0" quotePrefix="0" xfId="133">
      <alignment horizontal="center" vertical="center" wrapText="1"/>
    </xf>
    <xf numFmtId="0" fontId="4" fillId="0" borderId="2" applyAlignment="1" applyProtection="1" pivotButton="0" quotePrefix="0" xfId="0">
      <alignment horizontal="center" vertical="center" wrapText="1"/>
      <protection locked="0" hidden="0"/>
    </xf>
    <xf numFmtId="0" fontId="7" fillId="0" borderId="2" applyAlignment="1" pivotButton="0" quotePrefix="0" xfId="146">
      <alignment horizontal="left" vertical="center" wrapText="1"/>
    </xf>
    <xf numFmtId="0" fontId="7" fillId="0" borderId="2" applyAlignment="1" pivotButton="0" quotePrefix="0" xfId="0">
      <alignment horizontal="left" vertical="center" wrapText="1"/>
    </xf>
    <xf numFmtId="165" fontId="40" fillId="0" borderId="2" applyAlignment="1" pivotButton="0" quotePrefix="0" xfId="139">
      <alignment horizontal="center" vertical="center" wrapText="1"/>
    </xf>
    <xf numFmtId="165" fontId="40" fillId="0" borderId="2" applyAlignment="1" pivotButton="0" quotePrefix="0" xfId="133">
      <alignment vertical="center" wrapText="1"/>
    </xf>
    <xf numFmtId="0" fontId="5" fillId="0" borderId="0" applyAlignment="1" pivotButton="0" quotePrefix="0" xfId="146">
      <alignment vertical="center"/>
    </xf>
    <xf numFmtId="165" fontId="3" fillId="0" borderId="2" applyAlignment="1" pivotButton="0" quotePrefix="0" xfId="139">
      <alignment horizontal="center" vertical="center" wrapText="1"/>
    </xf>
    <xf numFmtId="0" fontId="39" fillId="0" borderId="0" applyProtection="1" pivotButton="0" quotePrefix="0" xfId="0">
      <protection locked="0" hidden="0"/>
    </xf>
    <xf numFmtId="0" fontId="39" fillId="0" borderId="0" applyProtection="1" pivotButton="0" quotePrefix="0" xfId="0">
      <protection locked="0" hidden="0"/>
    </xf>
    <xf numFmtId="0" fontId="7"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5" borderId="0" applyAlignment="1" applyProtection="1" pivotButton="0" quotePrefix="0" xfId="0">
      <alignment horizontal="justify" vertical="center" wrapText="1"/>
      <protection locked="0" hidden="0"/>
    </xf>
    <xf numFmtId="0" fontId="7" fillId="0" borderId="0" applyAlignment="1" applyProtection="1" pivotButton="0" quotePrefix="0" xfId="0">
      <alignment horizontal="justify" vertical="center" wrapText="1"/>
      <protection locked="0" hidden="0"/>
    </xf>
    <xf numFmtId="0" fontId="7"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wrapText="1"/>
      <protection locked="0" hidden="0"/>
    </xf>
    <xf numFmtId="0" fontId="7" fillId="0" borderId="0" applyAlignment="1" applyProtection="1" pivotButton="0" quotePrefix="0" xfId="0">
      <alignment horizontal="justify" vertical="top" wrapText="1"/>
      <protection locked="0" hidden="0"/>
    </xf>
    <xf numFmtId="0" fontId="19" fillId="0" borderId="0" applyAlignment="1" applyProtection="1" pivotButton="0" quotePrefix="0" xfId="0">
      <alignment horizontal="justify" wrapText="1"/>
      <protection locked="0" hidden="0"/>
    </xf>
    <xf numFmtId="0" fontId="43" fillId="0" borderId="0" applyAlignment="1" applyProtection="1" pivotButton="0" quotePrefix="0" xfId="0">
      <alignment horizontal="justify" wrapText="1"/>
      <protection locked="0" hidden="0"/>
    </xf>
    <xf numFmtId="0" fontId="19" fillId="0" borderId="0" applyProtection="1" pivotButton="0" quotePrefix="0" xfId="0">
      <protection locked="0" hidden="0"/>
    </xf>
    <xf numFmtId="0" fontId="37" fillId="0" borderId="0" applyAlignment="1" applyProtection="1" pivotButton="0" quotePrefix="0" xfId="0">
      <alignment horizontal="justify"/>
      <protection locked="0" hidden="0"/>
    </xf>
    <xf numFmtId="0" fontId="37" fillId="0" borderId="0" applyAlignment="1" applyProtection="1" pivotButton="0" quotePrefix="0" xfId="0">
      <alignment horizontal="justify"/>
      <protection locked="0" hidden="0"/>
    </xf>
    <xf numFmtId="0" fontId="44" fillId="0" borderId="0" applyAlignment="1" applyProtection="1" pivotButton="0" quotePrefix="0" xfId="0">
      <alignment horizontal="center"/>
      <protection locked="0" hidden="0"/>
    </xf>
    <xf numFmtId="0" fontId="7" fillId="0" borderId="0" applyAlignment="1" applyProtection="1" pivotButton="0" quotePrefix="0" xfId="0">
      <alignment horizontal="justify"/>
      <protection locked="0" hidden="0"/>
    </xf>
    <xf numFmtId="0" fontId="7" fillId="0" borderId="0" applyProtection="1" pivotButton="0" quotePrefix="0" xfId="0">
      <protection locked="0" hidden="0"/>
    </xf>
    <xf numFmtId="0" fontId="7" fillId="0" borderId="0" applyAlignment="1" applyProtection="1" pivotButton="0" quotePrefix="0" xfId="0">
      <alignment horizontal="justify" wrapText="1"/>
      <protection locked="0" hidden="0"/>
    </xf>
    <xf numFmtId="0" fontId="7" fillId="0" borderId="0" applyAlignment="1" applyProtection="1" pivotButton="0" quotePrefix="0" xfId="0">
      <alignment horizontal="left"/>
      <protection locked="0" hidden="0"/>
    </xf>
    <xf numFmtId="0" fontId="7" fillId="0" borderId="0" applyAlignment="1" applyProtection="1" pivotButton="0" quotePrefix="0" xfId="0">
      <alignment horizontal="left"/>
      <protection locked="0" hidden="0"/>
    </xf>
    <xf numFmtId="0" fontId="11" fillId="0" borderId="2" applyAlignment="1" applyProtection="1" pivotButton="0" quotePrefix="0" xfId="0">
      <alignment horizontal="left" vertical="center" wrapText="1"/>
      <protection locked="0" hidden="0"/>
    </xf>
    <xf numFmtId="0" fontId="7" fillId="0" borderId="2" applyAlignment="1" applyProtection="1" pivotButton="0" quotePrefix="0" xfId="173">
      <alignment horizontal="left" vertical="center" wrapText="1"/>
      <protection locked="0" hidden="0"/>
    </xf>
    <xf numFmtId="0" fontId="7" fillId="0" borderId="2" applyAlignment="1" applyProtection="1" pivotButton="0" quotePrefix="0" xfId="174">
      <alignment horizontal="center" vertical="center" wrapText="1"/>
      <protection locked="0" hidden="0"/>
    </xf>
    <xf numFmtId="0" fontId="82" fillId="0" borderId="2" applyAlignment="1" applyProtection="1" pivotButton="0" quotePrefix="0" xfId="0">
      <alignment horizontal="center" vertical="center" wrapText="1"/>
      <protection locked="0" hidden="0"/>
    </xf>
    <xf numFmtId="0" fontId="5" fillId="0" borderId="0" applyAlignment="1" applyProtection="1" pivotButton="0" quotePrefix="0" xfId="135">
      <alignment vertical="center"/>
      <protection locked="0" hidden="0"/>
    </xf>
    <xf numFmtId="0" fontId="40" fillId="0" borderId="0" applyAlignment="1" pivotButton="0" quotePrefix="0" xfId="175">
      <alignment vertical="center"/>
    </xf>
    <xf numFmtId="0" fontId="7" fillId="0" borderId="0" applyAlignment="1" applyProtection="1" pivotButton="0" quotePrefix="0" xfId="135">
      <alignment vertical="center"/>
      <protection locked="0" hidden="0"/>
    </xf>
    <xf numFmtId="0" fontId="7" fillId="0" borderId="0" applyAlignment="1" pivotButton="0" quotePrefix="0" xfId="146">
      <alignment vertical="center"/>
    </xf>
    <xf numFmtId="0" fontId="7" fillId="0" borderId="0" applyAlignment="1" applyProtection="1" pivotButton="0" quotePrefix="0" xfId="135">
      <alignment horizontal="right" vertical="center"/>
      <protection locked="0" hidden="0"/>
    </xf>
    <xf numFmtId="0" fontId="19" fillId="0" borderId="0" applyAlignment="1" pivotButton="0" quotePrefix="0" xfId="175">
      <alignment vertical="center"/>
    </xf>
    <xf numFmtId="0" fontId="5" fillId="3" borderId="2" applyAlignment="1" pivotButton="0" quotePrefix="0" xfId="140">
      <alignment horizontal="centerContinuous" vertical="center"/>
    </xf>
    <xf numFmtId="0" fontId="5" fillId="3" borderId="2" applyAlignment="1" pivotButton="0" quotePrefix="0" xfId="140">
      <alignment horizontal="center" vertical="center"/>
    </xf>
    <xf numFmtId="0" fontId="42" fillId="0" borderId="2" applyAlignment="1" pivotButton="0" quotePrefix="0" xfId="140">
      <alignment horizontal="left" vertical="center"/>
    </xf>
    <xf numFmtId="164" fontId="3" fillId="0" borderId="2" applyAlignment="1" pivotButton="0" quotePrefix="0" xfId="140">
      <alignment vertical="center"/>
    </xf>
    <xf numFmtId="164" fontId="3" fillId="0" borderId="2" applyAlignment="1" pivotButton="0" quotePrefix="0" xfId="177">
      <alignment vertical="center"/>
    </xf>
    <xf numFmtId="164" fontId="3" fillId="3" borderId="2" applyAlignment="1" pivotButton="0" quotePrefix="0" xfId="140">
      <alignment vertical="center"/>
    </xf>
    <xf numFmtId="164" fontId="3" fillId="11" borderId="2" applyAlignment="1" pivotButton="0" quotePrefix="0" xfId="140">
      <alignment vertical="center"/>
    </xf>
    <xf numFmtId="164" fontId="3" fillId="0" borderId="2" applyAlignment="1" pivotButton="0" quotePrefix="0" xfId="178">
      <alignment vertical="center"/>
    </xf>
    <xf numFmtId="164" fontId="3" fillId="3" borderId="2" applyAlignment="1" pivotButton="0" quotePrefix="0" xfId="178">
      <alignment vertical="center"/>
    </xf>
    <xf numFmtId="0" fontId="7" fillId="3" borderId="2" applyAlignment="1" pivotButton="0" quotePrefix="0" xfId="140">
      <alignment horizontal="center" vertical="center"/>
    </xf>
    <xf numFmtId="164" fontId="3" fillId="3" borderId="2" applyAlignment="1" pivotButton="0" quotePrefix="0" xfId="179">
      <alignment vertical="center"/>
    </xf>
    <xf numFmtId="0" fontId="5" fillId="0" borderId="0" applyAlignment="1" pivotButton="0" quotePrefix="0" xfId="140">
      <alignment horizontal="left" vertical="center"/>
    </xf>
    <xf numFmtId="164" fontId="3" fillId="0" borderId="0" applyAlignment="1" pivotButton="0" quotePrefix="0" xfId="140">
      <alignment vertical="center"/>
    </xf>
    <xf numFmtId="164" fontId="3" fillId="0" borderId="0" applyAlignment="1" pivotButton="0" quotePrefix="0" xfId="179">
      <alignment vertical="center"/>
    </xf>
    <xf numFmtId="0" fontId="40" fillId="0" borderId="0" applyAlignment="1" pivotButton="0" quotePrefix="0" xfId="175">
      <alignment vertical="center"/>
    </xf>
    <xf numFmtId="0" fontId="7" fillId="0" borderId="0" applyAlignment="1" pivotButton="0" quotePrefix="0" xfId="140">
      <alignment horizontal="center" vertical="center"/>
    </xf>
    <xf numFmtId="0" fontId="7" fillId="4" borderId="0" applyAlignment="1" pivotButton="0" quotePrefix="0" xfId="140">
      <alignment vertical="center"/>
    </xf>
    <xf numFmtId="0" fontId="7" fillId="4" borderId="0" applyAlignment="1" pivotButton="0" quotePrefix="0" xfId="178">
      <alignment vertical="center"/>
    </xf>
    <xf numFmtId="0" fontId="7" fillId="0" borderId="0" applyAlignment="1" pivotButton="0" quotePrefix="0" xfId="140">
      <alignment vertical="center"/>
    </xf>
    <xf numFmtId="0" fontId="19" fillId="0" borderId="0" applyAlignment="1" applyProtection="1" pivotButton="0" quotePrefix="0" xfId="135">
      <alignment vertical="center"/>
      <protection locked="0" hidden="0"/>
    </xf>
    <xf numFmtId="0" fontId="87" fillId="0" borderId="0" applyAlignment="1" applyProtection="1" pivotButton="0" quotePrefix="0" xfId="135">
      <alignment vertical="center"/>
      <protection locked="0" hidden="0"/>
    </xf>
    <xf numFmtId="0" fontId="42" fillId="0" borderId="0" applyAlignment="1" pivotButton="0" quotePrefix="0" xfId="175">
      <alignment vertical="center"/>
    </xf>
    <xf numFmtId="0" fontId="42" fillId="0" borderId="0" applyAlignment="1" applyProtection="1" pivotButton="0" quotePrefix="0" xfId="135">
      <alignment vertical="center"/>
      <protection locked="0" hidden="0"/>
    </xf>
    <xf numFmtId="0" fontId="2" fillId="0" borderId="0" applyAlignment="1" applyProtection="1" pivotButton="0" quotePrefix="0" xfId="135">
      <alignment vertical="center"/>
      <protection locked="0" hidden="0"/>
    </xf>
    <xf numFmtId="0" fontId="3" fillId="0" borderId="0" applyAlignment="1" applyProtection="1" pivotButton="0" quotePrefix="0" xfId="135">
      <alignment vertical="center"/>
      <protection locked="0" hidden="0"/>
    </xf>
    <xf numFmtId="0" fontId="82" fillId="0" borderId="0" applyAlignment="1" applyProtection="1" pivotButton="0" quotePrefix="0" xfId="135">
      <alignment vertical="center"/>
      <protection locked="0" hidden="0"/>
    </xf>
    <xf numFmtId="0" fontId="2" fillId="0" borderId="0" applyAlignment="1" applyProtection="1" pivotButton="0" quotePrefix="0" xfId="135">
      <alignment horizontal="center" vertical="center"/>
      <protection locked="0" hidden="0"/>
    </xf>
    <xf numFmtId="0" fontId="4" fillId="3" borderId="2" applyAlignment="1" pivotButton="0" quotePrefix="0" xfId="140">
      <alignment horizontal="center" vertical="center"/>
    </xf>
    <xf numFmtId="0" fontId="4" fillId="3" borderId="2" applyAlignment="1" pivotButton="0" quotePrefix="0" xfId="178">
      <alignment horizontal="center" vertical="center"/>
    </xf>
    <xf numFmtId="0" fontId="3" fillId="0" borderId="2" applyAlignment="1" pivotButton="0" quotePrefix="0" xfId="178">
      <alignment horizontal="left" vertical="center" wrapText="1"/>
    </xf>
    <xf numFmtId="164" fontId="2" fillId="0" borderId="2" applyAlignment="1" pivotButton="0" quotePrefix="0" xfId="180">
      <alignment vertical="center"/>
    </xf>
    <xf numFmtId="166" fontId="2" fillId="0" borderId="2" applyAlignment="1" pivotButton="0" quotePrefix="0" xfId="178">
      <alignment vertical="center"/>
    </xf>
    <xf numFmtId="164" fontId="2" fillId="3" borderId="2" applyAlignment="1" pivotButton="0" quotePrefix="0" xfId="180">
      <alignment vertical="center"/>
    </xf>
    <xf numFmtId="0" fontId="2" fillId="0" borderId="2" applyAlignment="1" pivotButton="0" quotePrefix="0" xfId="178">
      <alignment vertical="center"/>
    </xf>
    <xf numFmtId="0" fontId="3" fillId="0" borderId="2" applyAlignment="1" pivotButton="0" quotePrefix="0" xfId="140">
      <alignment horizontal="left" vertical="center"/>
    </xf>
    <xf numFmtId="166" fontId="3" fillId="0" borderId="2" applyAlignment="1" pivotButton="0" quotePrefix="0" xfId="178">
      <alignment horizontal="center" vertical="center" wrapText="1"/>
    </xf>
    <xf numFmtId="0" fontId="3" fillId="3" borderId="2" applyAlignment="1" pivotButton="0" quotePrefix="0" xfId="140">
      <alignment horizontal="left" vertical="center"/>
    </xf>
    <xf numFmtId="166" fontId="3" fillId="3" borderId="2" applyAlignment="1" pivotButton="0" quotePrefix="0" xfId="178">
      <alignment horizontal="center" vertical="center" wrapText="1"/>
    </xf>
    <xf numFmtId="166" fontId="2" fillId="3" borderId="2" applyAlignment="1" pivotButton="0" quotePrefix="0" xfId="178">
      <alignment vertical="center"/>
    </xf>
    <xf numFmtId="0" fontId="2" fillId="3" borderId="2" applyAlignment="1" pivotButton="0" quotePrefix="0" xfId="178">
      <alignment vertical="center"/>
    </xf>
    <xf numFmtId="0" fontId="2" fillId="2" borderId="0" applyAlignment="1" applyProtection="1" pivotButton="0" quotePrefix="0" xfId="135">
      <alignment vertical="center"/>
      <protection locked="0" hidden="0"/>
    </xf>
    <xf numFmtId="164" fontId="3" fillId="3" borderId="2" applyAlignment="1" pivotButton="0" quotePrefix="0" xfId="180">
      <alignment horizontal="center" vertical="center"/>
    </xf>
    <xf numFmtId="0" fontId="39" fillId="0" borderId="10" applyAlignment="1" applyProtection="1" pivotButton="0" quotePrefix="0" xfId="0">
      <alignment horizontal="center" vertical="center" wrapText="1"/>
      <protection locked="0" hidden="0"/>
    </xf>
    <xf numFmtId="0" fontId="39" fillId="0" borderId="10" applyAlignment="1" applyProtection="1" pivotButton="0" quotePrefix="0" xfId="0">
      <alignment horizontal="center" vertical="center"/>
      <protection locked="0" hidden="0"/>
    </xf>
    <xf numFmtId="0" fontId="7" fillId="0" borderId="0" applyAlignment="1" applyProtection="1" pivotButton="0" quotePrefix="0" xfId="136">
      <alignment horizontal="left" vertical="center"/>
      <protection locked="0" hidden="0"/>
    </xf>
    <xf numFmtId="0" fontId="91" fillId="0" borderId="10" applyAlignment="1" applyProtection="1" pivotButton="0" quotePrefix="0" xfId="3">
      <alignment vertical="center"/>
      <protection locked="0" hidden="0"/>
    </xf>
    <xf numFmtId="0" fontId="20" fillId="3" borderId="2" applyAlignment="1" pivotButton="0" quotePrefix="0" xfId="143">
      <alignment horizontal="center" vertical="center"/>
    </xf>
    <xf numFmtId="0" fontId="3" fillId="5" borderId="0" applyAlignment="1" applyProtection="1" pivotButton="0" quotePrefix="0" xfId="0">
      <alignment horizontal="justify" vertical="center" wrapText="1"/>
      <protection locked="0" hidden="0"/>
    </xf>
    <xf numFmtId="0" fontId="29" fillId="0" borderId="0" applyAlignment="1" applyProtection="1" pivotButton="0" quotePrefix="0" xfId="0">
      <alignment horizontal="center" vertical="center"/>
      <protection locked="0" hidden="0"/>
    </xf>
    <xf numFmtId="0" fontId="92" fillId="0" borderId="1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39" fillId="0" borderId="0" applyAlignment="1" applyProtection="1" pivotButton="0" quotePrefix="0" xfId="0">
      <alignment horizontal="center"/>
      <protection locked="0" hidden="0"/>
    </xf>
    <xf numFmtId="165" fontId="19" fillId="0" borderId="0" applyAlignment="1" pivotButton="0" quotePrefix="0" xfId="181">
      <alignment horizontal="left" vertical="center"/>
    </xf>
    <xf numFmtId="0" fontId="34" fillId="0" borderId="0" applyAlignment="1" applyProtection="1" pivotButton="0" quotePrefix="0" xfId="3">
      <alignment vertical="center"/>
      <protection locked="0" hidden="0"/>
    </xf>
    <xf numFmtId="0" fontId="82" fillId="0" borderId="2" applyAlignment="1" pivotButton="0" quotePrefix="0" xfId="140">
      <alignment horizontal="left" vertical="center"/>
    </xf>
    <xf numFmtId="0" fontId="23" fillId="0" borderId="0" applyAlignment="1" applyProtection="1" pivotButton="0" quotePrefix="0" xfId="0">
      <alignment horizontal="left" vertical="center" wrapText="1"/>
      <protection locked="0" hidden="0"/>
    </xf>
    <xf numFmtId="0" fontId="2" fillId="0" borderId="0" applyAlignment="1" applyProtection="1" pivotButton="0" quotePrefix="0" xfId="0">
      <alignment horizontal="left" vertical="center" wrapText="1"/>
      <protection locked="0" hidden="0"/>
    </xf>
    <xf numFmtId="165" fontId="5" fillId="2" borderId="2" applyAlignment="1" applyProtection="1" pivotButton="0" quotePrefix="0" xfId="139">
      <alignment horizontal="center" vertical="center" wrapText="1"/>
      <protection locked="0" hidden="0"/>
    </xf>
    <xf numFmtId="165" fontId="4" fillId="2" borderId="2" applyAlignment="1" applyProtection="1" pivotButton="0" quotePrefix="0" xfId="139">
      <alignment horizontal="center" vertical="center" wrapText="1"/>
      <protection locked="0" hidden="0"/>
    </xf>
    <xf numFmtId="0" fontId="5" fillId="3" borderId="2" applyAlignment="1" applyProtection="1" pivotButton="0" quotePrefix="0" xfId="0">
      <alignment horizontal="center" vertical="center"/>
      <protection locked="0" hidden="0"/>
    </xf>
    <xf numFmtId="165" fontId="7" fillId="0" borderId="2" applyAlignment="1" applyProtection="1" pivotButton="0" quotePrefix="0" xfId="139">
      <alignment horizontal="center" vertical="center"/>
      <protection locked="0" hidden="0"/>
    </xf>
    <xf numFmtId="0" fontId="5" fillId="0" borderId="0" applyAlignment="1" applyProtection="1" pivotButton="0" quotePrefix="0" xfId="0">
      <alignment horizontal="left" vertical="center"/>
      <protection locked="0" hidden="0"/>
    </xf>
    <xf numFmtId="0" fontId="5" fillId="2" borderId="2" applyAlignment="1" applyProtection="1" pivotButton="0" quotePrefix="0" xfId="0">
      <alignment horizontal="center" vertical="center"/>
      <protection locked="0" hidden="0"/>
    </xf>
    <xf numFmtId="49" fontId="5" fillId="2" borderId="2" applyAlignment="1" applyProtection="1" pivotButton="0" quotePrefix="0" xfId="0">
      <alignment horizontal="center" vertical="center"/>
      <protection locked="0" hidden="0"/>
    </xf>
    <xf numFmtId="49" fontId="5" fillId="2" borderId="2" applyAlignment="1" applyProtection="1" pivotButton="0" quotePrefix="0" xfId="0">
      <alignment horizontal="center" vertical="center" wrapText="1"/>
      <protection locked="0" hidden="0"/>
    </xf>
    <xf numFmtId="165" fontId="5" fillId="12" borderId="2" applyAlignment="1" applyProtection="1" pivotButton="0" quotePrefix="0" xfId="139">
      <alignment horizontal="center" vertical="center" wrapText="1"/>
      <protection locked="0" hidden="0"/>
    </xf>
    <xf numFmtId="0" fontId="5" fillId="2" borderId="2" applyAlignment="1" applyProtection="1" pivotButton="0" quotePrefix="0" xfId="0">
      <alignment horizontal="center" vertical="center" wrapText="1"/>
      <protection locked="0" hidden="0"/>
    </xf>
    <xf numFmtId="0" fontId="7" fillId="0" borderId="2" applyAlignment="1" applyProtection="1" pivotButton="0" quotePrefix="0" xfId="0">
      <alignment horizontal="left" vertical="center" wrapText="1"/>
      <protection locked="0" hidden="0"/>
    </xf>
    <xf numFmtId="0" fontId="5" fillId="3" borderId="2" applyAlignment="1" applyProtection="1" pivotButton="0" quotePrefix="0" xfId="0">
      <alignment horizontal="center" vertical="center" wrapText="1"/>
      <protection locked="0" hidden="0"/>
    </xf>
    <xf numFmtId="0" fontId="6" fillId="0" borderId="0" applyAlignment="1" pivotButton="0" quotePrefix="0" xfId="141">
      <alignment horizontal="center" vertical="center"/>
    </xf>
    <xf numFmtId="0" fontId="29" fillId="0" borderId="0" applyAlignment="1" pivotButton="0" quotePrefix="0" xfId="141">
      <alignment horizontal="center" vertical="center"/>
    </xf>
    <xf numFmtId="0" fontId="7" fillId="0" borderId="0" applyAlignment="1" applyProtection="1" pivotButton="0" quotePrefix="0" xfId="0">
      <alignment horizontal="left" vertical="center"/>
      <protection locked="0" hidden="0"/>
    </xf>
    <xf numFmtId="164" fontId="33" fillId="0" borderId="0" applyAlignment="1" pivotButton="0" quotePrefix="0" xfId="1">
      <alignment horizontal="left" vertical="center"/>
    </xf>
    <xf numFmtId="0" fontId="30" fillId="2" borderId="2" applyAlignment="1" pivotButton="0" quotePrefix="0" xfId="0">
      <alignment horizontal="center" vertical="center"/>
    </xf>
    <xf numFmtId="0" fontId="30" fillId="2" borderId="2" applyAlignment="1" pivotButton="0" quotePrefix="0" xfId="0">
      <alignment vertical="center"/>
    </xf>
    <xf numFmtId="0" fontId="16" fillId="2" borderId="2" applyAlignment="1" pivotButton="0" quotePrefix="0" xfId="0">
      <alignment vertical="center"/>
    </xf>
    <xf numFmtId="164" fontId="6" fillId="0" borderId="0" applyAlignment="1" pivotButton="0" quotePrefix="0" xfId="145">
      <alignment horizontal="center" vertical="center"/>
    </xf>
    <xf numFmtId="164" fontId="29" fillId="0" borderId="0" applyAlignment="1" pivotButton="0" quotePrefix="0" xfId="145">
      <alignment horizontal="center" vertical="center"/>
    </xf>
    <xf numFmtId="165" fontId="4" fillId="2" borderId="2" applyAlignment="1" applyProtection="1" pivotButton="0" quotePrefix="0" xfId="137">
      <alignment horizontal="center" vertical="center" wrapText="1"/>
      <protection locked="0" hidden="0"/>
    </xf>
    <xf numFmtId="165" fontId="30" fillId="2" borderId="2" applyAlignment="1" applyProtection="1" pivotButton="0" quotePrefix="0" xfId="136">
      <alignment horizontal="center" vertical="center" wrapText="1"/>
      <protection locked="0" hidden="0"/>
    </xf>
    <xf numFmtId="0" fontId="4" fillId="2" borderId="2" applyAlignment="1" applyProtection="1" pivotButton="0" quotePrefix="0" xfId="136">
      <alignment horizontal="center" vertical="center" wrapText="1"/>
      <protection locked="0" hidden="0"/>
    </xf>
    <xf numFmtId="0" fontId="26" fillId="0" borderId="5" applyAlignment="1" applyProtection="1" pivotButton="0" quotePrefix="0" xfId="0">
      <alignment horizontal="left" vertical="center" wrapText="1"/>
      <protection locked="0" hidden="0"/>
    </xf>
    <xf numFmtId="0" fontId="26" fillId="0" borderId="5" applyAlignment="1" applyProtection="1" pivotButton="0" quotePrefix="0" xfId="0">
      <alignment horizontal="justify" vertical="center" wrapText="1"/>
      <protection locked="0" hidden="0"/>
    </xf>
    <xf numFmtId="0" fontId="26" fillId="0" borderId="6" applyAlignment="1" applyProtection="1" pivotButton="0" quotePrefix="0" xfId="0">
      <alignment horizontal="justify" vertical="center" wrapText="1"/>
      <protection locked="0" hidden="0"/>
    </xf>
    <xf numFmtId="0" fontId="5" fillId="0" borderId="0" applyAlignment="1" pivotButton="0" quotePrefix="0" xfId="142">
      <alignment horizontal="center" vertical="center"/>
    </xf>
    <xf numFmtId="0" fontId="26" fillId="0" borderId="5" applyAlignment="1" applyProtection="1" pivotButton="0" quotePrefix="0" xfId="0">
      <alignment horizontal="center" vertical="center" wrapText="1"/>
      <protection locked="0" hidden="0"/>
    </xf>
    <xf numFmtId="0" fontId="5" fillId="0" borderId="0" applyAlignment="1" applyProtection="1" pivotButton="0" quotePrefix="0" xfId="136">
      <alignment horizontal="center" vertical="center"/>
      <protection locked="0" hidden="0"/>
    </xf>
    <xf numFmtId="0" fontId="6" fillId="0" borderId="0" applyAlignment="1" applyProtection="1" pivotButton="0" quotePrefix="0" xfId="136">
      <alignment horizontal="center" vertical="center"/>
      <protection locked="0" hidden="0"/>
    </xf>
    <xf numFmtId="0" fontId="27" fillId="0" borderId="5" applyAlignment="1" applyProtection="1" pivotButton="0" quotePrefix="0" xfId="0">
      <alignment horizontal="center" vertical="center" wrapText="1"/>
      <protection locked="0" hidden="0"/>
    </xf>
    <xf numFmtId="0" fontId="10" fillId="0" borderId="0" applyAlignment="1" pivotButton="0" quotePrefix="0" xfId="141">
      <alignment horizontal="center" vertical="center"/>
    </xf>
    <xf numFmtId="0" fontId="20" fillId="3" borderId="2" applyAlignment="1" pivotButton="0" quotePrefix="0" xfId="143">
      <alignment horizontal="center" vertical="center"/>
    </xf>
    <xf numFmtId="0" fontId="9" fillId="0" borderId="0" applyAlignment="1" pivotButton="0" quotePrefix="0" xfId="145">
      <alignment horizontal="center" vertical="center"/>
    </xf>
    <xf numFmtId="0" fontId="10" fillId="0" borderId="0" applyAlignment="1" pivotButton="0" quotePrefix="0" xfId="145">
      <alignment horizontal="center" vertical="center"/>
    </xf>
    <xf numFmtId="0" fontId="5" fillId="3" borderId="2" applyAlignment="1" pivotButton="0" quotePrefix="0" xfId="144">
      <alignment horizontal="center" vertical="center" wrapText="1"/>
    </xf>
    <xf numFmtId="0" fontId="5" fillId="3" borderId="2" applyAlignment="1" pivotButton="0" quotePrefix="0" xfId="140">
      <alignment horizontal="center" vertical="center" wrapText="1"/>
    </xf>
    <xf numFmtId="0" fontId="5" fillId="3" borderId="2" applyAlignment="1" pivotButton="0" quotePrefix="0" xfId="140">
      <alignment horizontal="center" vertical="center"/>
    </xf>
    <xf numFmtId="0" fontId="4" fillId="3" borderId="9" applyAlignment="1" pivotButton="0" quotePrefix="0" xfId="178">
      <alignment horizontal="center" vertical="center" wrapText="1"/>
    </xf>
    <xf numFmtId="0" fontId="4" fillId="3" borderId="4" applyAlignment="1" pivotButton="0" quotePrefix="0" xfId="178">
      <alignment horizontal="center" vertical="center" wrapText="1"/>
    </xf>
    <xf numFmtId="0" fontId="4" fillId="3" borderId="9" applyAlignment="1" pivotButton="0" quotePrefix="0" xfId="140">
      <alignment horizontal="center" vertical="center"/>
    </xf>
    <xf numFmtId="0" fontId="4" fillId="3" borderId="4" applyAlignment="1" pivotButton="0" quotePrefix="0" xfId="140">
      <alignment horizontal="center" vertical="center"/>
    </xf>
    <xf numFmtId="0" fontId="5" fillId="3" borderId="9" applyAlignment="1" pivotButton="0" quotePrefix="0" xfId="178">
      <alignment horizontal="center" vertical="center" wrapText="1"/>
    </xf>
    <xf numFmtId="0" fontId="5" fillId="3" borderId="1" applyAlignment="1" pivotButton="0" quotePrefix="0" xfId="140">
      <alignment horizontal="center" vertical="center"/>
    </xf>
    <xf numFmtId="0" fontId="4" fillId="3" borderId="3" applyAlignment="1" pivotButton="0" quotePrefix="0" xfId="140">
      <alignment horizontal="center" vertical="center"/>
    </xf>
    <xf numFmtId="0" fontId="4" fillId="3" borderId="8" applyAlignment="1" pivotButton="0" quotePrefix="0" xfId="140">
      <alignment horizontal="center" vertical="center"/>
    </xf>
    <xf numFmtId="0" fontId="0" fillId="0" borderId="0" pivotButton="0" quotePrefix="0" xfId="0"/>
    <xf numFmtId="0" fontId="0" fillId="0" borderId="3" applyProtection="1" pivotButton="0" quotePrefix="0" xfId="0">
      <protection locked="0" hidden="0"/>
    </xf>
    <xf numFmtId="0" fontId="0" fillId="0" borderId="8" applyProtection="1" pivotButton="0" quotePrefix="0" xfId="0">
      <protection locked="0" hidden="0"/>
    </xf>
    <xf numFmtId="165" fontId="7" fillId="0" borderId="2" applyAlignment="1" applyProtection="1" pivotButton="0" quotePrefix="0" xfId="139">
      <alignment horizontal="center" vertical="center"/>
      <protection locked="0" hidden="0"/>
    </xf>
    <xf numFmtId="165" fontId="5" fillId="12" borderId="2" applyAlignment="1" applyProtection="1" pivotButton="0" quotePrefix="0" xfId="139">
      <alignment horizontal="center" vertical="center" wrapText="1"/>
      <protection locked="0" hidden="0"/>
    </xf>
    <xf numFmtId="165" fontId="5" fillId="2" borderId="2" applyAlignment="1" applyProtection="1" pivotButton="0" quotePrefix="0" xfId="139">
      <alignment horizontal="center" vertical="center" wrapText="1"/>
      <protection locked="0" hidden="0"/>
    </xf>
    <xf numFmtId="0" fontId="0" fillId="0" borderId="4" applyProtection="1" pivotButton="0" quotePrefix="0" xfId="0">
      <protection locked="0" hidden="0"/>
    </xf>
    <xf numFmtId="165" fontId="5" fillId="2" borderId="2" applyAlignment="1" applyProtection="1" pivotButton="0" quotePrefix="0" xfId="139">
      <alignment horizontal="center" vertical="center"/>
      <protection locked="0" hidden="0"/>
    </xf>
    <xf numFmtId="165" fontId="19" fillId="0" borderId="0" applyAlignment="1" pivotButton="0" quotePrefix="0" xfId="181">
      <alignment horizontal="left" vertical="center"/>
    </xf>
    <xf numFmtId="165" fontId="40" fillId="0" borderId="2" applyAlignment="1" pivotButton="0" quotePrefix="0" xfId="133">
      <alignment horizontal="center" vertical="center" wrapText="1"/>
    </xf>
    <xf numFmtId="165" fontId="40" fillId="0" borderId="2" applyAlignment="1" pivotButton="0" quotePrefix="0" xfId="139">
      <alignment horizontal="center" vertical="center" wrapText="1"/>
    </xf>
    <xf numFmtId="165" fontId="40" fillId="0" borderId="2" applyAlignment="1" pivotButton="0" quotePrefix="0" xfId="133">
      <alignment vertical="center" wrapText="1"/>
    </xf>
    <xf numFmtId="165" fontId="3" fillId="0" borderId="2" applyAlignment="1" pivotButton="0" quotePrefix="0" xfId="139">
      <alignment horizontal="center" vertical="center" wrapText="1"/>
    </xf>
    <xf numFmtId="164" fontId="3" fillId="0" borderId="0" applyAlignment="1" pivotButton="0" quotePrefix="0" xfId="145">
      <alignment vertical="center"/>
    </xf>
    <xf numFmtId="164" fontId="2" fillId="0" borderId="0" applyAlignment="1" pivotButton="0" quotePrefix="0" xfId="145">
      <alignment vertical="center"/>
    </xf>
    <xf numFmtId="164" fontId="6" fillId="0" borderId="0" applyAlignment="1" pivotButton="0" quotePrefix="0" xfId="145">
      <alignment horizontal="center" vertical="center"/>
    </xf>
    <xf numFmtId="164" fontId="29" fillId="0" borderId="0" applyAlignment="1" pivotButton="0" quotePrefix="0" xfId="145">
      <alignment horizontal="center" vertical="center"/>
    </xf>
    <xf numFmtId="164" fontId="7" fillId="0" borderId="0" applyAlignment="1" pivotButton="0" quotePrefix="0" xfId="145">
      <alignment vertical="center"/>
    </xf>
    <xf numFmtId="164" fontId="7" fillId="0" borderId="0" applyAlignment="1" pivotButton="0" quotePrefix="0" xfId="145">
      <alignment horizontal="left" vertical="center"/>
    </xf>
    <xf numFmtId="164" fontId="7" fillId="0" borderId="0" applyAlignment="1" pivotButton="0" quotePrefix="0" xfId="145">
      <alignment horizontal="right" vertical="center"/>
    </xf>
    <xf numFmtId="164" fontId="4" fillId="0" borderId="0" applyAlignment="1" pivotButton="0" quotePrefix="0" xfId="145">
      <alignment vertical="center"/>
    </xf>
    <xf numFmtId="165" fontId="4" fillId="2" borderId="2" applyAlignment="1" applyProtection="1" pivotButton="0" quotePrefix="0" xfId="137">
      <alignment horizontal="center" vertical="center" wrapText="1"/>
      <protection locked="0" hidden="0"/>
    </xf>
    <xf numFmtId="165" fontId="30" fillId="2" borderId="2" applyAlignment="1" applyProtection="1" pivotButton="0" quotePrefix="0" xfId="136">
      <alignment horizontal="center" vertical="center" wrapText="1"/>
      <protection locked="0" hidden="0"/>
    </xf>
    <xf numFmtId="164" fontId="36" fillId="0" borderId="0" applyAlignment="1" pivotButton="0" quotePrefix="0" xfId="145">
      <alignment vertical="center"/>
    </xf>
    <xf numFmtId="0" fontId="0" fillId="0" borderId="4" pivotButton="0" quotePrefix="0" xfId="0"/>
    <xf numFmtId="165" fontId="4" fillId="2" borderId="2" applyAlignment="1" applyProtection="1" pivotButton="0" quotePrefix="0" xfId="136">
      <alignment horizontal="center" vertical="center"/>
      <protection locked="0" hidden="0"/>
    </xf>
    <xf numFmtId="164" fontId="3" fillId="3" borderId="2" applyAlignment="1" pivotButton="0" quotePrefix="0" xfId="1">
      <alignment horizontal="center" vertical="center"/>
    </xf>
    <xf numFmtId="164" fontId="3" fillId="3" borderId="2" applyAlignment="1" pivotButton="0" quotePrefix="0" xfId="1">
      <alignment horizontal="right" vertical="center" wrapText="1"/>
    </xf>
    <xf numFmtId="164" fontId="5" fillId="2" borderId="2" applyAlignment="1" pivotButton="0" quotePrefix="0" xfId="1">
      <alignment horizontal="center" vertical="center"/>
    </xf>
    <xf numFmtId="164" fontId="4" fillId="3" borderId="2" applyAlignment="1" pivotButton="0" quotePrefix="0" xfId="1">
      <alignment horizontal="center" vertical="center"/>
    </xf>
    <xf numFmtId="164" fontId="5" fillId="0" borderId="0" applyAlignment="1" pivotButton="0" quotePrefix="0" xfId="1">
      <alignment horizontal="center" vertical="center"/>
    </xf>
    <xf numFmtId="164" fontId="4" fillId="0" borderId="0" applyAlignment="1" pivotButton="0" quotePrefix="0" xfId="1">
      <alignment horizontal="center" vertical="center"/>
    </xf>
    <xf numFmtId="164" fontId="3" fillId="0" borderId="0" applyAlignment="1" pivotButton="0" quotePrefix="0" xfId="1">
      <alignment horizontal="right" vertical="center" wrapText="1"/>
    </xf>
    <xf numFmtId="164" fontId="3" fillId="0" borderId="0" applyAlignment="1" pivotButton="0" quotePrefix="0" xfId="1">
      <alignment horizontal="center" vertical="center"/>
    </xf>
    <xf numFmtId="164" fontId="13" fillId="0" borderId="0" applyAlignment="1" pivotButton="0" quotePrefix="0" xfId="1">
      <alignment horizontal="center" vertical="center"/>
    </xf>
    <xf numFmtId="164" fontId="13" fillId="3" borderId="0" applyAlignment="1" pivotButton="0" quotePrefix="0" xfId="1">
      <alignment horizontal="center" vertical="center"/>
    </xf>
    <xf numFmtId="164" fontId="11" fillId="0" borderId="0" applyAlignment="1" pivotButton="0" quotePrefix="0" xfId="1">
      <alignment horizontal="right" vertical="center" wrapText="1"/>
    </xf>
    <xf numFmtId="164" fontId="11" fillId="0" borderId="0" applyAlignment="1" pivotButton="0" quotePrefix="0" xfId="1">
      <alignment horizontal="center" vertical="center"/>
    </xf>
    <xf numFmtId="164" fontId="13" fillId="0" borderId="0" applyAlignment="1" pivotButton="0" quotePrefix="0" xfId="145">
      <alignment vertical="center"/>
    </xf>
    <xf numFmtId="164" fontId="11" fillId="0" borderId="0" applyAlignment="1" pivotButton="0" quotePrefix="0" xfId="145">
      <alignment horizontal="left" vertical="center"/>
    </xf>
    <xf numFmtId="164" fontId="32" fillId="0" borderId="0" applyAlignment="1" pivotButton="0" quotePrefix="0" xfId="3">
      <alignment horizontal="center" vertical="center"/>
    </xf>
    <xf numFmtId="164" fontId="11" fillId="0" borderId="0" applyAlignment="1" pivotButton="0" quotePrefix="0" xfId="145">
      <alignment vertical="center"/>
    </xf>
    <xf numFmtId="164" fontId="33" fillId="0" borderId="0" applyAlignment="1" pivotButton="0" quotePrefix="0" xfId="1">
      <alignment horizontal="left" vertical="center"/>
    </xf>
    <xf numFmtId="164" fontId="34" fillId="0" borderId="0" applyAlignment="1" pivotButton="0" quotePrefix="0" xfId="145">
      <alignment vertical="center"/>
    </xf>
    <xf numFmtId="164" fontId="34" fillId="0" borderId="0" applyAlignment="1" pivotButton="0" quotePrefix="0" xfId="145">
      <alignment horizontal="right" vertical="center"/>
    </xf>
    <xf numFmtId="164" fontId="35" fillId="0" borderId="0" applyAlignment="1" pivotButton="0" quotePrefix="0" xfId="145">
      <alignment vertical="center"/>
    </xf>
    <xf numFmtId="165" fontId="3" fillId="0" borderId="0" applyAlignment="1" applyProtection="1" pivotButton="0" quotePrefix="0" xfId="137">
      <alignment vertical="center" wrapText="1"/>
      <protection locked="0" hidden="0"/>
    </xf>
    <xf numFmtId="164" fontId="6" fillId="0" borderId="0" applyAlignment="1" pivotButton="0" quotePrefix="0" xfId="145">
      <alignment vertical="center"/>
    </xf>
    <xf numFmtId="0" fontId="0" fillId="0" borderId="5" applyProtection="1" pivotButton="0" quotePrefix="0" xfId="0">
      <protection locked="0" hidden="0"/>
    </xf>
    <xf numFmtId="0" fontId="0" fillId="0" borderId="6" applyProtection="1" pivotButton="0" quotePrefix="0" xfId="0">
      <protection locked="0" hidden="0"/>
    </xf>
    <xf numFmtId="164" fontId="2" fillId="0" borderId="0" applyAlignment="1" applyProtection="1" pivotButton="0" quotePrefix="0" xfId="0">
      <alignment horizontal="right" vertical="center" wrapText="1"/>
      <protection locked="0" hidden="0"/>
    </xf>
    <xf numFmtId="164" fontId="28" fillId="0" borderId="6" applyAlignment="1" applyProtection="1" pivotButton="0" quotePrefix="0" xfId="1">
      <alignment horizontal="right" vertical="center" wrapText="1"/>
      <protection locked="0" hidden="0"/>
    </xf>
    <xf numFmtId="164" fontId="25" fillId="0" borderId="0" applyAlignment="1" pivotButton="0" quotePrefix="0" xfId="0">
      <alignment vertical="center"/>
    </xf>
    <xf numFmtId="164" fontId="28" fillId="0" borderId="0" applyAlignment="1" applyProtection="1" pivotButton="0" quotePrefix="0" xfId="1">
      <alignment horizontal="right" vertical="center" wrapText="1"/>
      <protection locked="0" hidden="0"/>
    </xf>
    <xf numFmtId="164" fontId="28" fillId="0" borderId="7" applyAlignment="1" applyProtection="1" pivotButton="0" quotePrefix="0" xfId="1">
      <alignment horizontal="right" vertical="center" wrapText="1"/>
      <protection locked="0" hidden="0"/>
    </xf>
    <xf numFmtId="164" fontId="23" fillId="0" borderId="6" applyAlignment="1" applyProtection="1" pivotButton="0" quotePrefix="0" xfId="1">
      <alignment horizontal="right" vertical="center" wrapText="1"/>
      <protection locked="0" hidden="0"/>
    </xf>
    <xf numFmtId="164" fontId="23" fillId="0" borderId="0" applyAlignment="1" applyProtection="1" pivotButton="0" quotePrefix="0" xfId="1">
      <alignment horizontal="right" vertical="center" wrapText="1"/>
      <protection locked="0" hidden="0"/>
    </xf>
    <xf numFmtId="164" fontId="2" fillId="0" borderId="6" applyAlignment="1" applyProtection="1" pivotButton="0" quotePrefix="0" xfId="1">
      <alignment vertical="center"/>
      <protection locked="0" hidden="0"/>
    </xf>
    <xf numFmtId="164" fontId="2" fillId="0" borderId="0" applyAlignment="1" applyProtection="1" pivotButton="0" quotePrefix="0" xfId="1">
      <alignment vertical="center"/>
      <protection locked="0" hidden="0"/>
    </xf>
    <xf numFmtId="164" fontId="2" fillId="0" borderId="6" applyAlignment="1" applyProtection="1" pivotButton="0" quotePrefix="0" xfId="0">
      <alignment horizontal="right" vertical="center" wrapText="1"/>
      <protection locked="0" hidden="0"/>
    </xf>
    <xf numFmtId="164" fontId="2" fillId="0" borderId="0" applyAlignment="1" applyProtection="1" pivotButton="0" quotePrefix="0" xfId="1">
      <alignment horizontal="right" vertical="center" wrapText="1"/>
      <protection locked="0" hidden="0"/>
    </xf>
    <xf numFmtId="164" fontId="2" fillId="0" borderId="6" applyAlignment="1" applyProtection="1" pivotButton="0" quotePrefix="0" xfId="1">
      <alignment horizontal="right" vertical="center" wrapText="1"/>
      <protection locked="0" hidden="0"/>
    </xf>
    <xf numFmtId="0" fontId="0" fillId="0" borderId="3" pivotButton="0" quotePrefix="0" xfId="0"/>
    <xf numFmtId="0" fontId="0" fillId="0" borderId="8" pivotButton="0" quotePrefix="0" xfId="0"/>
    <xf numFmtId="164" fontId="22" fillId="0" borderId="2" applyAlignment="1" applyProtection="1" pivotButton="0" quotePrefix="0" xfId="1">
      <alignment vertical="center"/>
      <protection locked="0" hidden="0"/>
    </xf>
    <xf numFmtId="164" fontId="22" fillId="0" borderId="2" applyAlignment="1" applyProtection="1" pivotButton="0" quotePrefix="0" xfId="1">
      <alignment horizontal="center" vertical="center"/>
      <protection locked="0" hidden="0"/>
    </xf>
    <xf numFmtId="164" fontId="22" fillId="3" borderId="2" applyAlignment="1" pivotButton="0" quotePrefix="0" xfId="1">
      <alignment vertical="center"/>
    </xf>
    <xf numFmtId="164" fontId="22" fillId="3" borderId="2" applyAlignment="1" pivotButton="0" quotePrefix="0" xfId="107">
      <alignment vertical="center"/>
    </xf>
    <xf numFmtId="164" fontId="22" fillId="3" borderId="2" applyAlignment="1" applyProtection="1" pivotButton="0" quotePrefix="0" xfId="1">
      <alignment vertical="center"/>
      <protection locked="0" hidden="0"/>
    </xf>
    <xf numFmtId="164" fontId="22" fillId="3" borderId="2" applyAlignment="1" applyProtection="1" pivotButton="0" quotePrefix="0" xfId="1">
      <alignment horizontal="center" vertical="center"/>
      <protection locked="0" hidden="0"/>
    </xf>
    <xf numFmtId="164" fontId="16" fillId="0" borderId="2" applyAlignment="1" pivotButton="0" quotePrefix="0" xfId="135">
      <alignment vertical="center"/>
    </xf>
    <xf numFmtId="164" fontId="3" fillId="0" borderId="2" applyAlignment="1" pivotButton="0" quotePrefix="0" xfId="140">
      <alignment vertical="center"/>
    </xf>
    <xf numFmtId="164" fontId="3" fillId="0" borderId="2" applyAlignment="1" pivotButton="0" quotePrefix="0" xfId="177">
      <alignment vertical="center"/>
    </xf>
    <xf numFmtId="164" fontId="3" fillId="3" borderId="2" applyAlignment="1" pivotButton="0" quotePrefix="0" xfId="140">
      <alignment vertical="center"/>
    </xf>
    <xf numFmtId="164" fontId="3" fillId="11" borderId="2" applyAlignment="1" pivotButton="0" quotePrefix="0" xfId="140">
      <alignment vertical="center"/>
    </xf>
    <xf numFmtId="164" fontId="3" fillId="0" borderId="2" applyAlignment="1" pivotButton="0" quotePrefix="0" xfId="178">
      <alignment vertical="center"/>
    </xf>
    <xf numFmtId="164" fontId="3" fillId="3" borderId="2" applyAlignment="1" pivotButton="0" quotePrefix="0" xfId="178">
      <alignment vertical="center"/>
    </xf>
    <xf numFmtId="164" fontId="3" fillId="3" borderId="2" applyAlignment="1" pivotButton="0" quotePrefix="0" xfId="179">
      <alignment vertical="center"/>
    </xf>
    <xf numFmtId="164" fontId="3" fillId="0" borderId="0" applyAlignment="1" pivotButton="0" quotePrefix="0" xfId="140">
      <alignment vertical="center"/>
    </xf>
    <xf numFmtId="164" fontId="3" fillId="0" borderId="0" applyAlignment="1" pivotButton="0" quotePrefix="0" xfId="179">
      <alignment vertical="center"/>
    </xf>
    <xf numFmtId="0" fontId="5" fillId="3" borderId="2" applyAlignment="1" pivotButton="0" quotePrefix="0" xfId="178">
      <alignment horizontal="center" vertical="center" wrapText="1"/>
    </xf>
    <xf numFmtId="0" fontId="4" fillId="3" borderId="2" applyAlignment="1" pivotButton="0" quotePrefix="0" xfId="178">
      <alignment horizontal="center" vertical="center" wrapText="1"/>
    </xf>
    <xf numFmtId="164" fontId="2" fillId="0" borderId="2" applyAlignment="1" pivotButton="0" quotePrefix="0" xfId="180">
      <alignment vertical="center"/>
    </xf>
    <xf numFmtId="166" fontId="2" fillId="0" borderId="2" applyAlignment="1" pivotButton="0" quotePrefix="0" xfId="178">
      <alignment vertical="center"/>
    </xf>
    <xf numFmtId="164" fontId="2" fillId="3" borderId="2" applyAlignment="1" pivotButton="0" quotePrefix="0" xfId="180">
      <alignment vertical="center"/>
    </xf>
    <xf numFmtId="166" fontId="3" fillId="0" borderId="2" applyAlignment="1" pivotButton="0" quotePrefix="0" xfId="178">
      <alignment horizontal="center" vertical="center" wrapText="1"/>
    </xf>
    <xf numFmtId="166" fontId="3" fillId="3" borderId="2" applyAlignment="1" pivotButton="0" quotePrefix="0" xfId="178">
      <alignment horizontal="center" vertical="center" wrapText="1"/>
    </xf>
    <xf numFmtId="166" fontId="2" fillId="3" borderId="2" applyAlignment="1" pivotButton="0" quotePrefix="0" xfId="178">
      <alignment vertical="center"/>
    </xf>
    <xf numFmtId="164" fontId="3" fillId="3" borderId="2" applyAlignment="1" pivotButton="0" quotePrefix="0" xfId="180">
      <alignment horizontal="center" vertical="center"/>
    </xf>
  </cellXfs>
  <cellStyles count="182">
    <cellStyle name="常规" xfId="0" builtinId="0"/>
    <cellStyle name="千位分隔" xfId="1" builtinId="3"/>
    <cellStyle name="百分比" xfId="2" builtinId="5"/>
    <cellStyle name="超链接" xfId="3" builtinId="8"/>
    <cellStyle name="?" xfId="4"/>
    <cellStyle name="?餡_x000c_k" xfId="5"/>
    <cellStyle name="?餡_x000c_k?_x000d_^" xfId="6"/>
    <cellStyle name="?餡_x000c_k?_x000d_^黇_x0001_??_x0007__x0001__x0001_" xfId="7"/>
    <cellStyle name="@_text" xfId="8"/>
    <cellStyle name="_2005审计报表及附注-中国建材股份模板（房屋）" xfId="9"/>
    <cellStyle name="_2006年年报审计PBC表-XX" xfId="10"/>
    <cellStyle name="_2006年年报审计PBC表-XXX" xfId="11"/>
    <cellStyle name="_2006年年报审计PBC表-福州分公司" xfId="12"/>
    <cellStyle name="_2006年年报审计PBC表-云南分公司" xfId="13"/>
    <cellStyle name="_2006年年报审计填报资料" xfId="14"/>
    <cellStyle name="_ET_STYLE_NoName_00_" xfId="15"/>
    <cellStyle name="_PBC审核提示" xfId="16"/>
    <cellStyle name="_宝丽华房地产20051231" xfId="17"/>
    <cellStyle name="_保证金-企业填写部分" xfId="18"/>
    <cellStyle name="_北新房屋2004年审-刘" xfId="19"/>
    <cellStyle name="_北新股份2005年审工作底稿" xfId="20"/>
    <cellStyle name="_北新建材关连交易基础表051230（10－12月版）更新稿" xfId="21"/>
    <cellStyle name="_北新建材-会计报表附注模版" xfId="22"/>
    <cellStyle name="_北新龙之星2004年审工作底稿" xfId="23"/>
    <cellStyle name="_北新物流2005底稿-刘" xfId="24"/>
    <cellStyle name="_北新置换memo" xfId="25"/>
    <cellStyle name="_存货结转测试" xfId="26"/>
    <cellStyle name="_存货数量与明细05.12" xfId="27"/>
    <cellStyle name="_底稿－京津城际项目部" xfId="28"/>
    <cellStyle name="_动力厂2004年审工作底稿-刘" xfId="29"/>
    <cellStyle name="_分工" xfId="30"/>
    <cellStyle name="_工程施工项目现场审计提示" xfId="31"/>
    <cellStyle name="_关联交易" xfId="32"/>
    <cellStyle name="_关联交易、往来统计表" xfId="33"/>
    <cellStyle name="_汇总－刘青分工－子公司审计模板" xfId="34"/>
    <cellStyle name="_科目核对表" xfId="35"/>
    <cellStyle name="_刘青分工填列信息统计" xfId="36"/>
    <cellStyle name="_刘青分工－子公司审计模板－铁达本部" xfId="37"/>
    <cellStyle name="_母PL" xfId="38"/>
    <cellStyle name="_人员分工备忘录" xfId="39"/>
    <cellStyle name="_审计所需资料清单－子公司" xfId="40"/>
    <cellStyle name="_审计提示模版" xfId="41"/>
    <cellStyle name="_审计提示模版-母公司部分" xfId="42"/>
    <cellStyle name="_铁鸿源－刘青分工－子公司审计模板" xfId="43"/>
    <cellStyle name="_银行存款明细－刘青-最终" xfId="44"/>
    <cellStyle name="_银行询证函统计－大表" xfId="45"/>
    <cellStyle name="_长期借款－江阴" xfId="46"/>
    <cellStyle name="{Comma [0]}" xfId="47"/>
    <cellStyle name="{Comma}" xfId="48"/>
    <cellStyle name="{Date}" xfId="49"/>
    <cellStyle name="{Month}" xfId="50"/>
    <cellStyle name="{Percent}" xfId="51"/>
    <cellStyle name="{Thousand [0]}" xfId="52"/>
    <cellStyle name="{Thousand}" xfId="53"/>
    <cellStyle name="{Z'0000(1 dec)}" xfId="54"/>
    <cellStyle name="{Z'0000(4 dec)}" xfId="55"/>
    <cellStyle name="0%" xfId="56"/>
    <cellStyle name="0,0_x000d__x000a_NA_x000d__x000a_" xfId="57"/>
    <cellStyle name="0.0%" xfId="58"/>
    <cellStyle name="0.00%" xfId="59"/>
    <cellStyle name="00" xfId="60"/>
    <cellStyle name="Black" xfId="61"/>
    <cellStyle name="Border" xfId="62"/>
    <cellStyle name="Calc Currency (0)" xfId="63"/>
    <cellStyle name="Col Heads" xfId="64"/>
    <cellStyle name="Column_Title" xfId="65"/>
    <cellStyle name="Comma  - Style1" xfId="66"/>
    <cellStyle name="Comma  - Style2" xfId="67"/>
    <cellStyle name="Comma  - Style3" xfId="68"/>
    <cellStyle name="Comma  - Style4" xfId="69"/>
    <cellStyle name="Comma  - Style5" xfId="70"/>
    <cellStyle name="Comma  - Style6" xfId="71"/>
    <cellStyle name="Comma  - Style7" xfId="72"/>
    <cellStyle name="Comma  - Style8" xfId="73"/>
    <cellStyle name="Comma [0]_ rislugp" xfId="74"/>
    <cellStyle name="Comma,0" xfId="75"/>
    <cellStyle name="Comma,1" xfId="76"/>
    <cellStyle name="Comma,2" xfId="77"/>
    <cellStyle name="Comma_ rislugp" xfId="78"/>
    <cellStyle name="Currency [0]_ rislugp" xfId="79"/>
    <cellStyle name="Currency,0" xfId="80"/>
    <cellStyle name="Currency,2" xfId="81"/>
    <cellStyle name="Currency_ rislugp" xfId="82"/>
    <cellStyle name="Dezimal [0]_laroux" xfId="83"/>
    <cellStyle name="Dezimal_laroux" xfId="84"/>
    <cellStyle name="entry" xfId="85"/>
    <cellStyle name="entry box" xfId="86"/>
    <cellStyle name="Euro" xfId="87"/>
    <cellStyle name="Followed Hyperlink_AheadBehind.xls Chart 23" xfId="88"/>
    <cellStyle name="Grey" xfId="89"/>
    <cellStyle name="Header1" xfId="90"/>
    <cellStyle name="Header2" xfId="91"/>
    <cellStyle name="Heading" xfId="92"/>
    <cellStyle name="Hyperlink_AheadBehind.xls Chart 23" xfId="93"/>
    <cellStyle name="Input [yellow]" xfId="94"/>
    <cellStyle name="left" xfId="95"/>
    <cellStyle name="Millares [0]_laroux" xfId="96"/>
    <cellStyle name="Millares_laroux" xfId="97"/>
    <cellStyle name="Milliers [0]_laroux" xfId="98"/>
    <cellStyle name="Milliers_laroux" xfId="99"/>
    <cellStyle name="Moneda [0]_laroux" xfId="100"/>
    <cellStyle name="Moneda_laroux" xfId="101"/>
    <cellStyle name="Mon閠aire [0]_laroux" xfId="102"/>
    <cellStyle name="Mon閠aire_laroux" xfId="103"/>
    <cellStyle name="no dec" xfId="104"/>
    <cellStyle name="Non défini" xfId="105"/>
    <cellStyle name="Normal - Style1" xfId="106"/>
    <cellStyle name="Normal 2" xfId="107"/>
    <cellStyle name="Normal_ rislugp" xfId="108"/>
    <cellStyle name="Normalny_Arkusz1" xfId="109"/>
    <cellStyle name="Percent (0)" xfId="110"/>
    <cellStyle name="Percent [2]" xfId="111"/>
    <cellStyle name="Prefilled" xfId="112"/>
    <cellStyle name="price" xfId="113"/>
    <cellStyle name="Red" xfId="114"/>
    <cellStyle name="revised" xfId="115"/>
    <cellStyle name="row_def_array" xfId="116"/>
    <cellStyle name="S4" xfId="117"/>
    <cellStyle name="S5" xfId="118"/>
    <cellStyle name="section" xfId="119"/>
    <cellStyle name="style" xfId="120"/>
    <cellStyle name="style1" xfId="121"/>
    <cellStyle name="style2" xfId="122"/>
    <cellStyle name="Tickmark" xfId="123"/>
    <cellStyle name="title" xfId="124"/>
    <cellStyle name="wrap" xfId="125"/>
    <cellStyle name="パーセント_laroux" xfId="126"/>
    <cellStyle name="_laroux" xfId="127"/>
    <cellStyle name="だ_laroux" xfId="128"/>
    <cellStyle name="百分比 2 2" xfId="129"/>
    <cellStyle name="捠壿 [0.00]_PRODUCT DETAIL Q1" xfId="130"/>
    <cellStyle name="捠壿_PRODUCT DETAIL Q1" xfId="131"/>
    <cellStyle name="標準_１１月価格表" xfId="132"/>
    <cellStyle name="常规 13" xfId="133"/>
    <cellStyle name="常规 2" xfId="134"/>
    <cellStyle name="常规 2 2" xfId="135"/>
    <cellStyle name="常规 3" xfId="136"/>
    <cellStyle name="常规 4" xfId="137"/>
    <cellStyle name="常规 4 2" xfId="138"/>
    <cellStyle name="常规 7" xfId="139"/>
    <cellStyle name="常规_2006年年报安排计划-新" xfId="140"/>
    <cellStyle name="常规_Book1" xfId="141"/>
    <cellStyle name="常规_c-资产类" xfId="142"/>
    <cellStyle name="常规_Sheet1" xfId="143"/>
    <cellStyle name="常规_递延所得税计算明细表（桑）" xfId="144"/>
    <cellStyle name="常规_新审定表" xfId="145"/>
    <cellStyle name="常规_制造费用" xfId="146"/>
    <cellStyle name="超级链接_B4-1审计项目工时预算与控制表(集团)" xfId="147"/>
    <cellStyle name="超链接 2" xfId="148"/>
    <cellStyle name="分级显示行_1_4附件二凯旋评估表" xfId="149"/>
    <cellStyle name="桁区切り [0.00]_１１月価格表" xfId="150"/>
    <cellStyle name="桁区切り_１１月価格表" xfId="151"/>
    <cellStyle name="霓付 [0]_1202" xfId="152"/>
    <cellStyle name="霓付_1202" xfId="153"/>
    <cellStyle name="烹拳 [0]_1202" xfId="154"/>
    <cellStyle name="烹拳_1202" xfId="155"/>
    <cellStyle name="普通_ 白土" xfId="156"/>
    <cellStyle name="千分位[0]_ 白土" xfId="157"/>
    <cellStyle name="千分位_ 白土" xfId="158"/>
    <cellStyle name="千位[0]_ 预 付 帐 款" xfId="159"/>
    <cellStyle name="千位_ 预 付 帐 款" xfId="160"/>
    <cellStyle name="钎霖_(沥焊何巩)岿喊牢盔拌裙" xfId="161"/>
    <cellStyle name="通貨 [0.00]_１１月価格表" xfId="162"/>
    <cellStyle name="通貨_１１月価格表" xfId="163"/>
    <cellStyle name="样式 1" xfId="164"/>
    <cellStyle name="昗弨_BOOKSHIP" xfId="165"/>
    <cellStyle name="寘嬫愗傝 [0.00]_PRODUCT DETAIL Q1" xfId="166"/>
    <cellStyle name="寘嬫愗傝_PRODUCT DETAIL Q1" xfId="167"/>
    <cellStyle name="콤마 [0]_BOILER-CO1" xfId="168"/>
    <cellStyle name="콤마_BOILER-CO1" xfId="169"/>
    <cellStyle name="통화 [0]_BOILER-CO1" xfId="170"/>
    <cellStyle name="통화_BOILER-CO1" xfId="171"/>
    <cellStyle name="표준_0N-HANDLING " xfId="172"/>
    <cellStyle name="常规 2 8" xfId="173"/>
    <cellStyle name="常规 2 2 4" xfId="174"/>
    <cellStyle name="常规 5" xfId="175"/>
    <cellStyle name="超链接 3" xfId="176"/>
    <cellStyle name="百分比 2" xfId="177"/>
    <cellStyle name="常规_立信2007年10月版(资产类)-－丁文娟" xfId="178"/>
    <cellStyle name="千位分隔 15" xfId="179"/>
    <cellStyle name="千位分隔 2" xfId="180"/>
    <cellStyle name="常规 11 5" xfId="181"/>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何先琴</author>
  </authors>
  <commentList>
    <comment ref="C15" authorId="0" shapeId="0">
      <text>
        <t>专业技术部:
根据被审计单位实际情况和风险评估情况裁剪、修改或增加审计程序</t>
      </text>
    </comment>
  </commentList>
</comments>
</file>

<file path=xl/comments/comment2.xml><?xml version="1.0" encoding="utf-8"?>
<comments xmlns="http://schemas.openxmlformats.org/spreadsheetml/2006/main">
  <authors>
    <author>huaxiangmin</author>
  </authors>
  <commentList>
    <comment ref="A12" authorId="0" shapeId="0">
      <text>
        <t>jsbzb:
考虑包括流动资产和非流动资产部分</t>
      </text>
    </comment>
  </commentList>
</comments>
</file>

<file path=xl/comments/comment3.xml><?xml version="1.0" encoding="utf-8"?>
<comments xmlns="http://schemas.openxmlformats.org/spreadsheetml/2006/main">
  <authors>
    <author>huaxiangmin</author>
  </authors>
  <commentList>
    <comment ref="A16" authorId="0" shapeId="0">
      <text>
        <t>jsbzb:
考虑包括流动资产和非流动资产部分</t>
      </text>
    </comment>
  </commentList>
</comments>
</file>

<file path=xl/comments/comment4.xml><?xml version="1.0" encoding="utf-8"?>
<comments xmlns="http://schemas.openxmlformats.org/spreadsheetml/2006/main">
  <authors>
    <author>admin</author>
  </authors>
  <commentList>
    <comment ref="A16" authorId="0" shapeId="0">
      <text>
        <t>jsbzb:
考虑包括流动资产和非流动资产部分</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codeName="Sheet1">
    <outlinePr summaryBelow="1" summaryRight="1"/>
    <pageSetUpPr/>
  </sheetPr>
  <dimension ref="A1:H28"/>
  <sheetViews>
    <sheetView tabSelected="1" zoomScaleNormal="100" zoomScaleSheetLayoutView="100" workbookViewId="0">
      <selection activeCell="A1" sqref="A1"/>
    </sheetView>
  </sheetViews>
  <sheetFormatPr baseColWidth="8" defaultColWidth="9" defaultRowHeight="20.1" customHeight="1"/>
  <cols>
    <col width="72" customWidth="1" style="168" min="1" max="1"/>
    <col width="3.796875" customWidth="1" style="168" min="2" max="3"/>
    <col width="5.09765625" customWidth="1" style="168" min="4" max="4"/>
    <col width="33.5" customWidth="1" style="168" min="5" max="5"/>
    <col width="8" customWidth="1" style="248" min="6" max="6"/>
    <col width="9" customWidth="1" style="183" min="7" max="16384"/>
  </cols>
  <sheetData>
    <row r="1" ht="20.1" customFormat="1" customHeight="1" s="147">
      <c r="A1" s="170" t="inlineStr">
        <is>
          <t>底稿开列时，可先在以下单元格填写有关内容，以便其他底稿引用有关数据：</t>
        </is>
      </c>
      <c r="B1" s="170" t="n"/>
      <c r="C1" s="170" t="n"/>
      <c r="F1" s="173" t="n"/>
    </row>
    <row r="2" ht="20.1" customHeight="1" s="301">
      <c r="A2" s="171" t="inlineStr">
        <is>
          <t>被审计单位名称：</t>
        </is>
      </c>
      <c r="B2" s="172" t="n"/>
      <c r="C2" s="172" t="n"/>
      <c r="D2" s="173" t="inlineStr">
        <is>
          <t>序号</t>
        </is>
      </c>
      <c r="E2" s="173" t="inlineStr">
        <is>
          <t>内容</t>
        </is>
      </c>
      <c r="F2" s="173" t="inlineStr">
        <is>
          <t>索引号</t>
        </is>
      </c>
      <c r="G2" s="184" t="n"/>
      <c r="H2" s="184" t="n"/>
    </row>
    <row r="3" ht="20.1" customHeight="1" s="301">
      <c r="A3" s="244" t="inlineStr">
        <is>
          <t>截止日：202X年12月31日</t>
        </is>
      </c>
      <c r="B3" s="172" t="n"/>
      <c r="C3" s="172" t="n"/>
      <c r="D3" s="239" t="n">
        <v>1</v>
      </c>
      <c r="E3" s="242" t="inlineStr">
        <is>
          <t>递延所得税资产审计程序表</t>
        </is>
      </c>
      <c r="F3" s="246" t="inlineStr">
        <is>
          <t>N1A</t>
        </is>
      </c>
      <c r="G3" s="184" t="n"/>
      <c r="H3" s="175" t="n"/>
    </row>
    <row r="4" ht="20.1" customHeight="1" s="301">
      <c r="A4" s="171" t="inlineStr">
        <is>
          <t>编制人：</t>
        </is>
      </c>
      <c r="B4" s="172" t="n"/>
      <c r="C4" s="172" t="n"/>
      <c r="D4" s="239" t="n">
        <v>2</v>
      </c>
      <c r="E4" s="242" t="inlineStr">
        <is>
          <t>递延所得税资产审定表</t>
        </is>
      </c>
      <c r="F4" s="246" t="inlineStr">
        <is>
          <t>N1-1</t>
        </is>
      </c>
      <c r="G4" s="176" t="n"/>
      <c r="H4" s="177" t="n"/>
    </row>
    <row r="5" ht="20.1" customHeight="1" s="301">
      <c r="A5" s="171" t="inlineStr">
        <is>
          <t>编制日期：</t>
        </is>
      </c>
      <c r="B5" s="172" t="n"/>
      <c r="C5" s="172" t="n"/>
      <c r="D5" s="239" t="n">
        <v>3</v>
      </c>
      <c r="E5" s="242" t="inlineStr">
        <is>
          <t>附注披露信息（上市公司）</t>
        </is>
      </c>
      <c r="F5" s="246" t="n"/>
      <c r="G5" s="178" t="inlineStr">
        <is>
          <t>无需打印</t>
        </is>
      </c>
    </row>
    <row r="6" ht="20.1" customHeight="1" s="301">
      <c r="A6" s="171" t="inlineStr">
        <is>
          <t>复核人：</t>
        </is>
      </c>
      <c r="B6" s="172" t="n"/>
      <c r="C6" s="172" t="n"/>
      <c r="D6" s="239" t="n">
        <v>4</v>
      </c>
      <c r="E6" s="242" t="inlineStr">
        <is>
          <t>附注披露信息（国企）</t>
        </is>
      </c>
      <c r="F6" s="246" t="n"/>
      <c r="G6" s="178" t="inlineStr">
        <is>
          <t>无需打印</t>
        </is>
      </c>
    </row>
    <row r="7" ht="20.1" customHeight="1" s="301">
      <c r="A7" s="171" t="inlineStr">
        <is>
          <t>复核日期：</t>
        </is>
      </c>
      <c r="B7" s="172" t="n"/>
      <c r="C7" s="172" t="n"/>
      <c r="D7" s="239" t="n">
        <v>5</v>
      </c>
      <c r="E7" s="242" t="inlineStr">
        <is>
          <t>递延所得税资产明细表</t>
        </is>
      </c>
      <c r="F7" s="246" t="inlineStr">
        <is>
          <t>N1-2</t>
        </is>
      </c>
      <c r="G7" s="178" t="n"/>
    </row>
    <row r="8" ht="20.1" customHeight="1" s="301">
      <c r="A8" s="180" t="n"/>
      <c r="B8" s="180" t="n"/>
      <c r="C8" s="180" t="n"/>
      <c r="D8" s="240" t="n">
        <v>6</v>
      </c>
      <c r="E8" s="242" t="inlineStr">
        <is>
          <t>调整分录汇总</t>
        </is>
      </c>
      <c r="F8" s="246" t="inlineStr">
        <is>
          <t>N1-3</t>
        </is>
      </c>
    </row>
    <row r="9" ht="20.1" customHeight="1" s="301">
      <c r="A9" s="245" t="inlineStr">
        <is>
          <t>关于工作底稿与审计程序索引号对应的说明</t>
        </is>
      </c>
      <c r="B9" s="180" t="n"/>
      <c r="C9" s="180" t="n"/>
      <c r="D9" s="239" t="n">
        <v>7</v>
      </c>
      <c r="E9" s="242" t="inlineStr">
        <is>
          <t>递延所得税资产（负债）测算表</t>
        </is>
      </c>
      <c r="F9" s="246" t="inlineStr">
        <is>
          <t>N1-4</t>
        </is>
      </c>
    </row>
    <row r="10" ht="20.1" customHeight="1" s="301">
      <c r="A10" s="252"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D10" s="239" t="n">
        <v>8</v>
      </c>
      <c r="E10" s="242" t="inlineStr">
        <is>
          <t>可用以后年度税前利润弥补的亏损检查表</t>
        </is>
      </c>
      <c r="F10" s="246" t="inlineStr">
        <is>
          <t>N1-5</t>
        </is>
      </c>
    </row>
    <row r="11" ht="20.1" customHeight="1" s="301">
      <c r="A11" s="0" t="n"/>
      <c r="B11" s="181" t="n"/>
      <c r="C11" s="181" t="n"/>
      <c r="F11" s="247" t="n"/>
    </row>
    <row r="12" ht="20.1" customHeight="1" s="301">
      <c r="A12" s="0" t="n"/>
      <c r="B12" s="182" t="n"/>
      <c r="C12" s="182" t="n"/>
      <c r="F12" s="247" t="n"/>
    </row>
    <row r="13" ht="25.8" customHeight="1" s="301">
      <c r="A13" s="0" t="n"/>
      <c r="B13" s="183" t="n"/>
      <c r="C13" s="183" t="n"/>
    </row>
    <row r="14" ht="20.1" customHeight="1" s="301">
      <c r="A14" s="252"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c r="B14" s="183" t="n"/>
      <c r="C14" s="183" t="n"/>
    </row>
    <row r="15" ht="20.1" customHeight="1" s="301">
      <c r="A15" s="0" t="n"/>
    </row>
    <row r="16" ht="20.1" customHeight="1" s="301">
      <c r="A16" s="0" t="n"/>
    </row>
    <row r="17" ht="20.1" customHeight="1" s="301">
      <c r="A17" s="253" t="inlineStr">
        <is>
          <t>3.工作底稿索引号的编码规则：实质性程序索引号按循环从“D”到“N”,循环内账户以顺序号排列，模板中底稿索引号按账户顺序+自然数顺序（即模板中索引号按二级自然顺序排列，如D1-1、D1-2、D1-3、……D1-N）。</t>
        </is>
      </c>
    </row>
    <row r="18" ht="20.25" customHeight="1" s="301">
      <c r="A18" s="0" t="n"/>
      <c r="B18" s="180" t="n"/>
      <c r="C18" s="180" t="n"/>
    </row>
    <row r="19" ht="48" customHeight="1" s="301">
      <c r="A19" s="0" t="n"/>
      <c r="B19" s="184" t="n"/>
      <c r="C19" s="184" t="n"/>
    </row>
    <row r="20" ht="20.1" customHeight="1" s="301">
      <c r="A20" s="186" t="n"/>
      <c r="B20" s="186" t="n"/>
      <c r="C20" s="186" t="n"/>
    </row>
    <row r="21" ht="20.1" customHeight="1" s="301">
      <c r="A21" s="183" t="n"/>
    </row>
    <row r="22" ht="20.1" customHeight="1" s="301">
      <c r="A22" s="183" t="n"/>
    </row>
    <row r="23" ht="20.1" customHeight="1" s="301">
      <c r="A23" s="183" t="n"/>
    </row>
    <row r="24" ht="20.1" customHeight="1" s="301">
      <c r="A24" s="183" t="n"/>
    </row>
    <row r="25" ht="20.1" customHeight="1" s="301">
      <c r="A25" s="183" t="n"/>
    </row>
    <row r="26" ht="20.1" customHeight="1" s="301">
      <c r="A26" s="183" t="n"/>
    </row>
    <row r="27" ht="20.1" customHeight="1" s="301">
      <c r="A27" s="183" t="n"/>
    </row>
    <row r="28" ht="20.1" customHeight="1" s="301">
      <c r="A28" s="183" t="n"/>
    </row>
  </sheetData>
  <mergeCells count="3">
    <mergeCell ref="A14:A16"/>
    <mergeCell ref="A17:A19"/>
    <mergeCell ref="A10:A13"/>
  </mergeCells>
  <hyperlinks>
    <hyperlink ref="E3" location="递延所得税资产审计程序表的N1A!A1" display="递延所得税资产审计程序表"/>
    <hyperlink ref="E4" location="'递延所得税资产审定表N1-1'!A1" display="递延所得税资产审定表"/>
    <hyperlink ref="E5" location="'附注披露信息（上市公司）'!A1" display="附注披露信息（上市公司）"/>
    <hyperlink ref="E6" location="'附注披露信息（国企）'!A1" display="附注披露信息（国企）"/>
    <hyperlink ref="E7" location="'递延所得税资产明细表N1-2'!A1" display="递延所得税资产明细表"/>
    <hyperlink ref="E8" location="'调整分录汇总N1-3'!A1" display="调整分录汇总"/>
    <hyperlink ref="E9" location="'递延所得税资产（负债）测算表N1-4'!A1" display="递延所得税资产（负债）测算表"/>
    <hyperlink ref="E10" location="'可用以后年度税前利润弥补的亏损检查表的N1-5'!A1" display="可用以后年度税前利润弥补的亏损检查表"/>
  </hyperlinks>
  <pageMargins left="0.708333333333333" right="0.708333333333333" top="0.747916666666667" bottom="0.747916666666667" header="0.314583333333333" footer="0.314583333333333"/>
  <pageSetup orientation="portrait" paperSize="9" scale="70" blackAndWhite="1" horizontalDpi="300" verticalDpi="300"/>
  <headerFooter>
    <oddHeader/>
    <oddFooter>&amp;C&amp;P/&amp;N</oddFooter>
    <evenHeader/>
    <evenFooter/>
    <firstHeader/>
    <firstFooter/>
  </headerFooter>
  <colBreaks count="1" manualBreakCount="1">
    <brk id="6" min="0" max="1048575" man="1"/>
  </colBreaks>
</worksheet>
</file>

<file path=xl/worksheets/sheet2.xml><?xml version="1.0" encoding="utf-8"?>
<worksheet xmlns="http://schemas.openxmlformats.org/spreadsheetml/2006/main">
  <sheetPr>
    <outlinePr summaryBelow="1" summaryRight="1"/>
    <pageSetUpPr/>
  </sheetPr>
  <dimension ref="A1:K25"/>
  <sheetViews>
    <sheetView view="pageBreakPreview" zoomScaleNormal="100" workbookViewId="0">
      <selection activeCell="A1" sqref="A1:J1"/>
    </sheetView>
  </sheetViews>
  <sheetFormatPr baseColWidth="8" defaultColWidth="9" defaultRowHeight="20.1" customHeight="1"/>
  <cols>
    <col width="4.59765625" customWidth="1" style="147" min="1" max="1"/>
    <col width="8" customWidth="1" style="147" min="2" max="2"/>
    <col width="55.3984375" customWidth="1" style="147" min="3" max="3"/>
    <col width="10.19921875" customWidth="1" style="147" min="4" max="4"/>
    <col width="5.5" customWidth="1" style="147" min="5" max="5"/>
    <col width="5.69921875" customWidth="1" style="147" min="6" max="6"/>
    <col width="6" customWidth="1" style="147" min="7" max="7"/>
    <col width="6.8984375" customWidth="1" style="147" min="8" max="8"/>
    <col width="5.09765625" customWidth="1" style="147" min="9" max="9"/>
    <col width="7.09765625" customWidth="1" style="147" min="10" max="10"/>
    <col width="9" customWidth="1" style="147" min="11" max="16384"/>
  </cols>
  <sheetData>
    <row r="1" ht="20.1" customHeight="1" s="301">
      <c r="A1" s="266" t="inlineStr">
        <is>
          <t>致同会计师事务所</t>
        </is>
      </c>
    </row>
    <row r="2" ht="20.1" customHeight="1" s="301">
      <c r="A2" s="267" t="inlineStr">
        <is>
          <t>递延所得税资产实质性程序表</t>
        </is>
      </c>
    </row>
    <row r="3" ht="20.1" customHeight="1" s="301">
      <c r="A3" s="268">
        <f>底稿目录!A2</f>
        <v/>
      </c>
      <c r="B3" s="0" t="n"/>
      <c r="C3" s="0" t="n"/>
      <c r="D3" s="147">
        <f>底稿目录!A4</f>
        <v/>
      </c>
      <c r="G3" s="143">
        <f>底稿目录!A5</f>
        <v/>
      </c>
      <c r="I3" s="5" t="inlineStr">
        <is>
          <t>索引号：</t>
        </is>
      </c>
      <c r="J3" s="250" t="inlineStr">
        <is>
          <t>N1A</t>
        </is>
      </c>
    </row>
    <row r="4" ht="20.1" customHeight="1" s="301">
      <c r="A4" s="268">
        <f>底稿目录!A3</f>
        <v/>
      </c>
      <c r="B4" s="0" t="n"/>
      <c r="C4" s="0" t="n"/>
      <c r="D4" s="147">
        <f>底稿目录!A6</f>
        <v/>
      </c>
      <c r="G4" s="143">
        <f>底稿目录!A7</f>
        <v/>
      </c>
      <c r="I4" s="5" t="inlineStr">
        <is>
          <t>页次：</t>
        </is>
      </c>
    </row>
    <row r="5" ht="20.1" customHeight="1" s="301">
      <c r="A5" s="258" t="inlineStr">
        <is>
          <t>一、本账户涉及的科目</t>
        </is>
      </c>
      <c r="B5" s="0" t="n"/>
      <c r="C5" s="0" t="n"/>
      <c r="D5" s="194" t="n"/>
      <c r="E5" s="194" t="n"/>
      <c r="F5" s="194" t="n"/>
      <c r="G5" s="146" t="n"/>
      <c r="H5" s="194" t="n"/>
      <c r="I5" s="165" t="n"/>
      <c r="J5" s="165" t="n"/>
    </row>
    <row r="6" ht="20.1" customHeight="1" s="301">
      <c r="A6" s="147" t="inlineStr">
        <is>
          <t>递延所得税资产</t>
        </is>
      </c>
      <c r="B6" s="148" t="n"/>
      <c r="C6" s="148" t="n"/>
      <c r="D6" s="148" t="n"/>
      <c r="E6" s="148" t="n"/>
      <c r="F6" s="148" t="n"/>
      <c r="G6" s="148" t="n"/>
      <c r="H6" s="148" t="n"/>
      <c r="I6" s="148" t="n"/>
      <c r="J6" s="148" t="n"/>
    </row>
    <row r="7" ht="20.1" customHeight="1" s="301">
      <c r="A7" s="149" t="inlineStr">
        <is>
          <t>二、审计目标与财务报表认定的关系</t>
        </is>
      </c>
      <c r="B7" s="149" t="n"/>
      <c r="C7" s="258" t="n"/>
      <c r="D7" s="150" t="n"/>
      <c r="G7" s="143" t="n"/>
      <c r="I7" s="170" t="n"/>
      <c r="J7" s="170" t="n"/>
    </row>
    <row r="8" ht="19.95" customHeight="1" s="301">
      <c r="A8" s="265" t="inlineStr">
        <is>
          <t>审计目标</t>
        </is>
      </c>
      <c r="B8" s="302" t="n"/>
      <c r="C8" s="302" t="n"/>
      <c r="D8" s="302" t="n"/>
      <c r="E8" s="302" t="n"/>
      <c r="F8" s="302" t="n"/>
      <c r="G8" s="303" t="n"/>
      <c r="H8" s="256" t="inlineStr">
        <is>
          <t xml:space="preserve">财务报表的认定　</t>
        </is>
      </c>
      <c r="I8" s="302" t="n"/>
      <c r="J8" s="303" t="n"/>
    </row>
    <row r="9" ht="19.95" customHeight="1" s="301">
      <c r="A9" s="264" t="inlineStr">
        <is>
          <t>A.资产负债表中记录的递延所得税资产是存在的，且已经记录在恰当的账户中</t>
        </is>
      </c>
      <c r="B9" s="302" t="n"/>
      <c r="C9" s="302" t="n"/>
      <c r="D9" s="302" t="n"/>
      <c r="E9" s="302" t="n"/>
      <c r="F9" s="302" t="n"/>
      <c r="G9" s="303" t="n"/>
      <c r="H9" s="304" t="inlineStr">
        <is>
          <t>存在</t>
        </is>
      </c>
      <c r="I9" s="302" t="n"/>
      <c r="J9" s="303" t="n"/>
    </row>
    <row r="10" ht="19.95" customHeight="1" s="301">
      <c r="A10" s="264" t="inlineStr">
        <is>
          <t>B.所有应记录的递延所得税资产均已记录，所有应当包括在财务报表中的相关披露均已包括</t>
        </is>
      </c>
      <c r="B10" s="302" t="n"/>
      <c r="C10" s="302" t="n"/>
      <c r="D10" s="302" t="n"/>
      <c r="E10" s="302" t="n"/>
      <c r="F10" s="302" t="n"/>
      <c r="G10" s="303" t="n"/>
      <c r="H10" s="304" t="inlineStr">
        <is>
          <t>完整性</t>
        </is>
      </c>
      <c r="I10" s="302" t="n"/>
      <c r="J10" s="303" t="n"/>
    </row>
    <row r="11" ht="19.95" customHeight="1" s="301">
      <c r="A11" s="264" t="inlineStr">
        <is>
          <t>C.记录的递延所得税资产由被审计单位拥有或控制。</t>
        </is>
      </c>
      <c r="B11" s="302" t="n"/>
      <c r="C11" s="302" t="n"/>
      <c r="D11" s="302" t="n"/>
      <c r="E11" s="302" t="n"/>
      <c r="F11" s="302" t="n"/>
      <c r="G11" s="303" t="n"/>
      <c r="H11" s="304" t="inlineStr">
        <is>
          <t>权利和义务</t>
        </is>
      </c>
      <c r="I11" s="302" t="n"/>
      <c r="J11" s="303" t="n"/>
    </row>
    <row r="12" ht="19.95" customHeight="1" s="301">
      <c r="A12" s="264" t="inlineStr">
        <is>
          <t xml:space="preserve">D.递延所得税资产以恰当的金额包括在财务报表中，与之相关的计价或分摊调整已恰当记录，相关披露已得到恰当计量和描述 </t>
        </is>
      </c>
      <c r="B12" s="302" t="n"/>
      <c r="C12" s="302" t="n"/>
      <c r="D12" s="302" t="n"/>
      <c r="E12" s="302" t="n"/>
      <c r="F12" s="302" t="n"/>
      <c r="G12" s="303" t="n"/>
      <c r="H12" s="304" t="inlineStr">
        <is>
          <t>准确性、计价和分摊</t>
        </is>
      </c>
      <c r="I12" s="302" t="n"/>
      <c r="J12" s="303" t="n"/>
    </row>
    <row r="13" ht="19.95" customHeight="1" s="301">
      <c r="A13" s="264" t="inlineStr">
        <is>
          <t>E.递延所得税资产已被恰当地汇总或分解且表述清楚，相关披露在按照企业会计准则的编制基础下是相关的、可理解的</t>
        </is>
      </c>
      <c r="B13" s="302" t="n"/>
      <c r="C13" s="302" t="n"/>
      <c r="D13" s="302" t="n"/>
      <c r="E13" s="302" t="n"/>
      <c r="F13" s="302" t="n"/>
      <c r="G13" s="303" t="n"/>
      <c r="H13" s="304" t="inlineStr">
        <is>
          <t>列报</t>
        </is>
      </c>
      <c r="I13" s="302" t="n"/>
      <c r="J13" s="303" t="n"/>
    </row>
    <row r="14" ht="20.1" customHeight="1" s="301">
      <c r="A14" s="258" t="inlineStr">
        <is>
          <t>三、计划实施的实质性程序</t>
        </is>
      </c>
      <c r="B14" s="0" t="n"/>
      <c r="C14" s="0" t="n"/>
      <c r="D14" s="150" t="n"/>
      <c r="G14" s="143" t="n"/>
      <c r="I14" s="170" t="n"/>
      <c r="J14" s="170" t="n"/>
    </row>
    <row r="15" ht="20.1" customHeight="1" s="301">
      <c r="A15" s="260" t="inlineStr">
        <is>
          <t>序号</t>
        </is>
      </c>
      <c r="B15" s="261" t="inlineStr">
        <is>
          <t>对应LEAP程序</t>
        </is>
      </c>
      <c r="C15" s="305" t="inlineStr">
        <is>
          <t>审计程序</t>
        </is>
      </c>
      <c r="D15" s="263" t="inlineStr">
        <is>
          <t>程序分类</t>
        </is>
      </c>
      <c r="E15" s="259" t="inlineStr">
        <is>
          <t>财务报表的认定</t>
        </is>
      </c>
      <c r="F15" s="302" t="n"/>
      <c r="G15" s="302" t="n"/>
      <c r="H15" s="302" t="n"/>
      <c r="I15" s="303" t="n"/>
      <c r="J15" s="306" t="inlineStr">
        <is>
          <t>底稿索引号</t>
        </is>
      </c>
    </row>
    <row r="16" ht="37.8" customHeight="1" s="301">
      <c r="A16" s="307" t="n"/>
      <c r="B16" s="307" t="n"/>
      <c r="C16" s="307" t="n"/>
      <c r="D16" s="307" t="n"/>
      <c r="E16" s="308" t="inlineStr">
        <is>
          <t>存在</t>
        </is>
      </c>
      <c r="F16" s="308" t="inlineStr">
        <is>
          <t>完整性</t>
        </is>
      </c>
      <c r="G16" s="306" t="inlineStr">
        <is>
          <t>权利和
义务</t>
        </is>
      </c>
      <c r="H16" s="306" t="inlineStr">
        <is>
          <t>准确性、计价和分摊</t>
        </is>
      </c>
      <c r="I16" s="306" t="inlineStr">
        <is>
          <t>列报</t>
        </is>
      </c>
      <c r="J16" s="307" t="n"/>
      <c r="K16" s="309" t="inlineStr">
        <is>
          <t>根据被审计单位实际情况和风险评估情况裁剪、修改或增加审计程序</t>
        </is>
      </c>
    </row>
    <row r="17" ht="64.8" customHeight="1" s="301">
      <c r="A17" s="153" t="n">
        <v>1</v>
      </c>
      <c r="B17" s="264" t="inlineStr">
        <is>
          <t>常规程序</t>
        </is>
      </c>
      <c r="C17" s="155" t="inlineStr">
        <is>
          <t>获取递延所得税资产明细表，完成以下工作并编制审定表： 
(1)复核加计正确，与总账、明细账合计数核对是否相符，期初余额与上期审定期末余额是否相符；
(2)识别被审计单位期初递延所得税资产项目及金额，以及对当期经营损失以及未来期间的影响。</t>
        </is>
      </c>
      <c r="D17" s="156" t="inlineStr">
        <is>
          <t>常规★</t>
        </is>
      </c>
      <c r="E17" s="157" t="inlineStr">
        <is>
          <t>√</t>
        </is>
      </c>
      <c r="F17" s="157" t="inlineStr">
        <is>
          <t>√</t>
        </is>
      </c>
      <c r="G17" s="157" t="n"/>
      <c r="H17" s="160" t="inlineStr">
        <is>
          <t>√</t>
        </is>
      </c>
      <c r="I17" s="153" t="n"/>
      <c r="J17" s="157" t="inlineStr">
        <is>
          <t>N1-1
/N1-2</t>
        </is>
      </c>
    </row>
    <row r="18" ht="64.8" customHeight="1" s="301">
      <c r="A18" s="153" t="n">
        <v>2</v>
      </c>
      <c r="B18" s="187" t="inlineStr">
        <is>
          <t>IPE程序</t>
        </is>
      </c>
      <c r="C18" s="188"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D18" s="156" t="n"/>
      <c r="E18" s="157" t="n"/>
      <c r="F18" s="160" t="inlineStr">
        <is>
          <t>√</t>
        </is>
      </c>
      <c r="G18" s="157" t="n"/>
      <c r="H18" s="189" t="inlineStr">
        <is>
          <t>√</t>
        </is>
      </c>
      <c r="I18" s="153" t="n"/>
      <c r="J18" s="190" t="inlineStr">
        <is>
          <t>T1</t>
        </is>
      </c>
    </row>
    <row r="19" ht="51.6" customHeight="1" s="301">
      <c r="A19" s="153" t="n">
        <v>3</v>
      </c>
      <c r="B19" s="264" t="inlineStr">
        <is>
          <t>期初余额</t>
        </is>
      </c>
      <c r="C19" s="158" t="inlineStr">
        <is>
          <t>对期初余额的审计，获得并查阅账户余额明细表，确定采用的会计政策和程序是适当的，确定暂时性差异的合理性，必要时，向税务专家咨询。
(适用于首次承接）</t>
        </is>
      </c>
      <c r="D19" s="310" t="inlineStr">
        <is>
          <t>备选</t>
        </is>
      </c>
      <c r="E19" s="160" t="inlineStr">
        <is>
          <t>√</t>
        </is>
      </c>
      <c r="F19" s="157" t="n"/>
      <c r="G19" s="157" t="inlineStr">
        <is>
          <t>√</t>
        </is>
      </c>
      <c r="H19" s="157" t="inlineStr">
        <is>
          <t>√</t>
        </is>
      </c>
      <c r="I19" s="153" t="n"/>
      <c r="J19" s="157" t="n"/>
    </row>
    <row r="20" ht="49.8" customHeight="1" s="301">
      <c r="A20" s="153" t="n">
        <v>4</v>
      </c>
      <c r="B20" s="161" t="inlineStr">
        <is>
          <t>应对措施-检查</t>
        </is>
      </c>
      <c r="C20" s="162" t="inlineStr">
        <is>
          <t>检查被审计单位采用的会计政策是否为资产负债表债务法。检查被审计单位用于确认递延所得税资产的税率是否根据税法的规定，按照预期收回该资产期间的适用税率计量。</t>
        </is>
      </c>
      <c r="D20" s="156" t="inlineStr">
        <is>
          <t>常规★</t>
        </is>
      </c>
      <c r="E20" s="157" t="inlineStr">
        <is>
          <t>√</t>
        </is>
      </c>
      <c r="F20" s="157" t="inlineStr">
        <is>
          <t>√</t>
        </is>
      </c>
      <c r="G20" s="157" t="n"/>
      <c r="H20" s="160" t="inlineStr">
        <is>
          <t>√</t>
        </is>
      </c>
      <c r="I20" s="153" t="n"/>
      <c r="J20" s="157" t="inlineStr">
        <is>
          <t>N1-1
/N1-2</t>
        </is>
      </c>
    </row>
    <row r="21" ht="31.2" customHeight="1" s="301">
      <c r="A21" s="153" t="n">
        <v>5</v>
      </c>
      <c r="B21" s="161" t="inlineStr">
        <is>
          <t>应对措施-检查</t>
        </is>
      </c>
      <c r="C21" s="264" t="inlineStr">
        <is>
          <t>重新计算各项可抵扣暂时性差异，检查其会计处理是否正确</t>
        </is>
      </c>
      <c r="D21" s="156" t="inlineStr">
        <is>
          <t>常规★</t>
        </is>
      </c>
      <c r="E21" s="157" t="n"/>
      <c r="F21" s="157" t="n"/>
      <c r="G21" s="157" t="n"/>
      <c r="H21" s="160" t="inlineStr">
        <is>
          <t>√</t>
        </is>
      </c>
      <c r="I21" s="153" t="n"/>
      <c r="J21" s="157" t="inlineStr">
        <is>
          <t>N1-4</t>
        </is>
      </c>
    </row>
    <row r="22" ht="57.6" customHeight="1" s="301">
      <c r="A22" s="153" t="n">
        <v>6</v>
      </c>
      <c r="B22" s="161" t="inlineStr">
        <is>
          <t>应对措施-检查</t>
        </is>
      </c>
      <c r="C22" s="162" t="inlineStr">
        <is>
          <t>检查是否以未来期间很可能取得用来抵扣可抵扣暂时性差异的应纳税所得额为限，确认由可抵扣暂时性差异产生的递延所得税资产，并检查提供证据是否充分，如果预计未来期间很可能无法获得足够的应纳税所得额用以抵扣递延所得税资产，检查是否减记递延所得税资产的账面价值。</t>
        </is>
      </c>
      <c r="D22" s="156" t="inlineStr">
        <is>
          <t>常规★</t>
        </is>
      </c>
      <c r="E22" s="160" t="inlineStr">
        <is>
          <t>√</t>
        </is>
      </c>
      <c r="F22" s="157" t="n"/>
      <c r="G22" s="157" t="inlineStr">
        <is>
          <t>√</t>
        </is>
      </c>
      <c r="H22" s="157" t="inlineStr">
        <is>
          <t>√</t>
        </is>
      </c>
      <c r="I22" s="153" t="n"/>
      <c r="J22" s="157" t="inlineStr">
        <is>
          <t>N1-5</t>
        </is>
      </c>
    </row>
    <row r="23" ht="145.2" customHeight="1" s="301">
      <c r="A23" s="153" t="n">
        <v>7</v>
      </c>
      <c r="B23" s="161" t="inlineStr">
        <is>
          <t>应对措施-检查</t>
        </is>
      </c>
      <c r="C23" s="264" t="inlineStr">
        <is>
          <t>检查递延所得税资产增减变动记录，及可抵扣暂时性差额的形成原因，确定是否符合有关规定，计算是否正确，预计转销期是否适当，并特别关注下列事项：
(1)检查是否存在同时具有下列特征的交易因资产或负债的初始确认而产生的递延所得税资产不应予以确认，而被审计单位予以确认的情况
①该项交易不是企业合并
②交易发生时既不影响会计利润也不影响应纳税所得额或可抵扣亏损
(2)检查被审计单位对子公司、联营企业及合营企业投资相关的可抵扣暂时性差异，在同时满足下列条件时，是否确认相应的递延所得税资产
①暂时性差异在可预见的未来很可能转回
②未来很可能获得用来抵扣可抵扣暂时性差异的应纳税所得额</t>
        </is>
      </c>
      <c r="D23" s="156" t="inlineStr">
        <is>
          <t>常规★</t>
        </is>
      </c>
      <c r="E23" s="160" t="inlineStr">
        <is>
          <t>√</t>
        </is>
      </c>
      <c r="F23" s="157" t="inlineStr">
        <is>
          <t>√</t>
        </is>
      </c>
      <c r="G23" s="157" t="n"/>
      <c r="H23" s="157" t="inlineStr">
        <is>
          <t>√</t>
        </is>
      </c>
      <c r="I23" s="153" t="n"/>
      <c r="J23" s="157" t="inlineStr">
        <is>
          <t>N1-4
/N1-5</t>
        </is>
      </c>
    </row>
    <row r="24" ht="45" customHeight="1" s="301">
      <c r="A24" s="153" t="n">
        <v>8</v>
      </c>
      <c r="B24" s="161" t="n"/>
      <c r="C24" s="264" t="inlineStr">
        <is>
          <t>根据评估的舞弊风险等因素增加的审计程序。</t>
        </is>
      </c>
      <c r="D24" s="311" t="inlineStr">
        <is>
          <t>IPO/上市/新三板/重组/舞弊应对</t>
        </is>
      </c>
      <c r="E24" s="157" t="n"/>
      <c r="F24" s="157" t="n"/>
      <c r="G24" s="157" t="n"/>
      <c r="H24" s="157" t="n"/>
      <c r="I24" s="153" t="n"/>
      <c r="J24" s="157" t="n"/>
    </row>
    <row r="25" ht="31.2" customHeight="1" s="301">
      <c r="A25" s="153" t="n">
        <v>9</v>
      </c>
      <c r="B25" s="161" t="inlineStr">
        <is>
          <t>常规程序</t>
        </is>
      </c>
      <c r="C25" s="312" t="inlineStr">
        <is>
          <t>检查递延所得税资产是否已按企业会计准则或其他适用的规定在财务报表中做出恰当列报和披露。</t>
        </is>
      </c>
      <c r="D25" s="156" t="inlineStr">
        <is>
          <t>常规★</t>
        </is>
      </c>
      <c r="E25" s="157" t="n"/>
      <c r="F25" s="157" t="n"/>
      <c r="G25" s="157" t="n"/>
      <c r="H25" s="157" t="n"/>
      <c r="I25" s="153" t="n"/>
      <c r="J25" s="313" t="inlineStr">
        <is>
          <t>A1-1/A1-15 /A1-16</t>
        </is>
      </c>
    </row>
  </sheetData>
  <mergeCells count="24">
    <mergeCell ref="A8:G8"/>
    <mergeCell ref="A3:C3"/>
    <mergeCell ref="J15:J16"/>
    <mergeCell ref="H11:J11"/>
    <mergeCell ref="A10:G10"/>
    <mergeCell ref="A13:G13"/>
    <mergeCell ref="A9:G9"/>
    <mergeCell ref="A5:C5"/>
    <mergeCell ref="A14:C14"/>
    <mergeCell ref="H13:J13"/>
    <mergeCell ref="H12:J12"/>
    <mergeCell ref="A4:C4"/>
    <mergeCell ref="A11:G11"/>
    <mergeCell ref="B15:B16"/>
    <mergeCell ref="D15:D16"/>
    <mergeCell ref="A1:J1"/>
    <mergeCell ref="E15:I15"/>
    <mergeCell ref="H8:J8"/>
    <mergeCell ref="H10:J10"/>
    <mergeCell ref="A12:G12"/>
    <mergeCell ref="A15:A16"/>
    <mergeCell ref="C15:C16"/>
    <mergeCell ref="H9:J9"/>
    <mergeCell ref="A2:J2"/>
  </mergeCells>
  <hyperlinks>
    <hyperlink ref="J3" location="底稿目录!A1" display="D10A"/>
  </hyperlinks>
  <pageMargins left="0.708333333333333" right="0.708333333333333" top="0.747916666666667" bottom="0.747916666666667" header="0.314583333333333" footer="0.314583333333333"/>
  <pageSetup orientation="portrait" paperSize="9" scale="70" blackAndWhite="1" horizontalDpi="300" verticalDpi="300"/>
  <headerFooter>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O35"/>
  <sheetViews>
    <sheetView view="pageBreakPreview" zoomScaleNormal="130" workbookViewId="0">
      <selection activeCell="A1" sqref="A1:N1"/>
    </sheetView>
  </sheetViews>
  <sheetFormatPr baseColWidth="8" defaultColWidth="9" defaultRowHeight="23.25" customHeight="1"/>
  <cols>
    <col width="31.59765625" customWidth="1" style="314" min="1" max="1"/>
    <col width="12.09765625" customWidth="1" style="314" min="2" max="2"/>
    <col width="12.19921875" customWidth="1" style="314" min="3" max="3"/>
    <col width="10.59765625" customWidth="1" style="314" min="4" max="5"/>
    <col width="9.8984375" customWidth="1" style="314" min="6" max="6"/>
    <col width="10.19921875" customWidth="1" style="314" min="7" max="7"/>
    <col width="11.8984375" customWidth="1" style="314" min="8" max="8"/>
    <col width="9" customWidth="1" style="314" min="9" max="16384"/>
  </cols>
  <sheetData>
    <row r="1" ht="20.1" customFormat="1" customHeight="1" s="315">
      <c r="A1" s="316" t="inlineStr">
        <is>
          <t>致同会计师事务所</t>
        </is>
      </c>
    </row>
    <row r="2" ht="24.9" customFormat="1" customHeight="1" s="315">
      <c r="A2" s="317" t="inlineStr">
        <is>
          <t>递延所得税资产审定表</t>
        </is>
      </c>
    </row>
    <row r="3" ht="20.1" customHeight="1" s="301">
      <c r="A3" s="318">
        <f>底稿目录!A2</f>
        <v/>
      </c>
      <c r="B3" s="318" t="n"/>
      <c r="C3" s="319">
        <f>底稿目录!A4</f>
        <v/>
      </c>
      <c r="D3" s="318" t="n"/>
      <c r="E3" s="318" t="n"/>
      <c r="F3" s="318" t="n"/>
      <c r="G3" s="318" t="n"/>
      <c r="H3" s="107">
        <f>底稿目录!A5</f>
        <v/>
      </c>
      <c r="I3" s="107" t="n"/>
      <c r="J3" s="318" t="n"/>
      <c r="K3" s="318" t="n"/>
      <c r="L3" s="318" t="n"/>
      <c r="M3" s="320" t="inlineStr">
        <is>
          <t>索引号：</t>
        </is>
      </c>
      <c r="N3" s="250" t="inlineStr">
        <is>
          <t>N1-1</t>
        </is>
      </c>
    </row>
    <row r="4" ht="20.1" customHeight="1" s="301">
      <c r="A4" s="318">
        <f>底稿目录!A3</f>
        <v/>
      </c>
      <c r="B4" s="108" t="n"/>
      <c r="C4" s="319">
        <f>底稿目录!A6</f>
        <v/>
      </c>
      <c r="D4" s="318" t="n"/>
      <c r="E4" s="318" t="n"/>
      <c r="F4" s="318" t="n"/>
      <c r="G4" s="318" t="n"/>
      <c r="H4" s="107">
        <f>底稿目录!A7</f>
        <v/>
      </c>
      <c r="I4" s="107" t="n"/>
      <c r="J4" s="318" t="n"/>
      <c r="K4" s="318" t="n"/>
      <c r="L4" s="318" t="n"/>
      <c r="M4" s="320" t="inlineStr">
        <is>
          <t>页次：</t>
        </is>
      </c>
      <c r="N4" s="130" t="n"/>
    </row>
    <row r="5" ht="33" customFormat="1" customHeight="1" s="321">
      <c r="A5" s="270" t="inlineStr">
        <is>
          <t>项目</t>
        </is>
      </c>
      <c r="B5" s="322" t="inlineStr">
        <is>
          <t>期初数</t>
        </is>
      </c>
      <c r="C5" s="302" t="n"/>
      <c r="D5" s="302" t="n"/>
      <c r="E5" s="303" t="n"/>
      <c r="F5" s="322" t="inlineStr">
        <is>
          <t>期末数</t>
        </is>
      </c>
      <c r="G5" s="302" t="n"/>
      <c r="H5" s="302" t="n"/>
      <c r="I5" s="303" t="n"/>
      <c r="J5" s="323" t="inlineStr">
        <is>
          <t>本期未审数与上期
未审数的比较</t>
        </is>
      </c>
      <c r="K5" s="303" t="n"/>
      <c r="L5" s="323" t="inlineStr">
        <is>
          <t>本期审定数与上期
审定数的比较</t>
        </is>
      </c>
      <c r="M5" s="303" t="n"/>
      <c r="N5" s="270" t="inlineStr">
        <is>
          <t>原因分析</t>
        </is>
      </c>
      <c r="O5" s="324" t="inlineStr">
        <is>
          <t>提示：根据被审计单位税收项目具体情况增减项目明细</t>
        </is>
      </c>
    </row>
    <row r="6" ht="20.1" customHeight="1" s="301">
      <c r="A6" s="325" t="n"/>
      <c r="B6" s="322" t="inlineStr">
        <is>
          <t>未审数</t>
        </is>
      </c>
      <c r="C6" s="322" t="inlineStr">
        <is>
          <t>账项调整</t>
        </is>
      </c>
      <c r="D6" s="322" t="inlineStr">
        <is>
          <t>重分类调整</t>
        </is>
      </c>
      <c r="E6" s="322" t="inlineStr">
        <is>
          <t>审定数</t>
        </is>
      </c>
      <c r="F6" s="322" t="inlineStr">
        <is>
          <t>未审数</t>
        </is>
      </c>
      <c r="G6" s="322" t="inlineStr">
        <is>
          <t>账项调整</t>
        </is>
      </c>
      <c r="H6" s="322" t="inlineStr">
        <is>
          <t>重分类调整</t>
        </is>
      </c>
      <c r="I6" s="322" t="inlineStr">
        <is>
          <t>审定数</t>
        </is>
      </c>
      <c r="J6" s="326" t="inlineStr">
        <is>
          <t>变动额</t>
        </is>
      </c>
      <c r="K6" s="134" t="inlineStr">
        <is>
          <t>变动率</t>
        </is>
      </c>
      <c r="L6" s="326" t="inlineStr">
        <is>
          <t>变动额</t>
        </is>
      </c>
      <c r="M6" s="323" t="inlineStr">
        <is>
          <t>变动率</t>
        </is>
      </c>
      <c r="N6" s="325" t="n"/>
    </row>
    <row r="7" ht="20.1" customHeight="1" s="301">
      <c r="A7" s="109" t="inlineStr">
        <is>
          <t>资产减值准备</t>
        </is>
      </c>
      <c r="B7" s="327">
        <f>SUMIF('递延所得税资产明细表N1-2'!$B$11:$B$40,'递延所得税资产审定表N1-1'!$A7,'递延所得税资产明细表N1-2'!E$11:E$40)</f>
        <v/>
      </c>
      <c r="C7" s="327">
        <f>SUMIF('递延所得税资产明细表N1-2'!$B$11:$B$40,'递延所得税资产审定表N1-1'!$A7,'递延所得税资产明细表N1-2'!F$11:F$40)</f>
        <v/>
      </c>
      <c r="D7" s="327">
        <f>SUMIF('递延所得税资产明细表N1-2'!$B$11:$B$40,'递延所得税资产审定表N1-1'!$A7,'递延所得税资产明细表N1-2'!G$11:G$40)</f>
        <v/>
      </c>
      <c r="E7" s="327">
        <f>B7+C7+D7</f>
        <v/>
      </c>
      <c r="F7" s="327">
        <f>SUMIF('递延所得税资产明细表N1-2'!$B$11:$B$40,'递延所得税资产审定表N1-1'!$A7,'递延所得税资产明细表N1-2'!K$11:K$40)</f>
        <v/>
      </c>
      <c r="G7" s="327">
        <f>SUMIF('递延所得税资产明细表N1-2'!$B$11:$B$40,'递延所得税资产审定表N1-1'!$A7,'递延所得税资产明细表N1-2'!L$11:L$40)</f>
        <v/>
      </c>
      <c r="H7" s="327">
        <f>SUMIF('递延所得税资产明细表N1-2'!$B$11:$B$40,'递延所得税资产审定表N1-1'!$A7,'递延所得税资产明细表N1-2'!M$11:M$40)</f>
        <v/>
      </c>
      <c r="I7" s="327">
        <f>F7+G7+H7</f>
        <v/>
      </c>
      <c r="J7" s="328">
        <f>F7-B7</f>
        <v/>
      </c>
      <c r="K7" s="136">
        <f>IF(AND(B7=0,J7=0),0,IF(AND(B7=0,J7&gt;0),1,J7/B7))</f>
        <v/>
      </c>
      <c r="L7" s="328">
        <f>I7-E7</f>
        <v/>
      </c>
      <c r="M7" s="136">
        <f>IF(AND(E7=0,L7=0),0,IF(AND(E7=0,L7&gt;0),1,L7/E7))</f>
        <v/>
      </c>
      <c r="N7" s="327" t="n"/>
    </row>
    <row r="8" ht="20.1" customHeight="1" s="301">
      <c r="A8" s="109" t="inlineStr">
        <is>
          <t>可抵扣亏损</t>
        </is>
      </c>
      <c r="B8" s="327">
        <f>SUMIF('递延所得税资产明细表N1-2'!$B$11:$B$40,'递延所得税资产审定表N1-1'!$A8,'递延所得税资产明细表N1-2'!E$11:E$40)</f>
        <v/>
      </c>
      <c r="C8" s="327">
        <f>SUMIF('递延所得税资产明细表N1-2'!$B$11:$B$40,'递延所得税资产审定表N1-1'!$A8,'递延所得税资产明细表N1-2'!F$11:F$40)</f>
        <v/>
      </c>
      <c r="D8" s="327">
        <f>SUMIF('递延所得税资产明细表N1-2'!$B$11:$B$40,'递延所得税资产审定表N1-1'!$A8,'递延所得税资产明细表N1-2'!G$11:G$40)</f>
        <v/>
      </c>
      <c r="E8" s="327">
        <f>B8+C8+D8</f>
        <v/>
      </c>
      <c r="F8" s="327">
        <f>SUMIF('递延所得税资产明细表N1-2'!$B$11:$B$40,'递延所得税资产审定表N1-1'!$A8,'递延所得税资产明细表N1-2'!K$11:K$40)</f>
        <v/>
      </c>
      <c r="G8" s="327">
        <f>SUMIF('递延所得税资产明细表N1-2'!$B$11:$B$40,'递延所得税资产审定表N1-1'!$A8,'递延所得税资产明细表N1-2'!L$11:L$40)</f>
        <v/>
      </c>
      <c r="H8" s="327">
        <f>SUMIF('递延所得税资产明细表N1-2'!$B$11:$B$40,'递延所得税资产审定表N1-1'!$A8,'递延所得税资产明细表N1-2'!M$11:M$40)</f>
        <v/>
      </c>
      <c r="I8" s="327">
        <f>F8+G8+H8</f>
        <v/>
      </c>
      <c r="J8" s="328">
        <f>F8-B8</f>
        <v/>
      </c>
      <c r="K8" s="136">
        <f>IF(AND(B8=0,J8=0),0,IF(AND(B8=0,J8&gt;0),1,J8/B8))</f>
        <v/>
      </c>
      <c r="L8" s="328">
        <f>I8-E8</f>
        <v/>
      </c>
      <c r="M8" s="136">
        <f>IF(AND(E8=0,L8=0),0,IF(AND(E8=0,L8&gt;0),1,L8/E8))</f>
        <v/>
      </c>
      <c r="N8" s="327" t="n"/>
    </row>
    <row r="9" ht="20.1" customHeight="1" s="301">
      <c r="A9" s="109" t="inlineStr">
        <is>
          <t>内部交易未实现利润</t>
        </is>
      </c>
      <c r="B9" s="327">
        <f>SUMIF('递延所得税资产明细表N1-2'!$B$11:$B$40,'递延所得税资产审定表N1-1'!$A9,'递延所得税资产明细表N1-2'!E$11:E$40)</f>
        <v/>
      </c>
      <c r="C9" s="327">
        <f>SUMIF('递延所得税资产明细表N1-2'!$B$11:$B$40,'递延所得税资产审定表N1-1'!$A9,'递延所得税资产明细表N1-2'!F$11:F$40)</f>
        <v/>
      </c>
      <c r="D9" s="327">
        <f>SUMIF('递延所得税资产明细表N1-2'!$B$11:$B$40,'递延所得税资产审定表N1-1'!$A9,'递延所得税资产明细表N1-2'!G$11:G$40)</f>
        <v/>
      </c>
      <c r="E9" s="327">
        <f>B9+C9+D9</f>
        <v/>
      </c>
      <c r="F9" s="327">
        <f>SUMIF('递延所得税资产明细表N1-2'!$B$11:$B$40,'递延所得税资产审定表N1-1'!$A9,'递延所得税资产明细表N1-2'!K$11:K$40)</f>
        <v/>
      </c>
      <c r="G9" s="327">
        <f>SUMIF('递延所得税资产明细表N1-2'!$B$11:$B$40,'递延所得税资产审定表N1-1'!$A9,'递延所得税资产明细表N1-2'!L$11:L$40)</f>
        <v/>
      </c>
      <c r="H9" s="327">
        <f>SUMIF('递延所得税资产明细表N1-2'!$B$11:$B$40,'递延所得税资产审定表N1-1'!$A9,'递延所得税资产明细表N1-2'!M$11:M$40)</f>
        <v/>
      </c>
      <c r="I9" s="327">
        <f>F9+G9+H9</f>
        <v/>
      </c>
      <c r="J9" s="328">
        <f>F9-B9</f>
        <v/>
      </c>
      <c r="K9" s="136">
        <f>IF(AND(B9=0,J9=0),0,IF(AND(B9=0,J9&gt;0),1,J9/B9))</f>
        <v/>
      </c>
      <c r="L9" s="328">
        <f>I9-E9</f>
        <v/>
      </c>
      <c r="M9" s="136">
        <f>IF(AND(E9=0,L9=0),0,IF(AND(E9=0,L9&gt;0),1,L9/E9))</f>
        <v/>
      </c>
      <c r="N9" s="327" t="n"/>
    </row>
    <row r="10" ht="20.1" customHeight="1" s="301">
      <c r="A10" s="109" t="inlineStr">
        <is>
          <t>公允价值变动</t>
        </is>
      </c>
      <c r="B10" s="327">
        <f>SUMIF('递延所得税资产明细表N1-2'!$B$11:$B$40,'递延所得税资产审定表N1-1'!$A10,'递延所得税资产明细表N1-2'!E$11:E$40)</f>
        <v/>
      </c>
      <c r="C10" s="327">
        <f>SUMIF('递延所得税资产明细表N1-2'!$B$11:$B$40,'递延所得税资产审定表N1-1'!$A10,'递延所得税资产明细表N1-2'!F$11:F$40)</f>
        <v/>
      </c>
      <c r="D10" s="327">
        <f>SUMIF('递延所得税资产明细表N1-2'!$B$11:$B$40,'递延所得税资产审定表N1-1'!$A10,'递延所得税资产明细表N1-2'!G$11:G$40)</f>
        <v/>
      </c>
      <c r="E10" s="327">
        <f>B10+C10+D10</f>
        <v/>
      </c>
      <c r="F10" s="327">
        <f>SUMIF('递延所得税资产明细表N1-2'!$B$11:$B$40,'递延所得税资产审定表N1-1'!$A10,'递延所得税资产明细表N1-2'!K$11:K$40)</f>
        <v/>
      </c>
      <c r="G10" s="327">
        <f>SUMIF('递延所得税资产明细表N1-2'!$B$11:$B$40,'递延所得税资产审定表N1-1'!$A10,'递延所得税资产明细表N1-2'!L$11:L$40)</f>
        <v/>
      </c>
      <c r="H10" s="327">
        <f>SUMIF('递延所得税资产明细表N1-2'!$B$11:$B$40,'递延所得税资产审定表N1-1'!$A10,'递延所得税资产明细表N1-2'!M$11:M$40)</f>
        <v/>
      </c>
      <c r="I10" s="327">
        <f>F10+G10+H10</f>
        <v/>
      </c>
      <c r="J10" s="328">
        <f>F10-B10</f>
        <v/>
      </c>
      <c r="K10" s="136">
        <f>IF(AND(B10=0,J10=0),0,IF(AND(B10=0,J10&gt;0),1,J10/B10))</f>
        <v/>
      </c>
      <c r="L10" s="328">
        <f>I10-E10</f>
        <v/>
      </c>
      <c r="M10" s="136">
        <f>IF(AND(E10=0,L10=0),0,IF(AND(E10=0,L10&gt;0),1,L10/E10))</f>
        <v/>
      </c>
      <c r="N10" s="327" t="n"/>
    </row>
    <row r="11" ht="20.1" customHeight="1" s="301">
      <c r="A11" s="109" t="inlineStr">
        <is>
          <t>租赁负债</t>
        </is>
      </c>
      <c r="B11" s="327">
        <f>SUMIF('递延所得税资产明细表N1-2'!$B$11:$B$40,'递延所得税资产审定表N1-1'!$A11,'递延所得税资产明细表N1-2'!E$11:E$40)</f>
        <v/>
      </c>
      <c r="C11" s="327">
        <f>SUMIF('递延所得税资产明细表N1-2'!$B$11:$B$40,'递延所得税资产审定表N1-1'!$A11,'递延所得税资产明细表N1-2'!F$11:F$40)</f>
        <v/>
      </c>
      <c r="D11" s="327">
        <f>SUMIF('递延所得税资产明细表N1-2'!$B$11:$B$40,'递延所得税资产审定表N1-1'!$A11,'递延所得税资产明细表N1-2'!G$11:G$40)</f>
        <v/>
      </c>
      <c r="E11" s="327">
        <f>B11+C11+D11</f>
        <v/>
      </c>
      <c r="F11" s="327">
        <f>SUMIF('递延所得税资产明细表N1-2'!$B$11:$B$40,'递延所得税资产审定表N1-1'!$A11,'递延所得税资产明细表N1-2'!K$11:K$40)</f>
        <v/>
      </c>
      <c r="G11" s="327">
        <f>SUMIF('递延所得税资产明细表N1-2'!$B$11:$B$40,'递延所得税资产审定表N1-1'!$A11,'递延所得税资产明细表N1-2'!L$11:L$40)</f>
        <v/>
      </c>
      <c r="H11" s="327">
        <f>SUMIF('递延所得税资产明细表N1-2'!$B$11:$B$40,'递延所得税资产审定表N1-1'!$A11,'递延所得税资产明细表N1-2'!M$11:M$40)</f>
        <v/>
      </c>
      <c r="I11" s="327">
        <f>F11+G11+H11</f>
        <v/>
      </c>
      <c r="J11" s="328">
        <f>F11-B11</f>
        <v/>
      </c>
      <c r="K11" s="136">
        <f>IF(AND(B11=0,J11=0),0,IF(AND(B11=0,J11&gt;0),1,J11/B11))</f>
        <v/>
      </c>
      <c r="L11" s="328">
        <f>I11-E11</f>
        <v/>
      </c>
      <c r="M11" s="136">
        <f>IF(AND(E11=0,L11=0),0,IF(AND(E11=0,L11&gt;0),1,L11/E11))</f>
        <v/>
      </c>
      <c r="N11" s="327" t="n"/>
    </row>
    <row r="12" ht="20.1" customHeight="1" s="301">
      <c r="A12" s="109" t="inlineStr">
        <is>
          <t>购入摊销年限小于税法规定的资产</t>
        </is>
      </c>
      <c r="B12" s="327">
        <f>SUMIF('递延所得税资产明细表N1-2'!$B$11:$B$40,'递延所得税资产审定表N1-1'!$A12,'递延所得税资产明细表N1-2'!E$11:E$40)</f>
        <v/>
      </c>
      <c r="C12" s="327">
        <f>SUMIF('递延所得税资产明细表N1-2'!$B$11:$B$40,'递延所得税资产审定表N1-1'!$A12,'递延所得税资产明细表N1-2'!F$11:F$40)</f>
        <v/>
      </c>
      <c r="D12" s="327">
        <f>SUMIF('递延所得税资产明细表N1-2'!$B$11:$B$40,'递延所得税资产审定表N1-1'!$A12,'递延所得税资产明细表N1-2'!G$11:G$40)</f>
        <v/>
      </c>
      <c r="E12" s="327">
        <f>B12+C12+D12</f>
        <v/>
      </c>
      <c r="F12" s="327">
        <f>SUMIF('递延所得税资产明细表N1-2'!$B$11:$B$40,'递延所得税资产审定表N1-1'!$A12,'递延所得税资产明细表N1-2'!K$11:K$40)</f>
        <v/>
      </c>
      <c r="G12" s="327">
        <f>SUMIF('递延所得税资产明细表N1-2'!$B$11:$B$40,'递延所得税资产审定表N1-1'!$A12,'递延所得税资产明细表N1-2'!L$11:L$40)</f>
        <v/>
      </c>
      <c r="H12" s="327">
        <f>SUMIF('递延所得税资产明细表N1-2'!$B$11:$B$40,'递延所得税资产审定表N1-1'!$A12,'递延所得税资产明细表N1-2'!M$11:M$40)</f>
        <v/>
      </c>
      <c r="I12" s="327">
        <f>F12+G12+H12</f>
        <v/>
      </c>
      <c r="J12" s="328">
        <f>F12-B12</f>
        <v/>
      </c>
      <c r="K12" s="136">
        <f>IF(AND(B12=0,J12=0),0,IF(AND(B12=0,J12&gt;0),1,J12/B12))</f>
        <v/>
      </c>
      <c r="L12" s="328">
        <f>I12-E12</f>
        <v/>
      </c>
      <c r="M12" s="136">
        <f>IF(AND(E12=0,L12=0),0,IF(AND(E12=0,L12&gt;0),1,L12/E12))</f>
        <v/>
      </c>
      <c r="N12" s="327" t="n"/>
    </row>
    <row r="13" ht="20.1" customHeight="1" s="301">
      <c r="A13" s="109" t="inlineStr">
        <is>
          <t>其他</t>
        </is>
      </c>
      <c r="B13" s="327">
        <f>SUMIF('递延所得税资产明细表N1-2'!$B$11:$B$40,'递延所得税资产审定表N1-1'!$A13,'递延所得税资产明细表N1-2'!E$11:E$40)</f>
        <v/>
      </c>
      <c r="C13" s="327">
        <f>SUMIF('递延所得税资产明细表N1-2'!$B$11:$B$40,'递延所得税资产审定表N1-1'!$A13,'递延所得税资产明细表N1-2'!F$11:F$40)</f>
        <v/>
      </c>
      <c r="D13" s="327">
        <f>SUMIF('递延所得税资产明细表N1-2'!$B$11:$B$40,'递延所得税资产审定表N1-1'!$A13,'递延所得税资产明细表N1-2'!G$11:G$40)</f>
        <v/>
      </c>
      <c r="E13" s="327">
        <f>B13+C13+D13</f>
        <v/>
      </c>
      <c r="F13" s="327">
        <f>SUMIF('递延所得税资产明细表N1-2'!$B$11:$B$40,'递延所得税资产审定表N1-1'!$A13,'递延所得税资产明细表N1-2'!K$11:K$40)</f>
        <v/>
      </c>
      <c r="G13" s="327">
        <f>SUMIF('递延所得税资产明细表N1-2'!$B$11:$B$40,'递延所得税资产审定表N1-1'!$A13,'递延所得税资产明细表N1-2'!L$11:L$40)</f>
        <v/>
      </c>
      <c r="H13" s="327">
        <f>SUMIF('递延所得税资产明细表N1-2'!$B$11:$B$40,'递延所得税资产审定表N1-1'!$A13,'递延所得税资产明细表N1-2'!M$11:M$40)</f>
        <v/>
      </c>
      <c r="I13" s="327">
        <f>F13+G13+H13</f>
        <v/>
      </c>
      <c r="J13" s="328">
        <f>F13-B13</f>
        <v/>
      </c>
      <c r="K13" s="136">
        <f>IF(AND(B13=0,J13=0),0,IF(AND(B13=0,J13&gt;0),1,J13/B13))</f>
        <v/>
      </c>
      <c r="L13" s="328">
        <f>I13-E13</f>
        <v/>
      </c>
      <c r="M13" s="136">
        <f>IF(AND(E13=0,L13=0),0,IF(AND(E13=0,L13&gt;0),1,L13/E13))</f>
        <v/>
      </c>
      <c r="N13" s="327" t="n"/>
    </row>
    <row r="14" ht="20.1" customHeight="1" s="301">
      <c r="A14" s="109" t="n"/>
      <c r="B14" s="327">
        <f>SUMIF('递延所得税资产明细表N1-2'!$B$11:$B$40,'递延所得税资产审定表N1-1'!$A14,'递延所得税资产明细表N1-2'!E$11:E$40)</f>
        <v/>
      </c>
      <c r="C14" s="327">
        <f>SUMIF('递延所得税资产明细表N1-2'!$B$11:$B$40,'递延所得税资产审定表N1-1'!$A14,'递延所得税资产明细表N1-2'!F$11:F$40)</f>
        <v/>
      </c>
      <c r="D14" s="327">
        <f>SUMIF('递延所得税资产明细表N1-2'!$B$11:$B$40,'递延所得税资产审定表N1-1'!$A14,'递延所得税资产明细表N1-2'!G$11:G$40)</f>
        <v/>
      </c>
      <c r="E14" s="327">
        <f>B14+C14+D14</f>
        <v/>
      </c>
      <c r="F14" s="327">
        <f>SUMIF('递延所得税资产明细表N1-2'!$B$11:$B$40,'递延所得税资产审定表N1-1'!$A14,'递延所得税资产明细表N1-2'!K$11:K$40)</f>
        <v/>
      </c>
      <c r="G14" s="327">
        <f>SUMIF('递延所得税资产明细表N1-2'!$B$11:$B$40,'递延所得税资产审定表N1-1'!$A14,'递延所得税资产明细表N1-2'!L$11:L$40)</f>
        <v/>
      </c>
      <c r="H14" s="327">
        <f>SUMIF('递延所得税资产明细表N1-2'!$B$11:$B$40,'递延所得税资产审定表N1-1'!$A14,'递延所得税资产明细表N1-2'!M$11:M$40)</f>
        <v/>
      </c>
      <c r="I14" s="327">
        <f>F14+G14+H14</f>
        <v/>
      </c>
      <c r="J14" s="328">
        <f>F14-B14</f>
        <v/>
      </c>
      <c r="K14" s="136">
        <f>IF(AND(B14=0,J14=0),0,IF(AND(B14=0,J14&gt;0),1,J14/B14))</f>
        <v/>
      </c>
      <c r="L14" s="328">
        <f>I14-E14</f>
        <v/>
      </c>
      <c r="M14" s="136">
        <f>IF(AND(E14=0,L14=0),0,IF(AND(E14=0,L14&gt;0),1,L14/E14))</f>
        <v/>
      </c>
      <c r="N14" s="327" t="n"/>
    </row>
    <row r="15" ht="20.1" customHeight="1" s="301">
      <c r="A15" s="109" t="n"/>
      <c r="B15" s="327">
        <f>SUMIF('递延所得税资产明细表N1-2'!$B$11:$B$40,'递延所得税资产审定表N1-1'!$A15,'递延所得税资产明细表N1-2'!E$11:E$40)</f>
        <v/>
      </c>
      <c r="C15" s="327">
        <f>SUMIF('递延所得税资产明细表N1-2'!$B$11:$B$40,'递延所得税资产审定表N1-1'!$A15,'递延所得税资产明细表N1-2'!F$11:F$40)</f>
        <v/>
      </c>
      <c r="D15" s="327">
        <f>SUMIF('递延所得税资产明细表N1-2'!$B$11:$B$40,'递延所得税资产审定表N1-1'!$A15,'递延所得税资产明细表N1-2'!G$11:G$40)</f>
        <v/>
      </c>
      <c r="E15" s="327">
        <f>B15+C15+D15</f>
        <v/>
      </c>
      <c r="F15" s="327">
        <f>SUMIF('递延所得税资产明细表N1-2'!$B$11:$B$40,'递延所得税资产审定表N1-1'!$A15,'递延所得税资产明细表N1-2'!K$11:K$40)</f>
        <v/>
      </c>
      <c r="G15" s="327">
        <f>SUMIF('递延所得税资产明细表N1-2'!$B$11:$B$40,'递延所得税资产审定表N1-1'!$A15,'递延所得税资产明细表N1-2'!L$11:L$40)</f>
        <v/>
      </c>
      <c r="H15" s="327">
        <f>SUMIF('递延所得税资产明细表N1-2'!$B$11:$B$40,'递延所得税资产审定表N1-1'!$A15,'递延所得税资产明细表N1-2'!M$11:M$40)</f>
        <v/>
      </c>
      <c r="I15" s="327">
        <f>F15+G15+H15</f>
        <v/>
      </c>
      <c r="J15" s="328">
        <f>F15-B15</f>
        <v/>
      </c>
      <c r="K15" s="136">
        <f>IF(AND(B15=0,J15=0),0,IF(AND(B15=0,J15&gt;0),1,J15/B15))</f>
        <v/>
      </c>
      <c r="L15" s="328">
        <f>I15-E15</f>
        <v/>
      </c>
      <c r="M15" s="136">
        <f>IF(AND(E15=0,L15=0),0,IF(AND(E15=0,L15&gt;0),1,L15/E15))</f>
        <v/>
      </c>
      <c r="N15" s="327" t="n"/>
    </row>
    <row r="16" ht="20.1" customHeight="1" s="301">
      <c r="A16" s="329" t="inlineStr">
        <is>
          <t>合计</t>
        </is>
      </c>
      <c r="B16" s="330">
        <f>SUM(B7:B15)</f>
        <v/>
      </c>
      <c r="C16" s="330">
        <f>SUM(C7:C15)</f>
        <v/>
      </c>
      <c r="D16" s="330">
        <f>SUM(D7:D15)</f>
        <v/>
      </c>
      <c r="E16" s="330">
        <f>SUM(E7:E15)</f>
        <v/>
      </c>
      <c r="F16" s="330">
        <f>SUM(F7:F15)</f>
        <v/>
      </c>
      <c r="G16" s="330">
        <f>SUM(G7:G15)</f>
        <v/>
      </c>
      <c r="H16" s="330">
        <f>SUM(H7:H15)</f>
        <v/>
      </c>
      <c r="I16" s="330">
        <f>SUM(I7:I15)</f>
        <v/>
      </c>
      <c r="J16" s="330">
        <f>SUM(J7:J15)</f>
        <v/>
      </c>
      <c r="K16" s="136">
        <f>IF(AND(B16=0,J16=0),0,IF(AND(B16=0,J16&gt;0),1,J16/B16))</f>
        <v/>
      </c>
      <c r="L16" s="328">
        <f>I16-E16</f>
        <v/>
      </c>
      <c r="M16" s="136">
        <f>IF(AND(E16=0,L16=0),0,IF(AND(E16=0,L16&gt;0),1,L16/E16))</f>
        <v/>
      </c>
      <c r="N16" s="327" t="n"/>
    </row>
    <row r="17" ht="20.1" customFormat="1" customHeight="1" s="314">
      <c r="A17" s="331" t="inlineStr">
        <is>
          <t>试算平衡表数</t>
        </is>
      </c>
      <c r="B17" s="332" t="n"/>
      <c r="C17" s="332" t="n"/>
      <c r="D17" s="332" t="n"/>
      <c r="E17" s="332" t="n"/>
      <c r="F17" s="332" t="n"/>
      <c r="G17" s="332" t="n"/>
      <c r="H17" s="332" t="n"/>
      <c r="I17" s="332" t="n"/>
      <c r="J17" s="333" t="n"/>
      <c r="K17" s="138" t="n"/>
      <c r="L17" s="333" t="n"/>
      <c r="M17" s="138" t="n"/>
      <c r="N17" s="334" t="n"/>
    </row>
    <row r="18" ht="20.1" customFormat="1" customHeight="1" s="314">
      <c r="A18" s="335" t="inlineStr">
        <is>
          <t>差异数</t>
        </is>
      </c>
      <c r="B18" s="335" t="n"/>
      <c r="C18" s="335" t="n"/>
      <c r="D18" s="335" t="n"/>
      <c r="E18" s="336">
        <f>E16-E17</f>
        <v/>
      </c>
      <c r="F18" s="335" t="n"/>
      <c r="G18" s="335" t="n"/>
      <c r="H18" s="335" t="n"/>
      <c r="I18" s="336">
        <f>I16-I17</f>
        <v/>
      </c>
      <c r="J18" s="337" t="n"/>
      <c r="K18" s="141" t="n"/>
      <c r="L18" s="337" t="n"/>
      <c r="M18" s="141" t="n"/>
      <c r="N18" s="338" t="n"/>
    </row>
    <row r="19" ht="20.1" customHeight="1" s="301">
      <c r="A19" s="339" t="inlineStr">
        <is>
          <t>1.审计说明</t>
        </is>
      </c>
      <c r="B19" s="340" t="n"/>
      <c r="C19" s="340" t="n"/>
      <c r="D19" s="340" t="n"/>
      <c r="E19" s="340" t="n"/>
      <c r="F19" s="341" t="n"/>
      <c r="G19" s="340" t="n"/>
      <c r="H19" s="342" t="n"/>
      <c r="I19" s="342" t="n"/>
      <c r="J19" s="342" t="n"/>
      <c r="K19" s="342" t="n"/>
      <c r="L19" s="342" t="n"/>
      <c r="M19" s="342" t="n"/>
      <c r="N19" s="342" t="n"/>
    </row>
    <row r="20" ht="20.1" customHeight="1" s="301">
      <c r="A20" s="121" t="inlineStr">
        <is>
          <t>（1）期末余额较期初余额增加（负数为减少）：</t>
        </is>
      </c>
      <c r="B20" s="121" t="n"/>
      <c r="C20" s="121" t="n"/>
      <c r="D20" s="343" t="n"/>
      <c r="F20" s="121" t="n"/>
      <c r="G20" s="121" t="n"/>
      <c r="H20" s="342" t="n"/>
      <c r="I20" s="342" t="n"/>
      <c r="J20" s="342" t="n"/>
      <c r="K20" s="342" t="n"/>
      <c r="L20" s="342" t="n"/>
      <c r="M20" s="342" t="n"/>
      <c r="N20" s="342" t="n"/>
    </row>
    <row r="21" ht="20.1" customHeight="1" s="301">
      <c r="A21" s="121" t="inlineStr">
        <is>
          <t>主要原因（比例超过30%的）：</t>
        </is>
      </c>
      <c r="B21" s="121" t="n"/>
      <c r="C21" s="121" t="n"/>
      <c r="D21" s="121" t="n"/>
      <c r="E21" s="121" t="n"/>
      <c r="F21" s="121" t="n"/>
      <c r="G21" s="121" t="n"/>
      <c r="H21" s="342" t="n"/>
      <c r="I21" s="342" t="n"/>
      <c r="J21" s="342" t="n"/>
      <c r="K21" s="342" t="n"/>
      <c r="L21" s="342" t="n"/>
      <c r="M21" s="342" t="n"/>
      <c r="N21" s="342" t="n"/>
    </row>
    <row r="22" ht="20.1" customHeight="1" s="301">
      <c r="A22" s="121" t="n"/>
      <c r="B22" s="121" t="n"/>
      <c r="C22" s="121" t="n"/>
      <c r="D22" s="121" t="n"/>
      <c r="E22" s="121" t="n"/>
      <c r="F22" s="121" t="n"/>
      <c r="G22" s="121" t="n"/>
      <c r="H22" s="342" t="n"/>
      <c r="I22" s="342" t="n"/>
      <c r="J22" s="342" t="n"/>
      <c r="K22" s="342" t="n"/>
      <c r="L22" s="342" t="n"/>
      <c r="M22" s="342" t="n"/>
      <c r="N22" s="342" t="n"/>
    </row>
    <row r="23" ht="20.1" customHeight="1" s="301">
      <c r="A23" s="122" t="inlineStr">
        <is>
          <t>（2）未确认递延所得税资产的可抵扣暂时性差异、可抵扣亏损等的金额（存在到期日的，应披露到期日）</t>
        </is>
      </c>
      <c r="B23" s="122" t="n"/>
      <c r="C23" s="122" t="n"/>
      <c r="D23" s="122" t="n"/>
      <c r="E23" s="122" t="n"/>
      <c r="F23" s="122" t="n"/>
      <c r="G23" s="122" t="n"/>
      <c r="H23" s="342" t="n"/>
      <c r="I23" s="342" t="n"/>
      <c r="J23" s="342" t="n"/>
      <c r="K23" s="342" t="n"/>
      <c r="L23" s="342" t="n"/>
      <c r="M23" s="342" t="n"/>
      <c r="N23" s="342" t="n"/>
    </row>
    <row r="24" ht="20.1" customHeight="1" s="301">
      <c r="A24" s="122" t="n"/>
      <c r="B24" s="122" t="n"/>
      <c r="C24" s="122" t="n"/>
      <c r="D24" s="122" t="n"/>
      <c r="E24" s="122" t="n"/>
      <c r="F24" s="122" t="n"/>
      <c r="G24" s="122" t="n"/>
      <c r="H24" s="342" t="n"/>
      <c r="I24" s="342" t="n"/>
      <c r="J24" s="342" t="n"/>
      <c r="K24" s="342" t="n"/>
      <c r="L24" s="342" t="n"/>
      <c r="M24" s="342" t="n"/>
      <c r="N24" s="342" t="n"/>
    </row>
    <row r="25" ht="20.1" customHeight="1" s="301">
      <c r="A25" s="121" t="inlineStr">
        <is>
          <t>（3）情况说明</t>
        </is>
      </c>
      <c r="B25" s="121" t="n"/>
      <c r="C25" s="121" t="n"/>
      <c r="D25" s="121" t="n"/>
      <c r="E25" s="121" t="n"/>
      <c r="F25" s="121" t="n"/>
      <c r="G25" s="121" t="n"/>
      <c r="H25" s="342" t="n"/>
      <c r="I25" s="342" t="n"/>
      <c r="J25" s="342" t="n"/>
      <c r="K25" s="342" t="n"/>
      <c r="L25" s="342" t="n"/>
      <c r="M25" s="342" t="n"/>
      <c r="N25" s="342" t="n"/>
    </row>
    <row r="26" ht="20.1" customHeight="1" s="301">
      <c r="A26" s="121" t="n"/>
      <c r="B26" s="121" t="n"/>
      <c r="C26" s="121" t="n"/>
      <c r="D26" s="121" t="n"/>
      <c r="E26" s="121" t="n"/>
      <c r="F26" s="121" t="n"/>
      <c r="G26" s="121" t="n"/>
      <c r="H26" s="342" t="n"/>
      <c r="I26" s="342" t="n"/>
      <c r="J26" s="342" t="n"/>
      <c r="K26" s="342" t="n"/>
      <c r="L26" s="342" t="n"/>
      <c r="M26" s="342" t="n"/>
      <c r="N26" s="342" t="n"/>
    </row>
    <row r="27" ht="20.1" customHeight="1" s="301">
      <c r="A27" s="123" t="inlineStr">
        <is>
          <t>2.审计结论</t>
        </is>
      </c>
      <c r="B27" s="121" t="n"/>
      <c r="C27" s="121" t="n"/>
      <c r="D27" s="121" t="n"/>
      <c r="E27" s="121" t="n"/>
      <c r="F27" s="341" t="n"/>
      <c r="G27" s="121" t="n"/>
      <c r="H27" s="342" t="n"/>
      <c r="I27" s="342" t="n"/>
      <c r="J27" s="342" t="n"/>
      <c r="K27" s="342" t="n"/>
      <c r="L27" s="342" t="n"/>
      <c r="M27" s="342" t="n"/>
      <c r="N27" s="342" t="n"/>
    </row>
    <row r="28" ht="20.1" customHeight="1" s="301">
      <c r="A28" s="123" t="n"/>
      <c r="B28" s="121" t="n"/>
      <c r="C28" s="121" t="n"/>
      <c r="D28" s="121" t="n"/>
      <c r="E28" s="121" t="n"/>
      <c r="F28" s="121" t="n"/>
      <c r="G28" s="121" t="n"/>
      <c r="H28" s="342" t="n"/>
      <c r="I28" s="342" t="n"/>
      <c r="J28" s="342" t="n"/>
      <c r="K28" s="342" t="n"/>
      <c r="L28" s="342" t="n"/>
      <c r="M28" s="342" t="n"/>
      <c r="N28" s="342" t="n"/>
    </row>
    <row r="29" ht="15.75" customHeight="1" s="301">
      <c r="A29" s="45" t="inlineStr">
        <is>
          <t>[注1]取得税务同意抵扣依据的开办费摊销差异。</t>
        </is>
      </c>
      <c r="B29" s="124" t="n"/>
      <c r="C29" s="124" t="n"/>
      <c r="D29" s="124" t="n"/>
      <c r="E29" s="124" t="n"/>
      <c r="F29" s="124" t="n"/>
      <c r="G29" s="124" t="n"/>
    </row>
    <row r="30" ht="22.5" customHeight="1" s="301">
      <c r="A30" s="46" t="inlineStr">
        <is>
          <t>[注2]预计辞退福利费须解除劳动关系。</t>
        </is>
      </c>
    </row>
    <row r="31" ht="22.5" customHeight="1" s="301">
      <c r="A31" s="45" t="inlineStr">
        <is>
          <t>[注3]若有其他项目，需详加说明内容。如税款抵减等。</t>
        </is>
      </c>
      <c r="B31" s="344" t="n"/>
    </row>
    <row r="32" ht="22.5" customHeight="1" s="301">
      <c r="A32" s="46" t="inlineStr">
        <is>
          <t>[注4] 预计递延所得税资产（负债）转回时适用的所得税税率。相关证明文件索引号为：</t>
        </is>
      </c>
      <c r="B32" s="344" t="n"/>
    </row>
    <row r="33" ht="22.5" customHeight="1" s="301">
      <c r="A33" s="345" t="n"/>
      <c r="B33" s="344" t="n"/>
    </row>
    <row r="34" ht="23.25" customHeight="1" s="301">
      <c r="A34" s="346" t="n"/>
      <c r="B34" s="347" t="n"/>
    </row>
    <row r="35" ht="23.25" customHeight="1" s="301">
      <c r="A35" s="345" t="n"/>
      <c r="B35" s="345" t="n"/>
    </row>
  </sheetData>
  <mergeCells count="9">
    <mergeCell ref="A5:A6"/>
    <mergeCell ref="D20:E20"/>
    <mergeCell ref="N5:N6"/>
    <mergeCell ref="J5:K5"/>
    <mergeCell ref="A2:N2"/>
    <mergeCell ref="L5:M5"/>
    <mergeCell ref="B5:E5"/>
    <mergeCell ref="F5:I5"/>
    <mergeCell ref="A1:N1"/>
  </mergeCells>
  <hyperlinks>
    <hyperlink ref="N3" location="底稿目录!A1" display="D10-1"/>
  </hyperlinks>
  <pageMargins left="0.708333333333333" right="0.708333333333333" top="0.747916666666667" bottom="0.747916666666667" header="0.314583333333333" footer="0.314583333333333"/>
  <pageSetup orientation="landscape" paperSize="9" scale="75" blackAndWhite="1" horizontalDpi="300" verticalDpi="300"/>
  <headerFooter>
    <oddHeader/>
    <oddFooter>&amp;C&amp;P/&amp;N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sheetPr>
  <dimension ref="A1:K54"/>
  <sheetViews>
    <sheetView view="pageBreakPreview" zoomScaleNormal="100" workbookViewId="0">
      <selection activeCell="C7" sqref="C7"/>
    </sheetView>
  </sheetViews>
  <sheetFormatPr baseColWidth="8" defaultColWidth="9" defaultRowHeight="15.6"/>
  <cols>
    <col width="40.3984375" customWidth="1" style="51" min="1" max="1"/>
    <col width="21.3984375" customWidth="1" style="51" min="2" max="2"/>
    <col width="21.5" customWidth="1" style="51" min="3" max="3"/>
    <col width="20.59765625" customWidth="1" style="51" min="4" max="4"/>
    <col width="21.3984375" customWidth="1" style="51" min="5" max="5"/>
    <col width="9" customWidth="1" style="51" min="6" max="16384"/>
  </cols>
  <sheetData>
    <row r="1" ht="20.1" customFormat="1" customHeight="1" s="318">
      <c r="A1" s="281" t="inlineStr">
        <is>
          <t>致同会计师事务所</t>
        </is>
      </c>
      <c r="F1" s="94" t="n"/>
      <c r="G1" s="94" t="n"/>
      <c r="H1" s="94" t="n"/>
      <c r="I1" s="94" t="n"/>
      <c r="J1" s="94" t="n"/>
      <c r="K1" s="94" t="n"/>
    </row>
    <row r="2" ht="24.9" customFormat="1" customHeight="1" s="318">
      <c r="A2" s="316" t="inlineStr">
        <is>
          <t>附注披露信息（上市公司）</t>
        </is>
      </c>
      <c r="F2" s="348" t="n"/>
      <c r="G2" s="348" t="n"/>
      <c r="H2" s="348" t="n"/>
      <c r="I2" s="348" t="n"/>
      <c r="J2" s="348" t="n"/>
      <c r="K2" s="348" t="n"/>
    </row>
    <row r="3" ht="20.1" customFormat="1" customHeight="1" s="318">
      <c r="A3" s="314">
        <f>底稿目录!A2</f>
        <v/>
      </c>
      <c r="B3" s="314">
        <f>底稿目录!A4</f>
        <v/>
      </c>
      <c r="D3" s="314">
        <f>底稿目录!A5</f>
        <v/>
      </c>
      <c r="E3" s="318" t="inlineStr">
        <is>
          <t>索引：</t>
        </is>
      </c>
      <c r="H3" s="314" t="n"/>
      <c r="I3" s="314" t="n"/>
      <c r="K3" s="314" t="n"/>
    </row>
    <row r="4" ht="20.1" customFormat="1" customHeight="1" s="318">
      <c r="A4" s="314">
        <f>底稿目录!A3</f>
        <v/>
      </c>
      <c r="B4" s="314">
        <f>底稿目录!A6</f>
        <v/>
      </c>
      <c r="D4" s="314">
        <f>底稿目录!A7</f>
        <v/>
      </c>
      <c r="E4" s="314" t="inlineStr">
        <is>
          <t>页次：1</t>
        </is>
      </c>
      <c r="H4" s="314" t="n"/>
      <c r="I4" s="314" t="n"/>
      <c r="K4" s="102" t="n"/>
    </row>
    <row r="5" ht="20.1" customFormat="1" customHeight="1" s="318">
      <c r="A5" s="314" t="n"/>
      <c r="B5" s="314" t="n"/>
      <c r="D5" s="314" t="n"/>
      <c r="E5" s="314" t="n"/>
      <c r="H5" s="314" t="n"/>
      <c r="I5" s="314" t="n"/>
      <c r="K5" s="102" t="n"/>
    </row>
    <row r="6" ht="20.1" customHeight="1" s="301">
      <c r="A6" s="96" t="inlineStr">
        <is>
          <t>附注披露信息：</t>
        </is>
      </c>
    </row>
    <row r="7" ht="20.1" customHeight="1" s="301">
      <c r="A7" s="96" t="n"/>
    </row>
    <row r="8" ht="20.1" customHeight="1" s="301">
      <c r="A8" s="96" t="inlineStr">
        <is>
          <t>递延所得税资产与递延所得税负债</t>
        </is>
      </c>
      <c r="B8" s="51" t="n"/>
      <c r="C8" s="51" t="n"/>
      <c r="D8" s="51" t="n"/>
      <c r="E8" s="51" t="n"/>
    </row>
    <row r="9" ht="20.1" customHeight="1" s="301">
      <c r="A9" s="56" t="inlineStr">
        <is>
          <t>（1）未经抵销的递延所得税资产和递延所得税负债</t>
        </is>
      </c>
      <c r="B9" s="51" t="n"/>
      <c r="C9" s="51" t="n"/>
      <c r="D9" s="51" t="n"/>
      <c r="E9" s="51" t="n"/>
    </row>
    <row r="10" ht="20.1" customHeight="1" s="301">
      <c r="A10" s="98" t="inlineStr">
        <is>
          <t>项  目</t>
        </is>
      </c>
      <c r="B10" s="282" t="inlineStr">
        <is>
          <t>期末余额</t>
        </is>
      </c>
      <c r="C10" s="349" t="n"/>
      <c r="D10" s="282" t="inlineStr">
        <is>
          <t>上年年末余额</t>
        </is>
      </c>
      <c r="E10" s="349" t="n"/>
    </row>
    <row r="11" ht="35.25" customHeight="1" s="301">
      <c r="A11" s="350" t="n"/>
      <c r="B11" s="60" t="inlineStr">
        <is>
          <t>可抵扣/应纳税暂时性差异</t>
        </is>
      </c>
      <c r="C11" s="60" t="inlineStr">
        <is>
          <t>递延所得税资产/负债</t>
        </is>
      </c>
      <c r="D11" s="60" t="inlineStr">
        <is>
          <t>可抵扣/应纳税暂时性差异</t>
        </is>
      </c>
      <c r="E11" s="60" t="inlineStr">
        <is>
          <t>递延所得税资产/负债</t>
        </is>
      </c>
    </row>
    <row r="12" ht="20.1" customHeight="1" s="301">
      <c r="A12" s="278" t="inlineStr">
        <is>
          <t>递延所得税资产：</t>
        </is>
      </c>
      <c r="B12" s="349" t="n"/>
      <c r="C12" s="349" t="n"/>
      <c r="D12" s="349" t="n"/>
      <c r="E12" s="349" t="n"/>
    </row>
    <row r="13" ht="20.1" customHeight="1" s="301">
      <c r="A13" s="63" t="inlineStr">
        <is>
          <t>资产减值准备</t>
        </is>
      </c>
      <c r="B13" s="351" t="n"/>
      <c r="C13" s="351" t="n"/>
      <c r="D13" s="351" t="n"/>
      <c r="E13" s="351" t="n"/>
    </row>
    <row r="14" ht="20.1" customHeight="1" s="301">
      <c r="A14" s="63" t="inlineStr">
        <is>
          <t>可抵扣亏损</t>
        </is>
      </c>
      <c r="B14" s="351" t="n"/>
      <c r="C14" s="351" t="n"/>
      <c r="D14" s="351" t="n"/>
      <c r="E14" s="351" t="n"/>
    </row>
    <row r="15" ht="20.1" customHeight="1" s="301">
      <c r="A15" s="63" t="inlineStr">
        <is>
          <t>内部交易未实现利润</t>
        </is>
      </c>
      <c r="B15" s="351" t="n"/>
      <c r="C15" s="351" t="n"/>
      <c r="D15" s="351" t="n"/>
      <c r="E15" s="351" t="n"/>
    </row>
    <row r="16" ht="20.1" customHeight="1" s="301">
      <c r="A16" s="63" t="inlineStr">
        <is>
          <t>公允价值变动</t>
        </is>
      </c>
      <c r="B16" s="351" t="n"/>
      <c r="C16" s="351" t="n"/>
      <c r="D16" s="351" t="n"/>
      <c r="E16" s="351" t="n"/>
    </row>
    <row r="17" ht="20.1" customHeight="1" s="301">
      <c r="A17" s="63" t="inlineStr">
        <is>
          <t>租赁负债</t>
        </is>
      </c>
      <c r="B17" s="351" t="n"/>
      <c r="C17" s="351" t="n"/>
      <c r="D17" s="351" t="n"/>
      <c r="E17" s="351" t="n"/>
    </row>
    <row r="18" ht="20.1" customHeight="1" s="301">
      <c r="A18" s="63" t="inlineStr">
        <is>
          <t>购入摊销年限小于税法规定的资产</t>
        </is>
      </c>
      <c r="B18" s="351" t="n"/>
      <c r="C18" s="351" t="n"/>
      <c r="D18" s="351" t="n"/>
      <c r="E18" s="351" t="n"/>
    </row>
    <row r="19" ht="20.1" customHeight="1" s="301">
      <c r="A19" s="63" t="inlineStr">
        <is>
          <t>其他</t>
        </is>
      </c>
      <c r="B19" s="351" t="n"/>
      <c r="C19" s="351" t="n"/>
      <c r="D19" s="351" t="n"/>
      <c r="E19" s="351" t="n"/>
    </row>
    <row r="20" ht="20.1" customHeight="1" s="301">
      <c r="A20" s="63" t="n"/>
      <c r="B20" s="351" t="n"/>
      <c r="C20" s="351" t="n"/>
      <c r="D20" s="351" t="n"/>
      <c r="E20" s="351" t="n"/>
    </row>
    <row r="21" ht="20.1" customHeight="1" s="301">
      <c r="A21" s="280" t="inlineStr">
        <is>
          <t>小  计</t>
        </is>
      </c>
      <c r="B21" s="352">
        <f>SUM(B13:B20)</f>
        <v/>
      </c>
      <c r="C21" s="352">
        <f>SUM(C13:C20)</f>
        <v/>
      </c>
      <c r="D21" s="352">
        <f>SUM(D13:D20)</f>
        <v/>
      </c>
      <c r="E21" s="352">
        <f>SUM(E13:E20)</f>
        <v/>
      </c>
    </row>
    <row r="22" ht="20.1" customHeight="1" s="301">
      <c r="A22" s="278" t="inlineStr">
        <is>
          <t>递延所得税负债：</t>
        </is>
      </c>
      <c r="B22" s="349" t="n"/>
      <c r="C22" s="349" t="n"/>
      <c r="D22" s="349" t="n"/>
      <c r="E22" s="349" t="n"/>
      <c r="F22" s="353" t="inlineStr">
        <is>
          <t>递延所得税负债数据来源于递延所得税负债底稿</t>
        </is>
      </c>
      <c r="G22" s="353" t="n"/>
    </row>
    <row r="23" ht="20.1" customHeight="1" s="301">
      <c r="A23" s="63" t="inlineStr">
        <is>
          <t>购入摊销年限大于税法规定的资产</t>
        </is>
      </c>
      <c r="B23" s="354" t="n"/>
      <c r="C23" s="354" t="n"/>
      <c r="D23" s="354" t="n"/>
      <c r="E23" s="354" t="n"/>
    </row>
    <row r="24" ht="20.1" customHeight="1" s="301">
      <c r="A24" s="63" t="inlineStr">
        <is>
          <t>可供出售金融资产公允价值变动</t>
        </is>
      </c>
      <c r="B24" s="354" t="n"/>
      <c r="C24" s="354" t="n"/>
      <c r="D24" s="354" t="n"/>
      <c r="E24" s="354" t="n"/>
    </row>
    <row r="25" ht="20.1" customHeight="1" s="301">
      <c r="A25" s="63" t="inlineStr">
        <is>
          <t>投资性房地产公允价值变动</t>
        </is>
      </c>
      <c r="B25" s="354" t="n"/>
      <c r="C25" s="354" t="n"/>
      <c r="D25" s="354" t="n"/>
      <c r="E25" s="354" t="n"/>
    </row>
    <row r="26" ht="20.1" customHeight="1" s="301">
      <c r="A26" s="63" t="inlineStr">
        <is>
          <t>使用权资产</t>
        </is>
      </c>
      <c r="B26" s="354" t="n"/>
      <c r="C26" s="354" t="n"/>
      <c r="D26" s="354" t="n"/>
      <c r="E26" s="354" t="n"/>
    </row>
    <row r="27" ht="20.1" customHeight="1" s="301">
      <c r="A27" s="63" t="inlineStr">
        <is>
          <t>其他</t>
        </is>
      </c>
      <c r="B27" s="354" t="n"/>
      <c r="C27" s="354" t="n"/>
      <c r="D27" s="354" t="n"/>
      <c r="E27" s="354" t="n"/>
    </row>
    <row r="28" ht="20.1" customHeight="1" s="301">
      <c r="A28" s="61" t="n"/>
      <c r="B28" s="354" t="n"/>
      <c r="C28" s="354" t="n"/>
      <c r="D28" s="354" t="n"/>
      <c r="E28" s="354" t="n"/>
    </row>
    <row r="29" ht="20.1" customHeight="1" s="301">
      <c r="A29" s="280" t="inlineStr">
        <is>
          <t>小计</t>
        </is>
      </c>
      <c r="B29" s="352">
        <f>SUM(B23:B28)</f>
        <v/>
      </c>
      <c r="C29" s="352">
        <f>SUM(C23:C28)</f>
        <v/>
      </c>
      <c r="D29" s="352">
        <f>SUM(D23:D28)</f>
        <v/>
      </c>
      <c r="E29" s="352">
        <f>SUM(E23:E28)</f>
        <v/>
      </c>
    </row>
    <row r="30" ht="20.1" customHeight="1" s="301">
      <c r="A30" s="97" t="inlineStr">
        <is>
          <t>说明：其中一年后预期转回的递延所得税资产和递延所得税负债分别为X.XX元、X.XX元。</t>
        </is>
      </c>
      <c r="B30" s="354" t="n"/>
      <c r="C30" s="354" t="n"/>
      <c r="D30" s="354" t="n"/>
      <c r="E30" s="354" t="n"/>
    </row>
    <row r="31" ht="20.1" customHeight="1" s="301">
      <c r="A31" s="97" t="inlineStr">
        <is>
          <t>【提示：连续亏损的情况下，仍将较大金额的未抵扣亏损确认递延所得税资产，对当期净利润影响较大，甚至扭亏为盈，应当披露相关判断依据】</t>
        </is>
      </c>
      <c r="B31" s="354" t="n"/>
      <c r="C31" s="354" t="n"/>
      <c r="D31" s="354" t="n"/>
      <c r="E31" s="354" t="n"/>
    </row>
    <row r="32" ht="20.1" customHeight="1" s="301">
      <c r="A32" s="97" t="inlineStr">
        <is>
          <t>【提示：产生递延所得税资产的资产减值准备中包括持有待售资产的资产减值准备。】</t>
        </is>
      </c>
      <c r="B32" s="51" t="n"/>
      <c r="C32" s="51" t="n"/>
      <c r="D32" s="51" t="n"/>
      <c r="E32" s="51" t="n"/>
    </row>
    <row r="33" ht="20.1" customHeight="1" s="301">
      <c r="A33" s="56" t="inlineStr">
        <is>
          <t>（2）以抵销后净额列示的递延所得税资产或负债（不适用的删除）</t>
        </is>
      </c>
      <c r="B33" s="51" t="n"/>
      <c r="C33" s="51" t="n"/>
      <c r="D33" s="51" t="n"/>
      <c r="E33" s="51" t="n"/>
    </row>
    <row r="34" ht="37.5" customHeight="1" s="301">
      <c r="A34" s="98" t="inlineStr">
        <is>
          <t>项  目</t>
        </is>
      </c>
      <c r="B34" s="72" t="inlineStr">
        <is>
          <t>递延所得税资产和负债期末互抵金额</t>
        </is>
      </c>
      <c r="C34" s="72" t="inlineStr">
        <is>
          <t>抵销后递延所得税资产或负债期末余额</t>
        </is>
      </c>
      <c r="D34" s="72" t="inlineStr">
        <is>
          <t>递延所得税资产和负债期初互抵金额</t>
        </is>
      </c>
      <c r="E34" s="72" t="inlineStr">
        <is>
          <t>抵销后递延所得税资产或负债期初余额</t>
        </is>
      </c>
    </row>
    <row r="35" ht="20.1" customHeight="1" s="301">
      <c r="A35" s="63" t="inlineStr">
        <is>
          <t>递延所得税资产</t>
        </is>
      </c>
      <c r="B35" s="99" t="n"/>
      <c r="C35" s="99" t="n"/>
      <c r="D35" s="99" t="n"/>
      <c r="E35" s="99" t="n"/>
    </row>
    <row r="36" ht="20.1" customHeight="1" s="301">
      <c r="A36" s="74" t="inlineStr">
        <is>
          <t>递延所得税负债</t>
        </is>
      </c>
      <c r="B36" s="100" t="n"/>
      <c r="C36" s="100" t="n"/>
      <c r="D36" s="100" t="n"/>
      <c r="E36" s="100" t="n"/>
    </row>
    <row r="37" ht="20.1" customHeight="1" s="301">
      <c r="A37" s="56" t="inlineStr">
        <is>
          <t>（3）未确认递延所得税资产的可抵扣暂时性差异及可抵扣亏损明细</t>
        </is>
      </c>
      <c r="B37" s="51" t="n"/>
      <c r="C37" s="51" t="n"/>
      <c r="D37" s="51" t="n"/>
      <c r="E37" s="51" t="n"/>
    </row>
    <row r="38" ht="20.1" customHeight="1" s="301">
      <c r="A38" s="98" t="inlineStr">
        <is>
          <t>项  目</t>
        </is>
      </c>
      <c r="B38" s="73" t="inlineStr">
        <is>
          <t>期末余额</t>
        </is>
      </c>
      <c r="C38" s="73" t="inlineStr">
        <is>
          <t>上年年末余额</t>
        </is>
      </c>
      <c r="D38" s="51" t="n"/>
      <c r="E38" s="51" t="n"/>
    </row>
    <row r="39" ht="20.1" customHeight="1" s="301">
      <c r="A39" s="63" t="inlineStr">
        <is>
          <t>可抵扣暂时性差异</t>
        </is>
      </c>
      <c r="B39" s="351" t="n"/>
      <c r="C39" s="351" t="n"/>
      <c r="D39" s="51" t="n"/>
      <c r="E39" s="51" t="n"/>
    </row>
    <row r="40" ht="20.1" customHeight="1" s="301">
      <c r="A40" s="63" t="inlineStr">
        <is>
          <t>可抵扣亏损</t>
        </is>
      </c>
      <c r="B40" s="351" t="n"/>
      <c r="C40" s="351" t="n"/>
      <c r="D40" s="51" t="n"/>
      <c r="E40" s="51" t="n"/>
    </row>
    <row r="41" ht="20.1" customHeight="1" s="301">
      <c r="A41" s="78" t="n"/>
      <c r="B41" s="88" t="n"/>
      <c r="C41" s="88" t="n"/>
      <c r="D41" s="51" t="n"/>
      <c r="E41" s="51" t="n"/>
    </row>
    <row r="42" ht="20.1" customHeight="1" s="301">
      <c r="A42" s="280" t="inlineStr">
        <is>
          <t>合  计</t>
        </is>
      </c>
      <c r="B42" s="352">
        <f>B39+B40</f>
        <v/>
      </c>
      <c r="C42" s="352">
        <f>C39+C40</f>
        <v/>
      </c>
      <c r="D42" s="51" t="n"/>
      <c r="E42" s="51" t="n"/>
    </row>
    <row r="43" ht="20.1" customHeight="1" s="301">
      <c r="A43" s="58" t="inlineStr">
        <is>
          <t>注：列示由于未来能否获得足够的应纳税所得额具有不确定性，因此没有确认为递延所得税资产的可抵扣暂时性差异和可抵扣亏损。</t>
        </is>
      </c>
      <c r="B43" s="51" t="n"/>
      <c r="C43" s="51" t="n"/>
      <c r="D43" s="51" t="n"/>
      <c r="E43" s="51" t="n"/>
    </row>
    <row r="44" ht="20.1" customHeight="1" s="301">
      <c r="A44" s="56" t="inlineStr">
        <is>
          <t>（4）未确认递延所得税资产的可抵扣亏损将于以下年度到期</t>
        </is>
      </c>
      <c r="B44" s="51" t="n"/>
      <c r="C44" s="51" t="n"/>
      <c r="D44" s="51" t="n"/>
      <c r="E44" s="51" t="n"/>
    </row>
    <row r="45" ht="20.1" customHeight="1" s="301">
      <c r="A45" s="98" t="inlineStr">
        <is>
          <t>年  份</t>
        </is>
      </c>
      <c r="B45" s="73" t="inlineStr">
        <is>
          <t>期末余额</t>
        </is>
      </c>
      <c r="C45" s="73" t="inlineStr">
        <is>
          <t>上年年末余额</t>
        </is>
      </c>
      <c r="D45" s="73" t="inlineStr">
        <is>
          <t>备注</t>
        </is>
      </c>
      <c r="E45" s="51" t="n"/>
    </row>
    <row r="46" ht="20.1" customHeight="1" s="301">
      <c r="A46" s="77" t="inlineStr">
        <is>
          <t>2022年</t>
        </is>
      </c>
      <c r="B46" s="83" t="inlineStr">
        <is>
          <t>——</t>
        </is>
      </c>
      <c r="C46" s="351" t="n"/>
      <c r="D46" s="84" t="n"/>
      <c r="E46" s="51" t="n"/>
    </row>
    <row r="47" ht="20.1" customHeight="1" s="301">
      <c r="A47" s="77" t="inlineStr">
        <is>
          <t>2023年</t>
        </is>
      </c>
      <c r="B47" s="351" t="n"/>
      <c r="C47" s="351" t="n"/>
      <c r="D47" s="84" t="n"/>
      <c r="E47" s="51" t="n"/>
    </row>
    <row r="48" ht="20.1" customHeight="1" s="301">
      <c r="A48" s="77" t="inlineStr">
        <is>
          <t>2024年</t>
        </is>
      </c>
      <c r="B48" s="351" t="n"/>
      <c r="C48" s="351" t="n"/>
      <c r="D48" s="84" t="n"/>
      <c r="E48" s="51" t="n"/>
    </row>
    <row r="49" ht="20.1" customHeight="1" s="301">
      <c r="A49" s="77" t="inlineStr">
        <is>
          <t>2025年</t>
        </is>
      </c>
      <c r="B49" s="351" t="n"/>
      <c r="C49" s="351" t="n"/>
      <c r="D49" s="84" t="n"/>
      <c r="E49" s="51" t="n"/>
    </row>
    <row r="50" ht="20.1" customHeight="1" s="301">
      <c r="A50" s="77" t="inlineStr">
        <is>
          <t>2026年</t>
        </is>
      </c>
      <c r="B50" s="351" t="n"/>
      <c r="C50" s="351" t="n"/>
      <c r="D50" s="84" t="n"/>
      <c r="E50" s="51" t="n"/>
    </row>
    <row r="51" ht="20.1" customHeight="1" s="301">
      <c r="A51" s="77" t="inlineStr">
        <is>
          <t>2027年</t>
        </is>
      </c>
      <c r="B51" s="351" t="n"/>
      <c r="C51" s="87" t="inlineStr">
        <is>
          <t>——</t>
        </is>
      </c>
      <c r="D51" s="84" t="n"/>
      <c r="E51" s="51" t="n"/>
    </row>
    <row r="52" ht="20.1" customHeight="1" s="301">
      <c r="A52" s="355" t="inlineStr">
        <is>
          <t>合  计</t>
        </is>
      </c>
      <c r="B52" s="355">
        <f>SUM(B46:B51)</f>
        <v/>
      </c>
      <c r="C52" s="355">
        <f>SUM(C46:C51)</f>
        <v/>
      </c>
      <c r="D52" s="101" t="n"/>
      <c r="E52" s="51" t="n"/>
    </row>
    <row r="53" ht="20.1" customHeight="1" s="301">
      <c r="A53" s="58" t="inlineStr">
        <is>
          <t>注：无法在资产负债表日确定全部可抵扣亏损情况的，可只填写能确定部分的金额及其到期年度，并在备注栏予以说明。</t>
        </is>
      </c>
      <c r="B53" s="354" t="n"/>
      <c r="C53" s="354" t="n"/>
      <c r="D53" s="62" t="n"/>
      <c r="E53" s="51" t="n"/>
    </row>
    <row r="54" ht="20.1" customHeight="1" s="301">
      <c r="A54" s="51" t="n"/>
      <c r="B54" s="92">
        <f>B40=B52</f>
        <v/>
      </c>
      <c r="C54" s="92">
        <f>C40=C52</f>
        <v/>
      </c>
      <c r="D54" s="51" t="n"/>
      <c r="E54" s="51" t="n"/>
    </row>
  </sheetData>
  <mergeCells count="7">
    <mergeCell ref="A12:E12"/>
    <mergeCell ref="D10:E10"/>
    <mergeCell ref="A2:E2"/>
    <mergeCell ref="B10:C10"/>
    <mergeCell ref="A1:E1"/>
    <mergeCell ref="A10:A11"/>
    <mergeCell ref="A22:E22"/>
  </mergeCells>
  <pageMargins left="0.708333333333333" right="0.708333333333333" top="0.747916666666667" bottom="0.747916666666667" header="0.314583333333333" footer="0.314583333333333"/>
  <pageSetup orientation="portrait" paperSize="9" scale="65" blackAndWhite="1" horizontalDpi="300" verticalDpi="300"/>
  <headerFooter>
    <oddHeader/>
    <oddFooter>&amp;C&amp;P/&amp;N</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V74"/>
  <sheetViews>
    <sheetView view="pageBreakPreview" topLeftCell="A64" zoomScaleNormal="100" workbookViewId="0">
      <selection activeCell="C86" sqref="C86"/>
    </sheetView>
  </sheetViews>
  <sheetFormatPr baseColWidth="8" defaultColWidth="9" defaultRowHeight="15.6"/>
  <cols>
    <col width="32.5" customWidth="1" style="51" min="1" max="1"/>
    <col width="22.69921875" customWidth="1" style="51" min="2" max="2"/>
    <col width="25.8984375" customWidth="1" style="51" min="3" max="3"/>
    <col width="22.69921875" customWidth="1" style="51" min="4" max="4"/>
    <col width="26.3984375" customWidth="1" style="51" min="5" max="5"/>
    <col width="9" customWidth="1" style="51" min="6" max="7"/>
    <col width="13.3984375" customWidth="1" style="51" min="8" max="8"/>
    <col width="9" customWidth="1" style="51" min="9" max="16384"/>
  </cols>
  <sheetData>
    <row r="1" ht="20.1" customHeight="1" s="301">
      <c r="A1" s="283" t="inlineStr">
        <is>
          <t>致同会计师事务所</t>
        </is>
      </c>
      <c r="B1" s="0" t="n"/>
      <c r="C1" s="0" t="n"/>
      <c r="D1" s="0" t="n"/>
      <c r="E1" s="0" t="n"/>
      <c r="F1" s="52" t="n"/>
      <c r="G1" s="52" t="n"/>
      <c r="H1" s="52" t="n"/>
      <c r="I1" s="52" t="n"/>
      <c r="J1" s="52" t="n"/>
      <c r="K1" s="52" t="n"/>
      <c r="L1" s="52" t="n"/>
      <c r="M1" s="52" t="n"/>
      <c r="N1" s="52" t="n"/>
      <c r="O1" s="53" t="n"/>
      <c r="P1" s="53" t="n"/>
      <c r="Q1" s="53" t="n"/>
      <c r="R1" s="53" t="n"/>
      <c r="S1" s="53" t="n"/>
      <c r="T1" s="53" t="n"/>
      <c r="U1" s="53" t="n"/>
      <c r="V1" s="53" t="n"/>
      <c r="W1" s="53" t="n"/>
      <c r="X1" s="53" t="n"/>
      <c r="Y1" s="53" t="n"/>
      <c r="Z1" s="53" t="n"/>
      <c r="AA1" s="53" t="n"/>
      <c r="AB1" s="53" t="n"/>
      <c r="AC1" s="53" t="n"/>
      <c r="AD1" s="53" t="n"/>
      <c r="AE1" s="53" t="n"/>
      <c r="AF1" s="53" t="n"/>
      <c r="AG1" s="53" t="n"/>
      <c r="AH1" s="53" t="n"/>
      <c r="AI1" s="53" t="n"/>
      <c r="AJ1" s="53" t="n"/>
      <c r="AK1" s="53" t="n"/>
      <c r="AL1" s="53" t="n"/>
      <c r="AM1" s="53" t="n"/>
      <c r="AN1" s="53" t="n"/>
      <c r="AO1" s="53" t="n"/>
      <c r="AP1" s="53" t="n"/>
      <c r="AQ1" s="53" t="n"/>
      <c r="AR1" s="53" t="n"/>
      <c r="AS1" s="53" t="n"/>
      <c r="AT1" s="53" t="n"/>
      <c r="AU1" s="53" t="n"/>
      <c r="AV1" s="53" t="n"/>
      <c r="AW1" s="53" t="n"/>
      <c r="AX1" s="53" t="n"/>
      <c r="AY1" s="53" t="n"/>
      <c r="AZ1" s="53" t="n"/>
      <c r="BA1" s="53" t="n"/>
      <c r="BB1" s="53" t="n"/>
      <c r="BC1" s="53" t="n"/>
      <c r="BD1" s="53" t="n"/>
      <c r="BE1" s="53" t="n"/>
      <c r="BF1" s="53" t="n"/>
      <c r="BG1" s="53" t="n"/>
      <c r="BH1" s="53" t="n"/>
      <c r="BI1" s="53" t="n"/>
      <c r="BJ1" s="53" t="n"/>
      <c r="BK1" s="53" t="n"/>
      <c r="BL1" s="53" t="n"/>
      <c r="BM1" s="53" t="n"/>
      <c r="BN1" s="53" t="n"/>
      <c r="BO1" s="53" t="n"/>
      <c r="BP1" s="53" t="n"/>
      <c r="BQ1" s="53" t="n"/>
      <c r="BR1" s="53" t="n"/>
      <c r="BS1" s="53" t="n"/>
      <c r="BT1" s="53" t="n"/>
      <c r="BU1" s="53" t="n"/>
      <c r="BV1" s="53" t="n"/>
      <c r="BW1" s="53" t="n"/>
      <c r="BX1" s="53" t="n"/>
      <c r="BY1" s="53" t="n"/>
      <c r="BZ1" s="53" t="n"/>
      <c r="CA1" s="53" t="n"/>
      <c r="CB1" s="53" t="n"/>
      <c r="CC1" s="53" t="n"/>
      <c r="CD1" s="53" t="n"/>
      <c r="CE1" s="53" t="n"/>
      <c r="CF1" s="53" t="n"/>
      <c r="CG1" s="53" t="n"/>
      <c r="CH1" s="53" t="n"/>
      <c r="CI1" s="53" t="n"/>
      <c r="CJ1" s="53" t="n"/>
      <c r="CK1" s="53" t="n"/>
      <c r="CL1" s="53" t="n"/>
      <c r="CM1" s="53" t="n"/>
      <c r="CN1" s="53" t="n"/>
      <c r="CO1" s="53" t="n"/>
      <c r="CP1" s="53" t="n"/>
      <c r="CQ1" s="53" t="n"/>
      <c r="CR1" s="53" t="n"/>
      <c r="CS1" s="53" t="n"/>
      <c r="CT1" s="53" t="n"/>
      <c r="CU1" s="53" t="n"/>
      <c r="CV1" s="53" t="n"/>
      <c r="CW1" s="53" t="n"/>
      <c r="CX1" s="53" t="n"/>
      <c r="CY1" s="53" t="n"/>
      <c r="CZ1" s="53" t="n"/>
      <c r="DA1" s="53" t="n"/>
      <c r="DB1" s="53" t="n"/>
      <c r="DC1" s="53" t="n"/>
      <c r="DD1" s="53" t="n"/>
      <c r="DE1" s="53" t="n"/>
      <c r="DF1" s="53" t="n"/>
      <c r="DG1" s="53" t="n"/>
      <c r="DH1" s="53" t="n"/>
      <c r="DI1" s="53" t="n"/>
      <c r="DJ1" s="53" t="n"/>
      <c r="DK1" s="53" t="n"/>
      <c r="DL1" s="53" t="n"/>
      <c r="DM1" s="53" t="n"/>
      <c r="DN1" s="53" t="n"/>
      <c r="DO1" s="53" t="n"/>
      <c r="DP1" s="53" t="n"/>
      <c r="DQ1" s="53" t="n"/>
      <c r="DR1" s="53" t="n"/>
      <c r="DS1" s="53" t="n"/>
      <c r="DT1" s="53" t="n"/>
      <c r="DU1" s="53" t="n"/>
      <c r="DV1" s="53" t="n"/>
      <c r="DW1" s="53" t="n"/>
      <c r="DX1" s="53" t="n"/>
      <c r="DY1" s="53" t="n"/>
      <c r="DZ1" s="53" t="n"/>
      <c r="EA1" s="53" t="n"/>
      <c r="EB1" s="53" t="n"/>
      <c r="EC1" s="53" t="n"/>
      <c r="ED1" s="53" t="n"/>
      <c r="EE1" s="53" t="n"/>
      <c r="EF1" s="53" t="n"/>
      <c r="EG1" s="53" t="n"/>
      <c r="EH1" s="53" t="n"/>
      <c r="EI1" s="53" t="n"/>
      <c r="EJ1" s="53" t="n"/>
      <c r="EK1" s="53" t="n"/>
      <c r="EL1" s="53" t="n"/>
      <c r="EM1" s="53" t="n"/>
      <c r="EN1" s="53" t="n"/>
      <c r="EO1" s="53" t="n"/>
      <c r="EP1" s="53" t="n"/>
      <c r="EQ1" s="53" t="n"/>
      <c r="ER1" s="53" t="n"/>
      <c r="ES1" s="53" t="n"/>
      <c r="ET1" s="53" t="n"/>
      <c r="EU1" s="53" t="n"/>
      <c r="EV1" s="53" t="n"/>
      <c r="EW1" s="53" t="n"/>
      <c r="EX1" s="53" t="n"/>
      <c r="EY1" s="53" t="n"/>
      <c r="EZ1" s="53" t="n"/>
      <c r="FA1" s="53" t="n"/>
      <c r="FB1" s="53" t="n"/>
      <c r="FC1" s="53" t="n"/>
      <c r="FD1" s="53" t="n"/>
      <c r="FE1" s="53" t="n"/>
      <c r="FF1" s="53" t="n"/>
      <c r="FG1" s="53" t="n"/>
      <c r="FH1" s="53" t="n"/>
      <c r="FI1" s="53" t="n"/>
      <c r="FJ1" s="53" t="n"/>
      <c r="FK1" s="53" t="n"/>
      <c r="FL1" s="53" t="n"/>
      <c r="FM1" s="53" t="n"/>
      <c r="FN1" s="53" t="n"/>
      <c r="FO1" s="53" t="n"/>
      <c r="FP1" s="53" t="n"/>
      <c r="FQ1" s="53" t="n"/>
      <c r="FR1" s="53" t="n"/>
      <c r="FS1" s="53" t="n"/>
      <c r="FT1" s="53" t="n"/>
      <c r="FU1" s="53" t="n"/>
      <c r="FV1" s="53" t="n"/>
      <c r="FW1" s="53" t="n"/>
      <c r="FX1" s="53" t="n"/>
      <c r="FY1" s="53" t="n"/>
      <c r="FZ1" s="53" t="n"/>
      <c r="GA1" s="53" t="n"/>
      <c r="GB1" s="53" t="n"/>
      <c r="GC1" s="53" t="n"/>
      <c r="GD1" s="53" t="n"/>
      <c r="GE1" s="53" t="n"/>
      <c r="GF1" s="53" t="n"/>
      <c r="GG1" s="53" t="n"/>
      <c r="GH1" s="53" t="n"/>
      <c r="GI1" s="53" t="n"/>
      <c r="GJ1" s="53" t="n"/>
      <c r="GK1" s="53" t="n"/>
      <c r="GL1" s="53" t="n"/>
      <c r="GM1" s="53" t="n"/>
      <c r="GN1" s="53" t="n"/>
      <c r="GO1" s="53" t="n"/>
      <c r="GP1" s="53" t="n"/>
      <c r="GQ1" s="53" t="n"/>
      <c r="GR1" s="53" t="n"/>
      <c r="GS1" s="53" t="n"/>
      <c r="GT1" s="53" t="n"/>
      <c r="GU1" s="53" t="n"/>
      <c r="GV1" s="53" t="n"/>
      <c r="GW1" s="53" t="n"/>
      <c r="GX1" s="53" t="n"/>
      <c r="GY1" s="53" t="n"/>
      <c r="GZ1" s="53" t="n"/>
      <c r="HA1" s="53" t="n"/>
      <c r="HB1" s="53" t="n"/>
      <c r="HC1" s="53" t="n"/>
      <c r="HD1" s="53" t="n"/>
      <c r="HE1" s="53" t="n"/>
      <c r="HF1" s="53" t="n"/>
      <c r="HG1" s="53" t="n"/>
      <c r="HH1" s="53" t="n"/>
      <c r="HI1" s="53" t="n"/>
      <c r="HJ1" s="53" t="n"/>
      <c r="HK1" s="53" t="n"/>
      <c r="HL1" s="53" t="n"/>
      <c r="HM1" s="53" t="n"/>
      <c r="HN1" s="53" t="n"/>
      <c r="HO1" s="53" t="n"/>
      <c r="HP1" s="53" t="n"/>
      <c r="HQ1" s="53" t="n"/>
      <c r="HR1" s="53" t="n"/>
      <c r="HS1" s="53" t="n"/>
      <c r="HT1" s="53" t="n"/>
      <c r="HU1" s="53" t="n"/>
      <c r="HV1" s="53" t="n"/>
      <c r="HW1" s="53" t="n"/>
      <c r="HX1" s="53" t="n"/>
      <c r="HY1" s="53" t="n"/>
      <c r="HZ1" s="53" t="n"/>
      <c r="IA1" s="53" t="n"/>
      <c r="IB1" s="53" t="n"/>
      <c r="IC1" s="53" t="n"/>
      <c r="ID1" s="53" t="n"/>
      <c r="IE1" s="53" t="n"/>
      <c r="IF1" s="53" t="n"/>
      <c r="IG1" s="53" t="n"/>
      <c r="IH1" s="53" t="n"/>
      <c r="II1" s="53" t="n"/>
      <c r="IJ1" s="53" t="n"/>
      <c r="IK1" s="53" t="n"/>
      <c r="IL1" s="53" t="n"/>
      <c r="IM1" s="53" t="n"/>
      <c r="IN1" s="53" t="n"/>
      <c r="IO1" s="53" t="n"/>
      <c r="IP1" s="53" t="n"/>
      <c r="IQ1" s="53" t="n"/>
      <c r="IR1" s="53" t="n"/>
      <c r="IS1" s="53" t="n"/>
      <c r="IT1" s="53" t="n"/>
      <c r="IU1" s="53" t="n"/>
      <c r="IV1" s="53" t="n"/>
    </row>
    <row r="2" ht="24.9" customHeight="1" s="301">
      <c r="A2" s="284" t="inlineStr">
        <is>
          <t>附注披露信息（国企）</t>
        </is>
      </c>
      <c r="B2" s="0" t="n"/>
      <c r="C2" s="0" t="n"/>
      <c r="D2" s="0" t="n"/>
      <c r="E2" s="0" t="n"/>
      <c r="F2" s="53" t="n"/>
      <c r="G2" s="53" t="n"/>
      <c r="H2" s="53" t="n"/>
      <c r="I2" s="53" t="n"/>
      <c r="J2" s="53" t="n"/>
      <c r="K2" s="53" t="n"/>
      <c r="L2" s="53" t="n"/>
      <c r="M2" s="53" t="n"/>
      <c r="N2" s="53" t="n"/>
      <c r="O2" s="53" t="n"/>
      <c r="P2" s="53" t="n"/>
      <c r="Q2" s="53" t="n"/>
      <c r="R2" s="53" t="n"/>
      <c r="S2" s="53" t="n"/>
      <c r="T2" s="53" t="n"/>
      <c r="U2" s="53" t="n"/>
      <c r="V2" s="53" t="n"/>
      <c r="W2" s="53" t="n"/>
      <c r="X2" s="53" t="n"/>
      <c r="Y2" s="53" t="n"/>
      <c r="Z2" s="53" t="n"/>
      <c r="AA2" s="53" t="n"/>
      <c r="AB2" s="53" t="n"/>
      <c r="AC2" s="53" t="n"/>
      <c r="AD2" s="53" t="n"/>
      <c r="AE2" s="53" t="n"/>
      <c r="AF2" s="53" t="n"/>
      <c r="AG2" s="53" t="n"/>
      <c r="AH2" s="53" t="n"/>
      <c r="AI2" s="53" t="n"/>
      <c r="AJ2" s="53" t="n"/>
      <c r="AK2" s="53" t="n"/>
      <c r="AL2" s="53" t="n"/>
      <c r="AM2" s="53" t="n"/>
      <c r="AN2" s="53" t="n"/>
      <c r="AO2" s="53" t="n"/>
      <c r="AP2" s="53" t="n"/>
      <c r="AQ2" s="53" t="n"/>
      <c r="AR2" s="53" t="n"/>
      <c r="AS2" s="53" t="n"/>
      <c r="AT2" s="53" t="n"/>
      <c r="AU2" s="53" t="n"/>
      <c r="AV2" s="53" t="n"/>
      <c r="AW2" s="53" t="n"/>
      <c r="AX2" s="53" t="n"/>
      <c r="AY2" s="53" t="n"/>
      <c r="AZ2" s="53" t="n"/>
      <c r="BA2" s="53" t="n"/>
      <c r="BB2" s="53" t="n"/>
      <c r="BC2" s="53" t="n"/>
      <c r="BD2" s="53" t="n"/>
      <c r="BE2" s="53" t="n"/>
      <c r="BF2" s="53" t="n"/>
      <c r="BG2" s="53" t="n"/>
      <c r="BH2" s="53" t="n"/>
      <c r="BI2" s="53" t="n"/>
      <c r="BJ2" s="53" t="n"/>
      <c r="BK2" s="53" t="n"/>
      <c r="BL2" s="53" t="n"/>
      <c r="BM2" s="53" t="n"/>
      <c r="BN2" s="53" t="n"/>
      <c r="BO2" s="53" t="n"/>
      <c r="BP2" s="53" t="n"/>
      <c r="BQ2" s="53" t="n"/>
      <c r="BR2" s="53" t="n"/>
      <c r="BS2" s="53" t="n"/>
      <c r="BT2" s="53" t="n"/>
      <c r="BU2" s="53" t="n"/>
      <c r="BV2" s="53" t="n"/>
      <c r="BW2" s="53" t="n"/>
      <c r="BX2" s="53" t="n"/>
      <c r="BY2" s="53" t="n"/>
      <c r="BZ2" s="53" t="n"/>
      <c r="CA2" s="53" t="n"/>
      <c r="CB2" s="53" t="n"/>
      <c r="CC2" s="53" t="n"/>
      <c r="CD2" s="53" t="n"/>
      <c r="CE2" s="53" t="n"/>
      <c r="CF2" s="53" t="n"/>
      <c r="CG2" s="53" t="n"/>
      <c r="CH2" s="53" t="n"/>
      <c r="CI2" s="53" t="n"/>
      <c r="CJ2" s="53" t="n"/>
      <c r="CK2" s="53" t="n"/>
      <c r="CL2" s="53" t="n"/>
      <c r="CM2" s="53" t="n"/>
      <c r="CN2" s="53" t="n"/>
      <c r="CO2" s="53" t="n"/>
      <c r="CP2" s="53" t="n"/>
      <c r="CQ2" s="53" t="n"/>
      <c r="CR2" s="53" t="n"/>
      <c r="CS2" s="53" t="n"/>
      <c r="CT2" s="53" t="n"/>
      <c r="CU2" s="53" t="n"/>
      <c r="CV2" s="53" t="n"/>
      <c r="CW2" s="53" t="n"/>
      <c r="CX2" s="53" t="n"/>
      <c r="CY2" s="53" t="n"/>
      <c r="CZ2" s="53" t="n"/>
      <c r="DA2" s="53" t="n"/>
      <c r="DB2" s="53" t="n"/>
      <c r="DC2" s="53" t="n"/>
      <c r="DD2" s="53" t="n"/>
      <c r="DE2" s="53" t="n"/>
      <c r="DF2" s="53" t="n"/>
      <c r="DG2" s="53" t="n"/>
      <c r="DH2" s="53" t="n"/>
      <c r="DI2" s="53" t="n"/>
      <c r="DJ2" s="53" t="n"/>
      <c r="DK2" s="53" t="n"/>
      <c r="DL2" s="53" t="n"/>
      <c r="DM2" s="53" t="n"/>
      <c r="DN2" s="53" t="n"/>
      <c r="DO2" s="53" t="n"/>
      <c r="DP2" s="53" t="n"/>
      <c r="DQ2" s="53" t="n"/>
      <c r="DR2" s="53" t="n"/>
      <c r="DS2" s="53" t="n"/>
      <c r="DT2" s="53" t="n"/>
      <c r="DU2" s="53" t="n"/>
      <c r="DV2" s="53" t="n"/>
      <c r="DW2" s="53" t="n"/>
      <c r="DX2" s="53" t="n"/>
      <c r="DY2" s="53" t="n"/>
      <c r="DZ2" s="53" t="n"/>
      <c r="EA2" s="53" t="n"/>
      <c r="EB2" s="53" t="n"/>
      <c r="EC2" s="53" t="n"/>
      <c r="ED2" s="53" t="n"/>
      <c r="EE2" s="53" t="n"/>
      <c r="EF2" s="53" t="n"/>
      <c r="EG2" s="53" t="n"/>
      <c r="EH2" s="53" t="n"/>
      <c r="EI2" s="53" t="n"/>
      <c r="EJ2" s="53" t="n"/>
      <c r="EK2" s="53" t="n"/>
      <c r="EL2" s="53" t="n"/>
      <c r="EM2" s="53" t="n"/>
      <c r="EN2" s="53" t="n"/>
      <c r="EO2" s="53" t="n"/>
      <c r="EP2" s="53" t="n"/>
      <c r="EQ2" s="53" t="n"/>
      <c r="ER2" s="53" t="n"/>
      <c r="ES2" s="53" t="n"/>
      <c r="ET2" s="53" t="n"/>
      <c r="EU2" s="53" t="n"/>
      <c r="EV2" s="53" t="n"/>
      <c r="EW2" s="53" t="n"/>
      <c r="EX2" s="53" t="n"/>
      <c r="EY2" s="53" t="n"/>
      <c r="EZ2" s="53" t="n"/>
      <c r="FA2" s="53" t="n"/>
      <c r="FB2" s="53" t="n"/>
      <c r="FC2" s="53" t="n"/>
      <c r="FD2" s="53" t="n"/>
      <c r="FE2" s="53" t="n"/>
      <c r="FF2" s="53" t="n"/>
      <c r="FG2" s="53" t="n"/>
      <c r="FH2" s="53" t="n"/>
      <c r="FI2" s="53" t="n"/>
      <c r="FJ2" s="53" t="n"/>
      <c r="FK2" s="53" t="n"/>
      <c r="FL2" s="53" t="n"/>
      <c r="FM2" s="53" t="n"/>
      <c r="FN2" s="53" t="n"/>
      <c r="FO2" s="53" t="n"/>
      <c r="FP2" s="53" t="n"/>
      <c r="FQ2" s="53" t="n"/>
      <c r="FR2" s="53" t="n"/>
      <c r="FS2" s="53" t="n"/>
      <c r="FT2" s="53" t="n"/>
      <c r="FU2" s="53" t="n"/>
      <c r="FV2" s="53" t="n"/>
      <c r="FW2" s="53" t="n"/>
      <c r="FX2" s="53" t="n"/>
      <c r="FY2" s="53" t="n"/>
      <c r="FZ2" s="53" t="n"/>
      <c r="GA2" s="53" t="n"/>
      <c r="GB2" s="53" t="n"/>
      <c r="GC2" s="53" t="n"/>
      <c r="GD2" s="53" t="n"/>
      <c r="GE2" s="53" t="n"/>
      <c r="GF2" s="53" t="n"/>
      <c r="GG2" s="53" t="n"/>
      <c r="GH2" s="53" t="n"/>
      <c r="GI2" s="53" t="n"/>
      <c r="GJ2" s="53" t="n"/>
      <c r="GK2" s="53" t="n"/>
      <c r="GL2" s="53" t="n"/>
      <c r="GM2" s="53" t="n"/>
      <c r="GN2" s="53" t="n"/>
      <c r="GO2" s="53" t="n"/>
      <c r="GP2" s="53" t="n"/>
      <c r="GQ2" s="53" t="n"/>
      <c r="GR2" s="53" t="n"/>
      <c r="GS2" s="53" t="n"/>
      <c r="GT2" s="53" t="n"/>
      <c r="GU2" s="53" t="n"/>
      <c r="GV2" s="53" t="n"/>
      <c r="GW2" s="53" t="n"/>
      <c r="GX2" s="53" t="n"/>
      <c r="GY2" s="53" t="n"/>
      <c r="GZ2" s="53" t="n"/>
      <c r="HA2" s="53" t="n"/>
      <c r="HB2" s="53" t="n"/>
      <c r="HC2" s="53" t="n"/>
      <c r="HD2" s="53" t="n"/>
      <c r="HE2" s="53" t="n"/>
      <c r="HF2" s="53" t="n"/>
      <c r="HG2" s="53" t="n"/>
      <c r="HH2" s="53" t="n"/>
      <c r="HI2" s="53" t="n"/>
      <c r="HJ2" s="53" t="n"/>
      <c r="HK2" s="53" t="n"/>
      <c r="HL2" s="53" t="n"/>
      <c r="HM2" s="53" t="n"/>
      <c r="HN2" s="53" t="n"/>
      <c r="HO2" s="53" t="n"/>
      <c r="HP2" s="53" t="n"/>
      <c r="HQ2" s="53" t="n"/>
      <c r="HR2" s="53" t="n"/>
      <c r="HS2" s="53" t="n"/>
      <c r="HT2" s="53" t="n"/>
      <c r="HU2" s="53" t="n"/>
      <c r="HV2" s="53" t="n"/>
      <c r="HW2" s="53" t="n"/>
      <c r="HX2" s="53" t="n"/>
      <c r="HY2" s="53" t="n"/>
      <c r="HZ2" s="53" t="n"/>
      <c r="IA2" s="53" t="n"/>
      <c r="IB2" s="53" t="n"/>
      <c r="IC2" s="53" t="n"/>
      <c r="ID2" s="53" t="n"/>
      <c r="IE2" s="53" t="n"/>
      <c r="IF2" s="53" t="n"/>
      <c r="IG2" s="53" t="n"/>
      <c r="IH2" s="53" t="n"/>
      <c r="II2" s="53" t="n"/>
      <c r="IJ2" s="53" t="n"/>
      <c r="IK2" s="53" t="n"/>
      <c r="IL2" s="53" t="n"/>
      <c r="IM2" s="53" t="n"/>
      <c r="IN2" s="53" t="n"/>
      <c r="IO2" s="53" t="n"/>
      <c r="IP2" s="53" t="n"/>
      <c r="IQ2" s="53" t="n"/>
      <c r="IR2" s="53" t="n"/>
      <c r="IS2" s="53" t="n"/>
      <c r="IT2" s="53" t="n"/>
      <c r="IU2" s="53" t="n"/>
      <c r="IV2" s="53" t="n"/>
    </row>
    <row r="3" ht="20.1" customHeight="1" s="301">
      <c r="A3" s="314">
        <f>底稿目录!A2</f>
        <v/>
      </c>
      <c r="B3" s="314">
        <f>底稿目录!A4</f>
        <v/>
      </c>
      <c r="D3" s="314">
        <f>底稿目录!A5</f>
        <v/>
      </c>
      <c r="E3" s="241" t="inlineStr">
        <is>
          <t>索引号：</t>
        </is>
      </c>
      <c r="I3" s="82" t="n"/>
      <c r="J3" s="82" t="n"/>
      <c r="K3" s="82" t="n"/>
      <c r="L3" s="82" t="n"/>
      <c r="M3" s="82" t="n"/>
      <c r="N3" s="82" t="n"/>
      <c r="O3" s="82" t="n"/>
      <c r="P3" s="82" t="n"/>
      <c r="Q3" s="82" t="n"/>
      <c r="R3" s="82" t="n"/>
      <c r="S3" s="82" t="n"/>
      <c r="T3" s="82" t="n"/>
      <c r="U3" s="82" t="n"/>
      <c r="V3" s="82" t="n"/>
      <c r="W3" s="82" t="n"/>
      <c r="X3" s="82" t="n"/>
      <c r="Y3" s="82" t="n"/>
      <c r="Z3" s="82" t="n"/>
      <c r="AA3" s="82" t="n"/>
      <c r="AB3" s="82" t="n"/>
      <c r="AC3" s="82" t="n"/>
      <c r="AD3" s="82" t="n"/>
      <c r="AE3" s="82" t="n"/>
      <c r="AF3" s="82" t="n"/>
      <c r="AG3" s="82" t="n"/>
      <c r="AH3" s="82" t="n"/>
      <c r="AI3" s="82" t="n"/>
      <c r="AJ3" s="82" t="n"/>
      <c r="AK3" s="82" t="n"/>
      <c r="AL3" s="82" t="n"/>
      <c r="AM3" s="82" t="n"/>
      <c r="AN3" s="82" t="n"/>
      <c r="AO3" s="82" t="n"/>
      <c r="AP3" s="82" t="n"/>
      <c r="AQ3" s="82" t="n"/>
      <c r="AR3" s="82" t="n"/>
      <c r="AS3" s="82" t="n"/>
      <c r="AT3" s="82" t="n"/>
      <c r="AU3" s="82" t="n"/>
      <c r="AV3" s="82" t="n"/>
      <c r="AW3" s="82" t="n"/>
      <c r="AX3" s="82" t="n"/>
      <c r="AY3" s="82" t="n"/>
      <c r="AZ3" s="82" t="n"/>
      <c r="BA3" s="82" t="n"/>
      <c r="BB3" s="82" t="n"/>
      <c r="BC3" s="82" t="n"/>
      <c r="BD3" s="82" t="n"/>
      <c r="BE3" s="82" t="n"/>
      <c r="BF3" s="82" t="n"/>
      <c r="BG3" s="82" t="n"/>
      <c r="BH3" s="82" t="n"/>
      <c r="BI3" s="82" t="n"/>
      <c r="BJ3" s="82" t="n"/>
      <c r="BK3" s="82" t="n"/>
      <c r="BL3" s="82" t="n"/>
      <c r="BM3" s="82" t="n"/>
      <c r="BN3" s="82" t="n"/>
      <c r="BO3" s="82" t="n"/>
      <c r="BP3" s="82" t="n"/>
      <c r="BQ3" s="82" t="n"/>
      <c r="BR3" s="82" t="n"/>
      <c r="BS3" s="82" t="n"/>
      <c r="BT3" s="82" t="n"/>
      <c r="BU3" s="82" t="n"/>
      <c r="BV3" s="82" t="n"/>
      <c r="BW3" s="82" t="n"/>
      <c r="BX3" s="82" t="n"/>
      <c r="BY3" s="82" t="n"/>
      <c r="BZ3" s="82" t="n"/>
      <c r="CA3" s="82" t="n"/>
      <c r="CB3" s="82" t="n"/>
      <c r="CC3" s="82" t="n"/>
      <c r="CD3" s="82" t="n"/>
      <c r="CE3" s="82" t="n"/>
      <c r="CF3" s="82" t="n"/>
      <c r="CG3" s="82" t="n"/>
      <c r="CH3" s="82" t="n"/>
      <c r="CI3" s="82" t="n"/>
      <c r="CJ3" s="82" t="n"/>
      <c r="CK3" s="82" t="n"/>
      <c r="CL3" s="82" t="n"/>
      <c r="CM3" s="82" t="n"/>
      <c r="CN3" s="82" t="n"/>
      <c r="CO3" s="82" t="n"/>
      <c r="CP3" s="82" t="n"/>
      <c r="CQ3" s="82" t="n"/>
      <c r="CR3" s="82" t="n"/>
      <c r="CS3" s="82" t="n"/>
      <c r="CT3" s="82" t="n"/>
      <c r="CU3" s="82" t="n"/>
      <c r="CV3" s="82" t="n"/>
      <c r="CW3" s="82" t="n"/>
      <c r="CX3" s="82" t="n"/>
      <c r="CY3" s="82" t="n"/>
      <c r="CZ3" s="82" t="n"/>
      <c r="DA3" s="82" t="n"/>
      <c r="DB3" s="82" t="n"/>
      <c r="DC3" s="82" t="n"/>
      <c r="DD3" s="82" t="n"/>
      <c r="DE3" s="82" t="n"/>
      <c r="DF3" s="82" t="n"/>
      <c r="DG3" s="82" t="n"/>
      <c r="DH3" s="82" t="n"/>
      <c r="DI3" s="82" t="n"/>
      <c r="DJ3" s="82" t="n"/>
      <c r="DK3" s="82" t="n"/>
      <c r="DL3" s="82" t="n"/>
      <c r="DM3" s="82" t="n"/>
      <c r="DN3" s="82" t="n"/>
      <c r="DO3" s="82" t="n"/>
      <c r="DP3" s="82" t="n"/>
      <c r="DQ3" s="82" t="n"/>
      <c r="DR3" s="82" t="n"/>
      <c r="DS3" s="82" t="n"/>
      <c r="DT3" s="82" t="n"/>
      <c r="DU3" s="82" t="n"/>
      <c r="DV3" s="82" t="n"/>
      <c r="DW3" s="82" t="n"/>
      <c r="DX3" s="82" t="n"/>
      <c r="DY3" s="82" t="n"/>
      <c r="DZ3" s="82" t="n"/>
      <c r="EA3" s="82" t="n"/>
      <c r="EB3" s="82" t="n"/>
      <c r="EC3" s="82" t="n"/>
      <c r="ED3" s="82" t="n"/>
      <c r="EE3" s="82" t="n"/>
      <c r="EF3" s="82" t="n"/>
      <c r="EG3" s="82" t="n"/>
      <c r="EH3" s="82" t="n"/>
      <c r="EI3" s="82" t="n"/>
      <c r="EJ3" s="82" t="n"/>
      <c r="EK3" s="82" t="n"/>
      <c r="EL3" s="82" t="n"/>
      <c r="EM3" s="82" t="n"/>
      <c r="EN3" s="82" t="n"/>
      <c r="EO3" s="82" t="n"/>
      <c r="EP3" s="82" t="n"/>
      <c r="EQ3" s="82" t="n"/>
      <c r="ER3" s="82" t="n"/>
      <c r="ES3" s="82" t="n"/>
      <c r="ET3" s="82" t="n"/>
      <c r="EU3" s="82" t="n"/>
      <c r="EV3" s="82" t="n"/>
      <c r="EW3" s="82" t="n"/>
      <c r="EX3" s="82" t="n"/>
      <c r="EY3" s="82" t="n"/>
      <c r="EZ3" s="82" t="n"/>
      <c r="FA3" s="82" t="n"/>
      <c r="FB3" s="82" t="n"/>
      <c r="FC3" s="82" t="n"/>
      <c r="FD3" s="82" t="n"/>
      <c r="FE3" s="82" t="n"/>
      <c r="FF3" s="82" t="n"/>
      <c r="FG3" s="82" t="n"/>
      <c r="FH3" s="82" t="n"/>
      <c r="FI3" s="82" t="n"/>
      <c r="FJ3" s="82" t="n"/>
      <c r="FK3" s="82" t="n"/>
      <c r="FL3" s="82" t="n"/>
      <c r="FM3" s="82" t="n"/>
      <c r="FN3" s="82" t="n"/>
      <c r="FO3" s="82" t="n"/>
      <c r="FP3" s="82" t="n"/>
      <c r="FQ3" s="82" t="n"/>
      <c r="FR3" s="82" t="n"/>
      <c r="FS3" s="82" t="n"/>
      <c r="FT3" s="82" t="n"/>
      <c r="FU3" s="82" t="n"/>
      <c r="FV3" s="82" t="n"/>
      <c r="FW3" s="82" t="n"/>
      <c r="FX3" s="82" t="n"/>
      <c r="FY3" s="82" t="n"/>
      <c r="FZ3" s="82" t="n"/>
      <c r="GA3" s="82" t="n"/>
      <c r="GB3" s="82" t="n"/>
      <c r="GC3" s="82" t="n"/>
      <c r="GD3" s="82" t="n"/>
      <c r="GE3" s="82" t="n"/>
      <c r="GF3" s="82" t="n"/>
      <c r="GG3" s="82" t="n"/>
      <c r="GH3" s="82" t="n"/>
      <c r="GI3" s="82" t="n"/>
      <c r="GJ3" s="82" t="n"/>
      <c r="GK3" s="82" t="n"/>
      <c r="GL3" s="82" t="n"/>
      <c r="GM3" s="82" t="n"/>
      <c r="GN3" s="82" t="n"/>
      <c r="GO3" s="82" t="n"/>
      <c r="GP3" s="82" t="n"/>
      <c r="GQ3" s="82" t="n"/>
      <c r="GR3" s="82" t="n"/>
      <c r="GS3" s="82" t="n"/>
      <c r="GT3" s="82" t="n"/>
      <c r="GU3" s="82" t="n"/>
      <c r="GV3" s="82" t="n"/>
      <c r="GW3" s="82" t="n"/>
      <c r="GX3" s="82" t="n"/>
      <c r="GY3" s="82" t="n"/>
      <c r="GZ3" s="82" t="n"/>
      <c r="HA3" s="82" t="n"/>
      <c r="HB3" s="82" t="n"/>
      <c r="HC3" s="82" t="n"/>
      <c r="HD3" s="82" t="n"/>
      <c r="HE3" s="82" t="n"/>
      <c r="HF3" s="82" t="n"/>
      <c r="HG3" s="82" t="n"/>
      <c r="HH3" s="82" t="n"/>
      <c r="HI3" s="82" t="n"/>
      <c r="HJ3" s="82" t="n"/>
      <c r="HK3" s="82" t="n"/>
      <c r="HL3" s="82" t="n"/>
      <c r="HM3" s="82" t="n"/>
      <c r="HN3" s="82" t="n"/>
      <c r="HO3" s="82" t="n"/>
      <c r="HP3" s="82" t="n"/>
      <c r="HQ3" s="82" t="n"/>
      <c r="HR3" s="82" t="n"/>
      <c r="HS3" s="82" t="n"/>
      <c r="HT3" s="82" t="n"/>
      <c r="HU3" s="82" t="n"/>
      <c r="HV3" s="82" t="n"/>
      <c r="HW3" s="82" t="n"/>
      <c r="HX3" s="82" t="n"/>
      <c r="HY3" s="82" t="n"/>
      <c r="HZ3" s="82" t="n"/>
      <c r="IA3" s="82" t="n"/>
      <c r="IB3" s="82" t="n"/>
      <c r="IC3" s="82" t="n"/>
      <c r="ID3" s="82" t="n"/>
      <c r="IE3" s="82" t="n"/>
      <c r="IF3" s="82" t="n"/>
      <c r="IG3" s="82" t="n"/>
      <c r="IH3" s="82" t="n"/>
      <c r="II3" s="82" t="n"/>
      <c r="IJ3" s="82" t="n"/>
      <c r="IK3" s="82" t="n"/>
      <c r="IL3" s="82" t="n"/>
      <c r="IM3" s="82" t="n"/>
      <c r="IN3" s="82" t="n"/>
      <c r="IO3" s="82" t="n"/>
      <c r="IP3" s="82" t="n"/>
      <c r="IQ3" s="82" t="n"/>
      <c r="IR3" s="82" t="n"/>
      <c r="IS3" s="82" t="n"/>
      <c r="IT3" s="82" t="n"/>
      <c r="IU3" s="82" t="n"/>
      <c r="IV3" s="82" t="n"/>
    </row>
    <row r="4" ht="20.1" customHeight="1" s="301">
      <c r="A4" s="314">
        <f>底稿目录!A3</f>
        <v/>
      </c>
      <c r="B4" s="314">
        <f>底稿目录!A6</f>
        <v/>
      </c>
      <c r="D4" s="314">
        <f>底稿目录!A7</f>
        <v/>
      </c>
      <c r="E4" s="55" t="inlineStr">
        <is>
          <t>页次：</t>
        </is>
      </c>
      <c r="I4" s="82" t="n"/>
      <c r="J4" s="82" t="n"/>
      <c r="K4" s="82" t="n"/>
      <c r="L4" s="82" t="n"/>
      <c r="M4" s="82" t="n"/>
      <c r="N4" s="82" t="n"/>
      <c r="O4" s="82" t="n"/>
      <c r="P4" s="82" t="n"/>
      <c r="Q4" s="82" t="n"/>
      <c r="R4" s="82" t="n"/>
      <c r="S4" s="82" t="n"/>
      <c r="T4" s="82" t="n"/>
      <c r="U4" s="82" t="n"/>
      <c r="V4" s="82" t="n"/>
      <c r="W4" s="82" t="n"/>
      <c r="X4" s="82" t="n"/>
      <c r="Y4" s="82" t="n"/>
      <c r="Z4" s="82" t="n"/>
      <c r="AA4" s="82" t="n"/>
      <c r="AB4" s="82" t="n"/>
      <c r="AC4" s="82" t="n"/>
      <c r="AD4" s="82" t="n"/>
      <c r="AE4" s="82" t="n"/>
      <c r="AF4" s="82" t="n"/>
      <c r="AG4" s="82" t="n"/>
      <c r="AH4" s="82" t="n"/>
      <c r="AI4" s="82" t="n"/>
      <c r="AJ4" s="82" t="n"/>
      <c r="AK4" s="82" t="n"/>
      <c r="AL4" s="82" t="n"/>
      <c r="AM4" s="82" t="n"/>
      <c r="AN4" s="82" t="n"/>
      <c r="AO4" s="82" t="n"/>
      <c r="AP4" s="82" t="n"/>
      <c r="AQ4" s="82" t="n"/>
      <c r="AR4" s="82" t="n"/>
      <c r="AS4" s="82" t="n"/>
      <c r="AT4" s="82" t="n"/>
      <c r="AU4" s="82" t="n"/>
      <c r="AV4" s="82" t="n"/>
      <c r="AW4" s="82" t="n"/>
      <c r="AX4" s="82" t="n"/>
      <c r="AY4" s="82" t="n"/>
      <c r="AZ4" s="82" t="n"/>
      <c r="BA4" s="82" t="n"/>
      <c r="BB4" s="82" t="n"/>
      <c r="BC4" s="82" t="n"/>
      <c r="BD4" s="82" t="n"/>
      <c r="BE4" s="82" t="n"/>
      <c r="BF4" s="82" t="n"/>
      <c r="BG4" s="82" t="n"/>
      <c r="BH4" s="82" t="n"/>
      <c r="BI4" s="82" t="n"/>
      <c r="BJ4" s="82" t="n"/>
      <c r="BK4" s="82" t="n"/>
      <c r="BL4" s="82" t="n"/>
      <c r="BM4" s="82" t="n"/>
      <c r="BN4" s="82" t="n"/>
      <c r="BO4" s="82" t="n"/>
      <c r="BP4" s="82" t="n"/>
      <c r="BQ4" s="82" t="n"/>
      <c r="BR4" s="82" t="n"/>
      <c r="BS4" s="82" t="n"/>
      <c r="BT4" s="82" t="n"/>
      <c r="BU4" s="82" t="n"/>
      <c r="BV4" s="82" t="n"/>
      <c r="BW4" s="82" t="n"/>
      <c r="BX4" s="82" t="n"/>
      <c r="BY4" s="82" t="n"/>
      <c r="BZ4" s="82" t="n"/>
      <c r="CA4" s="82" t="n"/>
      <c r="CB4" s="82" t="n"/>
      <c r="CC4" s="82" t="n"/>
      <c r="CD4" s="82" t="n"/>
      <c r="CE4" s="82" t="n"/>
      <c r="CF4" s="82" t="n"/>
      <c r="CG4" s="82" t="n"/>
      <c r="CH4" s="82" t="n"/>
      <c r="CI4" s="82" t="n"/>
      <c r="CJ4" s="82" t="n"/>
      <c r="CK4" s="82" t="n"/>
      <c r="CL4" s="82" t="n"/>
      <c r="CM4" s="82" t="n"/>
      <c r="CN4" s="82" t="n"/>
      <c r="CO4" s="82" t="n"/>
      <c r="CP4" s="82" t="n"/>
      <c r="CQ4" s="82" t="n"/>
      <c r="CR4" s="82" t="n"/>
      <c r="CS4" s="82" t="n"/>
      <c r="CT4" s="82" t="n"/>
      <c r="CU4" s="82" t="n"/>
      <c r="CV4" s="82" t="n"/>
      <c r="CW4" s="82" t="n"/>
      <c r="CX4" s="82" t="n"/>
      <c r="CY4" s="82" t="n"/>
      <c r="CZ4" s="82" t="n"/>
      <c r="DA4" s="82" t="n"/>
      <c r="DB4" s="82" t="n"/>
      <c r="DC4" s="82" t="n"/>
      <c r="DD4" s="82" t="n"/>
      <c r="DE4" s="82" t="n"/>
      <c r="DF4" s="82" t="n"/>
      <c r="DG4" s="82" t="n"/>
      <c r="DH4" s="82" t="n"/>
      <c r="DI4" s="82" t="n"/>
      <c r="DJ4" s="82" t="n"/>
      <c r="DK4" s="82" t="n"/>
      <c r="DL4" s="82" t="n"/>
      <c r="DM4" s="82" t="n"/>
      <c r="DN4" s="82" t="n"/>
      <c r="DO4" s="82" t="n"/>
      <c r="DP4" s="82" t="n"/>
      <c r="DQ4" s="82" t="n"/>
      <c r="DR4" s="82" t="n"/>
      <c r="DS4" s="82" t="n"/>
      <c r="DT4" s="82" t="n"/>
      <c r="DU4" s="82" t="n"/>
      <c r="DV4" s="82" t="n"/>
      <c r="DW4" s="82" t="n"/>
      <c r="DX4" s="82" t="n"/>
      <c r="DY4" s="82" t="n"/>
      <c r="DZ4" s="82" t="n"/>
      <c r="EA4" s="82" t="n"/>
      <c r="EB4" s="82" t="n"/>
      <c r="EC4" s="82" t="n"/>
      <c r="ED4" s="82" t="n"/>
      <c r="EE4" s="82" t="n"/>
      <c r="EF4" s="82" t="n"/>
      <c r="EG4" s="82" t="n"/>
      <c r="EH4" s="82" t="n"/>
      <c r="EI4" s="82" t="n"/>
      <c r="EJ4" s="82" t="n"/>
      <c r="EK4" s="82" t="n"/>
      <c r="EL4" s="82" t="n"/>
      <c r="EM4" s="82" t="n"/>
      <c r="EN4" s="82" t="n"/>
      <c r="EO4" s="82" t="n"/>
      <c r="EP4" s="82" t="n"/>
      <c r="EQ4" s="82" t="n"/>
      <c r="ER4" s="82" t="n"/>
      <c r="ES4" s="82" t="n"/>
      <c r="ET4" s="82" t="n"/>
      <c r="EU4" s="82" t="n"/>
      <c r="EV4" s="82" t="n"/>
      <c r="EW4" s="82" t="n"/>
      <c r="EX4" s="82" t="n"/>
      <c r="EY4" s="82" t="n"/>
      <c r="EZ4" s="82" t="n"/>
      <c r="FA4" s="82" t="n"/>
      <c r="FB4" s="82" t="n"/>
      <c r="FC4" s="82" t="n"/>
      <c r="FD4" s="82" t="n"/>
      <c r="FE4" s="82" t="n"/>
      <c r="FF4" s="82" t="n"/>
      <c r="FG4" s="82" t="n"/>
      <c r="FH4" s="82" t="n"/>
      <c r="FI4" s="82" t="n"/>
      <c r="FJ4" s="82" t="n"/>
      <c r="FK4" s="82" t="n"/>
      <c r="FL4" s="82" t="n"/>
      <c r="FM4" s="82" t="n"/>
      <c r="FN4" s="82" t="n"/>
      <c r="FO4" s="82" t="n"/>
      <c r="FP4" s="82" t="n"/>
      <c r="FQ4" s="82" t="n"/>
      <c r="FR4" s="82" t="n"/>
      <c r="FS4" s="82" t="n"/>
      <c r="FT4" s="82" t="n"/>
      <c r="FU4" s="82" t="n"/>
      <c r="FV4" s="82" t="n"/>
      <c r="FW4" s="82" t="n"/>
      <c r="FX4" s="82" t="n"/>
      <c r="FY4" s="82" t="n"/>
      <c r="FZ4" s="82" t="n"/>
      <c r="GA4" s="82" t="n"/>
      <c r="GB4" s="82" t="n"/>
      <c r="GC4" s="82" t="n"/>
      <c r="GD4" s="82" t="n"/>
      <c r="GE4" s="82" t="n"/>
      <c r="GF4" s="82" t="n"/>
      <c r="GG4" s="82" t="n"/>
      <c r="GH4" s="82" t="n"/>
      <c r="GI4" s="82" t="n"/>
      <c r="GJ4" s="82" t="n"/>
      <c r="GK4" s="82" t="n"/>
      <c r="GL4" s="82" t="n"/>
      <c r="GM4" s="82" t="n"/>
      <c r="GN4" s="82" t="n"/>
      <c r="GO4" s="82" t="n"/>
      <c r="GP4" s="82" t="n"/>
      <c r="GQ4" s="82" t="n"/>
      <c r="GR4" s="82" t="n"/>
      <c r="GS4" s="82" t="n"/>
      <c r="GT4" s="82" t="n"/>
      <c r="GU4" s="82" t="n"/>
      <c r="GV4" s="82" t="n"/>
      <c r="GW4" s="82" t="n"/>
      <c r="GX4" s="82" t="n"/>
      <c r="GY4" s="82" t="n"/>
      <c r="GZ4" s="82" t="n"/>
      <c r="HA4" s="82" t="n"/>
      <c r="HB4" s="82" t="n"/>
      <c r="HC4" s="82" t="n"/>
      <c r="HD4" s="82" t="n"/>
      <c r="HE4" s="82" t="n"/>
      <c r="HF4" s="82" t="n"/>
      <c r="HG4" s="82" t="n"/>
      <c r="HH4" s="82" t="n"/>
      <c r="HI4" s="82" t="n"/>
      <c r="HJ4" s="82" t="n"/>
      <c r="HK4" s="82" t="n"/>
      <c r="HL4" s="82" t="n"/>
      <c r="HM4" s="82" t="n"/>
      <c r="HN4" s="82" t="n"/>
      <c r="HO4" s="82" t="n"/>
      <c r="HP4" s="82" t="n"/>
      <c r="HQ4" s="82" t="n"/>
      <c r="HR4" s="82" t="n"/>
      <c r="HS4" s="82" t="n"/>
      <c r="HT4" s="82" t="n"/>
      <c r="HU4" s="82" t="n"/>
      <c r="HV4" s="82" t="n"/>
      <c r="HW4" s="82" t="n"/>
      <c r="HX4" s="82" t="n"/>
      <c r="HY4" s="82" t="n"/>
      <c r="HZ4" s="82" t="n"/>
      <c r="IA4" s="82" t="n"/>
      <c r="IB4" s="82" t="n"/>
      <c r="IC4" s="82" t="n"/>
      <c r="ID4" s="82" t="n"/>
      <c r="IE4" s="82" t="n"/>
      <c r="IF4" s="82" t="n"/>
      <c r="IG4" s="82" t="n"/>
      <c r="IH4" s="82" t="n"/>
      <c r="II4" s="82" t="n"/>
      <c r="IJ4" s="82" t="n"/>
      <c r="IK4" s="82" t="n"/>
      <c r="IL4" s="82" t="n"/>
      <c r="IM4" s="82" t="n"/>
      <c r="IN4" s="82" t="n"/>
      <c r="IO4" s="82" t="n"/>
      <c r="IP4" s="82" t="n"/>
      <c r="IQ4" s="82" t="n"/>
      <c r="IR4" s="82" t="n"/>
      <c r="IS4" s="82" t="n"/>
      <c r="IT4" s="82" t="n"/>
      <c r="IU4" s="82" t="n"/>
      <c r="IV4" s="82" t="n"/>
    </row>
    <row r="5" ht="20.1" customHeight="1" s="301">
      <c r="A5" s="56" t="inlineStr">
        <is>
          <t>附注披露信息:</t>
        </is>
      </c>
      <c r="B5" s="57" t="n"/>
      <c r="C5" s="57" t="n"/>
      <c r="D5" s="57" t="n"/>
      <c r="E5" s="57" t="n"/>
      <c r="F5" s="57" t="n"/>
      <c r="G5" s="57" t="n"/>
      <c r="H5" s="57" t="n"/>
      <c r="I5" s="57" t="n"/>
      <c r="J5" s="57" t="n"/>
      <c r="K5" s="57" t="n"/>
      <c r="L5" s="57" t="n"/>
      <c r="M5" s="57" t="n"/>
      <c r="N5" s="57" t="n"/>
      <c r="O5" s="57" t="n"/>
      <c r="P5" s="57" t="n"/>
      <c r="Q5" s="57" t="n"/>
      <c r="R5" s="57" t="n"/>
      <c r="S5" s="57" t="n"/>
      <c r="T5" s="57" t="n"/>
      <c r="U5" s="57" t="n"/>
      <c r="V5" s="57" t="n"/>
      <c r="W5" s="57" t="n"/>
      <c r="X5" s="57" t="n"/>
      <c r="Y5" s="57" t="n"/>
      <c r="Z5" s="57" t="n"/>
      <c r="AA5" s="57" t="n"/>
      <c r="AB5" s="57" t="n"/>
      <c r="AC5" s="57" t="n"/>
      <c r="AD5" s="57" t="n"/>
      <c r="AE5" s="57" t="n"/>
      <c r="AF5" s="57" t="n"/>
      <c r="AG5" s="57" t="n"/>
      <c r="AH5" s="57" t="n"/>
      <c r="AI5" s="57" t="n"/>
      <c r="AJ5" s="57" t="n"/>
      <c r="AK5" s="57" t="n"/>
      <c r="AL5" s="57" t="n"/>
      <c r="AM5" s="57" t="n"/>
      <c r="AN5" s="57" t="n"/>
      <c r="AO5" s="57" t="n"/>
      <c r="AP5" s="57" t="n"/>
      <c r="AQ5" s="57" t="n"/>
      <c r="AR5" s="57" t="n"/>
      <c r="AS5" s="57" t="n"/>
      <c r="AT5" s="57" t="n"/>
      <c r="AU5" s="57" t="n"/>
      <c r="AV5" s="57" t="n"/>
      <c r="AW5" s="57" t="n"/>
      <c r="AX5" s="57" t="n"/>
      <c r="AY5" s="57" t="n"/>
      <c r="AZ5" s="57" t="n"/>
      <c r="BA5" s="57" t="n"/>
      <c r="BB5" s="57" t="n"/>
      <c r="BC5" s="57" t="n"/>
      <c r="BD5" s="57" t="n"/>
      <c r="BE5" s="57" t="n"/>
      <c r="BF5" s="57" t="n"/>
      <c r="BG5" s="57" t="n"/>
      <c r="BH5" s="57" t="n"/>
      <c r="BI5" s="57" t="n"/>
      <c r="BJ5" s="57" t="n"/>
      <c r="BK5" s="57" t="n"/>
      <c r="BL5" s="57" t="n"/>
      <c r="BM5" s="57" t="n"/>
      <c r="BN5" s="57" t="n"/>
      <c r="BO5" s="57" t="n"/>
      <c r="BP5" s="57" t="n"/>
      <c r="BQ5" s="57" t="n"/>
      <c r="BR5" s="57" t="n"/>
      <c r="BS5" s="57" t="n"/>
      <c r="BT5" s="57" t="n"/>
      <c r="BU5" s="57" t="n"/>
      <c r="BV5" s="57" t="n"/>
      <c r="BW5" s="57" t="n"/>
      <c r="BX5" s="57" t="n"/>
      <c r="BY5" s="57" t="n"/>
      <c r="BZ5" s="57" t="n"/>
      <c r="CA5" s="57" t="n"/>
      <c r="CB5" s="57" t="n"/>
      <c r="CC5" s="57" t="n"/>
      <c r="CD5" s="57" t="n"/>
      <c r="CE5" s="57" t="n"/>
      <c r="CF5" s="57" t="n"/>
      <c r="CG5" s="57" t="n"/>
      <c r="CH5" s="57" t="n"/>
      <c r="CI5" s="57" t="n"/>
      <c r="CJ5" s="57" t="n"/>
      <c r="CK5" s="57" t="n"/>
      <c r="CL5" s="57" t="n"/>
      <c r="CM5" s="57" t="n"/>
      <c r="CN5" s="57" t="n"/>
      <c r="CO5" s="57" t="n"/>
      <c r="CP5" s="57" t="n"/>
      <c r="CQ5" s="57" t="n"/>
      <c r="CR5" s="57" t="n"/>
      <c r="CS5" s="57" t="n"/>
      <c r="CT5" s="57" t="n"/>
      <c r="CU5" s="57" t="n"/>
      <c r="CV5" s="57" t="n"/>
      <c r="CW5" s="57" t="n"/>
      <c r="CX5" s="57" t="n"/>
      <c r="CY5" s="57" t="n"/>
      <c r="CZ5" s="57" t="n"/>
      <c r="DA5" s="57" t="n"/>
      <c r="DB5" s="57" t="n"/>
      <c r="DC5" s="57" t="n"/>
      <c r="DD5" s="57" t="n"/>
      <c r="DE5" s="57" t="n"/>
      <c r="DF5" s="57" t="n"/>
      <c r="DG5" s="57" t="n"/>
      <c r="DH5" s="57" t="n"/>
      <c r="DI5" s="57" t="n"/>
      <c r="DJ5" s="57" t="n"/>
      <c r="DK5" s="57" t="n"/>
      <c r="DL5" s="57" t="n"/>
      <c r="DM5" s="57" t="n"/>
      <c r="DN5" s="57" t="n"/>
      <c r="DO5" s="57" t="n"/>
      <c r="DP5" s="57" t="n"/>
      <c r="DQ5" s="57" t="n"/>
      <c r="DR5" s="57" t="n"/>
      <c r="DS5" s="57" t="n"/>
      <c r="DT5" s="57" t="n"/>
      <c r="DU5" s="57" t="n"/>
      <c r="DV5" s="57" t="n"/>
      <c r="DW5" s="57" t="n"/>
      <c r="DX5" s="57" t="n"/>
      <c r="DY5" s="57" t="n"/>
      <c r="DZ5" s="57" t="n"/>
      <c r="EA5" s="57" t="n"/>
      <c r="EB5" s="57" t="n"/>
      <c r="EC5" s="57" t="n"/>
      <c r="ED5" s="57" t="n"/>
      <c r="EE5" s="57" t="n"/>
      <c r="EF5" s="57" t="n"/>
      <c r="EG5" s="57" t="n"/>
      <c r="EH5" s="57" t="n"/>
      <c r="EI5" s="57" t="n"/>
      <c r="EJ5" s="57" t="n"/>
      <c r="EK5" s="57" t="n"/>
      <c r="EL5" s="57" t="n"/>
      <c r="EM5" s="57" t="n"/>
      <c r="EN5" s="57" t="n"/>
      <c r="EO5" s="57" t="n"/>
      <c r="EP5" s="57" t="n"/>
      <c r="EQ5" s="57" t="n"/>
      <c r="ER5" s="57" t="n"/>
      <c r="ES5" s="57" t="n"/>
      <c r="ET5" s="57" t="n"/>
      <c r="EU5" s="57" t="n"/>
      <c r="EV5" s="57" t="n"/>
      <c r="EW5" s="57" t="n"/>
      <c r="EX5" s="57" t="n"/>
      <c r="EY5" s="57" t="n"/>
      <c r="EZ5" s="57" t="n"/>
      <c r="FA5" s="57" t="n"/>
      <c r="FB5" s="57" t="n"/>
      <c r="FC5" s="57" t="n"/>
      <c r="FD5" s="57" t="n"/>
      <c r="FE5" s="57" t="n"/>
      <c r="FF5" s="57" t="n"/>
      <c r="FG5" s="57" t="n"/>
      <c r="FH5" s="57" t="n"/>
      <c r="FI5" s="57" t="n"/>
      <c r="FJ5" s="57" t="n"/>
      <c r="FK5" s="57" t="n"/>
      <c r="FL5" s="57" t="n"/>
      <c r="FM5" s="57" t="n"/>
      <c r="FN5" s="57" t="n"/>
      <c r="FO5" s="57" t="n"/>
      <c r="FP5" s="57" t="n"/>
      <c r="FQ5" s="57" t="n"/>
      <c r="FR5" s="57" t="n"/>
      <c r="FS5" s="57" t="n"/>
      <c r="FT5" s="57" t="n"/>
      <c r="FU5" s="57" t="n"/>
      <c r="FV5" s="57" t="n"/>
      <c r="FW5" s="57" t="n"/>
      <c r="FX5" s="57" t="n"/>
      <c r="FY5" s="57" t="n"/>
      <c r="FZ5" s="57" t="n"/>
      <c r="GA5" s="57" t="n"/>
      <c r="GB5" s="57" t="n"/>
      <c r="GC5" s="57" t="n"/>
      <c r="GD5" s="57" t="n"/>
      <c r="GE5" s="57" t="n"/>
      <c r="GF5" s="57" t="n"/>
      <c r="GG5" s="57" t="n"/>
      <c r="GH5" s="57" t="n"/>
      <c r="GI5" s="57" t="n"/>
      <c r="GJ5" s="57" t="n"/>
      <c r="GK5" s="57" t="n"/>
      <c r="GL5" s="57" t="n"/>
      <c r="GM5" s="57" t="n"/>
      <c r="GN5" s="57" t="n"/>
      <c r="GO5" s="57" t="n"/>
      <c r="GP5" s="57" t="n"/>
      <c r="GQ5" s="57" t="n"/>
      <c r="GR5" s="57" t="n"/>
      <c r="GS5" s="57" t="n"/>
      <c r="GT5" s="57" t="n"/>
      <c r="GU5" s="57" t="n"/>
      <c r="GV5" s="57" t="n"/>
      <c r="GW5" s="57" t="n"/>
      <c r="GX5" s="57" t="n"/>
      <c r="GY5" s="57" t="n"/>
      <c r="GZ5" s="57" t="n"/>
      <c r="HA5" s="57" t="n"/>
      <c r="HB5" s="57" t="n"/>
      <c r="HC5" s="57" t="n"/>
      <c r="HD5" s="57" t="n"/>
      <c r="HE5" s="57" t="n"/>
      <c r="HF5" s="57" t="n"/>
      <c r="HG5" s="57" t="n"/>
      <c r="HH5" s="57" t="n"/>
      <c r="HI5" s="57" t="n"/>
      <c r="HJ5" s="57" t="n"/>
      <c r="HK5" s="57" t="n"/>
      <c r="HL5" s="57" t="n"/>
      <c r="HM5" s="57" t="n"/>
      <c r="HN5" s="57" t="n"/>
      <c r="HO5" s="57" t="n"/>
      <c r="HP5" s="57" t="n"/>
      <c r="HQ5" s="57" t="n"/>
      <c r="HR5" s="57" t="n"/>
      <c r="HS5" s="57" t="n"/>
      <c r="HT5" s="57" t="n"/>
      <c r="HU5" s="57" t="n"/>
      <c r="HV5" s="57" t="n"/>
      <c r="HW5" s="57" t="n"/>
      <c r="HX5" s="57" t="n"/>
      <c r="HY5" s="57" t="n"/>
      <c r="HZ5" s="57" t="n"/>
      <c r="IA5" s="57" t="n"/>
      <c r="IB5" s="57" t="n"/>
      <c r="IC5" s="57" t="n"/>
      <c r="ID5" s="57" t="n"/>
      <c r="IE5" s="57" t="n"/>
      <c r="IF5" s="57" t="n"/>
      <c r="IG5" s="57" t="n"/>
      <c r="IH5" s="57" t="n"/>
      <c r="II5" s="57" t="n"/>
      <c r="IJ5" s="57" t="n"/>
      <c r="IK5" s="57" t="n"/>
      <c r="IL5" s="57" t="n"/>
      <c r="IM5" s="57" t="n"/>
      <c r="IN5" s="57" t="n"/>
      <c r="IO5" s="57" t="n"/>
      <c r="IP5" s="57" t="n"/>
      <c r="IQ5" s="57" t="n"/>
      <c r="IR5" s="57" t="n"/>
      <c r="IS5" s="57" t="n"/>
      <c r="IT5" s="57" t="n"/>
      <c r="IU5" s="57" t="n"/>
      <c r="IV5" s="57" t="n"/>
    </row>
    <row r="6" ht="20.1" customFormat="1" customHeight="1" s="51">
      <c r="A6" s="56" t="inlineStr">
        <is>
          <t>递延所得税资产和递延所得税负债</t>
        </is>
      </c>
    </row>
    <row r="7" ht="20.1" customFormat="1" customHeight="1" s="51">
      <c r="A7" s="58" t="inlineStr">
        <is>
          <t>递延所得税资产和递延所得税负债不以抵销后的净额列示的，按（1）披露；若递延所得税资产和递延所得税负债以抵销后的净额列示的，按（2）披露。</t>
        </is>
      </c>
      <c r="B7" s="58" t="n"/>
      <c r="C7" s="58" t="n"/>
      <c r="D7" s="58" t="n"/>
      <c r="E7" s="58" t="n"/>
    </row>
    <row r="8" ht="20.1" customFormat="1" customHeight="1" s="51">
      <c r="A8" s="56" t="inlineStr">
        <is>
          <t>（1）递延所得税资产和递延所得税负债不以抵销后的净额列示</t>
        </is>
      </c>
    </row>
    <row r="9" ht="20.1" customFormat="1" customHeight="1" s="51">
      <c r="A9" s="56" t="inlineStr">
        <is>
          <t>A、已确认递延所得税资产和递延所得税负债</t>
        </is>
      </c>
    </row>
    <row r="10" ht="20.1" customFormat="1" customHeight="1" s="51">
      <c r="A10" s="98" t="inlineStr">
        <is>
          <t>项  目</t>
        </is>
      </c>
      <c r="B10" s="285" t="inlineStr">
        <is>
          <t>期末余额</t>
        </is>
      </c>
      <c r="C10" s="349" t="n"/>
      <c r="D10" s="285" t="inlineStr">
        <is>
          <t>年初余额</t>
        </is>
      </c>
      <c r="E10" s="349" t="n"/>
    </row>
    <row r="11" ht="20.1" customFormat="1" customHeight="1" s="51">
      <c r="A11" s="350" t="n"/>
      <c r="B11" s="60" t="inlineStr">
        <is>
          <t>递延所得税资产/负债</t>
        </is>
      </c>
      <c r="C11" s="60" t="inlineStr">
        <is>
          <t>可抵扣/应纳税暂时性差异</t>
        </is>
      </c>
      <c r="D11" s="60" t="inlineStr">
        <is>
          <t>递延所得税资产/负债</t>
        </is>
      </c>
      <c r="E11" s="60" t="inlineStr">
        <is>
          <t>可抵扣/应纳税暂时性差异</t>
        </is>
      </c>
    </row>
    <row r="12" ht="20.1" customFormat="1" customHeight="1" s="51">
      <c r="A12" s="61" t="inlineStr">
        <is>
          <t>一、递延所得税资产</t>
        </is>
      </c>
      <c r="B12" s="62" t="n"/>
      <c r="C12" s="62" t="n"/>
      <c r="D12" s="62" t="n"/>
      <c r="E12" s="62" t="n"/>
    </row>
    <row r="13" ht="20.1" customFormat="1" customHeight="1" s="51">
      <c r="A13" s="63">
        <f>'附注披露信息（上市公司）'!A13</f>
        <v/>
      </c>
      <c r="B13" s="351" t="n"/>
      <c r="C13" s="351" t="n"/>
      <c r="D13" s="351" t="n"/>
      <c r="E13" s="351" t="n"/>
      <c r="F13" s="51" t="inlineStr">
        <is>
          <t>,</t>
        </is>
      </c>
    </row>
    <row r="14" ht="20.1" customFormat="1" customHeight="1" s="51">
      <c r="A14" s="63">
        <f>'附注披露信息（上市公司）'!A14</f>
        <v/>
      </c>
      <c r="B14" s="351" t="n"/>
      <c r="C14" s="351" t="n"/>
      <c r="D14" s="351" t="n"/>
      <c r="E14" s="351" t="n"/>
      <c r="F14" s="51" t="inlineStr">
        <is>
          <t>,</t>
        </is>
      </c>
    </row>
    <row r="15" ht="20.1" customFormat="1" customHeight="1" s="51">
      <c r="A15" s="63">
        <f>'附注披露信息（上市公司）'!A15</f>
        <v/>
      </c>
      <c r="B15" s="351" t="n"/>
      <c r="C15" s="351" t="n"/>
      <c r="D15" s="351" t="n"/>
      <c r="E15" s="351" t="n"/>
      <c r="F15" s="51" t="inlineStr">
        <is>
          <t>,</t>
        </is>
      </c>
    </row>
    <row r="16" ht="20.1" customFormat="1" customHeight="1" s="51">
      <c r="A16" s="63">
        <f>'附注披露信息（上市公司）'!A16</f>
        <v/>
      </c>
      <c r="B16" s="351" t="n"/>
      <c r="C16" s="351" t="n"/>
      <c r="D16" s="351" t="n"/>
      <c r="E16" s="351" t="n"/>
      <c r="F16" s="51" t="inlineStr">
        <is>
          <t>,</t>
        </is>
      </c>
    </row>
    <row r="17" ht="20.1" customFormat="1" customHeight="1" s="51">
      <c r="A17" s="63">
        <f>'附注披露信息（上市公司）'!A17</f>
        <v/>
      </c>
      <c r="B17" s="351" t="n"/>
      <c r="C17" s="351" t="n"/>
      <c r="D17" s="351" t="n"/>
      <c r="E17" s="351" t="n"/>
      <c r="F17" s="51" t="inlineStr">
        <is>
          <t>,</t>
        </is>
      </c>
    </row>
    <row r="18" ht="20.1" customFormat="1" customHeight="1" s="51">
      <c r="A18" s="63">
        <f>'附注披露信息（上市公司）'!A18</f>
        <v/>
      </c>
      <c r="B18" s="351" t="n"/>
      <c r="C18" s="351" t="n"/>
      <c r="D18" s="351" t="n"/>
      <c r="E18" s="351" t="n"/>
      <c r="F18" s="51" t="inlineStr">
        <is>
          <t>,</t>
        </is>
      </c>
    </row>
    <row r="19" ht="20.1" customFormat="1" customHeight="1" s="51">
      <c r="A19" s="63">
        <f>'附注披露信息（上市公司）'!A19</f>
        <v/>
      </c>
      <c r="B19" s="351" t="n"/>
      <c r="C19" s="351" t="n"/>
      <c r="D19" s="351" t="n"/>
      <c r="E19" s="351" t="n"/>
      <c r="F19" s="51" t="inlineStr">
        <is>
          <t>,</t>
        </is>
      </c>
    </row>
    <row r="20" ht="20.1" customFormat="1" customHeight="1" s="51">
      <c r="A20" s="63" t="n"/>
      <c r="B20" s="351" t="n"/>
      <c r="C20" s="351" t="n"/>
      <c r="D20" s="351" t="n"/>
      <c r="E20" s="351" t="n"/>
      <c r="F20" s="51" t="inlineStr">
        <is>
          <t>,</t>
        </is>
      </c>
      <c r="G20" s="51">
        <f>A20&amp;F20</f>
        <v/>
      </c>
    </row>
    <row r="21" ht="20.1" customFormat="1" customHeight="1" s="51">
      <c r="A21" s="65" t="inlineStr">
        <is>
          <t>小 计</t>
        </is>
      </c>
      <c r="B21" s="356">
        <f>SUM(B13:B19)</f>
        <v/>
      </c>
      <c r="C21" s="356">
        <f>SUM(C13:C19)</f>
        <v/>
      </c>
      <c r="D21" s="356">
        <f>SUM(D13:D19)</f>
        <v/>
      </c>
      <c r="E21" s="356">
        <f>SUM(E13:E19)</f>
        <v/>
      </c>
    </row>
    <row r="22" ht="20.1" customFormat="1" customHeight="1" s="51">
      <c r="A22" s="278" t="inlineStr">
        <is>
          <t>递延所得税负债：</t>
        </is>
      </c>
      <c r="B22" s="349" t="n"/>
      <c r="C22" s="349" t="n"/>
      <c r="D22" s="349" t="n"/>
      <c r="E22" s="349" t="n"/>
      <c r="F22" s="353" t="inlineStr">
        <is>
          <t>递延所得税负债数据来源于递延所得税负债底稿</t>
        </is>
      </c>
    </row>
    <row r="23" ht="20.1" customFormat="1" customHeight="1" s="51">
      <c r="A23" s="63" t="inlineStr">
        <is>
          <t>购入摊销年限大于税法规定的资产</t>
        </is>
      </c>
      <c r="B23" s="354" t="n"/>
      <c r="C23" s="354" t="n"/>
      <c r="D23" s="354" t="n"/>
      <c r="E23" s="354" t="n"/>
    </row>
    <row r="24" ht="20.1" customFormat="1" customHeight="1" s="51">
      <c r="A24" s="63" t="inlineStr">
        <is>
          <t>可供出售金融资产公允价值变动</t>
        </is>
      </c>
      <c r="B24" s="354" t="n"/>
      <c r="C24" s="354" t="n"/>
      <c r="D24" s="354" t="n"/>
      <c r="E24" s="354" t="n"/>
    </row>
    <row r="25" ht="20.1" customFormat="1" customHeight="1" s="51">
      <c r="A25" s="63" t="inlineStr">
        <is>
          <t>投资性房地产公允价值变动</t>
        </is>
      </c>
      <c r="B25" s="354" t="n"/>
      <c r="C25" s="354" t="n"/>
      <c r="D25" s="354" t="n"/>
      <c r="E25" s="354" t="n"/>
    </row>
    <row r="26" ht="20.1" customFormat="1" customHeight="1" s="51">
      <c r="A26" s="63" t="inlineStr">
        <is>
          <t>租赁形成</t>
        </is>
      </c>
      <c r="B26" s="354" t="n"/>
      <c r="C26" s="354" t="n"/>
      <c r="D26" s="354" t="n"/>
      <c r="E26" s="354" t="n"/>
    </row>
    <row r="27" ht="20.1" customFormat="1" customHeight="1" s="51">
      <c r="A27" s="63" t="inlineStr">
        <is>
          <t>其他</t>
        </is>
      </c>
      <c r="B27" s="354" t="n"/>
      <c r="C27" s="354" t="n"/>
      <c r="D27" s="354" t="n"/>
      <c r="E27" s="354" t="n"/>
    </row>
    <row r="28" ht="20.1" customFormat="1" customHeight="1" s="51">
      <c r="A28" s="61" t="n"/>
      <c r="B28" s="354" t="n"/>
      <c r="C28" s="354" t="n"/>
      <c r="D28" s="354" t="n"/>
      <c r="E28" s="354" t="n"/>
    </row>
    <row r="29" ht="20.1" customFormat="1" customHeight="1" s="51">
      <c r="A29" s="280" t="inlineStr">
        <is>
          <t>小计</t>
        </is>
      </c>
      <c r="B29" s="352">
        <f>SUM(B23:B28)</f>
        <v/>
      </c>
      <c r="C29" s="352">
        <f>SUM(C23:C28)</f>
        <v/>
      </c>
      <c r="D29" s="352">
        <f>SUM(D23:D28)</f>
        <v/>
      </c>
      <c r="E29" s="352">
        <f>SUM(E23:E28)</f>
        <v/>
      </c>
    </row>
    <row r="30" ht="20.1" customFormat="1" customHeight="1" s="51">
      <c r="A30" s="353" t="inlineStr">
        <is>
          <t>【提示：资产减值准备，含“持有待售资产减值准备”】</t>
        </is>
      </c>
      <c r="B30" s="357" t="n"/>
      <c r="C30" s="357" t="n"/>
      <c r="D30" s="357" t="n"/>
      <c r="E30" s="357" t="n"/>
    </row>
    <row r="31" ht="20.1" customFormat="1" customHeight="1" s="51">
      <c r="A31" s="353" t="inlineStr">
        <is>
          <t>【注：计入其他综合收益的其他金融资产为计入其他综合收益的其他债权投资、其他权益工具投资。】</t>
        </is>
      </c>
      <c r="B31" s="357" t="n"/>
      <c r="C31" s="357" t="n"/>
      <c r="D31" s="357" t="n"/>
      <c r="E31" s="357" t="n"/>
    </row>
    <row r="32" ht="20.1" customFormat="1" customHeight="1" s="51">
      <c r="A32" s="56" t="inlineStr">
        <is>
          <t>（2）递延所得税资产和递延所得税负债以抵销后的净额列示</t>
        </is>
      </c>
    </row>
    <row r="33" ht="20.1" customFormat="1" customHeight="1" s="51">
      <c r="A33" s="71" t="inlineStr">
        <is>
          <t>A、互抵后的递延所得税资产或负债及对应的互抵后可抵扣或应纳税暂时性差异</t>
        </is>
      </c>
    </row>
    <row r="34" ht="36" customFormat="1" customHeight="1" s="51">
      <c r="A34" s="72" t="inlineStr">
        <is>
          <t>项  目</t>
        </is>
      </c>
      <c r="B34" s="73" t="inlineStr">
        <is>
          <t>报告期末互抵后的递延所得税资产或负债</t>
        </is>
      </c>
      <c r="C34" s="73" t="inlineStr">
        <is>
          <t>报告期末互抵后的可抵扣或应纳税暂时性差异</t>
        </is>
      </c>
      <c r="D34" s="73" t="inlineStr">
        <is>
          <t>报告年初互抵后的递延所得税资产或负债</t>
        </is>
      </c>
      <c r="E34" s="73" t="inlineStr">
        <is>
          <t>报告年初互抵后的可抵扣或应纳税暂时性差异</t>
        </is>
      </c>
    </row>
    <row r="35" ht="20.1" customFormat="1" customHeight="1" s="51">
      <c r="A35" s="63" t="inlineStr">
        <is>
          <t>一、递延所得税资产</t>
        </is>
      </c>
    </row>
    <row r="36" ht="20.1" customFormat="1" customHeight="1" s="51">
      <c r="A36" s="63">
        <f>A13</f>
        <v/>
      </c>
    </row>
    <row r="37" ht="20.1" customFormat="1" customHeight="1" s="51">
      <c r="A37" s="63">
        <f>A14</f>
        <v/>
      </c>
    </row>
    <row r="38" ht="20.1" customFormat="1" customHeight="1" s="51">
      <c r="A38" s="63">
        <f>A15</f>
        <v/>
      </c>
    </row>
    <row r="39" ht="20.1" customFormat="1" customHeight="1" s="51">
      <c r="A39" s="63">
        <f>A16</f>
        <v/>
      </c>
    </row>
    <row r="40" ht="20.1" customFormat="1" customHeight="1" s="51">
      <c r="A40" s="63">
        <f>A17</f>
        <v/>
      </c>
    </row>
    <row r="41" ht="20.1" customFormat="1" customHeight="1" s="51">
      <c r="A41" s="63">
        <f>A18</f>
        <v/>
      </c>
    </row>
    <row r="42" ht="20.1" customFormat="1" customHeight="1" s="51">
      <c r="A42" s="63">
        <f>A19</f>
        <v/>
      </c>
    </row>
    <row r="43" ht="20.1" customFormat="1" customHeight="1" s="51">
      <c r="A43" s="63" t="n"/>
    </row>
    <row r="44" ht="20.1" customFormat="1" customHeight="1" s="51">
      <c r="A44" s="74" t="inlineStr">
        <is>
          <t>小 计</t>
        </is>
      </c>
      <c r="B44" s="358">
        <f>SUM(B36:B43)</f>
        <v/>
      </c>
      <c r="C44" s="358">
        <f>SUM(C36:C43)</f>
        <v/>
      </c>
      <c r="D44" s="358">
        <f>SUM(D36:D43)</f>
        <v/>
      </c>
      <c r="E44" s="358">
        <f>SUM(E36:E43)</f>
        <v/>
      </c>
    </row>
    <row r="45" ht="20.1" customFormat="1" customHeight="1" s="51">
      <c r="A45" s="63" t="inlineStr">
        <is>
          <t>二、递延所得税负债</t>
        </is>
      </c>
      <c r="B45" s="359" t="n"/>
      <c r="C45" s="359" t="n"/>
      <c r="D45" s="359" t="n"/>
      <c r="E45" s="359" t="n"/>
    </row>
    <row r="46" ht="20.1" customFormat="1" customHeight="1" s="51">
      <c r="A46" s="63">
        <f>A23</f>
        <v/>
      </c>
      <c r="B46" s="359" t="n"/>
      <c r="C46" s="359" t="n"/>
      <c r="D46" s="359" t="n"/>
      <c r="E46" s="359" t="n"/>
    </row>
    <row r="47" ht="20.1" customFormat="1" customHeight="1" s="51">
      <c r="A47" s="63">
        <f>A24</f>
        <v/>
      </c>
      <c r="B47" s="359" t="n"/>
      <c r="C47" s="359" t="n"/>
      <c r="D47" s="359" t="n"/>
      <c r="E47" s="359" t="n"/>
    </row>
    <row r="48" ht="20.1" customFormat="1" customHeight="1" s="51">
      <c r="A48" s="63">
        <f>A25</f>
        <v/>
      </c>
      <c r="B48" s="359" t="n"/>
      <c r="C48" s="359" t="n"/>
      <c r="D48" s="359" t="n"/>
      <c r="E48" s="359" t="n"/>
    </row>
    <row r="49" ht="20.1" customFormat="1" customHeight="1" s="51">
      <c r="A49" s="63">
        <f>A26</f>
        <v/>
      </c>
      <c r="B49" s="359" t="n"/>
      <c r="C49" s="359" t="n"/>
      <c r="D49" s="359" t="n"/>
      <c r="E49" s="359" t="n"/>
    </row>
    <row r="50" ht="20.1" customFormat="1" customHeight="1" s="51">
      <c r="A50" s="63">
        <f>A27</f>
        <v/>
      </c>
      <c r="B50" s="359" t="n"/>
      <c r="C50" s="359" t="n"/>
      <c r="D50" s="359" t="n"/>
      <c r="E50" s="359" t="n"/>
    </row>
    <row r="51" ht="20.1" customFormat="1" customHeight="1" s="51">
      <c r="A51" s="63" t="n"/>
      <c r="B51" s="359" t="n"/>
      <c r="C51" s="359" t="n"/>
      <c r="D51" s="359" t="n"/>
      <c r="E51" s="359" t="n"/>
    </row>
    <row r="52" ht="20.1" customFormat="1" customHeight="1" s="51">
      <c r="A52" s="74" t="inlineStr">
        <is>
          <t>小 计</t>
        </is>
      </c>
      <c r="B52" s="358">
        <f>SUM(B46:B51)</f>
        <v/>
      </c>
      <c r="C52" s="358">
        <f>SUM(C46:C51)</f>
        <v/>
      </c>
      <c r="D52" s="358">
        <f>SUM(D46:D51)</f>
        <v/>
      </c>
      <c r="E52" s="358">
        <f>SUM(E46:E51)</f>
        <v/>
      </c>
    </row>
    <row r="53" ht="20.1" customFormat="1" customHeight="1" s="51">
      <c r="A53" s="63" t="n"/>
    </row>
    <row r="54" ht="20.1" customFormat="1" customHeight="1" s="51">
      <c r="A54" s="71" t="inlineStr">
        <is>
          <t>B、递延所得税资产和递延所得税负债互抵明细：</t>
        </is>
      </c>
    </row>
    <row r="55" ht="20.1" customFormat="1" customHeight="1" s="51">
      <c r="A55" s="72" t="inlineStr">
        <is>
          <t>项  目</t>
        </is>
      </c>
      <c r="B55" s="72" t="inlineStr">
        <is>
          <t>本期互抵金额</t>
        </is>
      </c>
    </row>
    <row r="56" ht="20.1" customFormat="1" customHeight="1" s="51">
      <c r="A56" s="77" t="n"/>
      <c r="B56" s="77" t="n"/>
    </row>
    <row r="57" ht="20.1" customFormat="1" customHeight="1" s="51">
      <c r="A57" s="77" t="n"/>
      <c r="B57" s="77" t="n"/>
    </row>
    <row r="58" ht="20.1" customFormat="1" customHeight="1" s="51">
      <c r="A58" s="78" t="n"/>
      <c r="B58" s="78" t="n"/>
    </row>
    <row r="59" ht="20.1" customFormat="1" customHeight="1" s="51">
      <c r="A59" s="56" t="inlineStr">
        <is>
          <t>（3）未确认递延所得税资产明细</t>
        </is>
      </c>
    </row>
    <row r="60" ht="20.1" customFormat="1" customHeight="1" s="51">
      <c r="A60" s="72" t="inlineStr">
        <is>
          <t>项  目</t>
        </is>
      </c>
      <c r="B60" s="79" t="inlineStr">
        <is>
          <t>期末余额</t>
        </is>
      </c>
      <c r="C60" s="79" t="inlineStr">
        <is>
          <t>年初余额</t>
        </is>
      </c>
    </row>
    <row r="61" ht="20.1" customFormat="1" customHeight="1" s="51">
      <c r="A61" s="63" t="inlineStr">
        <is>
          <t>可抵扣暂时性差异</t>
        </is>
      </c>
      <c r="B61" s="351" t="n"/>
      <c r="C61" s="351" t="n"/>
    </row>
    <row r="62" ht="20.1" customFormat="1" customHeight="1" s="51">
      <c r="A62" s="74" t="inlineStr">
        <is>
          <t>可抵扣亏损</t>
        </is>
      </c>
      <c r="B62" s="360" t="n"/>
      <c r="C62" s="360" t="n"/>
    </row>
    <row r="63" ht="20.1" customFormat="1" customHeight="1" s="51">
      <c r="A63" s="81" t="inlineStr">
        <is>
          <t>合  计</t>
        </is>
      </c>
      <c r="B63" s="356">
        <f>B61+B62</f>
        <v/>
      </c>
      <c r="C63" s="356">
        <f>C61+C62</f>
        <v/>
      </c>
    </row>
    <row r="64" ht="20.1" customFormat="1" customHeight="1" s="51">
      <c r="A64" s="56" t="inlineStr">
        <is>
          <t>（4）未确认递延所得税资产的可抵扣亏损将于以下年度到期</t>
        </is>
      </c>
    </row>
    <row r="65" ht="20.1" customFormat="1" customHeight="1" s="51">
      <c r="A65" s="72" t="inlineStr">
        <is>
          <t>年  份</t>
        </is>
      </c>
      <c r="B65" s="79" t="inlineStr">
        <is>
          <t>期末余额</t>
        </is>
      </c>
      <c r="C65" s="79" t="inlineStr">
        <is>
          <t>年初余额</t>
        </is>
      </c>
      <c r="D65" s="73" t="inlineStr">
        <is>
          <t>备注</t>
        </is>
      </c>
    </row>
    <row r="66" ht="20.1" customFormat="1" customHeight="1" s="51">
      <c r="A66" s="77" t="inlineStr">
        <is>
          <t>2022年</t>
        </is>
      </c>
      <c r="B66" s="83" t="inlineStr">
        <is>
          <t>——</t>
        </is>
      </c>
      <c r="C66" s="351" t="n"/>
      <c r="D66" s="84" t="n"/>
    </row>
    <row r="67" ht="20.1" customFormat="1" customHeight="1" s="51">
      <c r="A67" s="77" t="inlineStr">
        <is>
          <t>2023年</t>
        </is>
      </c>
      <c r="B67" s="361" t="n"/>
      <c r="C67" s="351" t="n"/>
      <c r="D67" s="84" t="n"/>
    </row>
    <row r="68" ht="20.1" customFormat="1" customHeight="1" s="51">
      <c r="A68" s="77" t="inlineStr">
        <is>
          <t>2024年</t>
        </is>
      </c>
      <c r="B68" s="361" t="n"/>
      <c r="C68" s="351" t="n"/>
      <c r="D68" s="84" t="n"/>
    </row>
    <row r="69" ht="20.1" customFormat="1" customHeight="1" s="51">
      <c r="A69" s="77" t="inlineStr">
        <is>
          <t>2025年</t>
        </is>
      </c>
      <c r="B69" s="361" t="n"/>
      <c r="C69" s="351" t="n"/>
      <c r="D69" s="84" t="n"/>
    </row>
    <row r="70" ht="20.1" customFormat="1" customHeight="1" s="51">
      <c r="A70" s="77" t="inlineStr">
        <is>
          <t>2026年</t>
        </is>
      </c>
      <c r="B70" s="361" t="n"/>
      <c r="C70" s="351" t="n"/>
      <c r="D70" s="84" t="n"/>
    </row>
    <row r="71" ht="20.1" customFormat="1" customHeight="1" s="51">
      <c r="A71" s="77" t="inlineStr">
        <is>
          <t>2027年</t>
        </is>
      </c>
      <c r="B71" s="362" t="n"/>
      <c r="C71" s="87" t="inlineStr">
        <is>
          <t>——</t>
        </is>
      </c>
      <c r="D71" s="88" t="n"/>
    </row>
    <row r="72" ht="20.1" customFormat="1" customHeight="1" s="51">
      <c r="A72" s="355" t="inlineStr">
        <is>
          <t>合  计</t>
        </is>
      </c>
      <c r="B72" s="356">
        <f>SUM(B66:B71)</f>
        <v/>
      </c>
      <c r="C72" s="356">
        <f>SUM(C66:C71)</f>
        <v/>
      </c>
      <c r="D72" s="90" t="n"/>
    </row>
    <row r="73" ht="20.1" customFormat="1" customHeight="1" s="51">
      <c r="A73" s="91" t="inlineStr">
        <is>
          <t>注：无法在资产负债表日确定全部可抵扣亏损情况的，可只填写能确定部分的金额及其到期年度，并在备注栏予以说明。</t>
        </is>
      </c>
      <c r="B73" s="91" t="n"/>
      <c r="C73" s="91" t="n"/>
      <c r="D73" s="91" t="n"/>
    </row>
    <row r="74" ht="20.1" customFormat="1" customHeight="1" s="51">
      <c r="B74" s="92">
        <f>B72=B62</f>
        <v/>
      </c>
      <c r="C74" s="92">
        <f>C72=C62</f>
        <v/>
      </c>
    </row>
  </sheetData>
  <mergeCells count="6">
    <mergeCell ref="D10:E10"/>
    <mergeCell ref="A2:E2"/>
    <mergeCell ref="B10:C10"/>
    <mergeCell ref="A1:E1"/>
    <mergeCell ref="A10:A11"/>
    <mergeCell ref="A22:E22"/>
  </mergeCells>
  <pageMargins left="0.708333333333333" right="0.708333333333333" top="0.747916666666667" bottom="0.747916666666667" header="0.314583333333333" footer="0.314583333333333"/>
  <pageSetup orientation="portrait" paperSize="9" scale="62" blackAndWhite="1" horizontalDpi="300" verticalDpi="300"/>
  <headerFooter>
    <oddHeader/>
    <oddFooter>&amp;C&amp;P/&amp;N</oddFooter>
    <evenHeader/>
    <evenFooter/>
    <firstHeader/>
    <firstFooter/>
  </headerFooter>
  <rowBreaks count="1" manualBreakCount="1">
    <brk id="53" min="0" max="4" man="1"/>
  </rowBreaks>
</worksheet>
</file>

<file path=xl/worksheets/sheet6.xml><?xml version="1.0" encoding="utf-8"?>
<worksheet xmlns="http://schemas.openxmlformats.org/spreadsheetml/2006/main">
  <sheetPr>
    <outlinePr summaryBelow="1" summaryRight="1"/>
    <pageSetUpPr/>
  </sheetPr>
  <dimension ref="A1:N52"/>
  <sheetViews>
    <sheetView view="pageBreakPreview" zoomScaleNormal="100" workbookViewId="0">
      <selection activeCell="A1" sqref="A1:N1"/>
    </sheetView>
  </sheetViews>
  <sheetFormatPr baseColWidth="8" defaultColWidth="9" defaultRowHeight="20.1" customHeight="1"/>
  <cols>
    <col width="44.3984375" customWidth="1" style="301" min="1" max="1"/>
    <col width="17.19921875" customWidth="1" style="301" min="2" max="2"/>
    <col width="9.796875" customWidth="1" style="301" min="5" max="5"/>
  </cols>
  <sheetData>
    <row r="1" ht="20.1" customHeight="1" s="301">
      <c r="A1" s="266" t="inlineStr">
        <is>
          <t>致同会计师事务所</t>
        </is>
      </c>
    </row>
    <row r="2" ht="20.1" customHeight="1" s="301">
      <c r="A2" s="286" t="inlineStr">
        <is>
          <t>递延所得税资产明细表</t>
        </is>
      </c>
    </row>
    <row r="3" ht="20.1" customHeight="1" s="301">
      <c r="A3" s="29">
        <f>底稿目录!A2</f>
        <v/>
      </c>
      <c r="B3" s="29" t="n"/>
      <c r="C3" s="29" t="n"/>
      <c r="D3" s="29">
        <f>底稿目录!A4</f>
        <v/>
      </c>
      <c r="E3" s="29" t="n"/>
      <c r="F3" s="30" t="n"/>
      <c r="G3" s="30" t="n"/>
      <c r="H3" s="29">
        <f>底稿目录!A5</f>
        <v/>
      </c>
      <c r="I3" s="31" t="n"/>
      <c r="J3" s="31" t="n"/>
      <c r="K3" s="47" t="n"/>
      <c r="L3" s="31" t="n"/>
      <c r="M3" s="47" t="inlineStr">
        <is>
          <t>索引号：</t>
        </is>
      </c>
      <c r="N3" s="250" t="inlineStr">
        <is>
          <t>N1-2</t>
        </is>
      </c>
    </row>
    <row r="4" ht="20.1" customHeight="1" s="301">
      <c r="A4" s="29">
        <f>底稿目录!A3</f>
        <v/>
      </c>
      <c r="B4" s="29" t="n"/>
      <c r="C4" s="29" t="n"/>
      <c r="D4" s="29">
        <f>底稿目录!A6</f>
        <v/>
      </c>
      <c r="E4" s="29" t="n"/>
      <c r="F4" s="30" t="n"/>
      <c r="G4" s="30" t="n"/>
      <c r="H4" s="29">
        <f>底稿目录!A7</f>
        <v/>
      </c>
      <c r="I4" s="31" t="n"/>
      <c r="J4" s="31" t="n"/>
      <c r="K4" s="47" t="n"/>
      <c r="L4" s="31" t="n"/>
      <c r="M4" s="47" t="inlineStr">
        <is>
          <t>页次：</t>
        </is>
      </c>
      <c r="N4" s="29" t="n"/>
    </row>
    <row r="5" ht="20.1" customHeight="1" s="301">
      <c r="A5" s="170" t="inlineStr">
        <is>
          <t>一、审计目标</t>
        </is>
      </c>
      <c r="B5" s="170" t="n"/>
      <c r="C5" s="170" t="n"/>
      <c r="D5" s="1" t="n"/>
      <c r="E5" s="147" t="n"/>
      <c r="F5" s="2" t="n"/>
      <c r="G5" s="2" t="n"/>
      <c r="H5" s="2" t="n"/>
      <c r="I5" s="147" t="n"/>
      <c r="J5" s="1" t="n"/>
      <c r="K5" s="1" t="n"/>
      <c r="L5" s="1" t="n"/>
      <c r="M5" s="1" t="n"/>
      <c r="N5" s="1" t="n"/>
    </row>
    <row r="6" ht="20.1" customHeight="1" s="301">
      <c r="A6" s="147" t="inlineStr">
        <is>
          <t>递延所得税资产以恰当的金额包括在财务报表中，与之相关的计价调整已恰当记录。</t>
        </is>
      </c>
      <c r="B6" s="147" t="n"/>
      <c r="C6" s="1" t="n"/>
      <c r="D6" s="1" t="n"/>
      <c r="E6" s="147" t="n"/>
      <c r="F6" s="2" t="n"/>
      <c r="G6" s="2" t="n"/>
      <c r="H6" s="2" t="n"/>
      <c r="I6" s="147" t="n"/>
      <c r="J6" s="1" t="n"/>
      <c r="K6" s="1" t="n"/>
      <c r="L6" s="1" t="n"/>
      <c r="M6" s="1" t="n"/>
      <c r="N6" s="1" t="n"/>
    </row>
    <row r="7" ht="20.1" customHeight="1" s="301">
      <c r="A7" s="170" t="inlineStr">
        <is>
          <t>二、审计过程</t>
        </is>
      </c>
      <c r="B7" s="170" t="n"/>
      <c r="C7" s="170" t="n"/>
      <c r="D7" s="1" t="n"/>
      <c r="E7" s="147" t="n"/>
      <c r="F7" s="2" t="n"/>
      <c r="G7" s="2" t="n"/>
      <c r="H7" s="2" t="n"/>
      <c r="I7" s="147" t="n"/>
      <c r="J7" s="1" t="n"/>
      <c r="K7" s="1" t="n"/>
      <c r="L7" s="1" t="n"/>
      <c r="M7" s="1" t="n"/>
      <c r="N7" s="1" t="n"/>
    </row>
    <row r="8" ht="20.1" customHeight="1" s="301">
      <c r="A8" s="32" t="inlineStr">
        <is>
          <t>【项目组根据被审计单位税收情况增减项目】</t>
        </is>
      </c>
      <c r="B8" s="32" t="n"/>
    </row>
    <row r="9" ht="20.1" customHeight="1" s="301">
      <c r="A9" s="287" t="inlineStr">
        <is>
          <t>项  目</t>
        </is>
      </c>
      <c r="B9" s="287" t="n"/>
      <c r="C9" s="287" t="inlineStr">
        <is>
          <t>期初</t>
        </is>
      </c>
      <c r="D9" s="363" t="n"/>
      <c r="E9" s="363" t="n"/>
      <c r="F9" s="363" t="n"/>
      <c r="G9" s="363" t="n"/>
      <c r="H9" s="364" t="n"/>
      <c r="I9" s="287" t="inlineStr">
        <is>
          <t>期末</t>
        </is>
      </c>
      <c r="J9" s="363" t="n"/>
      <c r="K9" s="363" t="n"/>
      <c r="L9" s="363" t="n"/>
      <c r="M9" s="363" t="n"/>
      <c r="N9" s="364" t="n"/>
    </row>
    <row r="10" ht="43.5" customHeight="1" s="301">
      <c r="A10" s="325" t="n"/>
      <c r="B10" s="287" t="inlineStr">
        <is>
          <t>类别</t>
        </is>
      </c>
      <c r="C10" s="33" t="inlineStr">
        <is>
          <t>暂时性差异</t>
        </is>
      </c>
      <c r="D10" s="33" t="inlineStr">
        <is>
          <t>适用税率</t>
        </is>
      </c>
      <c r="E10" s="33" t="inlineStr">
        <is>
          <t>递延所得税资产期初余额</t>
        </is>
      </c>
      <c r="F10" s="322" t="inlineStr">
        <is>
          <t>账项调整</t>
        </is>
      </c>
      <c r="G10" s="322" t="inlineStr">
        <is>
          <t>重分类调整</t>
        </is>
      </c>
      <c r="H10" s="33" t="inlineStr">
        <is>
          <t>递延所得税资产期初审定数</t>
        </is>
      </c>
      <c r="I10" s="33" t="inlineStr">
        <is>
          <t>暂时性差异</t>
        </is>
      </c>
      <c r="J10" s="33" t="inlineStr">
        <is>
          <t>适用税率</t>
        </is>
      </c>
      <c r="K10" s="33" t="inlineStr">
        <is>
          <t>递延所得税资产期末余额</t>
        </is>
      </c>
      <c r="L10" s="322" t="inlineStr">
        <is>
          <t>账项调整</t>
        </is>
      </c>
      <c r="M10" s="322" t="inlineStr">
        <is>
          <t>重分类调整</t>
        </is>
      </c>
      <c r="N10" s="48" t="inlineStr">
        <is>
          <t>递延所得税资产期末审定数</t>
        </is>
      </c>
    </row>
    <row r="11" ht="20.1" customHeight="1" s="301">
      <c r="A11" s="35" t="inlineStr">
        <is>
          <t>交易性金融资产（公允价值与初始账面成本差异）</t>
        </is>
      </c>
      <c r="B11" s="35" t="inlineStr">
        <is>
          <t>公允价值变动</t>
        </is>
      </c>
      <c r="C11" s="365" t="n"/>
      <c r="D11" s="366" t="n"/>
      <c r="E11" s="367">
        <f>ROUND(C11*D11,2)</f>
        <v/>
      </c>
      <c r="F11" s="365" t="n"/>
      <c r="G11" s="365" t="n"/>
      <c r="H11" s="367">
        <f>E11+F11+G11</f>
        <v/>
      </c>
      <c r="I11" s="365" t="n"/>
      <c r="J11" s="366" t="n"/>
      <c r="K11" s="367">
        <f>ROUND(I11*J11,2)</f>
        <v/>
      </c>
      <c r="L11" s="365" t="n"/>
      <c r="M11" s="365" t="n"/>
      <c r="N11" s="368">
        <f>K11+L11+M11</f>
        <v/>
      </c>
    </row>
    <row r="12" ht="20.1" customHeight="1" s="301">
      <c r="A12" s="39" t="inlineStr">
        <is>
          <t>应收账款（坏账准备）</t>
        </is>
      </c>
      <c r="B12" s="35" t="inlineStr">
        <is>
          <t>资产减值准备</t>
        </is>
      </c>
      <c r="C12" s="365" t="n"/>
      <c r="D12" s="366" t="n"/>
      <c r="E12" s="367">
        <f>ROUND(C12*D12,2)</f>
        <v/>
      </c>
      <c r="F12" s="365" t="n"/>
      <c r="G12" s="365" t="n"/>
      <c r="H12" s="367">
        <f>E12+F12+G12</f>
        <v/>
      </c>
      <c r="I12" s="365" t="n"/>
      <c r="J12" s="366" t="n"/>
      <c r="K12" s="367">
        <f>ROUND(I12*J12,2)</f>
        <v/>
      </c>
      <c r="L12" s="365" t="n"/>
      <c r="M12" s="365" t="n"/>
      <c r="N12" s="368">
        <f>K12+L12+M12</f>
        <v/>
      </c>
    </row>
    <row r="13" ht="20.1" customHeight="1" s="301">
      <c r="A13" s="39" t="inlineStr">
        <is>
          <t>其他应收款（坏账准备）</t>
        </is>
      </c>
      <c r="B13" s="35" t="inlineStr">
        <is>
          <t>资产减值准备</t>
        </is>
      </c>
      <c r="C13" s="365" t="n"/>
      <c r="D13" s="366" t="n"/>
      <c r="E13" s="367">
        <f>ROUND(C13*D13,2)</f>
        <v/>
      </c>
      <c r="F13" s="365" t="n"/>
      <c r="G13" s="365" t="n"/>
      <c r="H13" s="367">
        <f>E13+F13+G13</f>
        <v/>
      </c>
      <c r="I13" s="365" t="n"/>
      <c r="J13" s="366" t="n"/>
      <c r="K13" s="367">
        <f>ROUND(I13*J13,2)</f>
        <v/>
      </c>
      <c r="L13" s="365" t="n"/>
      <c r="M13" s="365" t="n"/>
      <c r="N13" s="368">
        <f>K13+L13+M13</f>
        <v/>
      </c>
    </row>
    <row r="14" ht="20.1" customHeight="1" s="301">
      <c r="A14" s="39" t="inlineStr">
        <is>
          <t>存货（跌价准备）</t>
        </is>
      </c>
      <c r="B14" s="35" t="inlineStr">
        <is>
          <t>资产减值准备</t>
        </is>
      </c>
      <c r="C14" s="365" t="n"/>
      <c r="D14" s="366" t="n"/>
      <c r="E14" s="367">
        <f>ROUND(C14*D14,2)</f>
        <v/>
      </c>
      <c r="F14" s="365" t="n"/>
      <c r="G14" s="365" t="n"/>
      <c r="H14" s="367">
        <f>E14+F14+G14</f>
        <v/>
      </c>
      <c r="I14" s="365" t="n"/>
      <c r="J14" s="366" t="n"/>
      <c r="K14" s="367">
        <f>ROUND(I14*J14,2)</f>
        <v/>
      </c>
      <c r="L14" s="365" t="n"/>
      <c r="M14" s="365" t="n"/>
      <c r="N14" s="368">
        <f>K14+L14+M14</f>
        <v/>
      </c>
    </row>
    <row r="15" ht="20.1" customHeight="1" s="301">
      <c r="A15" s="39" t="inlineStr">
        <is>
          <t>应收款项融资（公允价值与经实际利率法摊销后账面金额的差异）</t>
        </is>
      </c>
      <c r="B15" s="35" t="inlineStr">
        <is>
          <t>公允价值变动</t>
        </is>
      </c>
      <c r="C15" s="365" t="n"/>
      <c r="D15" s="366" t="n"/>
      <c r="E15" s="367">
        <f>ROUND(C15*D15,2)</f>
        <v/>
      </c>
      <c r="F15" s="365" t="n"/>
      <c r="G15" s="365" t="n"/>
      <c r="H15" s="367">
        <f>E15+F15+G15</f>
        <v/>
      </c>
      <c r="I15" s="365" t="n"/>
      <c r="J15" s="366" t="n"/>
      <c r="K15" s="367">
        <f>ROUND(I15*J15,2)</f>
        <v/>
      </c>
      <c r="L15" s="365" t="n"/>
      <c r="M15" s="365" t="n"/>
      <c r="N15" s="368">
        <f>K15+L15+M15</f>
        <v/>
      </c>
    </row>
    <row r="16" ht="20.1" customHeight="1" s="301">
      <c r="A16" s="35" t="inlineStr">
        <is>
          <t>合同资产（减值准备）</t>
        </is>
      </c>
      <c r="B16" s="35" t="inlineStr">
        <is>
          <t>资产减值准备</t>
        </is>
      </c>
      <c r="C16" s="365" t="n"/>
      <c r="D16" s="366" t="n"/>
      <c r="E16" s="367">
        <f>ROUND(C16*D16,2)</f>
        <v/>
      </c>
      <c r="F16" s="365" t="n"/>
      <c r="G16" s="365" t="n"/>
      <c r="H16" s="367">
        <f>E16+F16+G16</f>
        <v/>
      </c>
      <c r="I16" s="365" t="n"/>
      <c r="J16" s="366" t="n"/>
      <c r="K16" s="367">
        <f>ROUND(I16*J16,2)</f>
        <v/>
      </c>
      <c r="L16" s="365" t="n"/>
      <c r="M16" s="365" t="n"/>
      <c r="N16" s="368">
        <f>K16+L16+M16</f>
        <v/>
      </c>
    </row>
    <row r="17" ht="20.1" customHeight="1" s="301">
      <c r="A17" s="35" t="inlineStr">
        <is>
          <t>其他债权投资（公允价值与经实际利率法摊销后账面金额的差异）</t>
        </is>
      </c>
      <c r="B17" s="35" t="inlineStr">
        <is>
          <t>公允价值变动</t>
        </is>
      </c>
      <c r="C17" s="365" t="n"/>
      <c r="D17" s="366" t="n"/>
      <c r="E17" s="367">
        <f>ROUND(C17*D17,2)</f>
        <v/>
      </c>
      <c r="F17" s="365" t="n"/>
      <c r="G17" s="365" t="n"/>
      <c r="H17" s="367">
        <f>E17+F17+G17</f>
        <v/>
      </c>
      <c r="I17" s="365" t="n"/>
      <c r="J17" s="366" t="n"/>
      <c r="K17" s="367">
        <f>ROUND(I17*J17,2)</f>
        <v/>
      </c>
      <c r="L17" s="365" t="n"/>
      <c r="M17" s="365" t="n"/>
      <c r="N17" s="368">
        <f>K17+L17+M17</f>
        <v/>
      </c>
    </row>
    <row r="18" ht="20.1" customHeight="1" s="301">
      <c r="A18" s="35" t="inlineStr">
        <is>
          <t>其他权益工具投资（公允价值与初始账面成本差异）</t>
        </is>
      </c>
      <c r="B18" s="35" t="inlineStr">
        <is>
          <t>公允价值变动</t>
        </is>
      </c>
      <c r="C18" s="365" t="n"/>
      <c r="D18" s="366" t="n"/>
      <c r="E18" s="367">
        <f>ROUND(C18*D18,2)</f>
        <v/>
      </c>
      <c r="F18" s="365" t="n"/>
      <c r="G18" s="365" t="n"/>
      <c r="H18" s="367">
        <f>E18+F18+G18</f>
        <v/>
      </c>
      <c r="I18" s="365" t="n"/>
      <c r="J18" s="366" t="n"/>
      <c r="K18" s="367">
        <f>ROUND(I18*J18,2)</f>
        <v/>
      </c>
      <c r="L18" s="365" t="n"/>
      <c r="M18" s="365" t="n"/>
      <c r="N18" s="368">
        <f>K18+L18+M18</f>
        <v/>
      </c>
    </row>
    <row r="19" ht="20.1" customHeight="1" s="301">
      <c r="A19" s="35" t="inlineStr">
        <is>
          <t>债权投资（减值准备）</t>
        </is>
      </c>
      <c r="B19" s="35" t="inlineStr">
        <is>
          <t>资产减值准备</t>
        </is>
      </c>
      <c r="C19" s="365" t="n"/>
      <c r="D19" s="366" t="n"/>
      <c r="E19" s="367">
        <f>ROUND(C19*D19,2)</f>
        <v/>
      </c>
      <c r="F19" s="365" t="n"/>
      <c r="G19" s="365" t="n"/>
      <c r="H19" s="367">
        <f>E19+F19+G19</f>
        <v/>
      </c>
      <c r="I19" s="365" t="n"/>
      <c r="J19" s="366" t="n"/>
      <c r="K19" s="367">
        <f>ROUND(I19*J19,2)</f>
        <v/>
      </c>
      <c r="L19" s="365" t="n"/>
      <c r="M19" s="365" t="n"/>
      <c r="N19" s="368">
        <f>K19+L19+M19</f>
        <v/>
      </c>
    </row>
    <row r="20" ht="20.1" customHeight="1" s="301">
      <c r="A20" s="35" t="inlineStr">
        <is>
          <t>长期股权投资（减值准备）</t>
        </is>
      </c>
      <c r="B20" s="35" t="inlineStr">
        <is>
          <t>资产减值准备</t>
        </is>
      </c>
      <c r="C20" s="365" t="n"/>
      <c r="D20" s="366" t="n"/>
      <c r="E20" s="367">
        <f>ROUND(C20*D20,2)</f>
        <v/>
      </c>
      <c r="F20" s="365" t="n"/>
      <c r="G20" s="365" t="n"/>
      <c r="H20" s="367">
        <f>E20+F20+G20</f>
        <v/>
      </c>
      <c r="I20" s="365" t="n"/>
      <c r="J20" s="366" t="n"/>
      <c r="K20" s="367">
        <f>ROUND(I20*J20,2)</f>
        <v/>
      </c>
      <c r="L20" s="365" t="n"/>
      <c r="M20" s="365" t="n"/>
      <c r="N20" s="368">
        <f>K20+L20+M20</f>
        <v/>
      </c>
    </row>
    <row r="21" ht="20.1" customHeight="1" s="301">
      <c r="A21" s="35" t="inlineStr">
        <is>
          <t>投资性房地产（公允价值与账面差异）</t>
        </is>
      </c>
      <c r="B21" s="35" t="inlineStr">
        <is>
          <t>公允价值变动</t>
        </is>
      </c>
      <c r="C21" s="365" t="n"/>
      <c r="D21" s="366" t="n"/>
      <c r="E21" s="367">
        <f>ROUND(C21*D21,2)</f>
        <v/>
      </c>
      <c r="F21" s="365" t="n"/>
      <c r="G21" s="365" t="n"/>
      <c r="H21" s="367">
        <f>E21+F21+G21</f>
        <v/>
      </c>
      <c r="I21" s="365" t="n"/>
      <c r="J21" s="366" t="n"/>
      <c r="K21" s="367">
        <f>ROUND(I21*J21,2)</f>
        <v/>
      </c>
      <c r="L21" s="365" t="n"/>
      <c r="M21" s="365" t="n"/>
      <c r="N21" s="368">
        <f>K21+L21+M21</f>
        <v/>
      </c>
    </row>
    <row r="22" ht="20.1" customHeight="1" s="301">
      <c r="A22" s="35" t="inlineStr">
        <is>
          <t>投资性房地产（折旧）</t>
        </is>
      </c>
      <c r="B22" s="35" t="n"/>
      <c r="C22" s="365" t="n"/>
      <c r="D22" s="366" t="n"/>
      <c r="E22" s="367">
        <f>ROUND(C22*D22,2)</f>
        <v/>
      </c>
      <c r="F22" s="365" t="n"/>
      <c r="G22" s="365" t="n"/>
      <c r="H22" s="367">
        <f>E22+F22+G22</f>
        <v/>
      </c>
      <c r="I22" s="365" t="n"/>
      <c r="J22" s="366" t="n"/>
      <c r="K22" s="367">
        <f>ROUND(I22*J22,2)</f>
        <v/>
      </c>
      <c r="L22" s="365" t="n"/>
      <c r="M22" s="365" t="n"/>
      <c r="N22" s="368">
        <f>K22+L22+M22</f>
        <v/>
      </c>
    </row>
    <row r="23" ht="20.1" customHeight="1" s="301">
      <c r="A23" s="35" t="inlineStr">
        <is>
          <t>固定资产（减值准备）</t>
        </is>
      </c>
      <c r="B23" s="35" t="inlineStr">
        <is>
          <t>资产减值准备</t>
        </is>
      </c>
      <c r="C23" s="365" t="n"/>
      <c r="D23" s="366" t="n"/>
      <c r="E23" s="367">
        <f>ROUND(C23*D23,2)</f>
        <v/>
      </c>
      <c r="F23" s="365" t="n"/>
      <c r="G23" s="365" t="n"/>
      <c r="H23" s="367">
        <f>E23+F23+G23</f>
        <v/>
      </c>
      <c r="I23" s="365" t="n"/>
      <c r="J23" s="366" t="n"/>
      <c r="K23" s="367">
        <f>ROUND(I23*J23,2)</f>
        <v/>
      </c>
      <c r="L23" s="365" t="n"/>
      <c r="M23" s="365" t="n"/>
      <c r="N23" s="368">
        <f>K23+L23+M23</f>
        <v/>
      </c>
    </row>
    <row r="24" ht="20.1" customHeight="1" s="301">
      <c r="A24" s="35" t="inlineStr">
        <is>
          <t>固定资产折旧（年限、残值）</t>
        </is>
      </c>
      <c r="B24" s="35" t="n"/>
      <c r="C24" s="365" t="n"/>
      <c r="D24" s="366" t="n"/>
      <c r="E24" s="367">
        <f>ROUND(C24*D24,2)</f>
        <v/>
      </c>
      <c r="F24" s="365" t="n"/>
      <c r="G24" s="365" t="n"/>
      <c r="H24" s="367">
        <f>E24+F24+G24</f>
        <v/>
      </c>
      <c r="I24" s="365" t="n"/>
      <c r="J24" s="366" t="n"/>
      <c r="K24" s="367">
        <f>ROUND(I24*J24,2)</f>
        <v/>
      </c>
      <c r="L24" s="365" t="n"/>
      <c r="M24" s="365" t="n"/>
      <c r="N24" s="368">
        <f>K24+L24+M24</f>
        <v/>
      </c>
    </row>
    <row r="25" ht="20.1" customHeight="1" s="301">
      <c r="A25" s="35" t="inlineStr">
        <is>
          <t>在建工程（减值准备）</t>
        </is>
      </c>
      <c r="B25" s="35" t="inlineStr">
        <is>
          <t>资产减值准备</t>
        </is>
      </c>
      <c r="C25" s="365" t="n"/>
      <c r="D25" s="366" t="n"/>
      <c r="E25" s="367">
        <f>ROUND(C25*D25,2)</f>
        <v/>
      </c>
      <c r="F25" s="365" t="n"/>
      <c r="G25" s="365" t="n"/>
      <c r="H25" s="367">
        <f>E25+F25+G25</f>
        <v/>
      </c>
      <c r="I25" s="365" t="n"/>
      <c r="J25" s="366" t="n"/>
      <c r="K25" s="367">
        <f>ROUND(I25*J25,2)</f>
        <v/>
      </c>
      <c r="L25" s="365" t="n"/>
      <c r="M25" s="365" t="n"/>
      <c r="N25" s="368">
        <f>K25+L25+M25</f>
        <v/>
      </c>
    </row>
    <row r="26" ht="20.1" customHeight="1" s="301">
      <c r="A26" s="35" t="inlineStr">
        <is>
          <t>使用权资产（减值准备）</t>
        </is>
      </c>
      <c r="B26" s="35" t="inlineStr">
        <is>
          <t>资产减值准备</t>
        </is>
      </c>
      <c r="C26" s="365" t="n"/>
      <c r="D26" s="366" t="n"/>
      <c r="E26" s="367">
        <f>ROUND(C26*D26,2)</f>
        <v/>
      </c>
      <c r="F26" s="365" t="n"/>
      <c r="G26" s="365" t="n"/>
      <c r="H26" s="367">
        <f>E26+F26+G26</f>
        <v/>
      </c>
      <c r="I26" s="365" t="n"/>
      <c r="J26" s="366" t="n"/>
      <c r="K26" s="367">
        <f>ROUND(I26*J26,2)</f>
        <v/>
      </c>
      <c r="L26" s="365" t="n"/>
      <c r="M26" s="365" t="n"/>
      <c r="N26" s="368">
        <f>K26+L26+M26</f>
        <v/>
      </c>
    </row>
    <row r="27" ht="20.1" customHeight="1" s="301">
      <c r="A27" s="35" t="inlineStr">
        <is>
          <t>无形资产（减值准备、摊销）</t>
        </is>
      </c>
      <c r="B27" s="35" t="inlineStr">
        <is>
          <t>资产减值准备</t>
        </is>
      </c>
      <c r="C27" s="365" t="n"/>
      <c r="D27" s="366" t="n"/>
      <c r="E27" s="367">
        <f>ROUND(C27*D27,2)</f>
        <v/>
      </c>
      <c r="F27" s="365" t="n"/>
      <c r="G27" s="365" t="n"/>
      <c r="H27" s="367">
        <f>E27+F27+G27</f>
        <v/>
      </c>
      <c r="I27" s="365" t="n"/>
      <c r="J27" s="366" t="n"/>
      <c r="K27" s="367">
        <f>ROUND(I27*J27,2)</f>
        <v/>
      </c>
      <c r="L27" s="365" t="n"/>
      <c r="M27" s="365" t="n"/>
      <c r="N27" s="368">
        <f>K27+L27+M27</f>
        <v/>
      </c>
    </row>
    <row r="28" ht="20.1" customHeight="1" s="301">
      <c r="A28" s="39" t="inlineStr">
        <is>
          <t>无形资产（研发费用资本化）</t>
        </is>
      </c>
      <c r="B28" s="35" t="n"/>
      <c r="C28" s="365" t="n"/>
      <c r="D28" s="366" t="n"/>
      <c r="E28" s="367">
        <f>ROUND(C28*D28,2)</f>
        <v/>
      </c>
      <c r="F28" s="365" t="n"/>
      <c r="G28" s="365" t="n"/>
      <c r="H28" s="367">
        <f>E28+F28+G28</f>
        <v/>
      </c>
      <c r="I28" s="365" t="n"/>
      <c r="J28" s="366" t="n"/>
      <c r="K28" s="367">
        <f>ROUND(I28*J28,2)</f>
        <v/>
      </c>
      <c r="L28" s="365" t="n"/>
      <c r="M28" s="365" t="n"/>
      <c r="N28" s="368">
        <f>K28+L28+M28</f>
        <v/>
      </c>
    </row>
    <row r="29" ht="20.1" customHeight="1" s="301">
      <c r="A29" s="40" t="inlineStr">
        <is>
          <t>开办费（摊销方法）[注1]</t>
        </is>
      </c>
      <c r="B29" s="35" t="n"/>
      <c r="C29" s="365" t="n"/>
      <c r="D29" s="366" t="n"/>
      <c r="E29" s="367">
        <f>ROUND(C29*D29,2)</f>
        <v/>
      </c>
      <c r="F29" s="365" t="n"/>
      <c r="G29" s="365" t="n"/>
      <c r="H29" s="367">
        <f>E29+F29+G29</f>
        <v/>
      </c>
      <c r="I29" s="365" t="n"/>
      <c r="J29" s="366" t="n"/>
      <c r="K29" s="367">
        <f>ROUND(I29*J29,2)</f>
        <v/>
      </c>
      <c r="L29" s="365" t="n"/>
      <c r="M29" s="365" t="n"/>
      <c r="N29" s="368">
        <f>K29+L29+M29</f>
        <v/>
      </c>
    </row>
    <row r="30" ht="20.1" customHeight="1" s="301">
      <c r="A30" s="40" t="inlineStr">
        <is>
          <t>交易性金融负债（公允价值与账面差异）</t>
        </is>
      </c>
      <c r="B30" s="35" t="inlineStr">
        <is>
          <t>公允价值变动</t>
        </is>
      </c>
      <c r="C30" s="365" t="n"/>
      <c r="D30" s="366" t="n"/>
      <c r="E30" s="367">
        <f>ROUND(C30*D30,2)</f>
        <v/>
      </c>
      <c r="F30" s="365" t="n"/>
      <c r="G30" s="365" t="n"/>
      <c r="H30" s="367">
        <f>E30+F30+G30</f>
        <v/>
      </c>
      <c r="I30" s="365" t="n"/>
      <c r="J30" s="366" t="n"/>
      <c r="K30" s="367">
        <f>ROUND(I30*J30,2)</f>
        <v/>
      </c>
      <c r="L30" s="365" t="n"/>
      <c r="M30" s="365" t="n"/>
      <c r="N30" s="368">
        <f>K30+L30+M30</f>
        <v/>
      </c>
    </row>
    <row r="31" ht="20.1" customHeight="1" s="301">
      <c r="A31" s="35" t="inlineStr">
        <is>
          <t>应付职工薪酬（已计提未支付）</t>
        </is>
      </c>
      <c r="B31" s="35" t="inlineStr">
        <is>
          <t>其他</t>
        </is>
      </c>
      <c r="C31" s="365" t="n"/>
      <c r="D31" s="366" t="n"/>
      <c r="E31" s="367">
        <f>ROUND(C31*D31,2)</f>
        <v/>
      </c>
      <c r="F31" s="365" t="n"/>
      <c r="G31" s="365" t="n"/>
      <c r="H31" s="367">
        <f>E31+F31+G31</f>
        <v/>
      </c>
      <c r="I31" s="365" t="n"/>
      <c r="J31" s="366" t="n"/>
      <c r="K31" s="367">
        <f>ROUND(I31*J31,2)</f>
        <v/>
      </c>
      <c r="L31" s="365" t="n"/>
      <c r="M31" s="365" t="n"/>
      <c r="N31" s="368">
        <f>K31+L31+M31</f>
        <v/>
      </c>
    </row>
    <row r="32" ht="20.1" customHeight="1" s="301">
      <c r="A32" s="39" t="inlineStr">
        <is>
          <t>应付职工薪酬（预计辞退福利费）[注2]</t>
        </is>
      </c>
      <c r="B32" s="35" t="inlineStr">
        <is>
          <t>其他</t>
        </is>
      </c>
      <c r="C32" s="365" t="n"/>
      <c r="D32" s="366" t="n"/>
      <c r="E32" s="367">
        <f>ROUND(C32*D32,2)</f>
        <v/>
      </c>
      <c r="F32" s="365" t="n"/>
      <c r="G32" s="365" t="n"/>
      <c r="H32" s="367">
        <f>E32+F32+G32</f>
        <v/>
      </c>
      <c r="I32" s="365" t="n"/>
      <c r="J32" s="366" t="n"/>
      <c r="K32" s="367">
        <f>ROUND(I32*J32,2)</f>
        <v/>
      </c>
      <c r="L32" s="365" t="n"/>
      <c r="M32" s="365" t="n"/>
      <c r="N32" s="368">
        <f>K32+L32+M32</f>
        <v/>
      </c>
    </row>
    <row r="33" ht="20.1" customHeight="1" s="301">
      <c r="A33" s="35" t="inlineStr">
        <is>
          <t>预提费用</t>
        </is>
      </c>
      <c r="B33" s="35" t="inlineStr">
        <is>
          <t>其他</t>
        </is>
      </c>
      <c r="C33" s="365" t="n"/>
      <c r="D33" s="366" t="n"/>
      <c r="E33" s="367">
        <f>ROUND(C33*D33,2)</f>
        <v/>
      </c>
      <c r="F33" s="365" t="n"/>
      <c r="G33" s="365" t="n"/>
      <c r="H33" s="367">
        <f>E33+F33+G33</f>
        <v/>
      </c>
      <c r="I33" s="365" t="n"/>
      <c r="J33" s="366" t="n"/>
      <c r="K33" s="367">
        <f>ROUND(I33*J33,2)</f>
        <v/>
      </c>
      <c r="L33" s="365" t="n"/>
      <c r="M33" s="365" t="n"/>
      <c r="N33" s="368">
        <f>K33+L33+M33</f>
        <v/>
      </c>
    </row>
    <row r="34" ht="20.1" customHeight="1" s="301">
      <c r="A34" s="39" t="inlineStr">
        <is>
          <t>递延收益</t>
        </is>
      </c>
      <c r="B34" s="35" t="inlineStr">
        <is>
          <t>其他</t>
        </is>
      </c>
      <c r="C34" s="365" t="n"/>
      <c r="D34" s="366" t="n"/>
      <c r="E34" s="367">
        <f>ROUND(C34*D34,2)</f>
        <v/>
      </c>
      <c r="F34" s="365" t="n"/>
      <c r="G34" s="365" t="n"/>
      <c r="H34" s="367">
        <f>E34+F34+G34</f>
        <v/>
      </c>
      <c r="I34" s="365" t="n"/>
      <c r="J34" s="366" t="n"/>
      <c r="K34" s="367">
        <f>ROUND(I34*J34,2)</f>
        <v/>
      </c>
      <c r="L34" s="365" t="n"/>
      <c r="M34" s="365" t="n"/>
      <c r="N34" s="368">
        <f>K34+L34+M34</f>
        <v/>
      </c>
    </row>
    <row r="35" ht="20.1" customHeight="1" s="301">
      <c r="A35" s="35" t="inlineStr">
        <is>
          <t>预计负债（预计产品保修费用等）</t>
        </is>
      </c>
      <c r="B35" s="35" t="inlineStr">
        <is>
          <t>其他</t>
        </is>
      </c>
      <c r="C35" s="365" t="n"/>
      <c r="D35" s="366" t="n"/>
      <c r="E35" s="367">
        <f>ROUND(C35*D35,2)</f>
        <v/>
      </c>
      <c r="F35" s="365" t="n"/>
      <c r="G35" s="365" t="n"/>
      <c r="H35" s="367">
        <f>E35+F35+G35</f>
        <v/>
      </c>
      <c r="I35" s="365" t="n"/>
      <c r="J35" s="366" t="n"/>
      <c r="K35" s="367">
        <f>ROUND(I35*J35,2)</f>
        <v/>
      </c>
      <c r="L35" s="365" t="n"/>
      <c r="M35" s="365" t="n"/>
      <c r="N35" s="368">
        <f>K35+L35+M35</f>
        <v/>
      </c>
    </row>
    <row r="36" ht="20.1" customHeight="1" s="301">
      <c r="A36" s="35" t="inlineStr">
        <is>
          <t>收入（预收款项）</t>
        </is>
      </c>
      <c r="B36" s="35" t="inlineStr">
        <is>
          <t>其他</t>
        </is>
      </c>
      <c r="C36" s="365" t="n"/>
      <c r="D36" s="366" t="n"/>
      <c r="E36" s="367">
        <f>ROUND(C36*D36,2)</f>
        <v/>
      </c>
      <c r="F36" s="365" t="n"/>
      <c r="G36" s="365" t="n"/>
      <c r="H36" s="367">
        <f>E36+F36+G36</f>
        <v/>
      </c>
      <c r="I36" s="365" t="n"/>
      <c r="J36" s="366" t="n"/>
      <c r="K36" s="367">
        <f>ROUND(I36*J36,2)</f>
        <v/>
      </c>
      <c r="L36" s="365" t="n"/>
      <c r="M36" s="365" t="n"/>
      <c r="N36" s="368">
        <f>K36+L36+M36</f>
        <v/>
      </c>
    </row>
    <row r="37" ht="20.1" customHeight="1" s="301">
      <c r="A37" s="35" t="inlineStr">
        <is>
          <t>销售费用（广告费和业务宣传费）</t>
        </is>
      </c>
      <c r="B37" s="35" t="inlineStr">
        <is>
          <t>其他</t>
        </is>
      </c>
      <c r="C37" s="365" t="n"/>
      <c r="D37" s="366" t="n"/>
      <c r="E37" s="367">
        <f>ROUND(C37*D37,2)</f>
        <v/>
      </c>
      <c r="F37" s="365" t="n"/>
      <c r="G37" s="365" t="n"/>
      <c r="H37" s="367">
        <f>E37+F37+G37</f>
        <v/>
      </c>
      <c r="I37" s="365" t="n"/>
      <c r="J37" s="366" t="n"/>
      <c r="K37" s="367">
        <f>ROUND(I37*J37,2)</f>
        <v/>
      </c>
      <c r="L37" s="365" t="n"/>
      <c r="M37" s="365" t="n"/>
      <c r="N37" s="368">
        <f>K37+L37+M37</f>
        <v/>
      </c>
    </row>
    <row r="38" ht="20.1" customHeight="1" s="301">
      <c r="A38" s="35" t="inlineStr">
        <is>
          <t>可用以后年度税前利润弥补的亏损</t>
        </is>
      </c>
      <c r="B38" s="35" t="inlineStr">
        <is>
          <t>可抵扣亏损</t>
        </is>
      </c>
      <c r="C38" s="365" t="n"/>
      <c r="D38" s="366" t="n"/>
      <c r="E38" s="367">
        <f>ROUND(C38*D38,2)</f>
        <v/>
      </c>
      <c r="F38" s="365" t="n"/>
      <c r="G38" s="365" t="n"/>
      <c r="H38" s="367">
        <f>E38+F38+G38</f>
        <v/>
      </c>
      <c r="I38" s="365" t="n"/>
      <c r="J38" s="366" t="n"/>
      <c r="K38" s="367">
        <f>ROUND(I38*J38,2)</f>
        <v/>
      </c>
      <c r="L38" s="365" t="n"/>
      <c r="M38" s="365" t="n"/>
      <c r="N38" s="368">
        <f>K38+L38+M38</f>
        <v/>
      </c>
    </row>
    <row r="39" ht="20.1" customHeight="1" s="301">
      <c r="A39" s="35" t="inlineStr">
        <is>
          <t>除上述项目以外的其他[注3]</t>
        </is>
      </c>
      <c r="B39" s="35" t="inlineStr">
        <is>
          <t>其他</t>
        </is>
      </c>
      <c r="C39" s="365" t="n"/>
      <c r="D39" s="366" t="n"/>
      <c r="E39" s="367">
        <f>ROUND(C39*D39,2)</f>
        <v/>
      </c>
      <c r="F39" s="365" t="n"/>
      <c r="G39" s="365" t="n"/>
      <c r="H39" s="367">
        <f>E39+F39+G39</f>
        <v/>
      </c>
      <c r="I39" s="365" t="n"/>
      <c r="J39" s="366" t="n"/>
      <c r="K39" s="367">
        <f>ROUND(I39*J39,2)</f>
        <v/>
      </c>
      <c r="L39" s="365" t="n"/>
      <c r="M39" s="365" t="n"/>
      <c r="N39" s="368">
        <f>K39+L39+M39</f>
        <v/>
      </c>
    </row>
    <row r="40" ht="20.1" customHeight="1" s="301">
      <c r="A40" s="39" t="inlineStr">
        <is>
          <t>……</t>
        </is>
      </c>
      <c r="B40" s="39" t="n"/>
      <c r="C40" s="365" t="n"/>
      <c r="D40" s="366" t="n"/>
      <c r="E40" s="367">
        <f>ROUND(C40*D40,2)</f>
        <v/>
      </c>
      <c r="F40" s="365" t="n"/>
      <c r="G40" s="365" t="n"/>
      <c r="H40" s="367">
        <f>E40+F40+G40</f>
        <v/>
      </c>
      <c r="I40" s="365" t="n"/>
      <c r="J40" s="366" t="n"/>
      <c r="K40" s="367">
        <f>ROUND(I40*J40,2)</f>
        <v/>
      </c>
      <c r="L40" s="365" t="n"/>
      <c r="M40" s="365" t="n"/>
      <c r="N40" s="368">
        <f>K40+L40+M40</f>
        <v/>
      </c>
    </row>
    <row r="41" ht="20.1" customHeight="1" s="301">
      <c r="A41" s="41" t="n"/>
      <c r="B41" s="41" t="n"/>
      <c r="C41" s="369" t="n"/>
      <c r="D41" s="370" t="n"/>
      <c r="E41" s="367" t="n"/>
      <c r="F41" s="369" t="n"/>
      <c r="G41" s="369" t="n"/>
      <c r="H41" s="367" t="n"/>
      <c r="I41" s="369" t="n"/>
      <c r="J41" s="370" t="n"/>
      <c r="K41" s="367" t="n"/>
      <c r="L41" s="369" t="n"/>
      <c r="M41" s="369" t="n"/>
      <c r="N41" s="367" t="n"/>
    </row>
    <row r="42" ht="20.1" customHeight="1" s="301">
      <c r="A42" s="44" t="n"/>
      <c r="B42" s="44" t="n"/>
      <c r="C42" s="367">
        <f>SUM(C11:C41)</f>
        <v/>
      </c>
      <c r="D42" s="367" t="n"/>
      <c r="E42" s="367">
        <f>SUM(E11:E41)</f>
        <v/>
      </c>
      <c r="F42" s="367">
        <f>SUM(F11:F41)</f>
        <v/>
      </c>
      <c r="G42" s="367">
        <f>SUM(G11:G41)</f>
      </c>
      <c r="H42" s="367">
        <f>SUM(H11:H41)</f>
        <v/>
      </c>
      <c r="I42" s="367">
        <f>SUM(I11:I41)</f>
        <v/>
      </c>
      <c r="J42" s="367" t="n"/>
      <c r="K42" s="367">
        <f>SUM(K11:K41)</f>
        <v/>
      </c>
      <c r="L42" s="367">
        <f>SUM(L11:L41)</f>
        <v/>
      </c>
      <c r="M42" s="367">
        <f>SUM(M11:M41)</f>
      </c>
      <c r="N42" s="367">
        <f>SUM(N11:N41)</f>
        <v/>
      </c>
    </row>
    <row r="43" ht="20.1" customHeight="1" s="301">
      <c r="A43" s="170" t="inlineStr">
        <is>
          <t>三、审计说明</t>
        </is>
      </c>
      <c r="B43" s="170" t="n"/>
    </row>
    <row r="47" ht="20.1" customHeight="1" s="301">
      <c r="A47" s="170" t="inlineStr">
        <is>
          <t>四、审计结论</t>
        </is>
      </c>
      <c r="B47" s="170" t="n"/>
    </row>
    <row r="49" ht="20.1" customHeight="1" s="301">
      <c r="A49" s="45" t="inlineStr">
        <is>
          <t>[注1]取得税务同意抵扣依据的开办费摊销差异。</t>
        </is>
      </c>
      <c r="B49" s="45" t="n"/>
    </row>
    <row r="50" ht="20.1" customHeight="1" s="301">
      <c r="A50" s="46" t="inlineStr">
        <is>
          <t>[注2]预计辞退福利费须解除劳动关系。</t>
        </is>
      </c>
      <c r="B50" s="46" t="n"/>
    </row>
    <row r="51" ht="20.1" customHeight="1" s="301">
      <c r="A51" s="45" t="inlineStr">
        <is>
          <t>[注3]若有其他项目，需详加说明内容。如税款抵减等。</t>
        </is>
      </c>
      <c r="B51" s="45" t="n"/>
    </row>
    <row r="52" ht="20.1" customHeight="1" s="301">
      <c r="A52" s="46" t="inlineStr">
        <is>
          <t>[注4] 预计递延所得税资产（负债）转回时适用的所得税税率。相关证明文件索引号为：</t>
        </is>
      </c>
      <c r="B52" s="46" t="n"/>
    </row>
  </sheetData>
  <autoFilter ref="A10:N40"/>
  <mergeCells count="5">
    <mergeCell ref="A9:A10"/>
    <mergeCell ref="A2:N2"/>
    <mergeCell ref="C9:H9"/>
    <mergeCell ref="I9:N9"/>
    <mergeCell ref="A1:N1"/>
  </mergeCells>
  <dataValidations count="1">
    <dataValidation sqref="B11:B39" showDropDown="0" showInputMessage="1" showErrorMessage="1" allowBlank="1" type="list">
      <formula1>"资产减值准备,可抵扣亏损,内部交易未实现利润,公允价值变动,租赁负债,购入摊销年限小于税法规定的资产,其他"</formula1>
    </dataValidation>
  </dataValidations>
  <hyperlinks>
    <hyperlink ref="N3" location="底稿目录!A1" display="D10-2"/>
  </hyperlinks>
  <pageMargins left="0.708333333333333" right="0.708333333333333" top="0.747916666666667" bottom="0.747916666666667" header="0.314583333333333" footer="0.314583333333333"/>
  <pageSetup orientation="portrait" paperSize="9" scale="45" blackAndWhite="1" horizontalDpi="300" verticalDpi="300"/>
  <headerFooter>
    <oddHeader/>
    <oddFooter>&amp;C&amp;P/&amp;N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J31"/>
  <sheetViews>
    <sheetView view="pageBreakPreview" zoomScaleNormal="100" workbookViewId="0">
      <selection activeCell="A1" sqref="A1:J1"/>
    </sheetView>
  </sheetViews>
  <sheetFormatPr baseColWidth="8" defaultColWidth="9" defaultRowHeight="20.1" customHeight="1"/>
  <cols>
    <col width="13.8984375" customWidth="1" style="6" min="1" max="1"/>
    <col width="10.8984375" customWidth="1" style="6" min="2" max="3"/>
    <col width="9" customWidth="1" style="6" min="4" max="16384"/>
  </cols>
  <sheetData>
    <row r="1" ht="20.1" customHeight="1" s="301">
      <c r="A1" s="288" t="inlineStr">
        <is>
          <t>致同会计师事务所</t>
        </is>
      </c>
    </row>
    <row r="2" ht="20.1" customHeight="1" s="301">
      <c r="A2" s="289" t="inlineStr">
        <is>
          <t>递延所得税资产调整分录汇总表</t>
        </is>
      </c>
    </row>
    <row r="3" ht="20.1" customHeight="1" s="301">
      <c r="A3" s="22">
        <f>底稿目录!A2</f>
        <v/>
      </c>
      <c r="B3" s="22" t="n"/>
      <c r="C3" s="22" t="n"/>
      <c r="D3" s="22">
        <f>底稿目录!A4</f>
        <v/>
      </c>
      <c r="E3" s="22" t="n"/>
      <c r="F3" s="8" t="n"/>
      <c r="G3" s="22">
        <f>底稿目录!A5</f>
        <v/>
      </c>
      <c r="H3" s="22" t="n"/>
      <c r="I3" s="27" t="inlineStr">
        <is>
          <t>索引号：</t>
        </is>
      </c>
      <c r="J3" s="250" t="inlineStr">
        <is>
          <t>N1-3</t>
        </is>
      </c>
    </row>
    <row r="4" ht="20.1" customHeight="1" s="301">
      <c r="A4" s="22">
        <f>底稿目录!A3</f>
        <v/>
      </c>
      <c r="B4" s="22" t="n"/>
      <c r="C4" s="22" t="n"/>
      <c r="D4" s="22">
        <f>底稿目录!A6</f>
        <v/>
      </c>
      <c r="E4" s="22" t="n"/>
      <c r="F4" s="8" t="n"/>
      <c r="G4" s="22">
        <f>底稿目录!A7</f>
        <v/>
      </c>
      <c r="H4" s="22" t="n"/>
      <c r="I4" s="27" t="inlineStr">
        <is>
          <t>页次：</t>
        </is>
      </c>
      <c r="J4" s="8" t="n"/>
    </row>
    <row r="5" ht="42" customHeight="1" s="301">
      <c r="A5" s="9" t="inlineStr">
        <is>
          <t>调整事项说明</t>
        </is>
      </c>
      <c r="B5" s="10" t="inlineStr">
        <is>
          <t>类别（报表调整/账项调整/其他）</t>
        </is>
      </c>
      <c r="C5" s="11" t="inlineStr">
        <is>
          <t>报表项目</t>
        </is>
      </c>
      <c r="D5" s="12" t="inlineStr">
        <is>
          <t>科目名称</t>
        </is>
      </c>
      <c r="E5" s="12" t="inlineStr">
        <is>
          <t>附注项目</t>
        </is>
      </c>
      <c r="F5" s="13" t="inlineStr">
        <is>
          <t>……</t>
        </is>
      </c>
      <c r="G5" s="12" t="inlineStr">
        <is>
          <t>借方调整金额</t>
        </is>
      </c>
      <c r="H5" s="12" t="inlineStr">
        <is>
          <t>贷方调整金额</t>
        </is>
      </c>
      <c r="I5" s="12" t="inlineStr">
        <is>
          <t>索引</t>
        </is>
      </c>
      <c r="J5" s="12" t="inlineStr">
        <is>
          <t>备注</t>
        </is>
      </c>
    </row>
    <row r="6" ht="20.1" customHeight="1" s="301">
      <c r="A6" s="14" t="n"/>
      <c r="B6" s="14" t="n"/>
      <c r="C6" s="14" t="n"/>
      <c r="D6" s="14" t="n"/>
      <c r="E6" s="14" t="n"/>
      <c r="F6" s="14" t="n"/>
      <c r="G6" s="371" t="n"/>
      <c r="H6" s="371" t="n"/>
      <c r="I6" s="28" t="n"/>
      <c r="J6" s="14" t="n"/>
    </row>
    <row r="7" ht="20.1" customHeight="1" s="301">
      <c r="A7" s="16" t="n"/>
      <c r="B7" s="14" t="n"/>
      <c r="C7" s="14" t="n"/>
      <c r="D7" s="14" t="n"/>
      <c r="E7" s="14" t="n"/>
      <c r="F7" s="14" t="n"/>
      <c r="G7" s="371" t="n"/>
      <c r="H7" s="371" t="n"/>
      <c r="I7" s="28" t="n"/>
      <c r="J7" s="14" t="n"/>
    </row>
    <row r="8" ht="20.1" customHeight="1" s="301">
      <c r="A8" s="17" t="n"/>
      <c r="B8" s="14" t="n"/>
      <c r="C8" s="14" t="n"/>
      <c r="D8" s="14" t="n"/>
      <c r="E8" s="14" t="n"/>
      <c r="F8" s="14" t="n"/>
      <c r="G8" s="371" t="n"/>
      <c r="H8" s="371" t="n"/>
      <c r="I8" s="28" t="n"/>
      <c r="J8" s="14" t="n"/>
    </row>
    <row r="9" ht="20.1" customHeight="1" s="301">
      <c r="A9" s="17" t="n"/>
      <c r="B9" s="14" t="n"/>
      <c r="C9" s="14" t="n"/>
      <c r="D9" s="14" t="n"/>
      <c r="E9" s="14" t="n"/>
      <c r="F9" s="14" t="n"/>
      <c r="G9" s="371" t="n"/>
      <c r="H9" s="371" t="n"/>
      <c r="I9" s="28" t="n"/>
      <c r="J9" s="14" t="n"/>
    </row>
    <row r="10" ht="20.1" customHeight="1" s="301">
      <c r="A10" s="17" t="n"/>
      <c r="B10" s="14" t="n"/>
      <c r="C10" s="14" t="n"/>
      <c r="D10" s="14" t="n"/>
      <c r="E10" s="14" t="n"/>
      <c r="F10" s="14" t="n"/>
      <c r="G10" s="371" t="n"/>
      <c r="H10" s="371" t="n"/>
      <c r="I10" s="28" t="n"/>
      <c r="J10" s="14" t="n"/>
    </row>
    <row r="11" ht="20.1" customHeight="1" s="301">
      <c r="A11" s="18" t="n"/>
      <c r="B11" s="14" t="n"/>
      <c r="C11" s="14" t="n"/>
      <c r="D11" s="14" t="n"/>
      <c r="E11" s="14" t="n"/>
      <c r="F11" s="14" t="n"/>
      <c r="G11" s="371" t="n"/>
      <c r="H11" s="371" t="n"/>
      <c r="I11" s="28" t="n"/>
      <c r="J11" s="14" t="n"/>
    </row>
    <row r="12" ht="20.1" customHeight="1" s="301">
      <c r="A12" s="17" t="n"/>
      <c r="B12" s="14" t="n"/>
      <c r="C12" s="14" t="n"/>
      <c r="D12" s="14" t="n"/>
      <c r="E12" s="14" t="n"/>
      <c r="F12" s="14" t="n"/>
      <c r="G12" s="371" t="n"/>
      <c r="H12" s="371" t="n"/>
      <c r="I12" s="28" t="n"/>
      <c r="J12" s="14" t="n"/>
    </row>
    <row r="13" ht="20.1" customHeight="1" s="301">
      <c r="A13" s="17" t="n"/>
      <c r="B13" s="14" t="n"/>
      <c r="C13" s="14" t="n"/>
      <c r="D13" s="14" t="n"/>
      <c r="E13" s="14" t="n"/>
      <c r="F13" s="14" t="n"/>
      <c r="G13" s="371" t="n"/>
      <c r="H13" s="371" t="n"/>
      <c r="I13" s="28" t="n"/>
      <c r="J13" s="14" t="n"/>
    </row>
    <row r="14" ht="20.1" customHeight="1" s="301">
      <c r="A14" s="17" t="n"/>
      <c r="B14" s="14" t="n"/>
      <c r="C14" s="14" t="n"/>
      <c r="D14" s="14" t="n"/>
      <c r="E14" s="14" t="n"/>
      <c r="F14" s="14" t="n"/>
      <c r="G14" s="371" t="n"/>
      <c r="H14" s="371" t="n"/>
      <c r="I14" s="28" t="n"/>
      <c r="J14" s="14" t="n"/>
    </row>
    <row r="15" ht="20.1" customHeight="1" s="301">
      <c r="A15" s="17" t="n"/>
      <c r="B15" s="14" t="n"/>
      <c r="C15" s="14" t="n"/>
      <c r="D15" s="14" t="n"/>
      <c r="E15" s="14" t="n"/>
      <c r="F15" s="14" t="n"/>
      <c r="G15" s="371" t="n"/>
      <c r="H15" s="371" t="n"/>
      <c r="I15" s="28" t="n"/>
      <c r="J15" s="14" t="n"/>
    </row>
    <row r="16" ht="20.1" customHeight="1" s="301">
      <c r="A16" s="17" t="n"/>
      <c r="B16" s="14" t="n"/>
      <c r="C16" s="14" t="n"/>
      <c r="D16" s="14" t="n"/>
      <c r="E16" s="14" t="n"/>
      <c r="F16" s="14" t="n"/>
      <c r="G16" s="371" t="n"/>
      <c r="H16" s="371" t="n"/>
      <c r="I16" s="28" t="n"/>
      <c r="J16" s="14" t="n"/>
    </row>
    <row r="17" ht="20.1" customHeight="1" s="301">
      <c r="A17" s="17" t="n"/>
      <c r="B17" s="14" t="n"/>
      <c r="C17" s="14" t="n"/>
      <c r="D17" s="14" t="n"/>
      <c r="E17" s="14" t="n"/>
      <c r="F17" s="14" t="n"/>
      <c r="G17" s="371" t="n"/>
      <c r="H17" s="371" t="n"/>
      <c r="I17" s="28" t="n"/>
      <c r="J17" s="14" t="n"/>
    </row>
    <row r="18" ht="20.1" customHeight="1" s="301">
      <c r="A18" s="17" t="n"/>
      <c r="B18" s="14" t="n"/>
      <c r="C18" s="14" t="n"/>
      <c r="D18" s="14" t="n"/>
      <c r="E18" s="14" t="n"/>
      <c r="F18" s="14" t="n"/>
      <c r="G18" s="371" t="n"/>
      <c r="H18" s="371" t="n"/>
      <c r="I18" s="28" t="n"/>
      <c r="J18" s="14" t="n"/>
    </row>
    <row r="19" ht="20.1" customHeight="1" s="301">
      <c r="A19" s="17" t="n"/>
      <c r="B19" s="14" t="n"/>
      <c r="C19" s="14" t="n"/>
      <c r="D19" s="14" t="n"/>
      <c r="E19" s="14" t="n"/>
      <c r="F19" s="14" t="n"/>
      <c r="G19" s="371" t="n"/>
      <c r="H19" s="371" t="n"/>
      <c r="I19" s="28" t="n"/>
      <c r="J19" s="14" t="n"/>
    </row>
    <row r="20" ht="20.1" customHeight="1" s="301">
      <c r="A20" s="17" t="n"/>
      <c r="B20" s="14" t="n"/>
      <c r="C20" s="14" t="n"/>
      <c r="D20" s="14" t="n"/>
      <c r="E20" s="14" t="n"/>
      <c r="F20" s="14" t="n"/>
      <c r="G20" s="371" t="n"/>
      <c r="H20" s="371" t="n"/>
      <c r="I20" s="28" t="n"/>
      <c r="J20" s="14" t="n"/>
    </row>
    <row r="21" ht="20.1" customHeight="1" s="301">
      <c r="A21" s="19" t="inlineStr">
        <is>
          <t>1.审计说明</t>
        </is>
      </c>
      <c r="B21" s="121" t="n"/>
      <c r="C21" s="121" t="n"/>
      <c r="D21" s="121" t="n"/>
      <c r="E21" s="121" t="n"/>
      <c r="F21" s="121" t="n"/>
      <c r="G21" s="121" t="n"/>
      <c r="H21" s="121" t="n"/>
      <c r="I21" s="121" t="n"/>
      <c r="J21" s="121" t="n"/>
    </row>
    <row r="22" ht="20.1" customHeight="1" s="301">
      <c r="A22" s="121" t="n"/>
      <c r="B22" s="121" t="n"/>
      <c r="C22" s="121" t="n"/>
      <c r="D22" s="121" t="n"/>
      <c r="E22" s="121" t="n"/>
      <c r="F22" s="121" t="n"/>
      <c r="G22" s="121" t="n"/>
      <c r="H22" s="121" t="n"/>
      <c r="I22" s="121" t="n"/>
      <c r="J22" s="121" t="n"/>
    </row>
    <row r="23" ht="20.1" customHeight="1" s="301">
      <c r="A23" s="122" t="n"/>
      <c r="B23" s="122" t="n"/>
      <c r="C23" s="122" t="n"/>
      <c r="D23" s="121" t="n"/>
      <c r="E23" s="121" t="n"/>
      <c r="F23" s="121" t="n"/>
      <c r="G23" s="121" t="n"/>
      <c r="H23" s="121" t="n"/>
      <c r="I23" s="121" t="n"/>
      <c r="J23" s="121" t="n"/>
    </row>
    <row r="24" ht="20.1" customHeight="1" s="301">
      <c r="A24" s="22" t="n"/>
      <c r="B24" s="22" t="n"/>
      <c r="C24" s="22" t="n"/>
      <c r="D24" s="122" t="n"/>
      <c r="E24" s="122" t="n"/>
      <c r="F24" s="122" t="n"/>
      <c r="G24" s="122" t="n"/>
      <c r="H24" s="122" t="n"/>
      <c r="I24" s="122" t="n"/>
      <c r="J24" s="122" t="n"/>
    </row>
    <row r="25" ht="20.1" customHeight="1" s="301">
      <c r="A25" s="123" t="inlineStr">
        <is>
          <t>2.审计结论</t>
        </is>
      </c>
      <c r="B25" s="123" t="n"/>
      <c r="C25" s="123" t="n"/>
      <c r="D25" s="122" t="n"/>
      <c r="E25" s="122" t="n"/>
      <c r="F25" s="122" t="n"/>
      <c r="G25" s="122" t="n"/>
      <c r="H25" s="122" t="n"/>
      <c r="I25" s="122" t="n"/>
      <c r="J25" s="122" t="n"/>
    </row>
    <row r="26" ht="20.1" customHeight="1" s="301">
      <c r="A26" s="123" t="n"/>
      <c r="B26" s="123" t="n"/>
      <c r="C26" s="123" t="n"/>
      <c r="D26" s="121" t="n"/>
      <c r="E26" s="121" t="n"/>
      <c r="F26" s="121" t="n"/>
      <c r="G26" s="121" t="n"/>
      <c r="H26" s="121" t="n"/>
      <c r="I26" s="121" t="n"/>
      <c r="J26" s="121" t="n"/>
    </row>
    <row r="27" ht="20.1" customHeight="1" s="301">
      <c r="A27" s="24" t="inlineStr">
        <is>
          <t>提示：本底稿适用于调整分录较多、较复杂的项目，且仅列示与本报表项目相关的审计调整。项目组可根据项目实际情况选择是否使用该底稿。</t>
        </is>
      </c>
      <c r="B27" s="25" t="n"/>
      <c r="C27" s="25" t="n"/>
      <c r="D27" s="25" t="n"/>
      <c r="E27" s="25" t="n"/>
      <c r="F27" s="25" t="n"/>
      <c r="G27" s="25" t="n"/>
      <c r="H27" s="25" t="n"/>
      <c r="I27" s="25" t="n"/>
      <c r="J27" s="25" t="n"/>
    </row>
    <row r="28" ht="20.1" customHeight="1" s="301">
      <c r="A28" s="25" t="n"/>
      <c r="B28" s="25" t="n"/>
      <c r="C28" s="25" t="n"/>
      <c r="D28" s="25" t="n"/>
      <c r="E28" s="25" t="n"/>
      <c r="F28" s="25" t="n"/>
      <c r="G28" s="25" t="n"/>
      <c r="H28" s="25" t="n"/>
      <c r="I28" s="25" t="n"/>
      <c r="J28" s="25" t="n"/>
    </row>
    <row r="29" ht="20.1" customHeight="1" s="301">
      <c r="B29" s="26" t="n"/>
      <c r="C29" s="26" t="n"/>
      <c r="D29" s="26" t="n"/>
      <c r="E29" s="26" t="n"/>
      <c r="F29" s="26" t="n"/>
      <c r="G29" s="26" t="n"/>
      <c r="H29" s="26" t="n"/>
      <c r="I29" s="26" t="n"/>
      <c r="J29" s="26" t="n"/>
    </row>
    <row r="30" ht="20.1" customHeight="1" s="301">
      <c r="A30" s="25" t="n"/>
      <c r="B30" s="25" t="n"/>
      <c r="C30" s="25" t="n"/>
      <c r="D30" s="25" t="n"/>
      <c r="E30" s="25" t="n"/>
      <c r="F30" s="25" t="n"/>
      <c r="G30" s="25" t="n"/>
      <c r="H30" s="25" t="n"/>
      <c r="I30" s="25" t="n"/>
      <c r="J30" s="25" t="n"/>
    </row>
    <row r="31" ht="20.1" customHeight="1" s="301">
      <c r="A31" s="25" t="n"/>
      <c r="B31" s="25" t="n"/>
      <c r="C31" s="25" t="n"/>
      <c r="D31" s="25" t="n"/>
      <c r="E31" s="25" t="n"/>
      <c r="F31" s="25" t="n"/>
      <c r="G31" s="25" t="n"/>
      <c r="H31" s="25" t="n"/>
      <c r="I31" s="25" t="n"/>
      <c r="J31" s="25" t="n"/>
    </row>
  </sheetData>
  <mergeCells count="2">
    <mergeCell ref="A1:J1"/>
    <mergeCell ref="A2:J2"/>
  </mergeCells>
  <dataValidations count="1">
    <dataValidation sqref="B6:B20" showDropDown="0" showInputMessage="1" showErrorMessage="1" allowBlank="1" type="list">
      <formula1>"账项调整,报表调整,其他"</formula1>
    </dataValidation>
  </dataValidations>
  <hyperlinks>
    <hyperlink ref="J3" location="底稿目录!A1" display="D10-3"/>
  </hyperlinks>
  <pageMargins left="0.708333333333333" right="0.708333333333333" top="0.747916666666667" bottom="0.747916666666667" header="0.314583333333333" footer="0.314583333333333"/>
  <pageSetup orientation="portrait" paperSize="9" scale="83" blackAndWhite="1" horizontalDpi="300" verticalDpi="300"/>
  <headerFooter>
    <oddHeader/>
    <oddFooter>&amp;C&amp;P/&amp;N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O63"/>
  <sheetViews>
    <sheetView view="pageBreakPreview" zoomScaleNormal="100" workbookViewId="0">
      <selection activeCell="A1" sqref="A1:N1"/>
    </sheetView>
  </sheetViews>
  <sheetFormatPr baseColWidth="8" defaultColWidth="9.09765625" defaultRowHeight="20.1" customHeight="1"/>
  <cols>
    <col width="39.296875" customWidth="1" style="211" min="1" max="1"/>
    <col width="9.09765625" customWidth="1" style="211" min="2" max="6"/>
    <col width="11.69921875" customWidth="1" style="211" min="7" max="7"/>
    <col width="9.09765625" customWidth="1" style="211" min="8" max="8"/>
    <col width="11.296875" customWidth="1" style="211" min="9" max="9"/>
    <col width="9.09765625" customWidth="1" style="211" min="10" max="10"/>
    <col width="10.19921875" customWidth="1" style="211" min="11" max="11"/>
    <col width="9.09765625" customWidth="1" style="211" min="12" max="12"/>
    <col width="10.3984375" customWidth="1" style="211" min="13" max="13"/>
    <col width="11.59765625" customWidth="1" style="211" min="14" max="14"/>
    <col width="9.09765625" customWidth="1" style="211" min="15" max="16384"/>
  </cols>
  <sheetData>
    <row r="1" ht="20.1" customFormat="1" customHeight="1" s="191">
      <c r="A1" s="266" t="inlineStr">
        <is>
          <t>致同会计师事务所</t>
        </is>
      </c>
    </row>
    <row r="2" ht="20.1" customHeight="1" s="301">
      <c r="A2" s="267" t="inlineStr">
        <is>
          <t>递延所得税资产（负债）测算表</t>
        </is>
      </c>
    </row>
    <row r="3" ht="20.1" customHeight="1" s="301">
      <c r="A3" s="193">
        <f>底稿目录!A2</f>
        <v/>
      </c>
      <c r="B3" s="193" t="n"/>
      <c r="C3" s="194" t="n"/>
      <c r="D3" s="193" t="n"/>
      <c r="E3" s="193">
        <f>底稿目录!$A$4</f>
        <v/>
      </c>
      <c r="F3" s="193" t="n"/>
      <c r="G3" s="193" t="n"/>
      <c r="H3" s="193" t="n"/>
      <c r="I3" s="193">
        <f>底稿目录!$A$5</f>
        <v/>
      </c>
      <c r="J3" s="193" t="n"/>
      <c r="K3" s="193" t="n"/>
      <c r="M3" s="195" t="inlineStr">
        <is>
          <t>索引号：</t>
        </is>
      </c>
      <c r="N3" s="250" t="inlineStr">
        <is>
          <t>N1-4</t>
        </is>
      </c>
    </row>
    <row r="4" ht="20.1" customHeight="1" s="301">
      <c r="A4" s="193">
        <f>底稿目录!A3</f>
        <v/>
      </c>
      <c r="B4" s="193" t="n"/>
      <c r="C4" s="194" t="n"/>
      <c r="D4" s="193" t="n"/>
      <c r="E4" s="193">
        <f>底稿目录!$A$6</f>
        <v/>
      </c>
      <c r="F4" s="193" t="n"/>
      <c r="G4" s="193" t="n"/>
      <c r="H4" s="193" t="n"/>
      <c r="I4" s="193">
        <f>底稿目录!$A$7</f>
        <v/>
      </c>
      <c r="J4" s="193" t="n"/>
      <c r="K4" s="193" t="n"/>
      <c r="M4" s="195" t="inlineStr">
        <is>
          <t>页次：</t>
        </is>
      </c>
    </row>
    <row r="5" ht="20.1" customHeight="1" s="301">
      <c r="A5" s="191" t="inlineStr">
        <is>
          <t>一、审计目标</t>
        </is>
      </c>
    </row>
    <row r="6" ht="20.1" customHeight="1" s="301">
      <c r="A6" s="211" t="inlineStr">
        <is>
          <t>递延所得税资产以恰当的金额包括在财务报表中，与之相关的计价或分摊调整已恰当记录，相关披露已得到恰当计量和描述 。</t>
        </is>
      </c>
    </row>
    <row r="7" ht="20.1" customHeight="1" s="301">
      <c r="A7" s="191" t="inlineStr">
        <is>
          <t>二、审计过程</t>
        </is>
      </c>
    </row>
    <row r="8" ht="20.1" customHeight="1" s="301">
      <c r="A8" s="196" t="inlineStr">
        <is>
          <t>【项目组根据被审计单位税收情况增减项目】</t>
        </is>
      </c>
    </row>
    <row r="9" ht="20.1" customHeight="1" s="301">
      <c r="A9" s="292" t="inlineStr">
        <is>
          <t>项目</t>
        </is>
      </c>
      <c r="B9" s="291" t="inlineStr">
        <is>
          <t>账面价值                      (借方余额+/贷方余额-）</t>
        </is>
      </c>
      <c r="C9" s="291" t="inlineStr">
        <is>
          <t>计税基础                         (借方余额+/贷方余额-）</t>
        </is>
      </c>
      <c r="D9" s="291" t="inlineStr">
        <is>
          <t xml:space="preserve">适用税率 [注4] </t>
        </is>
      </c>
      <c r="E9" s="197" t="inlineStr">
        <is>
          <t>暂时性差异</t>
        </is>
      </c>
      <c r="F9" s="197" t="n"/>
      <c r="G9" s="291" t="inlineStr">
        <is>
          <t>应确认递延所得税资产期末余额
（1）</t>
        </is>
      </c>
      <c r="H9" s="291" t="inlineStr">
        <is>
          <t>对方科目</t>
        </is>
      </c>
      <c r="I9" s="291" t="inlineStr">
        <is>
          <t>递延所得税资产期末账面余额
（2）</t>
        </is>
      </c>
      <c r="J9" s="291" t="inlineStr">
        <is>
          <t>差异
（3）=（1）-（2）</t>
        </is>
      </c>
      <c r="K9" s="290" t="inlineStr">
        <is>
          <t>应确认递延所得税负债期末余额
（4）</t>
        </is>
      </c>
      <c r="L9" s="291" t="inlineStr">
        <is>
          <t>对方科目</t>
        </is>
      </c>
      <c r="M9" s="291" t="inlineStr">
        <is>
          <t>递延所得税负债期末账面余额
（5）</t>
        </is>
      </c>
      <c r="N9" s="291" t="inlineStr">
        <is>
          <t>差异
（6）=（4）-（5）</t>
        </is>
      </c>
    </row>
    <row r="10" ht="52.05" customHeight="1" s="301">
      <c r="A10" s="325" t="n"/>
      <c r="B10" s="325" t="n"/>
      <c r="C10" s="325" t="n"/>
      <c r="D10" s="325" t="n"/>
      <c r="E10" s="292" t="inlineStr">
        <is>
          <t>可抵扣</t>
        </is>
      </c>
      <c r="F10" s="292" t="inlineStr">
        <is>
          <t>应纳税</t>
        </is>
      </c>
      <c r="G10" s="325" t="n"/>
      <c r="H10" s="325" t="n"/>
      <c r="I10" s="325" t="n"/>
      <c r="J10" s="325" t="n"/>
      <c r="K10" s="325" t="n"/>
      <c r="L10" s="325" t="n"/>
      <c r="M10" s="325" t="n"/>
      <c r="N10" s="325" t="n"/>
    </row>
    <row r="11" ht="20.1" customHeight="1" s="301">
      <c r="A11" s="199">
        <f>'递延所得税资产明细表N1-2'!A11</f>
        <v/>
      </c>
      <c r="B11" s="372" t="n"/>
      <c r="C11" s="372" t="n"/>
      <c r="D11" s="373" t="n"/>
      <c r="E11" s="374">
        <f>IF(B11-C11&lt;0,C11-B11,0)</f>
        <v/>
      </c>
      <c r="F11" s="374">
        <f>IF(B11-C11&gt;0,B11-C11,0)</f>
        <v/>
      </c>
      <c r="G11" s="374">
        <f>IF(E11=0,0,D11*E11)</f>
        <v/>
      </c>
      <c r="H11" s="375" t="n"/>
      <c r="I11" s="372">
        <f>SUM(H11:H11)</f>
        <v/>
      </c>
      <c r="J11" s="374">
        <f>G11-I11</f>
        <v/>
      </c>
      <c r="K11" s="374">
        <f>IF(F11=0,0,D11*F11)</f>
        <v/>
      </c>
      <c r="L11" s="375" t="n"/>
      <c r="M11" s="376" t="n"/>
      <c r="N11" s="377">
        <f>K11-M11</f>
        <v/>
      </c>
    </row>
    <row r="12" ht="20.1" customHeight="1" s="301">
      <c r="A12" s="199">
        <f>'递延所得税资产明细表N1-2'!A12</f>
        <v/>
      </c>
      <c r="B12" s="372" t="n"/>
      <c r="C12" s="372" t="n"/>
      <c r="D12" s="373" t="n"/>
      <c r="E12" s="374">
        <f>IF(B12-C12&lt;0,C12-B12,0)</f>
        <v/>
      </c>
      <c r="F12" s="374">
        <f>IF(B12-C12&gt;0,B12-C12,0)</f>
        <v/>
      </c>
      <c r="G12" s="374">
        <f>IF(E12=0,0,D12*E12)</f>
        <v/>
      </c>
      <c r="H12" s="375" t="n"/>
      <c r="I12" s="372" t="n"/>
      <c r="J12" s="374">
        <f>G12-I12</f>
        <v/>
      </c>
      <c r="K12" s="374">
        <f>IF(F12=0,0,D12*F12)</f>
        <v/>
      </c>
      <c r="L12" s="375" t="n"/>
      <c r="M12" s="376" t="n"/>
      <c r="N12" s="377">
        <f>K12-M12</f>
        <v/>
      </c>
    </row>
    <row r="13" ht="20.1" customHeight="1" s="301">
      <c r="A13" s="199">
        <f>'递延所得税资产明细表N1-2'!A13</f>
        <v/>
      </c>
      <c r="B13" s="372" t="n"/>
      <c r="C13" s="372" t="n"/>
      <c r="D13" s="373" t="n"/>
      <c r="E13" s="374">
        <f>IF(B13-C13&lt;0,C13-B13,0)</f>
        <v/>
      </c>
      <c r="F13" s="374">
        <f>IF(B13-C13&gt;0,B13-C13,0)</f>
        <v/>
      </c>
      <c r="G13" s="374">
        <f>IF(E13=0,0,D13*E13)</f>
        <v/>
      </c>
      <c r="H13" s="375" t="n"/>
      <c r="I13" s="372" t="n"/>
      <c r="J13" s="374">
        <f>G13-I13</f>
        <v/>
      </c>
      <c r="K13" s="374">
        <f>IF(F13=0,0,D13*F13)</f>
        <v/>
      </c>
      <c r="L13" s="375" t="n"/>
      <c r="M13" s="376" t="n"/>
      <c r="N13" s="377">
        <f>K13-M13</f>
        <v/>
      </c>
    </row>
    <row r="14" ht="20.1" customHeight="1" s="301">
      <c r="A14" s="199">
        <f>'递延所得税资产明细表N1-2'!A14</f>
        <v/>
      </c>
      <c r="B14" s="372" t="n"/>
      <c r="C14" s="372" t="n"/>
      <c r="D14" s="373" t="n"/>
      <c r="E14" s="374">
        <f>IF(B14-C14&lt;0,C14-B14,0)</f>
        <v/>
      </c>
      <c r="F14" s="374">
        <f>IF(B14-C14&gt;0,B14-C14,0)</f>
        <v/>
      </c>
      <c r="G14" s="374">
        <f>IF(E14=0,0,D14*E14)</f>
        <v/>
      </c>
      <c r="H14" s="375" t="n"/>
      <c r="I14" s="372" t="n"/>
      <c r="J14" s="374">
        <f>G14-I14</f>
        <v/>
      </c>
      <c r="K14" s="374">
        <f>IF(F14=0,0,D14*F14)</f>
        <v/>
      </c>
      <c r="L14" s="375" t="n"/>
      <c r="M14" s="376" t="n"/>
      <c r="N14" s="377">
        <f>K14-M14</f>
        <v/>
      </c>
    </row>
    <row r="15" ht="20.1" customHeight="1" s="301">
      <c r="A15" s="199">
        <f>'递延所得税资产明细表N1-2'!A15</f>
        <v/>
      </c>
      <c r="B15" s="372" t="n"/>
      <c r="C15" s="372" t="n"/>
      <c r="D15" s="373" t="n"/>
      <c r="E15" s="374">
        <f>IF(B15-C15&lt;0,C15-B15,0)</f>
        <v/>
      </c>
      <c r="F15" s="374">
        <f>IF(B15-C15&gt;0,B15-C15,0)</f>
        <v/>
      </c>
      <c r="G15" s="374">
        <f>IF(E15=0,0,D15*E15)</f>
        <v/>
      </c>
      <c r="H15" s="375" t="n"/>
      <c r="I15" s="372" t="n"/>
      <c r="J15" s="374">
        <f>G15-I15</f>
        <v/>
      </c>
      <c r="K15" s="374">
        <f>IF(F15=0,0,D15*F15)</f>
        <v/>
      </c>
      <c r="L15" s="375" t="n"/>
      <c r="M15" s="376" t="n"/>
      <c r="N15" s="377">
        <f>K15-M15</f>
        <v/>
      </c>
    </row>
    <row r="16" ht="20.1" customHeight="1" s="301">
      <c r="A16" s="199">
        <f>'递延所得税资产明细表N1-2'!A16</f>
        <v/>
      </c>
      <c r="B16" s="372" t="n"/>
      <c r="C16" s="372" t="n"/>
      <c r="D16" s="373" t="n"/>
      <c r="E16" s="374">
        <f>IF(B16-C16&lt;0,C16-B16,0)</f>
        <v/>
      </c>
      <c r="F16" s="374">
        <f>IF(B16-C16&gt;0,B16-C16,0)</f>
        <v/>
      </c>
      <c r="G16" s="374">
        <f>IF(E16=0,0,D16*E16)</f>
        <v/>
      </c>
      <c r="H16" s="375" t="n"/>
      <c r="I16" s="372" t="n"/>
      <c r="J16" s="374">
        <f>G16-I16</f>
        <v/>
      </c>
      <c r="K16" s="374">
        <f>IF(F16=0,0,D16*F16)</f>
        <v/>
      </c>
      <c r="L16" s="375" t="n"/>
      <c r="M16" s="376" t="n"/>
      <c r="N16" s="377" t="n"/>
    </row>
    <row r="17" ht="20.1" customHeight="1" s="301">
      <c r="A17" s="199">
        <f>'递延所得税资产明细表N1-2'!A17</f>
        <v/>
      </c>
      <c r="B17" s="372" t="n"/>
      <c r="C17" s="372" t="n"/>
      <c r="D17" s="373" t="n"/>
      <c r="E17" s="374">
        <f>IF(B17-C17&lt;0,C17-B17,0)</f>
        <v/>
      </c>
      <c r="F17" s="374">
        <f>IF(B17-C17&gt;0,B17-C17,0)</f>
        <v/>
      </c>
      <c r="G17" s="374">
        <f>IF(E17=0,0,D17*E17)</f>
        <v/>
      </c>
      <c r="H17" s="375" t="n"/>
      <c r="I17" s="372" t="n"/>
      <c r="J17" s="374">
        <f>G17-I17</f>
        <v/>
      </c>
      <c r="K17" s="374">
        <f>IF(F17=0,0,D17*F17)</f>
        <v/>
      </c>
      <c r="L17" s="375" t="n"/>
      <c r="M17" s="376" t="n"/>
      <c r="N17" s="377">
        <f>K17-M17</f>
        <v/>
      </c>
    </row>
    <row r="18" ht="20.1" customHeight="1" s="301">
      <c r="A18" s="199">
        <f>'递延所得税资产明细表N1-2'!A18</f>
        <v/>
      </c>
      <c r="B18" s="372" t="n"/>
      <c r="C18" s="372" t="n"/>
      <c r="D18" s="373" t="n"/>
      <c r="E18" s="374">
        <f>IF(B18-C18&lt;0,C18-B18,0)</f>
        <v/>
      </c>
      <c r="F18" s="374">
        <f>IF(B18-C18&gt;0,B18-C18,0)</f>
        <v/>
      </c>
      <c r="G18" s="374">
        <f>IF(E18=0,0,D18*E18)</f>
        <v/>
      </c>
      <c r="H18" s="375" t="n"/>
      <c r="I18" s="372" t="n"/>
      <c r="J18" s="374">
        <f>G18-I18</f>
        <v/>
      </c>
      <c r="K18" s="374">
        <f>IF(F18=0,0,D18*F18)</f>
        <v/>
      </c>
      <c r="L18" s="375" t="n"/>
      <c r="M18" s="376" t="n"/>
      <c r="N18" s="377">
        <f>K18-M18</f>
        <v/>
      </c>
    </row>
    <row r="19" ht="20.1" customHeight="1" s="301">
      <c r="A19" s="199">
        <f>'递延所得税资产明细表N1-2'!A19</f>
        <v/>
      </c>
      <c r="B19" s="372" t="n"/>
      <c r="C19" s="372" t="n"/>
      <c r="D19" s="373" t="n"/>
      <c r="E19" s="374">
        <f>IF(B19-C19&lt;0,C19-B19,0)</f>
        <v/>
      </c>
      <c r="F19" s="374">
        <f>IF(B19-C19&gt;0,B19-C19,0)</f>
        <v/>
      </c>
      <c r="G19" s="374">
        <f>IF(E19=0,0,D19*E19)</f>
        <v/>
      </c>
      <c r="H19" s="375" t="n"/>
      <c r="I19" s="372" t="n"/>
      <c r="J19" s="374">
        <f>G19-I19</f>
        <v/>
      </c>
      <c r="K19" s="374">
        <f>IF(F19=0,0,D19*F19)</f>
        <v/>
      </c>
      <c r="L19" s="375" t="n"/>
      <c r="M19" s="376" t="n"/>
      <c r="N19" s="377">
        <f>K19-M19</f>
        <v/>
      </c>
    </row>
    <row r="20" ht="20.1" customHeight="1" s="301">
      <c r="A20" s="199">
        <f>'递延所得税资产明细表N1-2'!A20</f>
        <v/>
      </c>
      <c r="B20" s="372" t="n"/>
      <c r="C20" s="372" t="n"/>
      <c r="D20" s="373" t="n"/>
      <c r="E20" s="374">
        <f>IF(B20-C20&lt;0,C20-B20,0)</f>
        <v/>
      </c>
      <c r="F20" s="374">
        <f>IF(B20-C20&gt;0,B20-C20,0)</f>
        <v/>
      </c>
      <c r="G20" s="374">
        <f>IF(E20=0,0,D20*E20)</f>
        <v/>
      </c>
      <c r="H20" s="375" t="n"/>
      <c r="I20" s="372" t="n"/>
      <c r="J20" s="374">
        <f>G20-I20</f>
        <v/>
      </c>
      <c r="K20" s="374">
        <f>IF(F20=0,0,D20*F20)</f>
        <v/>
      </c>
      <c r="L20" s="375" t="n"/>
      <c r="M20" s="376" t="n"/>
      <c r="N20" s="377">
        <f>K20-M20</f>
        <v/>
      </c>
    </row>
    <row r="21" ht="20.1" customHeight="1" s="301">
      <c r="A21" s="199">
        <f>'递延所得税资产明细表N1-2'!A21</f>
        <v/>
      </c>
      <c r="B21" s="372" t="n"/>
      <c r="C21" s="372" t="n"/>
      <c r="D21" s="373" t="n"/>
      <c r="E21" s="374">
        <f>IF(B21-C21&lt;0,C21-B21,0)</f>
        <v/>
      </c>
      <c r="F21" s="374">
        <f>IF(B21-C21&gt;0,B21-C21,0)</f>
        <v/>
      </c>
      <c r="G21" s="374">
        <f>IF(E21=0,0,D21*E21)</f>
        <v/>
      </c>
      <c r="H21" s="375" t="n"/>
      <c r="I21" s="372" t="n"/>
      <c r="J21" s="374">
        <f>G21-I21</f>
        <v/>
      </c>
      <c r="K21" s="374">
        <f>IF(F21=0,0,D21*F21)</f>
        <v/>
      </c>
      <c r="L21" s="375" t="n"/>
      <c r="M21" s="376" t="n"/>
      <c r="N21" s="377">
        <f>K21-M21</f>
        <v/>
      </c>
    </row>
    <row r="22" ht="20.1" customHeight="1" s="301">
      <c r="A22" s="199">
        <f>'递延所得税资产明细表N1-2'!A22</f>
        <v/>
      </c>
      <c r="B22" s="372" t="n"/>
      <c r="C22" s="372" t="n"/>
      <c r="D22" s="373" t="n"/>
      <c r="E22" s="374">
        <f>IF(B22-C22&lt;0,C22-B22,0)</f>
        <v/>
      </c>
      <c r="F22" s="374">
        <f>IF(B22-C22&gt;0,B22-C22,0)</f>
        <v/>
      </c>
      <c r="G22" s="374">
        <f>IF(E22=0,0,D22*E22)</f>
        <v/>
      </c>
      <c r="H22" s="375" t="n"/>
      <c r="I22" s="372" t="n"/>
      <c r="J22" s="374">
        <f>G22-I22</f>
        <v/>
      </c>
      <c r="K22" s="374">
        <f>IF(F22=0,0,D22*F22)</f>
        <v/>
      </c>
      <c r="L22" s="375" t="n"/>
      <c r="M22" s="376" t="n"/>
      <c r="N22" s="377">
        <f>K22-M22</f>
        <v/>
      </c>
    </row>
    <row r="23" ht="20.1" customHeight="1" s="301">
      <c r="A23" s="199">
        <f>'递延所得税资产明细表N1-2'!A23</f>
        <v/>
      </c>
      <c r="B23" s="372" t="n"/>
      <c r="C23" s="372" t="n"/>
      <c r="D23" s="373" t="n"/>
      <c r="E23" s="374">
        <f>IF(B23-C23&lt;0,C23-B23,0)</f>
        <v/>
      </c>
      <c r="F23" s="374">
        <f>IF(B23-C23&gt;0,B23-C23,0)</f>
        <v/>
      </c>
      <c r="G23" s="374">
        <f>IF(E23=0,0,D23*E23)</f>
        <v/>
      </c>
      <c r="H23" s="375" t="n"/>
      <c r="I23" s="372" t="n"/>
      <c r="J23" s="374">
        <f>G23-I23</f>
        <v/>
      </c>
      <c r="K23" s="374">
        <f>IF(F23=0,0,D23*F23)</f>
        <v/>
      </c>
      <c r="L23" s="375" t="n"/>
      <c r="M23" s="376" t="n"/>
      <c r="N23" s="377">
        <f>K23-M23</f>
        <v/>
      </c>
    </row>
    <row r="24" ht="20.1" customHeight="1" s="301">
      <c r="A24" s="199">
        <f>'递延所得税资产明细表N1-2'!A24</f>
        <v/>
      </c>
      <c r="B24" s="372" t="n"/>
      <c r="C24" s="372" t="n"/>
      <c r="D24" s="373" t="n"/>
      <c r="E24" s="374">
        <f>IF(B24-C24&lt;0,C24-B24,0)</f>
        <v/>
      </c>
      <c r="F24" s="374">
        <f>IF(B24-C24&gt;0,B24-C24,0)</f>
        <v/>
      </c>
      <c r="G24" s="374">
        <f>IF(E24=0,0,D24*E24)</f>
        <v/>
      </c>
      <c r="H24" s="375" t="n"/>
      <c r="I24" s="372" t="n"/>
      <c r="J24" s="374">
        <f>G24-I24</f>
        <v/>
      </c>
      <c r="K24" s="374">
        <f>IF(F24=0,0,D24*F24)</f>
        <v/>
      </c>
      <c r="L24" s="375" t="n"/>
      <c r="M24" s="376" t="n"/>
      <c r="N24" s="377">
        <f>K24-M24</f>
        <v/>
      </c>
    </row>
    <row r="25" ht="20.1" customHeight="1" s="301">
      <c r="A25" s="199">
        <f>'递延所得税资产明细表N1-2'!A25</f>
        <v/>
      </c>
      <c r="B25" s="372" t="n"/>
      <c r="C25" s="372" t="n"/>
      <c r="D25" s="373" t="n"/>
      <c r="E25" s="374">
        <f>IF(B25-C25&lt;0,C25-B25,0)</f>
        <v/>
      </c>
      <c r="F25" s="374">
        <f>IF(B25-C25&gt;0,B25-C25,0)</f>
        <v/>
      </c>
      <c r="G25" s="374">
        <f>IF(E25=0,0,D25*E25)</f>
        <v/>
      </c>
      <c r="H25" s="375" t="n"/>
      <c r="I25" s="372" t="n"/>
      <c r="J25" s="374">
        <f>G25-I25</f>
        <v/>
      </c>
      <c r="K25" s="374">
        <f>IF(F25=0,0,D25*F25)</f>
        <v/>
      </c>
      <c r="L25" s="375" t="n"/>
      <c r="M25" s="376" t="n"/>
      <c r="N25" s="377">
        <f>K25-M25</f>
        <v/>
      </c>
    </row>
    <row r="26" ht="20.1" customHeight="1" s="301">
      <c r="A26" s="199">
        <f>'递延所得税资产明细表N1-2'!A26</f>
        <v/>
      </c>
      <c r="B26" s="372" t="n"/>
      <c r="C26" s="372" t="n"/>
      <c r="D26" s="373" t="n"/>
      <c r="E26" s="374">
        <f>IF(B26-C26&lt;0,C26-B26,0)</f>
        <v/>
      </c>
      <c r="F26" s="374">
        <f>IF(B26-C26&gt;0,B26-C26,0)</f>
        <v/>
      </c>
      <c r="G26" s="374">
        <f>IF(E26=0,0,D26*E26)</f>
        <v/>
      </c>
      <c r="H26" s="375" t="n"/>
      <c r="I26" s="372" t="n"/>
      <c r="J26" s="374">
        <f>G26-I26</f>
        <v/>
      </c>
      <c r="K26" s="374">
        <f>IF(F26=0,0,D26*F26)</f>
        <v/>
      </c>
      <c r="L26" s="375" t="n"/>
      <c r="M26" s="376" t="n"/>
      <c r="N26" s="377" t="n"/>
    </row>
    <row r="27" ht="20.1" customHeight="1" s="301">
      <c r="A27" s="199">
        <f>'递延所得税资产明细表N1-2'!A27</f>
        <v/>
      </c>
      <c r="B27" s="372" t="n"/>
      <c r="C27" s="372" t="n"/>
      <c r="D27" s="373" t="n"/>
      <c r="E27" s="374">
        <f>IF(B27-C27&lt;0,C27-B27,0)</f>
        <v/>
      </c>
      <c r="F27" s="374">
        <f>IF(B27-C27&gt;0,B27-C27,0)</f>
        <v/>
      </c>
      <c r="G27" s="374">
        <f>IF(E27=0,0,D27*E27)</f>
        <v/>
      </c>
      <c r="H27" s="375" t="n"/>
      <c r="I27" s="372" t="n"/>
      <c r="J27" s="374">
        <f>G27-I27</f>
        <v/>
      </c>
      <c r="K27" s="374">
        <f>IF(F27=0,0,D27*F27)</f>
        <v/>
      </c>
      <c r="L27" s="375" t="n"/>
      <c r="M27" s="376" t="n"/>
      <c r="N27" s="377">
        <f>K27-M27</f>
        <v/>
      </c>
    </row>
    <row r="28" ht="20.1" customHeight="1" s="301">
      <c r="A28" s="199">
        <f>'递延所得税资产明细表N1-2'!A28</f>
        <v/>
      </c>
      <c r="B28" s="372" t="n"/>
      <c r="C28" s="372" t="n"/>
      <c r="D28" s="373" t="n"/>
      <c r="E28" s="374">
        <f>IF(B28-C28&lt;0,C28-B28,0)</f>
        <v/>
      </c>
      <c r="F28" s="374">
        <f>IF(B28-C28&gt;0,B28-C28,0)</f>
        <v/>
      </c>
      <c r="G28" s="374">
        <f>IF(E28=0,0,D28*E28)</f>
        <v/>
      </c>
      <c r="H28" s="375" t="n"/>
      <c r="I28" s="372" t="n"/>
      <c r="J28" s="374">
        <f>G28-I28</f>
        <v/>
      </c>
      <c r="K28" s="374">
        <f>IF(F28=0,0,D28*F28)</f>
        <v/>
      </c>
      <c r="L28" s="375" t="n"/>
      <c r="M28" s="376" t="n"/>
      <c r="N28" s="377">
        <f>K28-M28</f>
        <v/>
      </c>
    </row>
    <row r="29" ht="20.1" customHeight="1" s="301">
      <c r="A29" s="199">
        <f>'递延所得税资产明细表N1-2'!A29</f>
        <v/>
      </c>
      <c r="B29" s="372" t="n"/>
      <c r="C29" s="372" t="n"/>
      <c r="D29" s="373" t="n"/>
      <c r="E29" s="374">
        <f>IF(B29-C29&lt;0,C29-B29,0)</f>
        <v/>
      </c>
      <c r="F29" s="374">
        <f>IF(B29-C29&gt;0,B29-C29,0)</f>
        <v/>
      </c>
      <c r="G29" s="374">
        <f>IF(E29=0,0,D29*E29)</f>
        <v/>
      </c>
      <c r="H29" s="375" t="n"/>
      <c r="I29" s="372" t="n"/>
      <c r="J29" s="374">
        <f>G29-I29</f>
        <v/>
      </c>
      <c r="K29" s="374">
        <f>IF(F29=0,0,D29*F29)</f>
        <v/>
      </c>
      <c r="L29" s="375" t="n"/>
      <c r="M29" s="376" t="n"/>
      <c r="N29" s="377">
        <f>K29-M29</f>
        <v/>
      </c>
    </row>
    <row r="30" ht="20.1" customHeight="1" s="301">
      <c r="A30" s="199">
        <f>'递延所得税资产明细表N1-2'!A30</f>
        <v/>
      </c>
      <c r="B30" s="372" t="n"/>
      <c r="C30" s="372" t="n"/>
      <c r="D30" s="373" t="n"/>
      <c r="E30" s="374">
        <f>IF(B30-C30&lt;0,C30-B30,0)</f>
        <v/>
      </c>
      <c r="F30" s="374">
        <f>IF(B30-C30&gt;0,B30-C30,0)</f>
        <v/>
      </c>
      <c r="G30" s="374">
        <f>IF(E30=0,0,D30*E30)</f>
        <v/>
      </c>
      <c r="H30" s="375" t="n"/>
      <c r="I30" s="372" t="n"/>
      <c r="J30" s="374">
        <f>G30-I30</f>
        <v/>
      </c>
      <c r="K30" s="374">
        <f>IF(F30=0,0,D30*F30)</f>
        <v/>
      </c>
      <c r="L30" s="375" t="n"/>
      <c r="M30" s="376" t="n"/>
      <c r="N30" s="377">
        <f>K30-M30</f>
        <v/>
      </c>
    </row>
    <row r="31" ht="20.1" customHeight="1" s="301">
      <c r="A31" s="199">
        <f>'递延所得税资产明细表N1-2'!A31</f>
        <v/>
      </c>
      <c r="B31" s="372" t="n"/>
      <c r="C31" s="372" t="n"/>
      <c r="D31" s="373" t="n"/>
      <c r="E31" s="374">
        <f>IF(B31-C31&lt;0,C31-B31,0)</f>
        <v/>
      </c>
      <c r="F31" s="374">
        <f>IF(B31-C31&gt;0,B31-C31,0)</f>
        <v/>
      </c>
      <c r="G31" s="374">
        <f>IF(E31=0,0,D31*E31)</f>
        <v/>
      </c>
      <c r="H31" s="375" t="n"/>
      <c r="I31" s="372" t="n"/>
      <c r="J31" s="374">
        <f>G31-I31</f>
        <v/>
      </c>
      <c r="K31" s="374">
        <f>IF(F31=0,0,D31*F31)</f>
        <v/>
      </c>
      <c r="L31" s="375" t="n"/>
      <c r="M31" s="376" t="n"/>
      <c r="N31" s="377">
        <f>K31-M31</f>
        <v/>
      </c>
    </row>
    <row r="32" ht="20.1" customHeight="1" s="301">
      <c r="A32" s="199">
        <f>'递延所得税资产明细表N1-2'!A32</f>
        <v/>
      </c>
      <c r="B32" s="372" t="n"/>
      <c r="C32" s="372" t="n"/>
      <c r="D32" s="373" t="n"/>
      <c r="E32" s="374">
        <f>IF(B32-C32&lt;0,C32-B32,0)</f>
        <v/>
      </c>
      <c r="F32" s="374">
        <f>IF(B32-C32&gt;0,B32-C32,0)</f>
        <v/>
      </c>
      <c r="G32" s="374">
        <f>IF(E32=0,0,D32*E32)</f>
        <v/>
      </c>
      <c r="H32" s="375" t="n"/>
      <c r="I32" s="372" t="n"/>
      <c r="J32" s="374">
        <f>G32-I32</f>
        <v/>
      </c>
      <c r="K32" s="374">
        <f>IF(F32=0,0,D32*F32)</f>
        <v/>
      </c>
      <c r="L32" s="375" t="n"/>
      <c r="M32" s="376" t="n"/>
      <c r="N32" s="377">
        <f>K32-M32</f>
        <v/>
      </c>
    </row>
    <row r="33" ht="20.1" customHeight="1" s="301">
      <c r="A33" s="199">
        <f>'递延所得税资产明细表N1-2'!A33</f>
        <v/>
      </c>
      <c r="B33" s="372" t="n"/>
      <c r="C33" s="372" t="n"/>
      <c r="D33" s="373" t="n"/>
      <c r="E33" s="374">
        <f>IF(B33-C33&lt;0,C33-B33,0)</f>
        <v/>
      </c>
      <c r="F33" s="374">
        <f>IF(B33-C33&gt;0,B33-C33,0)</f>
        <v/>
      </c>
      <c r="G33" s="374">
        <f>IF(E33=0,0,D33*E33)</f>
        <v/>
      </c>
      <c r="H33" s="375" t="n"/>
      <c r="I33" s="372" t="n"/>
      <c r="J33" s="374">
        <f>G33-I33</f>
        <v/>
      </c>
      <c r="K33" s="374">
        <f>IF(F33=0,0,D33*F33)</f>
        <v/>
      </c>
      <c r="L33" s="375" t="n"/>
      <c r="M33" s="376" t="n"/>
      <c r="N33" s="377">
        <f>K33-M33</f>
        <v/>
      </c>
    </row>
    <row r="34" ht="20.1" customHeight="1" s="301">
      <c r="A34" s="199">
        <f>'递延所得税资产明细表N1-2'!A34</f>
        <v/>
      </c>
      <c r="B34" s="372" t="n"/>
      <c r="C34" s="372" t="n"/>
      <c r="D34" s="373" t="n"/>
      <c r="E34" s="374">
        <f>IF(B34-C34&lt;0,C34-B34,0)</f>
        <v/>
      </c>
      <c r="F34" s="374">
        <f>IF(B34-C34&gt;0,B34-C34,0)</f>
        <v/>
      </c>
      <c r="G34" s="374">
        <f>IF(E34=0,0,D34*E34)</f>
        <v/>
      </c>
      <c r="H34" s="375" t="n"/>
      <c r="I34" s="372" t="n"/>
      <c r="J34" s="374">
        <f>G34-I34</f>
        <v/>
      </c>
      <c r="K34" s="374">
        <f>IF(F34=0,0,D34*F34)</f>
        <v/>
      </c>
      <c r="L34" s="375" t="n"/>
      <c r="M34" s="376" t="n"/>
      <c r="N34" s="377">
        <f>K34-M34</f>
        <v/>
      </c>
    </row>
    <row r="35" ht="20.1" customHeight="1" s="301">
      <c r="A35" s="199">
        <f>'递延所得税资产明细表N1-2'!A35</f>
        <v/>
      </c>
      <c r="B35" s="372" t="n"/>
      <c r="C35" s="372" t="n"/>
      <c r="D35" s="373" t="n"/>
      <c r="E35" s="374">
        <f>IF(B35-C35&lt;0,C35-B35,0)</f>
        <v/>
      </c>
      <c r="F35" s="374">
        <f>IF(B35-C35&gt;0,B35-C35,0)</f>
        <v/>
      </c>
      <c r="G35" s="374">
        <f>IF(E35=0,0,D35*E35)</f>
        <v/>
      </c>
      <c r="H35" s="375" t="n"/>
      <c r="I35" s="372" t="n"/>
      <c r="J35" s="374">
        <f>G35-I35</f>
        <v/>
      </c>
      <c r="K35" s="374">
        <f>IF(F35=0,0,D35*F35)</f>
        <v/>
      </c>
      <c r="L35" s="375" t="n"/>
      <c r="M35" s="376" t="n"/>
      <c r="N35" s="377">
        <f>K35-M35</f>
        <v/>
      </c>
    </row>
    <row r="36" ht="20.1" customHeight="1" s="301">
      <c r="A36" s="199">
        <f>'递延所得税资产明细表N1-2'!A36</f>
        <v/>
      </c>
      <c r="B36" s="372" t="n"/>
      <c r="C36" s="372" t="n"/>
      <c r="D36" s="372" t="n"/>
      <c r="E36" s="374">
        <f>IF(B36-C36&lt;0,C36-B36,0)</f>
        <v/>
      </c>
      <c r="F36" s="374">
        <f>IF(B36-C36&gt;0,B36-C36,0)</f>
        <v/>
      </c>
      <c r="G36" s="374">
        <f>IF(E36=0,0,D36*E36)</f>
        <v/>
      </c>
      <c r="H36" s="375" t="n"/>
      <c r="I36" s="372" t="n"/>
      <c r="J36" s="374">
        <f>G36-I36</f>
        <v/>
      </c>
      <c r="K36" s="374">
        <f>IF(F36=0,0,D36*F36)</f>
        <v/>
      </c>
      <c r="L36" s="375" t="n"/>
      <c r="M36" s="376" t="n"/>
      <c r="N36" s="377">
        <f>K36-M36</f>
        <v/>
      </c>
    </row>
    <row r="37" ht="20.1" customHeight="1" s="301">
      <c r="A37" s="199">
        <f>'递延所得税资产明细表N1-2'!A37</f>
        <v/>
      </c>
      <c r="B37" s="372" t="n"/>
      <c r="C37" s="372" t="n"/>
      <c r="D37" s="372" t="n"/>
      <c r="E37" s="374">
        <f>IF(B37-C37&lt;0,C37-B37,0)</f>
        <v/>
      </c>
      <c r="F37" s="374">
        <f>IF(B37-C37&gt;0,B37-C37,0)</f>
        <v/>
      </c>
      <c r="G37" s="374">
        <f>IF(E37=0,0,D37*E37)</f>
        <v/>
      </c>
      <c r="H37" s="375" t="n"/>
      <c r="I37" s="372" t="n"/>
      <c r="J37" s="374">
        <f>G37-I37</f>
        <v/>
      </c>
      <c r="K37" s="374">
        <f>IF(F37=0,0,D37*F37)</f>
        <v/>
      </c>
      <c r="L37" s="375" t="n"/>
      <c r="M37" s="376" t="n"/>
      <c r="N37" s="377">
        <f>K37-M37</f>
        <v/>
      </c>
    </row>
    <row r="38" ht="20.1" customHeight="1" s="301">
      <c r="A38" s="199">
        <f>'递延所得税资产明细表N1-2'!A38</f>
        <v/>
      </c>
      <c r="B38" s="372" t="n"/>
      <c r="C38" s="372" t="n"/>
      <c r="D38" s="372" t="n"/>
      <c r="E38" s="374">
        <f>IF(B38-C38&lt;0,C38-B38,0)</f>
        <v/>
      </c>
      <c r="F38" s="374">
        <f>IF(B38-C38&gt;0,B38-C38,0)</f>
        <v/>
      </c>
      <c r="G38" s="374">
        <f>IF(E38=0,0,D38*E38)</f>
        <v/>
      </c>
      <c r="H38" s="375" t="n"/>
      <c r="I38" s="372" t="n"/>
      <c r="J38" s="374">
        <f>G38-I38</f>
        <v/>
      </c>
      <c r="K38" s="374">
        <f>IF(F38=0,0,D38*F38)</f>
        <v/>
      </c>
      <c r="L38" s="375" t="n"/>
      <c r="M38" s="376" t="n"/>
      <c r="N38" s="377">
        <f>K38-M38</f>
        <v/>
      </c>
    </row>
    <row r="39" ht="20.1" customHeight="1" s="301">
      <c r="A39" s="199">
        <f>'递延所得税资产明细表N1-2'!A39</f>
        <v/>
      </c>
      <c r="B39" s="372" t="n"/>
      <c r="C39" s="372" t="n"/>
      <c r="D39" s="372" t="n"/>
      <c r="E39" s="374">
        <f>IF(B39-C39&lt;0,C39-B39,0)</f>
        <v/>
      </c>
      <c r="F39" s="374">
        <f>IF(B39-C39&gt;0,B39-C39,0)</f>
        <v/>
      </c>
      <c r="G39" s="374">
        <f>IF(E39=0,0,D39*E39)</f>
        <v/>
      </c>
      <c r="H39" s="375" t="n"/>
      <c r="I39" s="372" t="n"/>
      <c r="J39" s="374">
        <f>G39-I39</f>
        <v/>
      </c>
      <c r="K39" s="374">
        <f>IF(F39=0,0,D39*F39)</f>
        <v/>
      </c>
      <c r="L39" s="375" t="n"/>
      <c r="M39" s="376" t="n"/>
      <c r="N39" s="377">
        <f>K39-M39</f>
        <v/>
      </c>
    </row>
    <row r="40" ht="20.1" customHeight="1" s="301">
      <c r="A40" s="199">
        <f>'递延所得税资产明细表N1-2'!A40</f>
        <v/>
      </c>
      <c r="B40" s="372" t="n"/>
      <c r="C40" s="372" t="n"/>
      <c r="D40" s="372" t="n"/>
      <c r="E40" s="374">
        <f>IF(B40-C40&lt;0,C40-B40,0)</f>
        <v/>
      </c>
      <c r="F40" s="374">
        <f>IF(B40-C40&gt;0,B40-C40,0)</f>
        <v/>
      </c>
      <c r="G40" s="374">
        <f>IF(E40=0,0,D40*E40)</f>
        <v/>
      </c>
      <c r="H40" s="375" t="n"/>
      <c r="I40" s="372" t="n"/>
      <c r="J40" s="374">
        <f>G40-I40</f>
        <v/>
      </c>
      <c r="K40" s="374">
        <f>IF(F40=0,0,D40*F40)</f>
        <v/>
      </c>
      <c r="L40" s="375" t="n"/>
      <c r="M40" s="376" t="n"/>
      <c r="N40" s="377">
        <f>K40-M40</f>
        <v/>
      </c>
    </row>
    <row r="41" ht="20.1" customHeight="1" s="301">
      <c r="A41" s="206" t="inlineStr">
        <is>
          <t>合计</t>
        </is>
      </c>
      <c r="B41" s="374">
        <f>SUM(B11:B40)</f>
        <v/>
      </c>
      <c r="C41" s="374">
        <f>SUM(C11:C40)</f>
        <v/>
      </c>
      <c r="D41" s="374" t="n"/>
      <c r="E41" s="378">
        <f>SUM(E11:E40)</f>
        <v/>
      </c>
      <c r="F41" s="378">
        <f>SUM(F11:F40)</f>
        <v/>
      </c>
      <c r="G41" s="378">
        <f>SUM(G11:G40)</f>
        <v/>
      </c>
      <c r="H41" s="378">
        <f>SUM(H11:H40)</f>
        <v/>
      </c>
      <c r="I41" s="378">
        <f>SUM(I11:I40)</f>
        <v/>
      </c>
      <c r="J41" s="378">
        <f>SUM(J11:J40)</f>
        <v/>
      </c>
      <c r="K41" s="378">
        <f>SUM(K11:K40)</f>
        <v/>
      </c>
      <c r="L41" s="378">
        <f>SUM(L11:L40)</f>
        <v/>
      </c>
      <c r="M41" s="378">
        <f>SUM(M11:M40)</f>
        <v/>
      </c>
      <c r="N41" s="378">
        <f>SUM(N11:N40)</f>
        <v/>
      </c>
    </row>
    <row r="42" ht="20.1" customHeight="1" s="301">
      <c r="A42" s="208" t="inlineStr">
        <is>
          <t>三、审计说明</t>
        </is>
      </c>
      <c r="B42" s="379" t="n"/>
      <c r="C42" s="379" t="n"/>
      <c r="D42" s="379" t="n"/>
      <c r="E42" s="380" t="n"/>
      <c r="F42" s="380" t="n"/>
      <c r="G42" s="380" t="n"/>
      <c r="H42" s="380" t="n"/>
      <c r="I42" s="380" t="n"/>
      <c r="J42" s="380" t="n"/>
      <c r="K42" s="380" t="n"/>
      <c r="L42" s="380" t="n"/>
      <c r="M42" s="380" t="n"/>
      <c r="N42" s="380" t="n"/>
      <c r="O42" s="211" t="n"/>
    </row>
    <row r="43" ht="20.1" customHeight="1" s="301">
      <c r="A43" s="208" t="n"/>
      <c r="B43" s="379" t="n"/>
      <c r="C43" s="379" t="n"/>
      <c r="D43" s="379" t="n"/>
      <c r="E43" s="380" t="n"/>
      <c r="F43" s="380" t="n"/>
      <c r="G43" s="380" t="n"/>
      <c r="H43" s="380" t="n"/>
      <c r="I43" s="380" t="n"/>
      <c r="J43" s="380" t="n"/>
      <c r="K43" s="380" t="n"/>
      <c r="L43" s="380" t="n"/>
      <c r="M43" s="380" t="n"/>
      <c r="N43" s="380" t="n"/>
      <c r="O43" s="211" t="n"/>
    </row>
    <row r="44" ht="20.1" customHeight="1" s="301">
      <c r="A44" s="208" t="inlineStr">
        <is>
          <t>四、审计结论</t>
        </is>
      </c>
      <c r="B44" s="379" t="n"/>
      <c r="C44" s="379" t="n"/>
      <c r="D44" s="379" t="n"/>
      <c r="E44" s="380" t="n"/>
      <c r="F44" s="380" t="n"/>
      <c r="G44" s="380" t="n"/>
      <c r="H44" s="380" t="n"/>
      <c r="I44" s="380" t="n"/>
      <c r="J44" s="380" t="n"/>
      <c r="K44" s="380" t="n"/>
      <c r="L44" s="380" t="n"/>
      <c r="M44" s="380" t="n"/>
      <c r="N44" s="380" t="n"/>
      <c r="O44" s="211" t="n"/>
    </row>
    <row r="45" ht="20.1" customHeight="1" s="301">
      <c r="A45" s="212" t="n"/>
      <c r="B45" s="379" t="n"/>
      <c r="C45" s="379" t="n"/>
      <c r="D45" s="379" t="n"/>
      <c r="E45" s="380" t="n"/>
      <c r="F45" s="380" t="n"/>
      <c r="G45" s="380" t="n"/>
      <c r="H45" s="380" t="n"/>
      <c r="I45" s="380" t="n"/>
      <c r="J45" s="380" t="n"/>
      <c r="K45" s="380" t="n"/>
      <c r="L45" s="380" t="n"/>
      <c r="M45" s="380" t="n"/>
      <c r="N45" s="380" t="n"/>
      <c r="O45" s="211" t="n"/>
    </row>
    <row r="46" ht="20.1" customHeight="1" s="301">
      <c r="A46" s="45" t="inlineStr">
        <is>
          <t>[注1]取得税务同意抵扣依据的开办费摊销差异。</t>
        </is>
      </c>
      <c r="B46" s="213" t="n"/>
      <c r="C46" s="213" t="n"/>
      <c r="D46" s="213" t="n"/>
      <c r="E46" s="213" t="n"/>
      <c r="F46" s="213" t="n"/>
      <c r="G46" s="213" t="n"/>
      <c r="H46" s="213" t="n"/>
      <c r="I46" s="213" t="n"/>
      <c r="J46" s="213" t="n"/>
      <c r="K46" s="213" t="n"/>
      <c r="L46" s="213" t="n"/>
      <c r="M46" s="214" t="n"/>
      <c r="N46" s="214" t="n"/>
    </row>
    <row r="47" ht="20.1" customHeight="1" s="301">
      <c r="A47" s="46" t="inlineStr">
        <is>
          <t>[注2]预计辞退福利费须解除劳动关系。</t>
        </is>
      </c>
      <c r="B47" s="213" t="n"/>
      <c r="C47" s="213" t="n"/>
      <c r="D47" s="213" t="n"/>
      <c r="E47" s="213" t="n"/>
      <c r="F47" s="213" t="n"/>
      <c r="G47" s="213" t="n"/>
      <c r="H47" s="213" t="n"/>
      <c r="I47" s="213" t="n"/>
      <c r="J47" s="213" t="n"/>
      <c r="K47" s="213" t="n"/>
      <c r="L47" s="213" t="n"/>
      <c r="M47" s="214" t="n"/>
      <c r="N47" s="214" t="n"/>
    </row>
    <row r="48" ht="20.1" customHeight="1" s="301">
      <c r="A48" s="45" t="inlineStr">
        <is>
          <t>[注3]若有其他项目，需详加说明内容。如税款抵减等。</t>
        </is>
      </c>
      <c r="B48" s="213" t="n"/>
      <c r="C48" s="213" t="n"/>
      <c r="D48" s="213" t="n"/>
      <c r="E48" s="213" t="n"/>
      <c r="F48" s="213" t="n"/>
      <c r="G48" s="213" t="n"/>
      <c r="H48" s="213" t="n"/>
      <c r="I48" s="213" t="n"/>
      <c r="J48" s="213" t="n"/>
      <c r="K48" s="213" t="n"/>
      <c r="L48" s="213" t="n"/>
      <c r="M48" s="214" t="n"/>
      <c r="N48" s="214" t="n"/>
    </row>
    <row r="49" ht="20.1" customHeight="1" s="301">
      <c r="A49" s="46" t="inlineStr">
        <is>
          <t>[注4] 预计递延所得税资产（负债）转回时适用的所得税税率。相关证明文件索引号为：</t>
        </is>
      </c>
      <c r="B49" s="213" t="n"/>
      <c r="C49" s="213" t="n"/>
      <c r="D49" s="213" t="n"/>
      <c r="E49" s="215" t="n"/>
      <c r="F49" s="213" t="n"/>
      <c r="G49" s="213" t="n"/>
      <c r="H49" s="213" t="n"/>
      <c r="I49" s="213" t="n"/>
      <c r="J49" s="213" t="n"/>
      <c r="K49" s="213" t="n"/>
      <c r="L49" s="213" t="n"/>
      <c r="M49" s="214" t="n"/>
      <c r="N49" s="214" t="n"/>
    </row>
    <row r="50" ht="20.1" customHeight="1" s="301">
      <c r="A50" s="216" t="inlineStr">
        <is>
          <t>提示：</t>
        </is>
      </c>
    </row>
    <row r="51" ht="20.1" customHeight="1" s="301">
      <c r="A51" s="46" t="inlineStr">
        <is>
          <t xml:space="preserve">1.递延所得税资产的确认应以未来期间很可能取得的用来抵扣可抵扣暂时性差异的应纳税所得额为限； </t>
        </is>
      </c>
    </row>
    <row r="52" ht="20.1" customHeight="1" s="301">
      <c r="A52" s="217" t="inlineStr">
        <is>
          <t>2.本期递延所得税资产的变动不一定都计入当期损益，也可能计入资本公积等项目，应分析填列；</t>
        </is>
      </c>
    </row>
    <row r="53" ht="20.1" customHeight="1" s="301">
      <c r="A53" s="217" t="inlineStr">
        <is>
          <t>3.大额递延所得税资产的确认或递延所得税资产余额与当前的盈利能力存在较大差异的，建议项目组取得公司未来数年的经营计划或盈利预测。</t>
        </is>
      </c>
    </row>
    <row r="54" ht="20.1" customHeight="1" s="301">
      <c r="A54" s="217" t="inlineStr">
        <is>
          <t>4.对于可抵扣亏损形成的递延所得税资产是否计提，判断依据应与商誉、其他长期资产等减值测试时采取的假设保持一致。</t>
        </is>
      </c>
    </row>
    <row r="55" ht="20.1" customHeight="1" s="301">
      <c r="A55" s="217" t="inlineStr">
        <is>
          <t>5.根据证监会2018年度上市公司年报会计监管报告，拟出售的长期股权投资，应补确认权益法核算的税会差异形成的递延所得税资产。</t>
        </is>
      </c>
    </row>
    <row r="58" ht="20.1" customHeight="1" s="301">
      <c r="A58" s="218" t="inlineStr">
        <is>
          <t>a检查是否存在同时具有下列特征的交易因资产或负债的初始确认而产生的递延所得税资产不应予以确认，而被审计单位予以确认的情况：</t>
        </is>
      </c>
    </row>
    <row r="59" ht="20.1" customHeight="1" s="301">
      <c r="A59" s="219" t="inlineStr">
        <is>
          <t>①该项交易不是企业合并；</t>
        </is>
      </c>
    </row>
    <row r="60" ht="20.1" customHeight="1" s="301">
      <c r="A60" s="219" t="inlineStr">
        <is>
          <t>②交易发生时既不影响会计利润也不影响应纳税所得额（或可抵扣亏损）。</t>
        </is>
      </c>
    </row>
    <row r="61" ht="20.1" customHeight="1" s="301">
      <c r="A61" s="219" t="inlineStr">
        <is>
          <t>b检查被审计单位对子公司、联营企业及合营企业投资相关的可抵扣暂时性差异，在同时满足下列条件时，是否确认相应的递延所得税资产：</t>
        </is>
      </c>
    </row>
    <row r="62" ht="20.1" customHeight="1" s="301">
      <c r="A62" s="219" t="inlineStr">
        <is>
          <t>①暂时性差异在可预见的未来很可能转回；</t>
        </is>
      </c>
    </row>
    <row r="63" ht="20.1" customHeight="1" s="301">
      <c r="A63" s="219" t="inlineStr">
        <is>
          <t>②未来很可能获得用来抵扣可抵扣暂时性差异的应纳税所得额。</t>
        </is>
      </c>
    </row>
  </sheetData>
  <mergeCells count="14">
    <mergeCell ref="C9:C10"/>
    <mergeCell ref="B9:B10"/>
    <mergeCell ref="G9:G10"/>
    <mergeCell ref="D9:D10"/>
    <mergeCell ref="H9:H10"/>
    <mergeCell ref="I9:I10"/>
    <mergeCell ref="K9:K10"/>
    <mergeCell ref="L9:L10"/>
    <mergeCell ref="A9:A10"/>
    <mergeCell ref="N9:N10"/>
    <mergeCell ref="M9:M10"/>
    <mergeCell ref="A2:N2"/>
    <mergeCell ref="J9:J10"/>
    <mergeCell ref="A1:N1"/>
  </mergeCells>
  <dataValidations count="1">
    <dataValidation sqref="H11:H40 L11:L40" showDropDown="0" showInputMessage="1" showErrorMessage="1" allowBlank="1" type="list">
      <formula1>$O$10:$O$12</formula1>
    </dataValidation>
  </dataValidations>
  <hyperlinks>
    <hyperlink ref="N3" location="底稿目录!A1" display="D10-4"/>
  </hyperlinks>
  <pageMargins left="0.700694444444445" right="0.700694444444445" top="0.751388888888889" bottom="0.751388888888889" header="0.298611111111111" footer="0.298611111111111"/>
  <pageSetup orientation="landscape" paperSize="9" scale="69" blackAndWhite="1"/>
  <headerFooter>
    <oddHeader/>
    <oddFooter>&amp;C&amp;P/&amp;N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M30"/>
  <sheetViews>
    <sheetView view="pageBreakPreview" zoomScaleNormal="100" zoomScaleSheetLayoutView="100" workbookViewId="0">
      <selection activeCell="A1" sqref="A1:M1"/>
    </sheetView>
  </sheetViews>
  <sheetFormatPr baseColWidth="8" defaultColWidth="10" defaultRowHeight="19.95" customHeight="1"/>
  <cols>
    <col width="19.69921875" customWidth="1" style="220" min="1" max="1"/>
    <col width="12.19921875" customWidth="1" style="220" min="2" max="2"/>
    <col width="11.69921875" customWidth="1" style="220" min="3" max="3"/>
    <col width="12.09765625" customWidth="1" style="220" min="4" max="4"/>
    <col width="11" customWidth="1" style="220" min="5" max="5"/>
    <col width="11.69921875" customWidth="1" style="220" min="6" max="6"/>
    <col width="12.69921875" customWidth="1" style="220" min="7" max="7"/>
    <col width="11.69921875" customWidth="1" style="220" min="8" max="8"/>
    <col width="15.09765625" customWidth="1" style="220" min="9" max="13"/>
    <col width="10" customWidth="1" style="220" min="14" max="16384"/>
  </cols>
  <sheetData>
    <row r="1" ht="19.95" customHeight="1" s="301">
      <c r="A1" s="266" t="inlineStr">
        <is>
          <t>致同会计师事务所</t>
        </is>
      </c>
    </row>
    <row r="2" ht="19.95" customHeight="1" s="301">
      <c r="A2" s="267" t="inlineStr">
        <is>
          <t>可用以后年度税前利润弥补的亏损检查表</t>
        </is>
      </c>
    </row>
    <row r="3" ht="19.95" customHeight="1" s="301">
      <c r="A3" s="193">
        <f>底稿目录!A2</f>
        <v/>
      </c>
      <c r="E3" s="193">
        <f>底稿目录!$A$4</f>
        <v/>
      </c>
      <c r="F3" s="221" t="n"/>
      <c r="I3" s="193">
        <f>底稿目录!$A$5</f>
        <v/>
      </c>
      <c r="L3" s="195" t="inlineStr">
        <is>
          <t>索引号：</t>
        </is>
      </c>
      <c r="M3" s="250" t="inlineStr">
        <is>
          <t>N1-5</t>
        </is>
      </c>
    </row>
    <row r="4" ht="19.95" customHeight="1" s="301">
      <c r="A4" s="193">
        <f>底稿目录!A3</f>
        <v/>
      </c>
      <c r="E4" s="193">
        <f>底稿目录!$A$6</f>
        <v/>
      </c>
      <c r="F4" s="221" t="n"/>
      <c r="I4" s="193">
        <f>底稿目录!$A$7</f>
        <v/>
      </c>
      <c r="L4" s="195" t="inlineStr">
        <is>
          <t>页次：</t>
        </is>
      </c>
      <c r="M4" s="221" t="n"/>
    </row>
    <row r="5" ht="19.95" customFormat="1" customHeight="1" s="221">
      <c r="A5" s="191" t="inlineStr">
        <is>
          <t>一、审计目标</t>
        </is>
      </c>
    </row>
    <row r="6" ht="19.95" customFormat="1" customHeight="1" s="221">
      <c r="A6" s="211" t="inlineStr">
        <is>
          <t>递延所得税资产以恰当的金额包括在财务报表中，与之相关的计价或分摊调整已恰当记录，相关披露已得到恰当计量和描述 。</t>
        </is>
      </c>
    </row>
    <row r="7" ht="19.95" customFormat="1" customHeight="1" s="221">
      <c r="A7" s="191" t="inlineStr">
        <is>
          <t>二、审计过程</t>
        </is>
      </c>
    </row>
    <row r="8" ht="19.95" customFormat="1" customHeight="1" s="221">
      <c r="A8" s="222" t="inlineStr">
        <is>
          <t>1.获取未弥补亏损清单：</t>
        </is>
      </c>
    </row>
    <row r="9" ht="19.95" customFormat="1" customHeight="1" s="221">
      <c r="A9" s="222" t="inlineStr">
        <is>
          <t>（1）确定已确认递延所得税资产的可抵扣亏损到期前是否有足够应纳税所得额；</t>
        </is>
      </c>
    </row>
    <row r="10" ht="19.95" customFormat="1" customHeight="1" s="221">
      <c r="A10" s="222" t="inlineStr">
        <is>
          <t>（2）确定未确认递延所得税资产的可抵扣亏损到期期间</t>
        </is>
      </c>
    </row>
    <row r="11" ht="19.95" customFormat="1" customHeight="1" s="221">
      <c r="A11" s="222" t="inlineStr">
        <is>
          <t>2.……</t>
        </is>
      </c>
    </row>
    <row r="12" ht="19.95" customFormat="1" customHeight="1" s="223">
      <c r="A12" s="224" t="inlineStr">
        <is>
          <t>项目</t>
        </is>
      </c>
      <c r="B12" s="381" t="inlineStr">
        <is>
          <t>上期不确认递延所得税资产的可弥补亏损</t>
        </is>
      </c>
      <c r="C12" s="292" t="inlineStr">
        <is>
          <t>本期数</t>
        </is>
      </c>
      <c r="D12" s="363" t="n"/>
      <c r="E12" s="364" t="n"/>
      <c r="F12" s="381" t="inlineStr">
        <is>
          <t>确认递延所得税资产的可弥补亏损</t>
        </is>
      </c>
      <c r="G12" s="381" t="inlineStr">
        <is>
          <t>不确认递延所得税资产的可弥补亏损</t>
        </is>
      </c>
      <c r="H12" s="382" t="inlineStr">
        <is>
          <t>依据</t>
        </is>
      </c>
      <c r="I12" s="382" t="inlineStr">
        <is>
          <t>可抵扣亏损到期前是否有足够的应纳税所得额（是或否）</t>
        </is>
      </c>
      <c r="J12" s="382" t="inlineStr">
        <is>
          <t>其中：预计应纳税所得额来源于生产经营所得（∨）</t>
        </is>
      </c>
      <c r="K12" s="382" t="inlineStr">
        <is>
          <t>其中：预计应纳税所得额来源于以前期间产生的应纳税暂时性差异转回（∨）</t>
        </is>
      </c>
      <c r="L12" s="382" t="inlineStr">
        <is>
          <t>其中：预计应纳税所得额来源于其他原因（∨）</t>
        </is>
      </c>
      <c r="M12" s="382" t="inlineStr">
        <is>
          <t>检查底稿索引</t>
        </is>
      </c>
    </row>
    <row r="13" ht="49.2" customFormat="1" customHeight="1" s="223">
      <c r="A13" s="325" t="n"/>
      <c r="B13" s="325" t="n"/>
      <c r="C13" s="224" t="inlineStr">
        <is>
          <t>账面金额</t>
        </is>
      </c>
      <c r="D13" s="225" t="inlineStr">
        <is>
          <t>审计调整</t>
        </is>
      </c>
      <c r="E13" s="225" t="inlineStr">
        <is>
          <t>审定金额</t>
        </is>
      </c>
      <c r="F13" s="325" t="n"/>
      <c r="G13" s="325" t="n"/>
      <c r="H13" s="325" t="n"/>
      <c r="I13" s="325" t="n"/>
      <c r="J13" s="325" t="n"/>
      <c r="K13" s="325" t="n"/>
      <c r="L13" s="325" t="n"/>
      <c r="M13" s="325" t="n"/>
    </row>
    <row r="14" ht="19.95" customHeight="1" s="301">
      <c r="A14" s="226" t="inlineStr">
        <is>
          <t>期末未分配利润</t>
        </is>
      </c>
      <c r="B14" s="383" t="n"/>
      <c r="C14" s="384" t="n"/>
      <c r="D14" s="384" t="n"/>
      <c r="E14" s="385">
        <f>C14+D14</f>
        <v/>
      </c>
      <c r="F14" s="384" t="n"/>
      <c r="G14" s="384" t="n"/>
      <c r="H14" s="230" t="n"/>
      <c r="I14" s="230" t="n"/>
      <c r="J14" s="230" t="n"/>
      <c r="K14" s="230" t="n"/>
      <c r="L14" s="230" t="n"/>
      <c r="M14" s="230" t="n"/>
    </row>
    <row r="15" ht="19.95" customHeight="1" s="301">
      <c r="A15" s="231" t="inlineStr">
        <is>
          <t>其中：可抵扣亏损</t>
        </is>
      </c>
      <c r="B15" s="383" t="n"/>
      <c r="C15" s="386" t="n"/>
      <c r="D15" s="384" t="n"/>
      <c r="E15" s="385">
        <f>C15+D15</f>
        <v/>
      </c>
      <c r="F15" s="384" t="n"/>
      <c r="G15" s="384" t="n"/>
      <c r="H15" s="230" t="n"/>
      <c r="I15" s="230" t="n"/>
      <c r="J15" s="230" t="n"/>
      <c r="K15" s="230" t="n"/>
      <c r="L15" s="230" t="n"/>
      <c r="M15" s="230" t="n"/>
    </row>
    <row r="16" ht="19.95" customFormat="1" customHeight="1" s="237">
      <c r="A16" s="233" t="inlineStr">
        <is>
          <t>可抵扣亏损到期年度</t>
        </is>
      </c>
      <c r="B16" s="385" t="n"/>
      <c r="C16" s="387" t="n"/>
      <c r="D16" s="388" t="n"/>
      <c r="E16" s="388" t="n"/>
      <c r="F16" s="388" t="n"/>
      <c r="G16" s="388" t="n"/>
      <c r="H16" s="236" t="n"/>
      <c r="I16" s="236" t="n"/>
      <c r="J16" s="236" t="n"/>
      <c r="K16" s="236" t="n"/>
      <c r="L16" s="236" t="n"/>
      <c r="M16" s="236" t="n"/>
    </row>
    <row r="17" ht="19.95" customHeight="1" s="301">
      <c r="A17" s="251" t="inlineStr">
        <is>
          <t>2022年</t>
        </is>
      </c>
      <c r="B17" s="383" t="n"/>
      <c r="C17" s="386" t="n"/>
      <c r="D17" s="384" t="n"/>
      <c r="E17" s="385">
        <f>C17+D17</f>
        <v/>
      </c>
      <c r="F17" s="384" t="n"/>
      <c r="G17" s="384" t="n"/>
      <c r="H17" s="230" t="n"/>
      <c r="I17" s="230" t="n"/>
      <c r="J17" s="230" t="n"/>
      <c r="K17" s="230" t="n"/>
      <c r="L17" s="230" t="n"/>
      <c r="M17" s="230" t="n"/>
    </row>
    <row r="18" ht="19.95" customHeight="1" s="301">
      <c r="A18" s="251" t="inlineStr">
        <is>
          <t>2023年</t>
        </is>
      </c>
      <c r="B18" s="383" t="n"/>
      <c r="C18" s="386" t="n"/>
      <c r="D18" s="384" t="n"/>
      <c r="E18" s="385">
        <f>C18+D18</f>
        <v/>
      </c>
      <c r="F18" s="384" t="n"/>
      <c r="G18" s="384" t="n"/>
      <c r="H18" s="230" t="n"/>
      <c r="I18" s="230" t="n"/>
      <c r="J18" s="230" t="n"/>
      <c r="K18" s="230" t="n"/>
      <c r="L18" s="230" t="n"/>
      <c r="M18" s="230" t="n"/>
    </row>
    <row r="19" ht="19.95" customHeight="1" s="301">
      <c r="A19" s="251" t="inlineStr">
        <is>
          <t>2024年</t>
        </is>
      </c>
      <c r="B19" s="383" t="n"/>
      <c r="C19" s="386" t="n"/>
      <c r="D19" s="384" t="n"/>
      <c r="E19" s="385">
        <f>C19+D19</f>
        <v/>
      </c>
      <c r="F19" s="384" t="n"/>
      <c r="G19" s="384" t="n"/>
      <c r="H19" s="230" t="n"/>
      <c r="I19" s="230" t="n"/>
      <c r="J19" s="230" t="n"/>
      <c r="K19" s="230" t="n"/>
      <c r="L19" s="230" t="n"/>
      <c r="M19" s="230" t="n"/>
    </row>
    <row r="20" ht="19.95" customHeight="1" s="301">
      <c r="A20" s="251" t="inlineStr">
        <is>
          <t>2025年</t>
        </is>
      </c>
      <c r="B20" s="383" t="n"/>
      <c r="C20" s="386" t="n"/>
      <c r="D20" s="384" t="n"/>
      <c r="E20" s="385">
        <f>C20+D20</f>
        <v/>
      </c>
      <c r="F20" s="384" t="n"/>
      <c r="G20" s="384" t="n"/>
      <c r="H20" s="230" t="n"/>
      <c r="I20" s="230" t="n"/>
      <c r="J20" s="230" t="n"/>
      <c r="K20" s="230" t="n"/>
      <c r="L20" s="230" t="n"/>
      <c r="M20" s="230" t="n"/>
    </row>
    <row r="21" ht="19.95" customHeight="1" s="301">
      <c r="A21" s="251" t="inlineStr">
        <is>
          <t>2026年</t>
        </is>
      </c>
      <c r="B21" s="383" t="n"/>
      <c r="C21" s="386" t="n"/>
      <c r="D21" s="384" t="n"/>
      <c r="E21" s="385">
        <f>C21+D21</f>
        <v/>
      </c>
      <c r="F21" s="384" t="n"/>
      <c r="G21" s="384" t="n"/>
      <c r="H21" s="230" t="n"/>
      <c r="I21" s="230" t="n"/>
      <c r="J21" s="230" t="n"/>
      <c r="K21" s="230" t="n"/>
      <c r="L21" s="230" t="n"/>
      <c r="M21" s="230" t="n"/>
    </row>
    <row r="22" ht="19.95" customHeight="1" s="301">
      <c r="A22" s="251" t="inlineStr">
        <is>
          <t>2027年</t>
        </is>
      </c>
      <c r="B22" s="383" t="n"/>
      <c r="C22" s="386" t="n"/>
      <c r="D22" s="384" t="n"/>
      <c r="E22" s="385">
        <f>C22+D22</f>
        <v/>
      </c>
      <c r="F22" s="384" t="n"/>
      <c r="G22" s="384" t="n"/>
      <c r="H22" s="230" t="n"/>
      <c r="I22" s="230" t="n"/>
      <c r="J22" s="230" t="n"/>
      <c r="K22" s="230" t="n"/>
      <c r="L22" s="230" t="n"/>
      <c r="M22" s="230" t="n"/>
    </row>
    <row r="23" ht="19.95" customHeight="1" s="301">
      <c r="A23" s="231" t="n"/>
      <c r="B23" s="383" t="n"/>
      <c r="C23" s="386" t="n"/>
      <c r="D23" s="384" t="n"/>
      <c r="E23" s="385">
        <f>C23+D23</f>
        <v/>
      </c>
      <c r="F23" s="384" t="n"/>
      <c r="G23" s="384" t="n"/>
      <c r="H23" s="230" t="n"/>
      <c r="I23" s="230" t="n"/>
      <c r="J23" s="230" t="n"/>
      <c r="K23" s="230" t="n"/>
      <c r="L23" s="230" t="n"/>
      <c r="M23" s="230" t="n"/>
    </row>
    <row r="24" ht="19.95" customHeight="1" s="301">
      <c r="A24" s="231" t="n"/>
      <c r="B24" s="383" t="n"/>
      <c r="C24" s="386" t="n"/>
      <c r="D24" s="384" t="n"/>
      <c r="E24" s="385">
        <f>C24+D24</f>
        <v/>
      </c>
      <c r="F24" s="384" t="n"/>
      <c r="G24" s="384" t="n"/>
      <c r="H24" s="230" t="n"/>
      <c r="I24" s="230" t="n"/>
      <c r="J24" s="230" t="n"/>
      <c r="K24" s="230" t="n"/>
      <c r="L24" s="230" t="n"/>
      <c r="M24" s="230" t="n"/>
    </row>
    <row r="25" ht="19.95" customHeight="1" s="301">
      <c r="A25" s="231" t="n"/>
      <c r="B25" s="383" t="n"/>
      <c r="C25" s="386" t="n"/>
      <c r="D25" s="384" t="n"/>
      <c r="E25" s="385">
        <f>C25+D25</f>
        <v/>
      </c>
      <c r="F25" s="384" t="n"/>
      <c r="G25" s="384" t="n"/>
      <c r="H25" s="230" t="n"/>
      <c r="I25" s="230" t="n"/>
      <c r="J25" s="230" t="n"/>
      <c r="K25" s="230" t="n"/>
      <c r="L25" s="230" t="n"/>
      <c r="M25" s="230" t="n"/>
    </row>
    <row r="26" ht="19.95" customHeight="1" s="301">
      <c r="A26" s="231" t="n"/>
      <c r="B26" s="383" t="n"/>
      <c r="C26" s="386" t="n"/>
      <c r="D26" s="384" t="n"/>
      <c r="E26" s="385">
        <f>C26+D26</f>
        <v/>
      </c>
      <c r="F26" s="384" t="n"/>
      <c r="G26" s="384" t="n"/>
      <c r="H26" s="230" t="n"/>
      <c r="I26" s="230" t="n"/>
      <c r="J26" s="230" t="n"/>
      <c r="K26" s="230" t="n"/>
      <c r="L26" s="230" t="n"/>
      <c r="M26" s="230" t="n"/>
    </row>
    <row r="27" ht="19.95" customHeight="1" s="301">
      <c r="A27" s="225" t="inlineStr">
        <is>
          <t>合    计</t>
        </is>
      </c>
      <c r="B27" s="389">
        <f>SUM(B14:B26)</f>
        <v/>
      </c>
      <c r="C27" s="389">
        <f>SUM(C14:C26)</f>
        <v/>
      </c>
      <c r="D27" s="389">
        <f>SUM(D14:D26)</f>
        <v/>
      </c>
      <c r="E27" s="389">
        <f>SUM(E14:E26)</f>
        <v/>
      </c>
      <c r="F27" s="389">
        <f>SUM(F14:F26)</f>
        <v/>
      </c>
      <c r="G27" s="389">
        <f>SUM(G14:G26)</f>
        <v/>
      </c>
      <c r="H27" s="385" t="n"/>
      <c r="I27" s="385" t="n"/>
      <c r="J27" s="385" t="n"/>
      <c r="K27" s="385" t="n"/>
      <c r="L27" s="385" t="n"/>
      <c r="M27" s="385" t="n"/>
    </row>
    <row r="28" ht="19.95" customHeight="1" s="301">
      <c r="A28" s="208" t="inlineStr">
        <is>
          <t>三、审计说明</t>
        </is>
      </c>
    </row>
    <row r="29" ht="19.95" customHeight="1" s="301">
      <c r="A29" s="208" t="n"/>
    </row>
    <row r="30" ht="19.95" customHeight="1" s="301">
      <c r="A30" s="208" t="inlineStr">
        <is>
          <t>四、审计结论</t>
        </is>
      </c>
    </row>
  </sheetData>
  <mergeCells count="13">
    <mergeCell ref="A1:M1"/>
    <mergeCell ref="B12:B13"/>
    <mergeCell ref="A12:A13"/>
    <mergeCell ref="H12:H13"/>
    <mergeCell ref="F12:F13"/>
    <mergeCell ref="L12:L13"/>
    <mergeCell ref="K12:K13"/>
    <mergeCell ref="G12:G13"/>
    <mergeCell ref="M12:M13"/>
    <mergeCell ref="I12:I13"/>
    <mergeCell ref="J12:J13"/>
    <mergeCell ref="A2:M2"/>
    <mergeCell ref="C12:E12"/>
  </mergeCells>
  <hyperlinks>
    <hyperlink ref="M3" location="底稿目录!A1" display="D10-5"/>
  </hyperlinks>
  <printOptions horizontalCentered="1" verticalCentered="1"/>
  <pageMargins left="0.708333333333333" right="0.708333333333333" top="0.747916666666667" bottom="0.747916666666667" header="0.314583333333333" footer="0.314583333333333"/>
  <pageSetup orientation="landscape" paperSize="9" scale="69" blackAndWhite="1"/>
  <headerFooter>
    <oddHeader/>
    <oddFooter>&amp;C&amp;P/&amp;N</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5.6"/>
  <sheetData>
    <row r="1">
      <c r="A1" s="0" t="inlineStr">
        <is>
          <t>C1</t>
        </is>
      </c>
      <c r="B1" s="0" t="inlineStr">
        <is>
          <t>Custom 1</t>
        </is>
      </c>
    </row>
    <row r="2">
      <c r="A2" s="0" t="inlineStr">
        <is>
          <t>C2</t>
        </is>
      </c>
      <c r="B2" s="0" t="inlineStr">
        <is>
          <t>Custom 2</t>
        </is>
      </c>
    </row>
    <row r="3">
      <c r="A3" s="0" t="inlineStr">
        <is>
          <t>C3</t>
        </is>
      </c>
      <c r="B3" s="0" t="inlineStr">
        <is>
          <t>Custom 3</t>
        </is>
      </c>
    </row>
    <row r="4">
      <c r="A4" s="0" t="inlineStr">
        <is>
          <t>C4</t>
        </is>
      </c>
      <c r="B4" s="0" t="inlineStr">
        <is>
          <t>Custom 4</t>
        </is>
      </c>
    </row>
    <row r="5">
      <c r="A5" s="0" t="inlineStr">
        <is>
          <t>C5</t>
        </is>
      </c>
      <c r="B5" s="0" t="inlineStr">
        <is>
          <t>Custom 5</t>
        </is>
      </c>
    </row>
    <row r="6">
      <c r="A6" s="0" t="inlineStr">
        <is>
          <t>C6</t>
        </is>
      </c>
      <c r="B6" s="0" t="inlineStr">
        <is>
          <t>Custom 6</t>
        </is>
      </c>
    </row>
    <row r="7">
      <c r="A7" s="0" t="inlineStr">
        <is>
          <t>C7</t>
        </is>
      </c>
      <c r="B7" s="0" t="inlineStr">
        <is>
          <t>Custom 7</t>
        </is>
      </c>
    </row>
    <row r="8">
      <c r="A8" s="0" t="inlineStr">
        <is>
          <t>C8</t>
        </is>
      </c>
      <c r="B8" s="0" t="inlineStr">
        <is>
          <t>Custom 8</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2007-05-20T08:51:00Z</dcterms:created>
  <dcterms:modified xmlns:dcterms="http://purl.org/dc/terms/" xmlns:xsi="http://www.w3.org/2001/XMLSchema-instance" xsi:type="dcterms:W3CDTF">2026-10-08T14:57:39Z</dcterms:modified>
  <cp:lastModifiedBy>何先琴</cp:lastModifiedBy>
  <cp:lastPrinted>2025-10-30T07:48:05Z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657EA73C67754A8FB1BA745301F01B2C_12</vt:lpwstr>
  </property>
  <property name="KSOProductBuildVer" fmtid="{D5CDD505-2E9C-101B-9397-08002B2CF9AE}" pid="3">
    <vt:lpwstr xmlns:vt="http://schemas.openxmlformats.org/officeDocument/2006/docPropsVTypes">2052-12.1.0.22529</vt:lpwstr>
  </property>
</Properties>
</file>