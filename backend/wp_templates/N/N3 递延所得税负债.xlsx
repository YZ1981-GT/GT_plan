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2188" windowHeight="8736" tabRatio="851" firstSheet="0" activeTab="1" autoFilterDateGrouping="1"/>
  </bookViews>
  <sheets>
    <sheet xmlns:r="http://schemas.openxmlformats.org/officeDocument/2006/relationships" name="底稿目录" sheetId="1" state="visible" r:id="rId1"/>
    <sheet xmlns:r="http://schemas.openxmlformats.org/officeDocument/2006/relationships" name="递延所得税负债审计程序表的N3A" sheetId="2" state="visible" r:id="rId2"/>
    <sheet xmlns:r="http://schemas.openxmlformats.org/officeDocument/2006/relationships" name="递延所得税负债审定表N3-1" sheetId="3" state="visible" r:id="rId3"/>
    <sheet xmlns:r="http://schemas.openxmlformats.org/officeDocument/2006/relationships" name="递延所得税负债明细表N3-2" sheetId="4" state="visible" r:id="rId4"/>
    <sheet xmlns:r="http://schemas.openxmlformats.org/officeDocument/2006/relationships" name="调整分录汇总表N3-3" sheetId="5" state="visible" r:id="rId5"/>
    <sheet xmlns:r="http://schemas.openxmlformats.org/officeDocument/2006/relationships" name="GT_Custom" sheetId="6" state="hidden" r:id="rId6"/>
  </sheets>
  <definedNames>
    <definedName name="AS2DocOpenMode" hidden="1">"AS2DocumentEdit"</definedName>
    <definedName name="bs" hidden="1">{#N/A,#N/A,FALSE,"BBPREP"}</definedName>
    <definedName name="bs_1" hidden="1">{#N/A,#N/A,FALSE,"BBPREP"}</definedName>
    <definedName name="gg" hidden="1">{#N/A,#N/A,FALSE,"BBPREP"}</definedName>
    <definedName name="TextRefCopyRangeCount" hidden="1">136</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发的撒发" hidden="1">{#N/A,#N/A,FALSE,"BBPREP"}</definedName>
    <definedName name="bs" localSheetId="1" hidden="1">{#N/A,#N/A,FALSE,"BBPREP"}</definedName>
    <definedName name="bs_1" localSheetId="1" hidden="1">{#N/A,#N/A,FALSE,"BBPREP"}</definedName>
    <definedName name="gg" localSheetId="1" hidden="1">{#N/A,#N/A,FALSE,"BBPREP"}</definedName>
    <definedName name="XREF_COLUMN_1" localSheetId="1" hidden="1">#REF!</definedName>
    <definedName name="XREF_COLUMN_2" localSheetId="1" hidden="1">[1]Breakdown!#REF!</definedName>
    <definedName name="XREF_COLUMN_3" localSheetId="1" hidden="1">#REF!</definedName>
    <definedName name="XREF_COLUMN_5" localSheetId="1" hidden="1">'[2]2004'!#REF!</definedName>
    <definedName name="XRefActiveRow" localSheetId="1" hidden="1">#REF!</definedName>
    <definedName name="XRefCopy1" localSheetId="1" hidden="1">#REF!</definedName>
    <definedName name="XRefCopy1Row" localSheetId="1" hidden="1">#REF!</definedName>
    <definedName name="XRefCopy2Row" localSheetId="1" hidden="1">#REF!</definedName>
    <definedName name="XRefPaste1" localSheetId="1" hidden="1">#REF!</definedName>
    <definedName name="XRefPaste1Row" localSheetId="1" hidden="1">#REF!</definedName>
    <definedName name="XRefPaste2" localSheetId="1" hidden="1">#REF!</definedName>
    <definedName name="XRefPaste2Row" localSheetId="1" hidden="1">#REF!</definedName>
    <definedName name="XRefPaste3" localSheetId="1" hidden="1">#REF!</definedName>
    <definedName name="XRefPaste3Row" localSheetId="1" hidden="1">#REF!</definedName>
    <definedName name="发的撒发" localSheetId="1" hidden="1">{#N/A,#N/A,FALSE,"BBPREP"}</definedName>
    <definedName name="_xlnm.Print_Area" localSheetId="1">'递延所得税负债审计程序表的N3A'!$A$1:$J$22</definedName>
    <definedName name="_xlnm.Print_Area" localSheetId="2">'递延所得税负债审定表N3-1'!$A$1:$N$22</definedName>
    <definedName name="bs" localSheetId="3" hidden="1">{#N/A,#N/A,FALSE,"BBPREP"}</definedName>
    <definedName name="bs_1" localSheetId="3" hidden="1">{#N/A,#N/A,FALSE,"BBPREP"}</definedName>
    <definedName name="gg" localSheetId="3" hidden="1">{#N/A,#N/A,FALSE,"BBPREP"}</definedName>
    <definedName name="XREF_COLUMN_1" localSheetId="3" hidden="1">#REF!</definedName>
    <definedName name="XREF_COLUMN_2" localSheetId="3" hidden="1">[1]Breakdown!#REF!</definedName>
    <definedName name="XREF_COLUMN_3" localSheetId="3" hidden="1">#REF!</definedName>
    <definedName name="XREF_COLUMN_5" localSheetId="3" hidden="1">'[2]2004'!#REF!</definedName>
    <definedName name="XRefActiveRow" localSheetId="3" hidden="1">#REF!</definedName>
    <definedName name="XRefCopy1" localSheetId="3" hidden="1">#REF!</definedName>
    <definedName name="XRefCopy1Row" localSheetId="3" hidden="1">#REF!</definedName>
    <definedName name="XRefCopy2Row" localSheetId="3" hidden="1">#REF!</definedName>
    <definedName name="XRefPaste1" localSheetId="3" hidden="1">#REF!</definedName>
    <definedName name="XRefPaste1Row" localSheetId="3" hidden="1">#REF!</definedName>
    <definedName name="XRefPaste2" localSheetId="3" hidden="1">#REF!</definedName>
    <definedName name="XRefPaste2Row" localSheetId="3" hidden="1">#REF!</definedName>
    <definedName name="XRefPaste3" localSheetId="3" hidden="1">#REF!</definedName>
    <definedName name="XRefPaste3Row" localSheetId="3" hidden="1">#REF!</definedName>
    <definedName name="发的撒发" localSheetId="3" hidden="1">{#N/A,#N/A,FALSE,"BBPREP"}</definedName>
    <definedName name="_xlnm._FilterDatabase" localSheetId="3" hidden="1">'递延所得税负债明细表N3-2'!$A$10:$N$21</definedName>
    <definedName name="_xlnm.Print_Area" localSheetId="3">'递延所得税负债明细表N3-2'!$A$1:$N$29</definedName>
    <definedName name="_xlnm.Print_Area" localSheetId="4">'调整分录汇总表N3-3'!$A$1:$J$20</definedName>
  </definedNames>
  <calcPr calcId="162913" fullCalcOnLoad="1"/>
</workbook>
</file>

<file path=xl/styles.xml><?xml version="1.0" encoding="utf-8"?>
<styleSheet xmlns="http://schemas.openxmlformats.org/spreadsheetml/2006/main">
  <numFmts count="32">
    <numFmt numFmtId="164" formatCode="_ * #,##0.00_ ;_ * \-#,##0.00_ ;_ * &quot;-&quot;??_ ;_ @_ "/>
    <numFmt numFmtId="165" formatCode="_([$€-2]* #,##0.00_);_([$€-2]* \(#,##0.00\);_([$€-2]* &quot;-&quot;??_)"/>
    <numFmt numFmtId="166" formatCode="_-#,##0_-;\(#,##0\);_-\ \ &quot;-&quot;_-;_-@_-"/>
    <numFmt numFmtId="167" formatCode="_-#,##0.00_-;\(#,##0.00\);_-\ \ &quot;-&quot;_-;_-@_-"/>
    <numFmt numFmtId="168" formatCode="mmm/dd/yyyy;_-\ &quot;N/A&quot;_-;_-\ &quot;-&quot;_-"/>
    <numFmt numFmtId="169" formatCode="mmm/yyyy;_-\ &quot;N/A&quot;_-;_-\ &quot;-&quot;_-"/>
    <numFmt numFmtId="170" formatCode="_-#,##0%_-;\(#,##0%\);_-\ &quot;-&quot;_-"/>
    <numFmt numFmtId="171" formatCode="_-#,###,_-;\(#,###,\);_-\ \ &quot;-&quot;_-;_-@_-"/>
    <numFmt numFmtId="172" formatCode="_-#,###.00,_-;\(#,###.00,\);_-\ \ &quot;-&quot;_-;_-@_-"/>
    <numFmt numFmtId="173" formatCode="_-#0&quot;.&quot;0,_-;\(#0&quot;.&quot;0,\);_-\ \ &quot;-&quot;_-;_-@_-"/>
    <numFmt numFmtId="174" formatCode="_-#0&quot;.&quot;0000_-;\(#0&quot;.&quot;0000\);_-\ \ &quot;-&quot;_-;_-@_-"/>
    <numFmt numFmtId="175" formatCode="0%;\(0%\)"/>
    <numFmt numFmtId="176" formatCode="0.0%"/>
    <numFmt numFmtId="177" formatCode="\¥#,##0;\-\¥#,##0"/>
    <numFmt numFmtId="178" formatCode="&quot;$&quot;#,##0_);\(&quot;$&quot;#,##0\)"/>
    <numFmt numFmtId="179" formatCode="#,##0&quot; F&quot;_);\(#,##0&quot; F&quot;\)"/>
    <numFmt numFmtId="180" formatCode="&quot;$&quot;#,##0;[Red]&quot;$&quot;&quot;$&quot;&quot;$&quot;&quot;$&quot;&quot;$&quot;&quot;$&quot;&quot;$&quot;\-#,##0"/>
    <numFmt numFmtId="181" formatCode="#,##0.0_);\(#,##0.0\)"/>
    <numFmt numFmtId="182" formatCode="hh:mm\ AM/PM_)"/>
    <numFmt numFmtId="183" formatCode="&quot;$&quot;#,##0.00_);\(&quot;$&quot;#,##0.00\)"/>
    <numFmt numFmtId="184" formatCode=";;;"/>
    <numFmt numFmtId="185" formatCode="&quot;\&quot;#,##0;[Red]&quot;\&quot;&quot;\&quot;\-#,##0"/>
    <numFmt numFmtId="186" formatCode="&quot;\&quot;#,##0.00;[Red]&quot;\&quot;&quot;\&quot;\-#,##0.00"/>
    <numFmt numFmtId="187" formatCode="_(&quot;$&quot;* #,##0.00_);_(&quot;$&quot;* \(#,##0.00\);_(&quot;$&quot;* &quot;-&quot;??_);_(@_)"/>
    <numFmt numFmtId="188" formatCode="_-* #,##0_-;\-* #,##0_-;_-* &quot;-&quot;??_-;_-@_-"/>
    <numFmt numFmtId="189" formatCode="0.00000000000_);[Red]\(0.00000000000\)"/>
    <numFmt numFmtId="190" formatCode="&quot;\&quot;#,##0;&quot;\&quot;&quot;\&quot;\-#,##0"/>
    <numFmt numFmtId="191" formatCode="0%_);\(0%\)"/>
    <numFmt numFmtId="192" formatCode="&quot;\&quot;#,##0.00;[Red]&quot;\&quot;&quot;\&quot;&quot;\&quot;&quot;\&quot;&quot;\&quot;&quot;\&quot;\-#,##0.00"/>
    <numFmt numFmtId="193" formatCode="&quot;\&quot;#,##0.00;[Red]&quot;\&quot;\-#,##0.00"/>
    <numFmt numFmtId="194" formatCode="&quot;\&quot;#,##0;[Red]&quot;\&quot;\-#,##0"/>
    <numFmt numFmtId="195" formatCode="_ * #,##0_)\ _F_ ;_ * \(#,##0\)\ _F_ ;_ * &quot;-&quot;_)\ _F_ ;_ @_ "/>
  </numFmts>
  <fonts count="87">
    <font>
      <name val="宋体"/>
      <charset val="134"/>
      <sz val="12"/>
    </font>
    <font>
      <name val="宋体"/>
      <charset val="134"/>
      <family val="2"/>
      <color theme="1"/>
      <sz val="11"/>
      <scheme val="minor"/>
    </font>
    <font>
      <name val="宋体"/>
      <charset val="134"/>
      <family val="3"/>
      <sz val="12"/>
      <scheme val="minor"/>
    </font>
    <font>
      <name val="宋体"/>
      <charset val="134"/>
      <family val="3"/>
      <b val="1"/>
      <sz val="12"/>
      <scheme val="minor"/>
    </font>
    <font>
      <name val="宋体"/>
      <charset val="134"/>
      <family val="3"/>
      <b val="1"/>
      <sz val="14"/>
      <scheme val="minor"/>
    </font>
    <font>
      <name val="宋体"/>
      <charset val="134"/>
      <family val="3"/>
      <sz val="10"/>
      <scheme val="minor"/>
    </font>
    <font>
      <name val="宋体"/>
      <charset val="134"/>
      <family val="3"/>
      <b val="1"/>
      <color indexed="8"/>
      <sz val="10"/>
      <scheme val="minor"/>
    </font>
    <font>
      <name val="宋体"/>
      <charset val="134"/>
      <family val="3"/>
      <b val="1"/>
      <sz val="10"/>
      <scheme val="minor"/>
    </font>
    <font>
      <name val="宋体"/>
      <charset val="134"/>
      <family val="3"/>
      <b val="1"/>
      <color rgb="FFE92841"/>
      <sz val="10"/>
      <scheme val="minor"/>
    </font>
    <font>
      <name val="宋体"/>
      <charset val="134"/>
      <family val="3"/>
      <color indexed="8"/>
      <sz val="10"/>
      <scheme val="minor"/>
    </font>
    <font>
      <name val="Arial Narrow"/>
      <family val="2"/>
      <color indexed="8"/>
      <sz val="10"/>
    </font>
    <font>
      <name val="宋体"/>
      <charset val="134"/>
      <family val="3"/>
      <color rgb="FFFF0000"/>
      <sz val="10"/>
      <scheme val="minor"/>
    </font>
    <font>
      <name val="宋体"/>
      <charset val="134"/>
      <family val="3"/>
      <color indexed="12"/>
      <sz val="10"/>
      <scheme val="minor"/>
    </font>
    <font>
      <name val="Arial Narrow"/>
      <family val="2"/>
      <sz val="12"/>
    </font>
    <font>
      <name val="Arial Narrow"/>
      <family val="2"/>
      <sz val="10"/>
    </font>
    <font>
      <name val="Arial Narrow"/>
      <family val="2"/>
      <b val="1"/>
      <sz val="10"/>
    </font>
    <font>
      <name val="宋体"/>
      <charset val="134"/>
      <family val="3"/>
      <b val="1"/>
      <sz val="10"/>
    </font>
    <font>
      <name val="宋体"/>
      <charset val="134"/>
      <family val="3"/>
      <b val="1"/>
      <sz val="12"/>
    </font>
    <font>
      <name val="宋体"/>
      <charset val="134"/>
      <family val="3"/>
      <sz val="10"/>
    </font>
    <font>
      <name val="宋体"/>
      <charset val="134"/>
      <family val="3"/>
      <color rgb="FF0000FF"/>
      <sz val="10"/>
    </font>
    <font>
      <name val="宋体"/>
      <charset val="134"/>
      <family val="3"/>
      <b val="1"/>
      <sz val="9"/>
    </font>
    <font>
      <name val="宋体"/>
      <charset val="134"/>
      <family val="3"/>
      <color rgb="FFFF0000"/>
      <sz val="9"/>
    </font>
    <font>
      <name val="Arial"/>
      <family val="2"/>
      <sz val="9"/>
    </font>
    <font>
      <name val="宋体"/>
      <charset val="134"/>
      <family val="3"/>
      <b val="1"/>
      <sz val="14"/>
    </font>
    <font>
      <name val="Arial Narrow"/>
      <family val="2"/>
      <b val="1"/>
      <color indexed="8"/>
      <sz val="10"/>
    </font>
    <font>
      <name val="宋体"/>
      <charset val="134"/>
      <family val="3"/>
      <sz val="9"/>
    </font>
    <font>
      <name val="宋体"/>
      <charset val="134"/>
      <family val="3"/>
      <i val="1"/>
      <color indexed="12"/>
      <sz val="10"/>
      <u val="single"/>
    </font>
    <font>
      <name val="Arial Narrow"/>
      <family val="2"/>
      <sz val="10"/>
      <u val="single"/>
    </font>
    <font>
      <name val="宋体"/>
      <charset val="134"/>
      <family val="3"/>
      <b val="1"/>
      <color indexed="12"/>
      <sz val="10"/>
    </font>
    <font>
      <name val="宋体"/>
      <charset val="134"/>
      <family val="3"/>
      <b val="1"/>
      <color indexed="8"/>
      <sz val="10"/>
    </font>
    <font>
      <name val="Arial"/>
      <family val="2"/>
      <sz val="10"/>
    </font>
    <font>
      <name val="Arial"/>
      <family val="2"/>
      <b val="1"/>
      <sz val="10"/>
    </font>
    <font>
      <name val="宋体"/>
      <charset val="134"/>
      <family val="3"/>
      <b val="1"/>
      <color theme="1"/>
      <sz val="10"/>
    </font>
    <font>
      <name val="宋体"/>
      <charset val="134"/>
      <family val="3"/>
      <color theme="1"/>
      <sz val="10"/>
    </font>
    <font>
      <name val="Arial Narrow"/>
      <family val="2"/>
      <color theme="1"/>
      <sz val="10"/>
    </font>
    <font>
      <name val="Arial"/>
      <family val="2"/>
      <b val="1"/>
      <color indexed="10"/>
      <sz val="10"/>
    </font>
    <font>
      <name val="Times New Roman"/>
      <family val="1"/>
      <sz val="10"/>
    </font>
    <font>
      <name val="宋体"/>
      <charset val="134"/>
      <family val="3"/>
      <color theme="1"/>
      <sz val="11"/>
      <scheme val="minor"/>
    </font>
    <font>
      <name val="宋体"/>
      <charset val="134"/>
      <family val="3"/>
      <color indexed="12"/>
      <sz val="12"/>
      <u val="single"/>
    </font>
    <font>
      <name val="Arial"/>
      <family val="2"/>
      <color indexed="8"/>
      <sz val="10"/>
    </font>
    <font>
      <name val="Times New Roman"/>
      <family val="1"/>
      <sz val="10"/>
      <u val="singleAccounting"/>
      <vertAlign val="subscript"/>
    </font>
    <font>
      <name val="Times New Roman"/>
      <family val="1"/>
      <i val="1"/>
      <sz val="9"/>
    </font>
    <font>
      <name val="Tms Rmn"/>
      <family val="1"/>
      <sz val="13"/>
    </font>
    <font>
      <name val="Times New Roman"/>
      <family val="1"/>
      <sz val="12"/>
    </font>
    <font>
      <name val="Helv"/>
      <family val="2"/>
      <sz val="7"/>
    </font>
    <font>
      <name val="MS Sans Serif"/>
      <family val="2"/>
      <b val="1"/>
      <sz val="10"/>
    </font>
    <font>
      <name val="Tms Rmn"/>
      <family val="1"/>
      <b val="1"/>
      <sz val="13"/>
    </font>
    <font>
      <name val="Arial"/>
      <family val="2"/>
      <b val="1"/>
      <sz val="8"/>
    </font>
    <font>
      <name val="MS Sans Serif"/>
      <family val="2"/>
      <sz val="10"/>
    </font>
    <font>
      <name val="Times New Roman"/>
      <family val="1"/>
      <sz val="9"/>
    </font>
    <font>
      <name val="Arial"/>
      <family val="2"/>
      <sz val="8"/>
    </font>
    <font>
      <name val="Arial"/>
      <family val="2"/>
      <color indexed="36"/>
      <sz val="7.5"/>
      <u val="single"/>
    </font>
    <font>
      <name val="Arial"/>
      <family val="2"/>
      <b val="1"/>
      <sz val="12"/>
    </font>
    <font>
      <name val="Arial"/>
      <family val="2"/>
      <color indexed="12"/>
      <sz val="7.5"/>
      <u val="single"/>
    </font>
    <font>
      <name val="Small Fonts"/>
      <family val="2"/>
      <sz val="7"/>
    </font>
    <font>
      <name val="Courier"/>
      <family val="3"/>
      <sz val="10"/>
    </font>
    <font>
      <name val="MS Sans Serif"/>
      <family val="2"/>
      <color indexed="8"/>
      <sz val="10"/>
    </font>
    <font>
      <name val="Helv"/>
      <family val="2"/>
      <color indexed="10"/>
      <sz val="7"/>
    </font>
    <font>
      <name val="Century Schoolbook"/>
      <family val="1"/>
      <color indexed="16"/>
      <sz val="8"/>
    </font>
    <font>
      <name val="宋体"/>
      <charset val="134"/>
      <family val="3"/>
      <color indexed="8"/>
      <sz val="9"/>
    </font>
    <font>
      <name val="Times New Roman"/>
      <family val="1"/>
      <b val="1"/>
      <i val="1"/>
      <sz val="10"/>
    </font>
    <font>
      <name val="MS Sans Serif"/>
      <family val="2"/>
      <b val="1"/>
      <sz val="12"/>
    </font>
    <font>
      <name val="MS Sans Serif"/>
      <family val="2"/>
      <sz val="12"/>
    </font>
    <font>
      <name val="Times New Roman"/>
      <family val="1"/>
      <b val="1"/>
      <sz val="9"/>
    </font>
    <font>
      <name val="Geneva"/>
      <family val="1"/>
      <sz val="10"/>
    </font>
    <font>
      <name val="明朝"/>
      <family val="2"/>
      <sz val="11"/>
    </font>
    <font>
      <name val="柧挬"/>
      <family val="2"/>
      <sz val="14"/>
    </font>
    <font>
      <name val="Century Schoolbook"/>
      <family val="1"/>
      <sz val="8"/>
    </font>
    <font>
      <name val="宋体"/>
      <charset val="134"/>
      <family val="3"/>
      <color indexed="12"/>
      <sz val="10"/>
      <u val="single"/>
    </font>
    <font>
      <name val="官帕眉"/>
      <family val="2"/>
      <sz val="12"/>
    </font>
    <font>
      <name val="奔覆眉"/>
      <family val="2"/>
      <sz val="10"/>
    </font>
    <font>
      <name val="柧挬"/>
      <family val="2"/>
      <sz val="12"/>
    </font>
    <font>
      <name val="ＭＳ Ｐゴシック"/>
      <family val="2"/>
      <sz val="11"/>
    </font>
    <font>
      <name val="바탕체"/>
      <family val="3"/>
      <sz val="12"/>
    </font>
    <font>
      <name val="宋体"/>
      <charset val="134"/>
      <family val="3"/>
      <color indexed="10"/>
      <sz val="10"/>
    </font>
    <font>
      <name val="Arial Narrow"/>
      <family val="2"/>
      <color rgb="FFFF0000"/>
      <sz val="10"/>
    </font>
    <font>
      <name val="宋体"/>
      <charset val="134"/>
      <family val="3"/>
      <color rgb="FFFF0000"/>
      <sz val="10"/>
    </font>
    <font>
      <name val="宋体"/>
      <charset val="134"/>
      <family val="3"/>
      <sz val="9"/>
    </font>
    <font>
      <name val="宋体"/>
      <charset val="134"/>
      <family val="3"/>
      <sz val="12"/>
    </font>
    <font>
      <name val="宋体"/>
      <charset val="134"/>
      <family val="3"/>
      <sz val="11"/>
    </font>
    <font>
      <name val="宋体"/>
      <charset val="134"/>
      <family val="3"/>
      <color indexed="12"/>
      <sz val="11"/>
      <u val="single"/>
    </font>
    <font>
      <name val="Arial"/>
      <family val="2"/>
      <sz val="11"/>
    </font>
    <font>
      <name val="Arial Narrow"/>
      <family val="2"/>
      <b val="1"/>
      <sz val="12"/>
    </font>
    <font>
      <name val="宋体"/>
      <charset val="134"/>
      <family val="2"/>
      <sz val="9"/>
      <scheme val="minor"/>
    </font>
    <font>
      <name val="宋体"/>
      <charset val="134"/>
      <family val="3"/>
      <b val="1"/>
      <color indexed="81"/>
      <sz val="9"/>
    </font>
    <font>
      <name val="宋体"/>
      <charset val="134"/>
      <family val="3"/>
      <color indexed="81"/>
      <sz val="9"/>
    </font>
    <font>
      <name val="Arial Narrow"/>
      <family val="2"/>
      <color indexed="12"/>
      <sz val="10"/>
    </font>
  </fonts>
  <fills count="12">
    <fill>
      <patternFill/>
    </fill>
    <fill>
      <patternFill patternType="gray125"/>
    </fill>
    <fill>
      <patternFill patternType="solid">
        <fgColor theme="7" tint="0.7999511703848384"/>
        <bgColor indexed="64"/>
      </patternFill>
    </fill>
    <fill>
      <patternFill patternType="solid">
        <fgColor rgb="FFE4DFEC"/>
        <bgColor indexed="64"/>
      </patternFill>
    </fill>
    <fill>
      <patternFill patternType="solid">
        <fgColor rgb="FFC0C0C0"/>
        <bgColor indexed="64"/>
      </patternFill>
    </fill>
    <fill>
      <patternFill patternType="solid">
        <fgColor indexed="14"/>
        <bgColor indexed="64"/>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
      <patternFill patternType="solid">
        <fgColor theme="7" tint="0.7999816888943144"/>
        <bgColor indexed="64"/>
      </patternFill>
    </fill>
  </fills>
  <borders count="17">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right/>
      <top style="hair">
        <color auto="1"/>
      </top>
      <bottom/>
      <diagonal/>
    </border>
    <border>
      <left/>
      <right style="hair">
        <color auto="1"/>
      </right>
      <top style="hair">
        <color auto="1"/>
      </top>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bottom/>
      <diagonal/>
    </border>
    <border>
      <left style="hair">
        <color auto="1"/>
      </left>
      <right style="hair">
        <color auto="1"/>
      </right>
      <top/>
      <bottom/>
      <diagonal/>
    </border>
  </borders>
  <cellStyleXfs count="174">
    <xf numFmtId="0" fontId="0" fillId="0" borderId="0" applyProtection="1">
      <protection locked="0" hidden="0"/>
    </xf>
    <xf numFmtId="43" fontId="78" fillId="0" borderId="0"/>
    <xf numFmtId="9" fontId="78" fillId="0" borderId="0"/>
    <xf numFmtId="0" fontId="38" fillId="0" borderId="0" applyAlignment="1" applyProtection="1">
      <alignment vertical="top"/>
      <protection locked="0" hidden="0"/>
    </xf>
    <xf numFmtId="0" fontId="30" fillId="0" borderId="0"/>
    <xf numFmtId="0" fontId="30" fillId="0" borderId="0"/>
    <xf numFmtId="0" fontId="30" fillId="0" borderId="0"/>
    <xf numFmtId="0" fontId="30" fillId="0" borderId="0"/>
    <xf numFmtId="49" fontId="36" fillId="0" borderId="0" applyAlignment="1">
      <alignment horizontal="left"/>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lignment vertical="top"/>
    </xf>
    <xf numFmtId="0" fontId="39" fillId="0" borderId="0" applyAlignment="1" applyProtection="1">
      <alignment vertical="top"/>
      <protection locked="0" hidden="0"/>
    </xf>
    <xf numFmtId="0" fontId="39" fillId="0" borderId="0" applyAlignment="1">
      <alignment vertical="top"/>
    </xf>
    <xf numFmtId="0" fontId="39" fillId="0" borderId="0" applyAlignment="1">
      <alignment vertical="top"/>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lignment vertical="top"/>
    </xf>
    <xf numFmtId="0" fontId="39" fillId="0" borderId="0" applyAlignment="1">
      <alignment vertical="top"/>
    </xf>
    <xf numFmtId="0" fontId="39" fillId="0" borderId="0" applyAlignment="1" applyProtection="1">
      <alignment vertical="top"/>
      <protection locked="0" hidden="0"/>
    </xf>
    <xf numFmtId="0" fontId="39" fillId="0" borderId="0" applyAlignment="1">
      <alignment vertical="top"/>
    </xf>
    <xf numFmtId="0" fontId="39" fillId="0" borderId="0" applyAlignment="1">
      <alignment vertical="top"/>
    </xf>
    <xf numFmtId="0" fontId="39" fillId="0" borderId="0" applyAlignment="1">
      <alignment vertical="top"/>
    </xf>
    <xf numFmtId="0" fontId="39" fillId="0" borderId="0" applyAlignment="1">
      <alignment vertical="top"/>
    </xf>
    <xf numFmtId="0" fontId="39" fillId="0" borderId="0" applyAlignment="1" applyProtection="1">
      <alignment vertical="top"/>
      <protection locked="0" hidden="0"/>
    </xf>
    <xf numFmtId="0" fontId="39" fillId="0" borderId="0" applyAlignment="1">
      <alignment vertical="top"/>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lignment vertical="top"/>
    </xf>
    <xf numFmtId="0" fontId="39" fillId="0" borderId="0" applyAlignment="1">
      <alignment vertical="top"/>
    </xf>
    <xf numFmtId="0" fontId="39" fillId="0" borderId="0" applyAlignment="1">
      <alignment vertical="top"/>
    </xf>
    <xf numFmtId="0" fontId="39" fillId="0" borderId="0" applyAlignment="1">
      <alignment vertical="top"/>
    </xf>
    <xf numFmtId="0" fontId="39" fillId="0" borderId="0" applyAlignment="1">
      <alignment vertical="top"/>
    </xf>
    <xf numFmtId="0" fontId="39" fillId="0" borderId="0" applyAlignment="1">
      <alignment vertical="top"/>
    </xf>
    <xf numFmtId="0" fontId="39" fillId="0" borderId="0" applyAlignment="1" applyProtection="1">
      <alignment vertical="top"/>
      <protection locked="0" hidden="0"/>
    </xf>
    <xf numFmtId="0" fontId="39" fillId="0" borderId="0" applyAlignment="1" applyProtection="1">
      <alignment vertical="top"/>
      <protection locked="0" hidden="0"/>
    </xf>
    <xf numFmtId="0" fontId="39" fillId="0" borderId="0" applyAlignment="1">
      <alignment vertical="top"/>
    </xf>
    <xf numFmtId="0" fontId="39" fillId="0" borderId="0" applyAlignment="1">
      <alignment vertical="top"/>
    </xf>
    <xf numFmtId="0" fontId="39" fillId="0" borderId="0" applyAlignment="1" applyProtection="1">
      <alignment vertical="top"/>
      <protection locked="0" hidden="0"/>
    </xf>
    <xf numFmtId="0" fontId="39" fillId="0" borderId="0" applyAlignment="1">
      <alignment vertical="top"/>
    </xf>
    <xf numFmtId="166" fontId="36" fillId="0" borderId="0" applyAlignment="1">
      <alignment horizontal="right"/>
    </xf>
    <xf numFmtId="167" fontId="36" fillId="0" borderId="0" applyAlignment="1">
      <alignment horizontal="right"/>
    </xf>
    <xf numFmtId="168" fontId="40" fillId="0" borderId="0" applyAlignment="1">
      <alignment horizontal="center"/>
    </xf>
    <xf numFmtId="169" fontId="40" fillId="0" borderId="0" applyAlignment="1">
      <alignment horizontal="center"/>
    </xf>
    <xf numFmtId="170" fontId="41" fillId="0" borderId="0" applyAlignment="1">
      <alignment horizontal="right"/>
    </xf>
    <xf numFmtId="171" fontId="36" fillId="0" borderId="0" applyAlignment="1">
      <alignment horizontal="right"/>
    </xf>
    <xf numFmtId="172" fontId="36" fillId="0" borderId="0" applyAlignment="1">
      <alignment horizontal="right"/>
    </xf>
    <xf numFmtId="173" fontId="36" fillId="0" borderId="0" applyAlignment="1">
      <alignment horizontal="right"/>
    </xf>
    <xf numFmtId="174" fontId="36" fillId="0" borderId="0" applyAlignment="1">
      <alignment horizontal="right"/>
    </xf>
    <xf numFmtId="175" fontId="42" fillId="0" borderId="0"/>
    <xf numFmtId="0" fontId="43" fillId="0" borderId="0"/>
    <xf numFmtId="176" fontId="42" fillId="0" borderId="0"/>
    <xf numFmtId="10" fontId="42" fillId="0" borderId="0"/>
    <xf numFmtId="177" fontId="78" fillId="0" borderId="0"/>
    <xf numFmtId="3" fontId="44" fillId="0" borderId="0"/>
    <xf numFmtId="178" fontId="45" fillId="0" borderId="5"/>
    <xf numFmtId="179" fontId="78" fillId="0" borderId="0"/>
    <xf numFmtId="0" fontId="46" fillId="0" borderId="6" applyAlignment="1">
      <alignment horizontal="center"/>
    </xf>
    <xf numFmtId="0" fontId="47" fillId="0" borderId="7" applyAlignment="1">
      <alignment horizontal="center"/>
    </xf>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180" fontId="30" fillId="0" borderId="0"/>
    <xf numFmtId="38" fontId="48" fillId="0" borderId="0"/>
    <xf numFmtId="37" fontId="42" fillId="0" borderId="0"/>
    <xf numFmtId="181" fontId="42" fillId="0" borderId="0"/>
    <xf numFmtId="39" fontId="42" fillId="0" borderId="0"/>
    <xf numFmtId="40" fontId="48" fillId="0" borderId="0"/>
    <xf numFmtId="182" fontId="78" fillId="0" borderId="0"/>
    <xf numFmtId="178" fontId="42" fillId="0" borderId="0"/>
    <xf numFmtId="183" fontId="42" fillId="0" borderId="0"/>
    <xf numFmtId="184" fontId="78" fillId="0" borderId="0"/>
    <xf numFmtId="41" fontId="30" fillId="0" borderId="0"/>
    <xf numFmtId="43" fontId="30" fillId="0" borderId="0"/>
    <xf numFmtId="0" fontId="49" fillId="0" borderId="0" applyAlignment="1">
      <alignment horizontal="left"/>
    </xf>
    <xf numFmtId="0" fontId="50" fillId="6" borderId="4"/>
    <xf numFmtId="165" fontId="36" fillId="0" borderId="0"/>
    <xf numFmtId="0" fontId="51" fillId="0" borderId="0" applyAlignment="1" applyProtection="1">
      <alignment vertical="top"/>
      <protection locked="0" hidden="0"/>
    </xf>
    <xf numFmtId="38" fontId="50" fillId="7" borderId="0"/>
    <xf numFmtId="0" fontId="52" fillId="0" borderId="8" applyAlignment="1">
      <alignment horizontal="left" vertical="center"/>
    </xf>
    <xf numFmtId="0" fontId="52" fillId="0" borderId="9" applyAlignment="1">
      <alignment horizontal="left" vertical="center"/>
    </xf>
    <xf numFmtId="14" fontId="31" fillId="8" borderId="10" applyAlignment="1">
      <alignment horizontal="center" vertical="center" wrapText="1"/>
    </xf>
    <xf numFmtId="0" fontId="53" fillId="0" borderId="0" applyAlignment="1" applyProtection="1">
      <alignment vertical="top"/>
      <protection locked="0" hidden="0"/>
    </xf>
    <xf numFmtId="10" fontId="50" fillId="9" borderId="4"/>
    <xf numFmtId="0" fontId="36" fillId="0" borderId="0" applyAlignment="1">
      <alignment horizontal="left" vertical="center"/>
    </xf>
    <xf numFmtId="41" fontId="30" fillId="0" borderId="0"/>
    <xf numFmtId="43" fontId="30" fillId="0" borderId="0"/>
    <xf numFmtId="185" fontId="78" fillId="0" borderId="0"/>
    <xf numFmtId="186" fontId="78" fillId="0" borderId="0"/>
    <xf numFmtId="42" fontId="30" fillId="0" borderId="0"/>
    <xf numFmtId="187" fontId="30" fillId="0" borderId="0"/>
    <xf numFmtId="188" fontId="30" fillId="0" borderId="0"/>
    <xf numFmtId="189" fontId="78" fillId="0" borderId="0"/>
    <xf numFmtId="37" fontId="54" fillId="0" borderId="0"/>
    <xf numFmtId="0" fontId="55" fillId="0" borderId="0"/>
    <xf numFmtId="190" fontId="78" fillId="0" borderId="0"/>
    <xf numFmtId="0" fontId="18" fillId="0" borderId="0" applyAlignment="1">
      <alignment vertical="center"/>
    </xf>
    <xf numFmtId="0" fontId="48" fillId="0" borderId="0"/>
    <xf numFmtId="0" fontId="56" fillId="0" borderId="0"/>
    <xf numFmtId="191" fontId="30" fillId="0" borderId="0"/>
    <xf numFmtId="10" fontId="30" fillId="0" borderId="0"/>
    <xf numFmtId="0" fontId="50" fillId="7" borderId="4"/>
    <xf numFmtId="4" fontId="49" fillId="0" borderId="0" applyAlignment="1">
      <alignment horizontal="right"/>
    </xf>
    <xf numFmtId="3" fontId="57" fillId="0" borderId="0"/>
    <xf numFmtId="4" fontId="58" fillId="0" borderId="0" applyAlignment="1">
      <alignment horizontal="right"/>
    </xf>
    <xf numFmtId="41" fontId="36" fillId="0" borderId="0"/>
    <xf numFmtId="0" fontId="59" fillId="10" borderId="0" applyAlignment="1">
      <alignment horizontal="left" vertical="center"/>
    </xf>
    <xf numFmtId="0" fontId="59" fillId="10" borderId="0" applyAlignment="1">
      <alignment horizontal="right" vertical="center"/>
    </xf>
    <xf numFmtId="0" fontId="60" fillId="0" borderId="0" applyAlignment="1">
      <alignment horizontal="left"/>
    </xf>
    <xf numFmtId="0" fontId="61" fillId="0" borderId="4" applyAlignment="1">
      <alignment horizontal="center"/>
    </xf>
    <xf numFmtId="0" fontId="61" fillId="0" borderId="0" applyAlignment="1">
      <alignment horizontal="center" vertical="center"/>
    </xf>
    <xf numFmtId="0" fontId="62" fillId="0" borderId="0" applyAlignment="1">
      <alignment horizontal="left" vertical="center"/>
    </xf>
    <xf numFmtId="0" fontId="35" fillId="0" borderId="0" applyAlignment="1">
      <alignment horizontal="left" vertical="top"/>
    </xf>
    <xf numFmtId="0" fontId="63" fillId="0" borderId="0" applyAlignment="1">
      <alignment horizontal="center"/>
    </xf>
    <xf numFmtId="0" fontId="64" fillId="0" borderId="0" applyAlignment="1">
      <alignment horizontal="center" vertical="center" wrapText="1"/>
    </xf>
    <xf numFmtId="9" fontId="65" fillId="0" borderId="0"/>
    <xf numFmtId="0" fontId="14" fillId="0" borderId="0"/>
    <xf numFmtId="9" fontId="43" fillId="0" borderId="0"/>
    <xf numFmtId="9" fontId="78" fillId="0" borderId="0"/>
    <xf numFmtId="0" fontId="66" fillId="0" borderId="0"/>
    <xf numFmtId="0" fontId="66" fillId="0" borderId="0"/>
    <xf numFmtId="4" fontId="67" fillId="0" borderId="0" applyAlignment="1">
      <alignment horizontal="right"/>
    </xf>
    <xf numFmtId="165" fontId="37" fillId="0" borderId="0" applyAlignment="1">
      <alignment vertical="center"/>
    </xf>
    <xf numFmtId="0" fontId="78" fillId="0" borderId="0" applyAlignment="1" applyProtection="1">
      <alignment vertical="center"/>
      <protection locked="0" hidden="0"/>
    </xf>
    <xf numFmtId="0" fontId="78" fillId="0" borderId="0" applyProtection="1">
      <protection locked="0" hidden="0"/>
    </xf>
    <xf numFmtId="0" fontId="78" fillId="0" borderId="0" applyProtection="1">
      <protection locked="0" hidden="0"/>
    </xf>
    <xf numFmtId="165" fontId="37" fillId="0" borderId="0" applyAlignment="1">
      <alignment vertical="center"/>
    </xf>
    <xf numFmtId="165" fontId="78" fillId="0" borderId="0"/>
    <xf numFmtId="165" fontId="37" fillId="0" borderId="0" applyAlignment="1">
      <alignment vertical="center"/>
    </xf>
    <xf numFmtId="0" fontId="78" fillId="0" borderId="0"/>
    <xf numFmtId="0" fontId="78" fillId="0" borderId="0" applyAlignment="1">
      <alignment vertical="center"/>
    </xf>
    <xf numFmtId="0" fontId="43" fillId="0" borderId="0"/>
    <xf numFmtId="0" fontId="78" fillId="0" borderId="0"/>
    <xf numFmtId="0" fontId="78" fillId="0" borderId="0"/>
    <xf numFmtId="0" fontId="78" fillId="0" borderId="0"/>
    <xf numFmtId="0" fontId="78" fillId="0" borderId="0" applyAlignment="1">
      <alignment vertical="center"/>
    </xf>
    <xf numFmtId="0" fontId="68" fillId="0" borderId="0" applyAlignment="1" applyProtection="1">
      <alignment vertical="top"/>
      <protection locked="0" hidden="0"/>
    </xf>
    <xf numFmtId="0" fontId="38" fillId="0" borderId="0" applyAlignment="1" applyProtection="1">
      <alignment vertical="top"/>
      <protection locked="0" hidden="0"/>
    </xf>
    <xf numFmtId="0" fontId="45" fillId="0" borderId="0"/>
    <xf numFmtId="4" fontId="64" fillId="0" borderId="0"/>
    <xf numFmtId="41" fontId="30" fillId="0" borderId="0"/>
    <xf numFmtId="185" fontId="30" fillId="0" borderId="0"/>
    <xf numFmtId="192" fontId="30" fillId="0" borderId="0"/>
    <xf numFmtId="193" fontId="69" fillId="0" borderId="0"/>
    <xf numFmtId="194" fontId="69" fillId="0" borderId="0"/>
    <xf numFmtId="0" fontId="36" fillId="0" borderId="0"/>
    <xf numFmtId="0" fontId="36" fillId="0" borderId="0"/>
    <xf numFmtId="0" fontId="36" fillId="0" borderId="0"/>
    <xf numFmtId="41" fontId="78" fillId="0" borderId="0"/>
    <xf numFmtId="43" fontId="78" fillId="0" borderId="0"/>
    <xf numFmtId="0" fontId="70" fillId="0" borderId="0"/>
    <xf numFmtId="187" fontId="30" fillId="0" borderId="0"/>
    <xf numFmtId="195" fontId="78" fillId="0" borderId="0"/>
    <xf numFmtId="0" fontId="39" fillId="0" borderId="0" applyAlignment="1" applyProtection="1">
      <alignment vertical="top"/>
      <protection locked="0" hidden="0"/>
    </xf>
    <xf numFmtId="0" fontId="71" fillId="0" borderId="0"/>
    <xf numFmtId="40" fontId="66" fillId="0" borderId="0"/>
    <xf numFmtId="38" fontId="66" fillId="0" borderId="0"/>
    <xf numFmtId="38" fontId="72" fillId="0" borderId="0"/>
    <xf numFmtId="40" fontId="72" fillId="0" borderId="0"/>
    <xf numFmtId="0" fontId="72" fillId="0" borderId="0"/>
    <xf numFmtId="0" fontId="72" fillId="0" borderId="0"/>
    <xf numFmtId="0" fontId="73" fillId="0" borderId="0"/>
    <xf numFmtId="165" fontId="1" fillId="0" borderId="0" applyAlignment="1">
      <alignment vertical="center"/>
    </xf>
  </cellStyleXfs>
  <cellXfs count="209">
    <xf numFmtId="0" fontId="0" fillId="0" borderId="0" applyProtection="1" pivotButton="0" quotePrefix="0" xfId="0">
      <protection locked="0" hidden="0"/>
    </xf>
    <xf numFmtId="0" fontId="2" fillId="0" borderId="0" applyAlignment="1" applyProtection="1" pivotButton="0" quotePrefix="0" xfId="0">
      <alignment vertical="center"/>
      <protection locked="0" hidden="0"/>
    </xf>
    <xf numFmtId="0" fontId="5" fillId="0" borderId="0" applyAlignment="1" pivotButton="0" quotePrefix="0" xfId="145">
      <alignment vertical="center"/>
    </xf>
    <xf numFmtId="0" fontId="5" fillId="0" borderId="0" applyAlignment="1" pivotButton="0" quotePrefix="0" xfId="145">
      <alignment horizontal="left" vertical="center"/>
    </xf>
    <xf numFmtId="0" fontId="6" fillId="2" borderId="1" applyAlignment="1" pivotButton="0" quotePrefix="0" xfId="135">
      <alignment horizontal="center" vertical="center" wrapText="1"/>
    </xf>
    <xf numFmtId="0" fontId="7" fillId="2" borderId="1" applyAlignment="1" applyProtection="1" pivotButton="0" quotePrefix="0" xfId="138">
      <alignment horizontal="center" vertical="center" wrapText="1"/>
      <protection locked="0" hidden="0"/>
    </xf>
    <xf numFmtId="0" fontId="8" fillId="2" borderId="1" applyAlignment="1" applyProtection="1" pivotButton="0" quotePrefix="0" xfId="138">
      <alignment horizontal="center" vertical="center" wrapText="1"/>
      <protection locked="0" hidden="0"/>
    </xf>
    <xf numFmtId="0" fontId="9" fillId="0" borderId="1" applyAlignment="1" pivotButton="0" quotePrefix="0" xfId="135">
      <alignment vertical="center"/>
    </xf>
    <xf numFmtId="164" fontId="10" fillId="0" borderId="1" applyAlignment="1" pivotButton="0" quotePrefix="0" xfId="135">
      <alignment vertical="center"/>
    </xf>
    <xf numFmtId="0" fontId="5" fillId="0" borderId="1" applyAlignment="1" pivotButton="0" quotePrefix="0" xfId="135">
      <alignment vertical="center"/>
    </xf>
    <xf numFmtId="0" fontId="11" fillId="0" borderId="1" applyAlignment="1" pivotButton="0" quotePrefix="0" xfId="135">
      <alignment horizontal="left" vertical="center"/>
    </xf>
    <xf numFmtId="0" fontId="6" fillId="0" borderId="1" applyAlignment="1" pivotButton="0" quotePrefix="0" xfId="135">
      <alignment horizontal="center" vertical="center"/>
    </xf>
    <xf numFmtId="0" fontId="12" fillId="0" borderId="0" applyAlignment="1" applyProtection="1" pivotButton="0" quotePrefix="0" xfId="135">
      <alignment vertical="center"/>
      <protection locked="0" hidden="0"/>
    </xf>
    <xf numFmtId="0" fontId="2" fillId="0" borderId="0" applyAlignment="1" applyProtection="1" pivotButton="0" quotePrefix="0" xfId="135">
      <alignment vertical="center" wrapText="1"/>
      <protection locked="0" hidden="0"/>
    </xf>
    <xf numFmtId="0" fontId="2" fillId="0" borderId="0" applyAlignment="1" applyProtection="1" pivotButton="0" quotePrefix="0" xfId="135">
      <alignment vertical="center"/>
      <protection locked="0" hidden="0"/>
    </xf>
    <xf numFmtId="0" fontId="5" fillId="0" borderId="0" applyAlignment="1" pivotButton="0" quotePrefix="0" xfId="145">
      <alignment horizontal="right" vertical="center"/>
    </xf>
    <xf numFmtId="0" fontId="10" fillId="0" borderId="1" applyAlignment="1" pivotButton="0" quotePrefix="0" xfId="135">
      <alignment vertical="center"/>
    </xf>
    <xf numFmtId="0" fontId="14" fillId="0" borderId="0"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6" fillId="0" borderId="0" applyAlignment="1" applyProtection="1" pivotButton="0" quotePrefix="0" xfId="0">
      <alignment vertical="center"/>
      <protection locked="0" hidden="0"/>
    </xf>
    <xf numFmtId="0" fontId="14" fillId="0" borderId="0" applyAlignment="1" pivotButton="0" quotePrefix="0" xfId="146">
      <alignment vertical="center"/>
    </xf>
    <xf numFmtId="0" fontId="78" fillId="0" borderId="0" applyProtection="1" pivotButton="0" quotePrefix="0" xfId="135">
      <protection locked="0" hidden="0"/>
    </xf>
    <xf numFmtId="0" fontId="5" fillId="0" borderId="0" applyAlignment="1" applyProtection="1" pivotButton="0" quotePrefix="0" xfId="135">
      <alignment vertical="center"/>
      <protection locked="0" hidden="0"/>
    </xf>
    <xf numFmtId="0" fontId="5" fillId="0" borderId="0" applyAlignment="1" pivotButton="0" quotePrefix="0" xfId="146">
      <alignment vertical="center"/>
    </xf>
    <xf numFmtId="0" fontId="5" fillId="0" borderId="0" applyProtection="1" pivotButton="0" quotePrefix="0" xfId="135">
      <protection locked="0" hidden="0"/>
    </xf>
    <xf numFmtId="0" fontId="16" fillId="0" borderId="0" applyAlignment="1" applyProtection="1" pivotButton="0" quotePrefix="0" xfId="135">
      <alignment vertical="center"/>
      <protection locked="0" hidden="0"/>
    </xf>
    <xf numFmtId="0" fontId="14" fillId="0" borderId="0" applyAlignment="1" applyProtection="1" pivotButton="0" quotePrefix="0" xfId="135">
      <alignment vertical="center"/>
      <protection locked="0" hidden="0"/>
    </xf>
    <xf numFmtId="0" fontId="18" fillId="0" borderId="0" applyAlignment="1" applyProtection="1" pivotButton="0" quotePrefix="0" xfId="135">
      <alignment vertical="center"/>
      <protection locked="0" hidden="0"/>
    </xf>
    <xf numFmtId="0" fontId="19" fillId="0" borderId="0" applyAlignment="1" pivotButton="0" quotePrefix="0" xfId="135">
      <alignment vertical="center"/>
    </xf>
    <xf numFmtId="0" fontId="20" fillId="3" borderId="1" applyAlignment="1" pivotButton="0" quotePrefix="0" xfId="143">
      <alignment horizontal="center" vertical="center" wrapText="1"/>
    </xf>
    <xf numFmtId="165" fontId="15" fillId="2" borderId="1" applyAlignment="1" applyProtection="1" pivotButton="0" quotePrefix="0" xfId="137">
      <alignment horizontal="center" vertical="center" wrapText="1"/>
      <protection locked="0" hidden="0"/>
    </xf>
    <xf numFmtId="0" fontId="21" fillId="0" borderId="1" applyAlignment="1" pivotButton="0" quotePrefix="0" xfId="140">
      <alignment horizontal="left" vertical="center"/>
    </xf>
    <xf numFmtId="164" fontId="22" fillId="0" borderId="1" applyAlignment="1" applyProtection="1" pivotButton="0" quotePrefix="0" xfId="1">
      <alignment vertical="center"/>
      <protection locked="0" hidden="0"/>
    </xf>
    <xf numFmtId="164" fontId="22" fillId="0" borderId="1" applyAlignment="1" applyProtection="1" pivotButton="0" quotePrefix="0" xfId="1">
      <alignment horizontal="center" vertical="center"/>
      <protection locked="0" hidden="0"/>
    </xf>
    <xf numFmtId="164" fontId="22" fillId="3" borderId="1" applyAlignment="1" pivotButton="0" quotePrefix="0" xfId="1">
      <alignment vertical="center"/>
    </xf>
    <xf numFmtId="0" fontId="21" fillId="0" borderId="1" applyAlignment="1" pivotButton="0" quotePrefix="0" xfId="140">
      <alignment vertical="center"/>
    </xf>
    <xf numFmtId="0" fontId="21" fillId="0" borderId="1" applyAlignment="1" pivotButton="0" quotePrefix="0" xfId="144">
      <alignment horizontal="left" vertical="center"/>
    </xf>
    <xf numFmtId="0" fontId="21" fillId="0" borderId="1" applyAlignment="1" applyProtection="1" pivotButton="0" quotePrefix="0" xfId="143">
      <alignment vertical="center"/>
      <protection locked="0" hidden="0"/>
    </xf>
    <xf numFmtId="164" fontId="22" fillId="3" borderId="1" applyAlignment="1" applyProtection="1" pivotButton="0" quotePrefix="0" xfId="1">
      <alignment vertical="center"/>
      <protection locked="0" hidden="0"/>
    </xf>
    <xf numFmtId="164" fontId="22" fillId="3" borderId="1" applyAlignment="1" applyProtection="1" pivotButton="0" quotePrefix="0" xfId="1">
      <alignment horizontal="center" vertical="center"/>
      <protection locked="0" hidden="0"/>
    </xf>
    <xf numFmtId="0" fontId="21" fillId="0" borderId="1" applyAlignment="1" pivotButton="0" quotePrefix="0" xfId="143">
      <alignment horizontal="center" vertical="center"/>
    </xf>
    <xf numFmtId="0" fontId="19" fillId="4" borderId="0" applyAlignment="1" pivotButton="0" quotePrefix="0" xfId="144">
      <alignment horizontal="left" vertical="center"/>
    </xf>
    <xf numFmtId="0" fontId="19" fillId="4" borderId="0" applyAlignment="1" pivotButton="0" quotePrefix="0" xfId="140">
      <alignment vertical="center"/>
    </xf>
    <xf numFmtId="0" fontId="5" fillId="0" borderId="0" applyAlignment="1" applyProtection="1" pivotButton="0" quotePrefix="0" xfId="135">
      <alignment horizontal="right" vertical="center"/>
      <protection locked="0" hidden="0"/>
    </xf>
    <xf numFmtId="0" fontId="20" fillId="3" borderId="1" applyAlignment="1" pivotButton="0" quotePrefix="0" xfId="107">
      <alignment horizontal="center" vertical="center" wrapText="1"/>
    </xf>
    <xf numFmtId="164" fontId="22" fillId="3" borderId="1" applyAlignment="1" pivotButton="0" quotePrefix="0" xfId="107">
      <alignment vertical="center"/>
    </xf>
    <xf numFmtId="164" fontId="13" fillId="0" borderId="0" applyAlignment="1" pivotButton="0" quotePrefix="0" xfId="145">
      <alignment vertical="center"/>
    </xf>
    <xf numFmtId="164" fontId="15" fillId="0" borderId="0" applyAlignment="1" pivotButton="0" quotePrefix="0" xfId="145">
      <alignment vertical="center"/>
    </xf>
    <xf numFmtId="164" fontId="14" fillId="0" borderId="0" applyAlignment="1" pivotButton="0" quotePrefix="0" xfId="145">
      <alignment vertical="center"/>
    </xf>
    <xf numFmtId="164" fontId="14" fillId="0" borderId="0" applyAlignment="1" pivotButton="0" quotePrefix="0" xfId="145">
      <alignment vertical="center"/>
    </xf>
    <xf numFmtId="164" fontId="5" fillId="0" borderId="0" applyAlignment="1" pivotButton="0" quotePrefix="0" xfId="145">
      <alignment vertical="center"/>
    </xf>
    <xf numFmtId="164" fontId="5" fillId="0" borderId="0" applyAlignment="1" pivotButton="0" quotePrefix="0" xfId="145">
      <alignment horizontal="left" vertical="center"/>
    </xf>
    <xf numFmtId="49" fontId="5" fillId="0" borderId="0" applyAlignment="1" pivotButton="0" quotePrefix="0" xfId="145">
      <alignment vertical="center"/>
    </xf>
    <xf numFmtId="0" fontId="25" fillId="3" borderId="1" applyAlignment="1" pivotButton="0" quotePrefix="0" xfId="140">
      <alignment horizontal="left" vertical="center"/>
    </xf>
    <xf numFmtId="164" fontId="14" fillId="3" borderId="1" applyAlignment="1" pivotButton="0" quotePrefix="0" xfId="1">
      <alignment horizontal="center" vertical="center"/>
    </xf>
    <xf numFmtId="164" fontId="16" fillId="2" borderId="1" applyAlignment="1" pivotButton="0" quotePrefix="0" xfId="1">
      <alignment horizontal="center" vertical="center"/>
    </xf>
    <xf numFmtId="164" fontId="15" fillId="3" borderId="1" applyAlignment="1" pivotButton="0" quotePrefix="0" xfId="1">
      <alignment horizontal="center" vertical="center"/>
    </xf>
    <xf numFmtId="164" fontId="16" fillId="0" borderId="0" applyAlignment="1" pivotButton="0" quotePrefix="0" xfId="1">
      <alignment horizontal="center" vertical="center"/>
    </xf>
    <xf numFmtId="164" fontId="15" fillId="0" borderId="0" applyAlignment="1" pivotButton="0" quotePrefix="0" xfId="1">
      <alignment horizontal="center" vertical="center"/>
    </xf>
    <xf numFmtId="164" fontId="15" fillId="3" borderId="0" applyAlignment="1" pivotButton="0" quotePrefix="0" xfId="1">
      <alignment horizontal="center" vertical="center"/>
    </xf>
    <xf numFmtId="164" fontId="15" fillId="0" borderId="0" applyAlignment="1" pivotButton="0" quotePrefix="0" xfId="145">
      <alignment horizontal="left" vertical="center"/>
    </xf>
    <xf numFmtId="164" fontId="14" fillId="0" borderId="0" applyAlignment="1" pivotButton="0" quotePrefix="0" xfId="145">
      <alignment horizontal="left" vertical="center"/>
    </xf>
    <xf numFmtId="164" fontId="26" fillId="0" borderId="0" applyAlignment="1" pivotButton="0" quotePrefix="0" xfId="3">
      <alignment horizontal="center" vertical="center"/>
    </xf>
    <xf numFmtId="0" fontId="18" fillId="0" borderId="0" applyAlignment="1" pivotButton="0" quotePrefix="0" xfId="142">
      <alignment vertical="center"/>
    </xf>
    <xf numFmtId="0" fontId="14" fillId="0" borderId="0" applyAlignment="1" pivotButton="0" quotePrefix="0" xfId="142">
      <alignment vertical="center"/>
    </xf>
    <xf numFmtId="0" fontId="18" fillId="0" borderId="0" applyAlignment="1" pivotButton="0" quotePrefix="0" xfId="142">
      <alignment horizontal="left" vertical="center"/>
    </xf>
    <xf numFmtId="0" fontId="14" fillId="0" borderId="0" applyAlignment="1" pivotButton="0" quotePrefix="0" xfId="142">
      <alignment horizontal="left" vertical="center"/>
    </xf>
    <xf numFmtId="0" fontId="16" fillId="0" borderId="0" applyAlignment="1" pivotButton="0" quotePrefix="0" xfId="142">
      <alignment vertical="center"/>
    </xf>
    <xf numFmtId="164" fontId="28" fillId="0" borderId="0" applyAlignment="1" pivotButton="0" quotePrefix="0" xfId="145">
      <alignment vertical="center"/>
    </xf>
    <xf numFmtId="14" fontId="5" fillId="0" borderId="0" applyAlignment="1" pivotButton="0" quotePrefix="0" xfId="145">
      <alignment vertical="center"/>
    </xf>
    <xf numFmtId="164" fontId="5" fillId="0" borderId="0" applyAlignment="1" pivotButton="0" quotePrefix="0" xfId="145">
      <alignment horizontal="right" vertical="center"/>
    </xf>
    <xf numFmtId="0" fontId="14" fillId="0" borderId="0" applyAlignment="1" pivotButton="0" quotePrefix="0" xfId="145">
      <alignment horizontal="center" vertical="center"/>
    </xf>
    <xf numFmtId="165" fontId="24" fillId="2" borderId="1" applyAlignment="1" applyProtection="1" pivotButton="0" quotePrefix="0" xfId="136">
      <alignment horizontal="center" vertical="center" wrapText="1"/>
      <protection locked="0" hidden="0"/>
    </xf>
    <xf numFmtId="165" fontId="15" fillId="2" borderId="1" applyAlignment="1" applyProtection="1" pivotButton="0" quotePrefix="0" xfId="136">
      <alignment horizontal="center" vertical="center"/>
      <protection locked="0" hidden="0"/>
    </xf>
    <xf numFmtId="0" fontId="15" fillId="2" borderId="1" applyAlignment="1" applyProtection="1" pivotButton="0" quotePrefix="0" xfId="136">
      <alignment horizontal="center" vertical="center"/>
      <protection locked="0" hidden="0"/>
    </xf>
    <xf numFmtId="164" fontId="14" fillId="3" borderId="1" applyAlignment="1" pivotButton="0" quotePrefix="0" xfId="1">
      <alignment horizontal="right" vertical="center" wrapText="1"/>
    </xf>
    <xf numFmtId="10" fontId="14" fillId="3" borderId="1" applyAlignment="1" pivotButton="0" quotePrefix="0" xfId="2">
      <alignment horizontal="right" vertical="center" wrapText="1"/>
    </xf>
    <xf numFmtId="0" fontId="10" fillId="0" borderId="1" applyAlignment="1" pivotButton="0" quotePrefix="0" xfId="0">
      <alignment vertical="center"/>
    </xf>
    <xf numFmtId="164" fontId="14" fillId="0" borderId="1" applyAlignment="1" pivotButton="0" quotePrefix="0" xfId="1">
      <alignment horizontal="centerContinuous" vertical="center" shrinkToFit="1"/>
    </xf>
    <xf numFmtId="164" fontId="14" fillId="0" borderId="0" applyAlignment="1" pivotButton="0" quotePrefix="0" xfId="1">
      <alignment horizontal="right" vertical="center" wrapText="1"/>
    </xf>
    <xf numFmtId="10" fontId="14" fillId="0" borderId="0" applyAlignment="1" pivotButton="0" quotePrefix="0" xfId="2">
      <alignment horizontal="right" vertical="center" wrapText="1"/>
    </xf>
    <xf numFmtId="164" fontId="14" fillId="0" borderId="0" applyAlignment="1" pivotButton="0" quotePrefix="0" xfId="1">
      <alignment horizontal="centerContinuous" vertical="center" shrinkToFit="1"/>
    </xf>
    <xf numFmtId="0" fontId="30" fillId="0" borderId="0" applyAlignment="1" applyProtection="1" pivotButton="0" quotePrefix="0" xfId="0">
      <alignment vertical="center"/>
      <protection locked="0" hidden="0"/>
    </xf>
    <xf numFmtId="0" fontId="31" fillId="0" borderId="0" applyAlignment="1" applyProtection="1" pivotButton="0" quotePrefix="0" xfId="0">
      <alignment horizontal="justify" vertical="center"/>
      <protection locked="0" hidden="0"/>
    </xf>
    <xf numFmtId="0" fontId="33" fillId="0" borderId="0" applyAlignment="1" applyProtection="1" pivotButton="0" quotePrefix="0" xfId="135">
      <alignment vertical="center"/>
      <protection locked="0" hidden="0"/>
    </xf>
    <xf numFmtId="0" fontId="16" fillId="0" borderId="0" applyAlignment="1" applyProtection="1" pivotButton="0" quotePrefix="0" xfId="135">
      <alignment horizontal="left" vertical="center"/>
      <protection locked="0" hidden="0"/>
    </xf>
    <xf numFmtId="0" fontId="18" fillId="0" borderId="0" applyAlignment="1" pivotButton="0" quotePrefix="0" xfId="146">
      <alignment vertical="center"/>
    </xf>
    <xf numFmtId="0" fontId="33" fillId="0" borderId="0" applyAlignment="1" pivotButton="0" quotePrefix="0" xfId="146">
      <alignment vertical="center"/>
    </xf>
    <xf numFmtId="0" fontId="18" fillId="0" borderId="0" applyAlignment="1" applyProtection="1" pivotButton="0" quotePrefix="0" xfId="135">
      <alignment vertical="center"/>
      <protection locked="0" hidden="0"/>
    </xf>
    <xf numFmtId="0" fontId="18" fillId="0" borderId="0" applyAlignment="1" applyProtection="1" pivotButton="0" quotePrefix="0" xfId="135">
      <alignment vertical="center" wrapText="1"/>
      <protection locked="0" hidden="0"/>
    </xf>
    <xf numFmtId="49" fontId="16" fillId="0" borderId="0" applyAlignment="1" applyProtection="1" pivotButton="0" quotePrefix="0" xfId="135">
      <alignment horizontal="left" vertical="center"/>
      <protection locked="0" hidden="0"/>
    </xf>
    <xf numFmtId="0" fontId="16" fillId="0" borderId="0" applyAlignment="1" applyProtection="1" pivotButton="0" quotePrefix="0" xfId="135">
      <alignment horizontal="justify" vertical="center"/>
      <protection locked="0" hidden="0"/>
    </xf>
    <xf numFmtId="165" fontId="16" fillId="2" borderId="1" applyAlignment="1" applyProtection="1" pivotButton="0" quotePrefix="0" xfId="139">
      <alignment horizontal="center" vertical="center"/>
      <protection locked="0" hidden="0"/>
    </xf>
    <xf numFmtId="165" fontId="16" fillId="2" borderId="1" applyAlignment="1" applyProtection="1" pivotButton="0" quotePrefix="0" xfId="139">
      <alignment horizontal="center" vertical="center" wrapText="1"/>
      <protection locked="0" hidden="0"/>
    </xf>
    <xf numFmtId="0" fontId="14" fillId="0" borderId="1" applyAlignment="1" applyProtection="1" pivotButton="0" quotePrefix="0" xfId="135">
      <alignment horizontal="center" vertical="center"/>
      <protection locked="0" hidden="0"/>
    </xf>
    <xf numFmtId="0" fontId="18" fillId="0" borderId="1" applyAlignment="1" applyProtection="1" pivotButton="0" quotePrefix="0" xfId="135">
      <alignment horizontal="left" vertical="center" wrapText="1"/>
      <protection locked="0" hidden="0"/>
    </xf>
    <xf numFmtId="0" fontId="33" fillId="0" borderId="1" applyAlignment="1" applyProtection="1" pivotButton="0" quotePrefix="0" xfId="135">
      <alignment horizontal="left" vertical="center" wrapText="1"/>
      <protection locked="0" hidden="0"/>
    </xf>
    <xf numFmtId="0" fontId="18" fillId="0" borderId="1" applyAlignment="1" applyProtection="1" pivotButton="0" quotePrefix="0" xfId="135">
      <alignment horizontal="center" vertical="center" wrapText="1"/>
      <protection locked="0" hidden="0"/>
    </xf>
    <xf numFmtId="165" fontId="33" fillId="0" borderId="1" applyAlignment="1" pivotButton="0" quotePrefix="0" xfId="139">
      <alignment horizontal="center" vertical="center" wrapText="1"/>
    </xf>
    <xf numFmtId="165" fontId="34" fillId="0" borderId="1" applyAlignment="1" pivotButton="0" quotePrefix="0" xfId="139">
      <alignment horizontal="center" vertical="center" wrapText="1"/>
    </xf>
    <xf numFmtId="165" fontId="32" fillId="0" borderId="1" applyAlignment="1" pivotButton="0" quotePrefix="0" xfId="139">
      <alignment horizontal="center" vertical="center" wrapText="1"/>
    </xf>
    <xf numFmtId="0" fontId="33" fillId="0" borderId="1" applyAlignment="1" pivotButton="0" quotePrefix="0" xfId="135">
      <alignment horizontal="left" vertical="center" wrapText="1"/>
    </xf>
    <xf numFmtId="165" fontId="33" fillId="0" borderId="1" applyAlignment="1" pivotButton="0" quotePrefix="0" xfId="133">
      <alignment horizontal="center" vertical="center" wrapText="1"/>
    </xf>
    <xf numFmtId="0" fontId="18" fillId="0" borderId="1" applyAlignment="1" pivotButton="0" quotePrefix="0" xfId="146">
      <alignment horizontal="left" vertical="center" wrapText="1"/>
    </xf>
    <xf numFmtId="0" fontId="16" fillId="0" borderId="1" applyAlignment="1" applyProtection="1" pivotButton="0" quotePrefix="0" xfId="135">
      <alignment horizontal="center" vertical="center" wrapText="1"/>
      <protection locked="0" hidden="0"/>
    </xf>
    <xf numFmtId="0" fontId="18" fillId="0" borderId="0" applyAlignment="1" applyProtection="1" pivotButton="0" quotePrefix="0" xfId="135">
      <alignment horizontal="right" vertical="center"/>
      <protection locked="0" hidden="0"/>
    </xf>
    <xf numFmtId="0" fontId="16" fillId="0" borderId="0" applyAlignment="1" pivotButton="0" quotePrefix="0" xfId="146">
      <alignment vertical="center"/>
    </xf>
    <xf numFmtId="0" fontId="14" fillId="0" borderId="1" applyAlignment="1" applyProtection="1" pivotButton="0" quotePrefix="0" xfId="135">
      <alignment horizontal="center" vertical="center" wrapText="1"/>
      <protection locked="0" hidden="0"/>
    </xf>
    <xf numFmtId="165" fontId="34" fillId="0" borderId="1" applyAlignment="1" pivotButton="0" quotePrefix="0" xfId="133">
      <alignment vertical="center" wrapText="1"/>
    </xf>
    <xf numFmtId="0" fontId="18" fillId="0" borderId="1" applyAlignment="1" applyProtection="1" pivotButton="0" quotePrefix="0" xfId="135">
      <alignment horizontal="center" vertical="center"/>
      <protection locked="0" hidden="0"/>
    </xf>
    <xf numFmtId="165" fontId="14" fillId="0" borderId="1" applyAlignment="1" pivotButton="0" quotePrefix="0" xfId="139">
      <alignment horizontal="center" vertical="center" wrapText="1"/>
    </xf>
    <xf numFmtId="0" fontId="18" fillId="5" borderId="0" applyAlignment="1" applyProtection="1" pivotButton="0" quotePrefix="0" xfId="0">
      <alignment horizontal="justify" vertical="center" wrapText="1"/>
      <protection locked="0" hidden="0"/>
    </xf>
    <xf numFmtId="0" fontId="30" fillId="0" borderId="0" applyAlignment="1" applyProtection="1" pivotButton="0" quotePrefix="0" xfId="0">
      <alignment horizontal="justify" vertical="center" wrapText="1"/>
      <protection locked="0" hidden="0"/>
    </xf>
    <xf numFmtId="0" fontId="18"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justify" vertical="center" wrapText="1"/>
      <protection locked="0" hidden="0"/>
    </xf>
    <xf numFmtId="0" fontId="30" fillId="0" borderId="4" applyAlignment="1" applyProtection="1" pivotButton="0" quotePrefix="0" xfId="0">
      <alignment horizontal="center" vertical="center" wrapText="1"/>
      <protection locked="0" hidden="0"/>
    </xf>
    <xf numFmtId="0" fontId="14" fillId="0" borderId="4" applyAlignment="1" applyProtection="1" pivotButton="0" quotePrefix="0" xfId="0">
      <alignment vertical="center"/>
      <protection locked="0" hidden="0"/>
    </xf>
    <xf numFmtId="0" fontId="36" fillId="0" borderId="0" applyAlignment="1" applyProtection="1" pivotButton="0" quotePrefix="0" xfId="0">
      <alignment horizontal="justify" vertical="center" wrapText="1"/>
      <protection locked="0" hidden="0"/>
    </xf>
    <xf numFmtId="0" fontId="30" fillId="0" borderId="4" applyAlignment="1" applyProtection="1" pivotButton="0" quotePrefix="0" xfId="0">
      <alignment horizontal="center" vertical="center"/>
      <protection locked="0" hidden="0"/>
    </xf>
    <xf numFmtId="0" fontId="76" fillId="0" borderId="1" applyAlignment="1" pivotButton="0" quotePrefix="0" xfId="135">
      <alignment horizontal="left" vertical="center" wrapText="1"/>
    </xf>
    <xf numFmtId="0" fontId="79" fillId="0" borderId="0" applyAlignment="1" applyProtection="1" pivotButton="0" quotePrefix="0" xfId="0">
      <alignment vertical="center"/>
      <protection locked="0" hidden="0"/>
    </xf>
    <xf numFmtId="0" fontId="79" fillId="0" borderId="0" applyAlignment="1" applyProtection="1" pivotButton="0" quotePrefix="0" xfId="0">
      <alignment horizontal="center" vertical="center"/>
      <protection locked="0" hidden="0"/>
    </xf>
    <xf numFmtId="0" fontId="80" fillId="0" borderId="4" applyAlignment="1" applyProtection="1" pivotButton="0" quotePrefix="0" xfId="3">
      <alignment vertical="center"/>
      <protection locked="0" hidden="0"/>
    </xf>
    <xf numFmtId="0" fontId="81" fillId="0" borderId="0" applyAlignment="1" applyProtection="1" pivotButton="0" quotePrefix="0" xfId="0">
      <alignment vertical="center"/>
      <protection locked="0" hidden="0"/>
    </xf>
    <xf numFmtId="0" fontId="14" fillId="5" borderId="0" applyAlignment="1" applyProtection="1" pivotButton="0" quotePrefix="0" xfId="0">
      <alignment horizontal="justify" vertical="center" wrapText="1"/>
      <protection locked="0" hidden="0"/>
    </xf>
    <xf numFmtId="0" fontId="23" fillId="0" borderId="0" applyAlignment="1" applyProtection="1" pivotButton="0" quotePrefix="0" xfId="0">
      <alignment horizontal="center" vertical="center"/>
      <protection locked="0" hidden="0"/>
    </xf>
    <xf numFmtId="165" fontId="19" fillId="0" borderId="0" applyAlignment="1" pivotButton="0" quotePrefix="0" xfId="173">
      <alignment horizontal="left" vertical="center"/>
    </xf>
    <xf numFmtId="0" fontId="86" fillId="0" borderId="0" applyAlignment="1" pivotButton="0" quotePrefix="0" xfId="3">
      <alignment horizontal="left" vertical="center"/>
    </xf>
    <xf numFmtId="0" fontId="82" fillId="0" borderId="0" applyAlignment="1" applyProtection="1" pivotButton="0" quotePrefix="0" xfId="0">
      <alignment horizontal="left" vertical="center" wrapText="1"/>
      <protection locked="0" hidden="0"/>
    </xf>
    <xf numFmtId="0" fontId="13" fillId="0" borderId="0" applyAlignment="1" applyProtection="1" pivotButton="0" quotePrefix="0" xfId="0">
      <alignment horizontal="left" vertical="center" wrapText="1"/>
      <protection locked="0" hidden="0"/>
    </xf>
    <xf numFmtId="0" fontId="16" fillId="2" borderId="1" applyAlignment="1" applyProtection="1" pivotButton="0" quotePrefix="0" xfId="135">
      <alignment horizontal="center" vertical="center" wrapText="1"/>
      <protection locked="0" hidden="0"/>
    </xf>
    <xf numFmtId="0" fontId="16" fillId="3" borderId="1" applyAlignment="1" applyProtection="1" pivotButton="0" quotePrefix="0" xfId="135">
      <alignment horizontal="center" vertical="center"/>
      <protection locked="0" hidden="0"/>
    </xf>
    <xf numFmtId="165" fontId="18" fillId="0" borderId="1" applyAlignment="1" applyProtection="1" pivotButton="0" quotePrefix="0" xfId="139">
      <alignment horizontal="center" vertical="center"/>
      <protection locked="0" hidden="0"/>
    </xf>
    <xf numFmtId="0" fontId="16" fillId="0" borderId="0" applyAlignment="1" applyProtection="1" pivotButton="0" quotePrefix="0" xfId="135">
      <alignment horizontal="left" vertical="center"/>
      <protection locked="0" hidden="0"/>
    </xf>
    <xf numFmtId="0" fontId="16" fillId="2" borderId="1" applyAlignment="1" applyProtection="1" pivotButton="0" quotePrefix="0" xfId="135">
      <alignment horizontal="center" vertical="center"/>
      <protection locked="0" hidden="0"/>
    </xf>
    <xf numFmtId="49" fontId="16" fillId="2" borderId="1" applyAlignment="1" applyProtection="1" pivotButton="0" quotePrefix="0" xfId="135">
      <alignment horizontal="center" vertical="center"/>
      <protection locked="0" hidden="0"/>
    </xf>
    <xf numFmtId="165" fontId="16" fillId="11" borderId="1" applyAlignment="1" applyProtection="1" pivotButton="0" quotePrefix="0" xfId="139">
      <alignment horizontal="center" vertical="center" wrapText="1"/>
      <protection locked="0" hidden="0"/>
    </xf>
    <xf numFmtId="0" fontId="18" fillId="0" borderId="1" applyAlignment="1" applyProtection="1" pivotButton="0" quotePrefix="0" xfId="0">
      <alignment horizontal="left" vertical="center" wrapText="1"/>
      <protection locked="0" hidden="0"/>
    </xf>
    <xf numFmtId="0" fontId="16" fillId="3" borderId="1" applyAlignment="1" applyProtection="1" pivotButton="0" quotePrefix="0" xfId="135">
      <alignment horizontal="center" vertical="center" wrapText="1"/>
      <protection locked="0" hidden="0"/>
    </xf>
    <xf numFmtId="0" fontId="17" fillId="0" borderId="0" applyAlignment="1" pivotButton="0" quotePrefix="0" xfId="141">
      <alignment horizontal="center" vertical="center"/>
    </xf>
    <xf numFmtId="0" fontId="23" fillId="0" borderId="0" applyAlignment="1" pivotButton="0" quotePrefix="0" xfId="141">
      <alignment horizontal="center" vertical="center"/>
    </xf>
    <xf numFmtId="0" fontId="18" fillId="0" borderId="0" applyAlignment="1" applyProtection="1" pivotButton="0" quotePrefix="0" xfId="135">
      <alignment horizontal="left" vertical="center"/>
      <protection locked="0" hidden="0"/>
    </xf>
    <xf numFmtId="10" fontId="27" fillId="0" borderId="0" applyAlignment="1" pivotButton="0" quotePrefix="0" xfId="2">
      <alignment horizontal="left" vertical="center"/>
    </xf>
    <xf numFmtId="0" fontId="24" fillId="2" borderId="1" applyAlignment="1" pivotButton="0" quotePrefix="0" xfId="0">
      <alignment horizontal="center" vertical="center"/>
    </xf>
    <xf numFmtId="0" fontId="24" fillId="2" borderId="1" applyAlignment="1" pivotButton="0" quotePrefix="0" xfId="0">
      <alignment vertical="center"/>
    </xf>
    <xf numFmtId="0" fontId="10" fillId="2" borderId="1" applyAlignment="1" pivotButton="0" quotePrefix="0" xfId="0">
      <alignment vertical="center"/>
    </xf>
    <xf numFmtId="164" fontId="17" fillId="0" borderId="0" applyAlignment="1" pivotButton="0" quotePrefix="0" xfId="145">
      <alignment horizontal="center" vertical="center"/>
    </xf>
    <xf numFmtId="164" fontId="23" fillId="0" borderId="0" applyAlignment="1" pivotButton="0" quotePrefix="0" xfId="145">
      <alignment horizontal="center" vertical="center"/>
    </xf>
    <xf numFmtId="165" fontId="15" fillId="2" borderId="1" applyAlignment="1" applyProtection="1" pivotButton="0" quotePrefix="0" xfId="137">
      <alignment horizontal="center" vertical="center" wrapText="1"/>
      <protection locked="0" hidden="0"/>
    </xf>
    <xf numFmtId="165" fontId="29" fillId="2" borderId="1" applyAlignment="1" applyProtection="1" pivotButton="0" quotePrefix="0" xfId="136">
      <alignment horizontal="center" vertical="center" wrapText="1"/>
      <protection locked="0" hidden="0"/>
    </xf>
    <xf numFmtId="165" fontId="24" fillId="2" borderId="1" applyAlignment="1" applyProtection="1" pivotButton="0" quotePrefix="0" xfId="136">
      <alignment horizontal="center" vertical="center" wrapText="1"/>
      <protection locked="0" hidden="0"/>
    </xf>
    <xf numFmtId="0" fontId="15" fillId="2" borderId="1" applyAlignment="1" applyProtection="1" pivotButton="0" quotePrefix="0" xfId="136">
      <alignment horizontal="center" vertical="center" wrapText="1"/>
      <protection locked="0" hidden="0"/>
    </xf>
    <xf numFmtId="0" fontId="4" fillId="0" borderId="0" applyAlignment="1" pivotButton="0" quotePrefix="0" xfId="141">
      <alignment horizontal="center" vertical="center"/>
    </xf>
    <xf numFmtId="0" fontId="20" fillId="3" borderId="1" applyAlignment="1" pivotButton="0" quotePrefix="0" xfId="143">
      <alignment horizontal="center" vertical="center"/>
    </xf>
    <xf numFmtId="0" fontId="20" fillId="3" borderId="2" applyAlignment="1" pivotButton="0" quotePrefix="0" xfId="143">
      <alignment horizontal="center" vertical="center"/>
    </xf>
    <xf numFmtId="0" fontId="20" fillId="3" borderId="3" applyAlignment="1" pivotButton="0" quotePrefix="0" xfId="143">
      <alignment horizontal="center" vertical="center"/>
    </xf>
    <xf numFmtId="0" fontId="3" fillId="0" borderId="0" applyAlignment="1" pivotButton="0" quotePrefix="0" xfId="145">
      <alignment horizontal="center" vertical="center"/>
    </xf>
    <xf numFmtId="0" fontId="4" fillId="0" borderId="0" applyAlignment="1" pivotButton="0" quotePrefix="0" xfId="145">
      <alignment horizontal="center" vertical="center"/>
    </xf>
    <xf numFmtId="0" fontId="0" fillId="0" borderId="0" pivotButton="0" quotePrefix="0" xfId="0"/>
    <xf numFmtId="0" fontId="0" fillId="0" borderId="13" applyProtection="1" pivotButton="0" quotePrefix="0" xfId="0">
      <protection locked="0" hidden="0"/>
    </xf>
    <xf numFmtId="0" fontId="0" fillId="0" borderId="14" applyProtection="1" pivotButton="0" quotePrefix="0" xfId="0">
      <protection locked="0" hidden="0"/>
    </xf>
    <xf numFmtId="165" fontId="18" fillId="0" borderId="1" applyAlignment="1" applyProtection="1" pivotButton="0" quotePrefix="0" xfId="139">
      <alignment horizontal="center" vertical="center"/>
      <protection locked="0" hidden="0"/>
    </xf>
    <xf numFmtId="165" fontId="16" fillId="11" borderId="1" applyAlignment="1" applyProtection="1" pivotButton="0" quotePrefix="0" xfId="139">
      <alignment horizontal="center" vertical="center" wrapText="1"/>
      <protection locked="0" hidden="0"/>
    </xf>
    <xf numFmtId="0" fontId="0" fillId="0" borderId="3" applyProtection="1" pivotButton="0" quotePrefix="0" xfId="0">
      <protection locked="0" hidden="0"/>
    </xf>
    <xf numFmtId="165" fontId="16" fillId="2" borderId="1" applyAlignment="1" applyProtection="1" pivotButton="0" quotePrefix="0" xfId="139">
      <alignment horizontal="center" vertical="center"/>
      <protection locked="0" hidden="0"/>
    </xf>
    <xf numFmtId="165" fontId="16" fillId="2" borderId="1" applyAlignment="1" applyProtection="1" pivotButton="0" quotePrefix="0" xfId="139">
      <alignment horizontal="center" vertical="center" wrapText="1"/>
      <protection locked="0" hidden="0"/>
    </xf>
    <xf numFmtId="165" fontId="19" fillId="0" borderId="0" applyAlignment="1" pivotButton="0" quotePrefix="0" xfId="173">
      <alignment horizontal="left" vertical="center"/>
    </xf>
    <xf numFmtId="165" fontId="33" fillId="0" borderId="1" applyAlignment="1" pivotButton="0" quotePrefix="0" xfId="139">
      <alignment horizontal="center" vertical="center" wrapText="1"/>
    </xf>
    <xf numFmtId="165" fontId="34" fillId="0" borderId="1" applyAlignment="1" pivotButton="0" quotePrefix="0" xfId="139">
      <alignment horizontal="center" vertical="center" wrapText="1"/>
    </xf>
    <xf numFmtId="165" fontId="32" fillId="0" borderId="1" applyAlignment="1" pivotButton="0" quotePrefix="0" xfId="139">
      <alignment horizontal="center" vertical="center" wrapText="1"/>
    </xf>
    <xf numFmtId="165" fontId="33" fillId="0" borderId="1" applyAlignment="1" pivotButton="0" quotePrefix="0" xfId="133">
      <alignment horizontal="center" vertical="center" wrapText="1"/>
    </xf>
    <xf numFmtId="165" fontId="34" fillId="0" borderId="1" applyAlignment="1" pivotButton="0" quotePrefix="0" xfId="133">
      <alignment vertical="center" wrapText="1"/>
    </xf>
    <xf numFmtId="165" fontId="14" fillId="0" borderId="1" applyAlignment="1" pivotButton="0" quotePrefix="0" xfId="139">
      <alignment horizontal="center" vertical="center" wrapText="1"/>
    </xf>
    <xf numFmtId="164" fontId="14" fillId="0" borderId="0" applyAlignment="1" pivotButton="0" quotePrefix="0" xfId="145">
      <alignment vertical="center"/>
    </xf>
    <xf numFmtId="164" fontId="13" fillId="0" borderId="0" applyAlignment="1" pivotButton="0" quotePrefix="0" xfId="145">
      <alignment vertical="center"/>
    </xf>
    <xf numFmtId="164" fontId="17" fillId="0" borderId="0" applyAlignment="1" pivotButton="0" quotePrefix="0" xfId="145">
      <alignment horizontal="center" vertical="center"/>
    </xf>
    <xf numFmtId="164" fontId="23" fillId="0" borderId="0" applyAlignment="1" pivotButton="0" quotePrefix="0" xfId="145">
      <alignment horizontal="center" vertical="center"/>
    </xf>
    <xf numFmtId="164" fontId="5" fillId="0" borderId="0" applyAlignment="1" pivotButton="0" quotePrefix="0" xfId="145">
      <alignment vertical="center"/>
    </xf>
    <xf numFmtId="164" fontId="5" fillId="0" borderId="0" applyAlignment="1" pivotButton="0" quotePrefix="0" xfId="145">
      <alignment horizontal="left" vertical="center"/>
    </xf>
    <xf numFmtId="164" fontId="5" fillId="0" borderId="0" applyAlignment="1" pivotButton="0" quotePrefix="0" xfId="145">
      <alignment horizontal="right" vertical="center"/>
    </xf>
    <xf numFmtId="164" fontId="15" fillId="0" borderId="0" applyAlignment="1" pivotButton="0" quotePrefix="0" xfId="145">
      <alignment vertical="center"/>
    </xf>
    <xf numFmtId="165" fontId="15" fillId="2" borderId="1" applyAlignment="1" applyProtection="1" pivotButton="0" quotePrefix="0" xfId="137">
      <alignment horizontal="center" vertical="center" wrapText="1"/>
      <protection locked="0" hidden="0"/>
    </xf>
    <xf numFmtId="165" fontId="29" fillId="2" borderId="1" applyAlignment="1" applyProtection="1" pivotButton="0" quotePrefix="0" xfId="136">
      <alignment horizontal="center" vertical="center" wrapText="1"/>
      <protection locked="0" hidden="0"/>
    </xf>
    <xf numFmtId="0" fontId="0" fillId="0" borderId="3" pivotButton="0" quotePrefix="0" xfId="0"/>
    <xf numFmtId="165" fontId="15" fillId="2" borderId="1" applyAlignment="1" applyProtection="1" pivotButton="0" quotePrefix="0" xfId="136">
      <alignment horizontal="center" vertical="center"/>
      <protection locked="0" hidden="0"/>
    </xf>
    <xf numFmtId="165" fontId="24" fillId="2" borderId="1" applyAlignment="1" applyProtection="1" pivotButton="0" quotePrefix="0" xfId="136">
      <alignment horizontal="center" vertical="center" wrapText="1"/>
      <protection locked="0" hidden="0"/>
    </xf>
    <xf numFmtId="164" fontId="14" fillId="3" borderId="1" applyAlignment="1" pivotButton="0" quotePrefix="0" xfId="1">
      <alignment horizontal="center" vertical="center"/>
    </xf>
    <xf numFmtId="164" fontId="14" fillId="3" borderId="1" applyAlignment="1" pivotButton="0" quotePrefix="0" xfId="1">
      <alignment horizontal="right" vertical="center" wrapText="1"/>
    </xf>
    <xf numFmtId="164" fontId="14" fillId="0" borderId="1" applyAlignment="1" pivotButton="0" quotePrefix="0" xfId="1">
      <alignment horizontal="centerContinuous" vertical="center" shrinkToFit="1"/>
    </xf>
    <xf numFmtId="164" fontId="16" fillId="2" borderId="1" applyAlignment="1" pivotButton="0" quotePrefix="0" xfId="1">
      <alignment horizontal="center" vertical="center"/>
    </xf>
    <xf numFmtId="164" fontId="15" fillId="3" borderId="1" applyAlignment="1" pivotButton="0" quotePrefix="0" xfId="1">
      <alignment horizontal="center" vertical="center"/>
    </xf>
    <xf numFmtId="164" fontId="16" fillId="0" borderId="0" applyAlignment="1" pivotButton="0" quotePrefix="0" xfId="1">
      <alignment horizontal="center" vertical="center"/>
    </xf>
    <xf numFmtId="164" fontId="15" fillId="0" borderId="0" applyAlignment="1" pivotButton="0" quotePrefix="0" xfId="1">
      <alignment horizontal="center" vertical="center"/>
    </xf>
    <xf numFmtId="164" fontId="14" fillId="0" borderId="0" applyAlignment="1" pivotButton="0" quotePrefix="0" xfId="1">
      <alignment horizontal="right" vertical="center" wrapText="1"/>
    </xf>
    <xf numFmtId="164" fontId="14" fillId="0" borderId="0" applyAlignment="1" pivotButton="0" quotePrefix="0" xfId="1">
      <alignment horizontal="centerContinuous" vertical="center" shrinkToFit="1"/>
    </xf>
    <xf numFmtId="164" fontId="15" fillId="3" borderId="0" applyAlignment="1" pivotButton="0" quotePrefix="0" xfId="1">
      <alignment horizontal="center" vertical="center"/>
    </xf>
    <xf numFmtId="164" fontId="15" fillId="0" borderId="0" applyAlignment="1" pivotButton="0" quotePrefix="0" xfId="145">
      <alignment horizontal="left" vertical="center"/>
    </xf>
    <xf numFmtId="164" fontId="14" fillId="0" borderId="0" applyAlignment="1" pivotButton="0" quotePrefix="0" xfId="145">
      <alignment horizontal="left" vertical="center"/>
    </xf>
    <xf numFmtId="164" fontId="26" fillId="0" borderId="0" applyAlignment="1" pivotButton="0" quotePrefix="0" xfId="3">
      <alignment horizontal="center" vertical="center"/>
    </xf>
    <xf numFmtId="164" fontId="28" fillId="0" borderId="0" applyAlignment="1" pivotButton="0" quotePrefix="0" xfId="145">
      <alignment vertical="center"/>
    </xf>
    <xf numFmtId="0" fontId="0" fillId="0" borderId="13" pivotButton="0" quotePrefix="0" xfId="0"/>
    <xf numFmtId="0" fontId="0" fillId="0" borderId="14" pivotButton="0" quotePrefix="0" xfId="0"/>
    <xf numFmtId="164" fontId="22" fillId="0" borderId="1" applyAlignment="1" applyProtection="1" pivotButton="0" quotePrefix="0" xfId="1">
      <alignment vertical="center"/>
      <protection locked="0" hidden="0"/>
    </xf>
    <xf numFmtId="164" fontId="22" fillId="0" borderId="1" applyAlignment="1" applyProtection="1" pivotButton="0" quotePrefix="0" xfId="1">
      <alignment horizontal="center" vertical="center"/>
      <protection locked="0" hidden="0"/>
    </xf>
    <xf numFmtId="164" fontId="22" fillId="3" borderId="1" applyAlignment="1" pivotButton="0" quotePrefix="0" xfId="1">
      <alignment vertical="center"/>
    </xf>
    <xf numFmtId="164" fontId="22" fillId="3" borderId="1" applyAlignment="1" pivotButton="0" quotePrefix="0" xfId="107">
      <alignment vertical="center"/>
    </xf>
    <xf numFmtId="164" fontId="22" fillId="3" borderId="1" applyAlignment="1" applyProtection="1" pivotButton="0" quotePrefix="0" xfId="1">
      <alignment vertical="center"/>
      <protection locked="0" hidden="0"/>
    </xf>
    <xf numFmtId="164" fontId="22" fillId="3" borderId="1" applyAlignment="1" applyProtection="1" pivotButton="0" quotePrefix="0" xfId="1">
      <alignment horizontal="center" vertical="center"/>
      <protection locked="0" hidden="0"/>
    </xf>
    <xf numFmtId="164" fontId="10" fillId="0" borderId="1" applyAlignment="1" pivotButton="0" quotePrefix="0" xfId="135">
      <alignment vertical="center"/>
    </xf>
  </cellXfs>
  <cellStyles count="174">
    <cellStyle name="常规" xfId="0" builtinId="0"/>
    <cellStyle name="千位分隔" xfId="1" builtinId="3"/>
    <cellStyle name="百分比" xfId="2" builtinId="5"/>
    <cellStyle name="超链接" xfId="3" builtinId="8"/>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 xfId="10"/>
    <cellStyle name="_2006年年报审计PBC表-XXX" xfId="11"/>
    <cellStyle name="_2006年年报审计PBC表-福州分公司" xfId="12"/>
    <cellStyle name="_2006年年报审计PBC表-云南分公司" xfId="13"/>
    <cellStyle name="_2006年年报审计填报资料" xfId="14"/>
    <cellStyle name="_ET_STYLE_NoName_00_" xfId="15"/>
    <cellStyle name="_PBC审核提示" xfId="16"/>
    <cellStyle name="_宝丽华房地产20051231" xfId="17"/>
    <cellStyle name="_保证金-企业填写部分" xfId="18"/>
    <cellStyle name="_北新房屋2004年审-刘" xfId="19"/>
    <cellStyle name="_北新股份2005年审工作底稿" xfId="20"/>
    <cellStyle name="_北新建材关连交易基础表051230（10－12月版）更新稿" xfId="21"/>
    <cellStyle name="_北新建材-会计报表附注模版" xfId="22"/>
    <cellStyle name="_北新龙之星2004年审工作底稿" xfId="23"/>
    <cellStyle name="_北新物流2005底稿-刘" xfId="24"/>
    <cellStyle name="_北新置换memo" xfId="25"/>
    <cellStyle name="_存货结转测试" xfId="26"/>
    <cellStyle name="_存货数量与明细05.12" xfId="27"/>
    <cellStyle name="_底稿－京津城际项目部" xfId="28"/>
    <cellStyle name="_动力厂2004年审工作底稿-刘" xfId="29"/>
    <cellStyle name="_分工" xfId="30"/>
    <cellStyle name="_工程施工项目现场审计提示" xfId="31"/>
    <cellStyle name="_关联交易" xfId="32"/>
    <cellStyle name="_关联交易、往来统计表" xfId="33"/>
    <cellStyle name="_汇总－刘青分工－子公司审计模板" xfId="34"/>
    <cellStyle name="_科目核对表" xfId="35"/>
    <cellStyle name="_刘青分工填列信息统计" xfId="36"/>
    <cellStyle name="_刘青分工－子公司审计模板－铁达本部" xfId="37"/>
    <cellStyle name="_母PL" xfId="38"/>
    <cellStyle name="_人员分工备忘录" xfId="39"/>
    <cellStyle name="_审计所需资料清单－子公司" xfId="40"/>
    <cellStyle name="_审计提示模版" xfId="41"/>
    <cellStyle name="_审计提示模版-母公司部分" xfId="42"/>
    <cellStyle name="_铁鸿源－刘青分工－子公司审计模板" xfId="43"/>
    <cellStyle name="_银行存款明细－刘青-最终" xfId="44"/>
    <cellStyle name="_银行询证函统计－大表" xfId="45"/>
    <cellStyle name="_长期借款－江阴" xfId="46"/>
    <cellStyle name="{Comma [0]}" xfId="47"/>
    <cellStyle name="{Comma}" xfId="48"/>
    <cellStyle name="{Date}" xfId="49"/>
    <cellStyle name="{Month}" xfId="50"/>
    <cellStyle name="{Percent}" xfId="51"/>
    <cellStyle name="{Thousand [0]}" xfId="52"/>
    <cellStyle name="{Thousand}" xfId="53"/>
    <cellStyle name="{Z'0000(1 dec)}" xfId="54"/>
    <cellStyle name="{Z'0000(4 dec)}" xfId="55"/>
    <cellStyle name="0%" xfId="56"/>
    <cellStyle name="0,0_x000d__x000a_NA_x000d__x000a_" xfId="57"/>
    <cellStyle name="0.0%" xfId="58"/>
    <cellStyle name="0.00%" xfId="59"/>
    <cellStyle name="00" xfId="60"/>
    <cellStyle name="Black" xfId="61"/>
    <cellStyle name="Border" xfId="62"/>
    <cellStyle name="Calc Currency (0)" xfId="63"/>
    <cellStyle name="Col Heads" xfId="64"/>
    <cellStyle name="Column_Title" xfId="65"/>
    <cellStyle name="Comma  - Style1" xfId="66"/>
    <cellStyle name="Comma  - Style2" xfId="67"/>
    <cellStyle name="Comma  - Style3" xfId="68"/>
    <cellStyle name="Comma  - Style4" xfId="69"/>
    <cellStyle name="Comma  - Style5" xfId="70"/>
    <cellStyle name="Comma  - Style6" xfId="71"/>
    <cellStyle name="Comma  - Style7" xfId="72"/>
    <cellStyle name="Comma  - Style8" xfId="73"/>
    <cellStyle name="Comma [0]_ rislugp" xfId="74"/>
    <cellStyle name="Comma,0" xfId="75"/>
    <cellStyle name="Comma,1" xfId="76"/>
    <cellStyle name="Comma,2" xfId="77"/>
    <cellStyle name="Comma_ rislugp" xfId="78"/>
    <cellStyle name="Currency [0]_ rislugp" xfId="79"/>
    <cellStyle name="Currency,0" xfId="80"/>
    <cellStyle name="Currency,2" xfId="81"/>
    <cellStyle name="Currency_ rislugp" xfId="82"/>
    <cellStyle name="Dezimal [0]_laroux" xfId="83"/>
    <cellStyle name="Dezimal_laroux" xfId="84"/>
    <cellStyle name="entry" xfId="85"/>
    <cellStyle name="entry box" xfId="86"/>
    <cellStyle name="Euro" xfId="87"/>
    <cellStyle name="Followed Hyperlink_AheadBehind.xls Chart 23" xfId="88"/>
    <cellStyle name="Grey" xfId="89"/>
    <cellStyle name="Header1" xfId="90"/>
    <cellStyle name="Header2" xfId="91"/>
    <cellStyle name="Heading" xfId="92"/>
    <cellStyle name="Hyperlink_AheadBehind.xls Chart 23" xfId="93"/>
    <cellStyle name="Input [yellow]" xfId="94"/>
    <cellStyle name="left" xfId="95"/>
    <cellStyle name="Millares [0]_laroux" xfId="96"/>
    <cellStyle name="Millares_laroux" xfId="97"/>
    <cellStyle name="Milliers [0]_laroux" xfId="98"/>
    <cellStyle name="Milliers_laroux" xfId="99"/>
    <cellStyle name="Moneda [0]_laroux" xfId="100"/>
    <cellStyle name="Moneda_laroux" xfId="101"/>
    <cellStyle name="Mon閠aire [0]_laroux" xfId="102"/>
    <cellStyle name="Mon閠aire_laroux" xfId="103"/>
    <cellStyle name="no dec" xfId="104"/>
    <cellStyle name="Non défini" xfId="105"/>
    <cellStyle name="Normal - Style1" xfId="106"/>
    <cellStyle name="Normal 2" xfId="107"/>
    <cellStyle name="Normal_ rislugp" xfId="108"/>
    <cellStyle name="Normalny_Arkusz1" xfId="109"/>
    <cellStyle name="Percent (0)" xfId="110"/>
    <cellStyle name="Percent [2]" xfId="111"/>
    <cellStyle name="Prefilled" xfId="112"/>
    <cellStyle name="price" xfId="113"/>
    <cellStyle name="Red" xfId="114"/>
    <cellStyle name="revised" xfId="115"/>
    <cellStyle name="row_def_array" xfId="116"/>
    <cellStyle name="S4" xfId="117"/>
    <cellStyle name="S5" xfId="118"/>
    <cellStyle name="section" xfId="119"/>
    <cellStyle name="style" xfId="120"/>
    <cellStyle name="style1" xfId="121"/>
    <cellStyle name="style2" xfId="122"/>
    <cellStyle name="Tickmark" xfId="123"/>
    <cellStyle name="title" xfId="124"/>
    <cellStyle name="wrap" xfId="125"/>
    <cellStyle name="パーセント_laroux" xfId="126"/>
    <cellStyle name="_laroux" xfId="127"/>
    <cellStyle name="だ_laroux" xfId="128"/>
    <cellStyle name="百分比 2 2" xfId="129"/>
    <cellStyle name="捠壿 [0.00]_PRODUCT DETAIL Q1" xfId="130"/>
    <cellStyle name="捠壿_PRODUCT DETAIL Q1" xfId="131"/>
    <cellStyle name="標準_１１月価格表" xfId="132"/>
    <cellStyle name="常规 13" xfId="133"/>
    <cellStyle name="常规 2" xfId="134"/>
    <cellStyle name="常规 2 2" xfId="135"/>
    <cellStyle name="常规 3" xfId="136"/>
    <cellStyle name="常规 4" xfId="137"/>
    <cellStyle name="常规 4 2" xfId="138"/>
    <cellStyle name="常规 7" xfId="139"/>
    <cellStyle name="常规_2006年年报安排计划-新" xfId="140"/>
    <cellStyle name="常规_Book1" xfId="141"/>
    <cellStyle name="常规_c-资产类" xfId="142"/>
    <cellStyle name="常规_Sheet1" xfId="143"/>
    <cellStyle name="常规_递延所得税计算明细表（桑）" xfId="144"/>
    <cellStyle name="常规_新审定表" xfId="145"/>
    <cellStyle name="常规_制造费用" xfId="146"/>
    <cellStyle name="超级链接_B4-1审计项目工时预算与控制表(集团)" xfId="147"/>
    <cellStyle name="超链接 2" xfId="148"/>
    <cellStyle name="分级显示行_1_4附件二凯旋评估表" xfId="149"/>
    <cellStyle name="桁区切り [0.00]_１１月価格表" xfId="150"/>
    <cellStyle name="桁区切り_１１月価格表" xfId="151"/>
    <cellStyle name="霓付 [0]_1202" xfId="152"/>
    <cellStyle name="霓付_1202" xfId="153"/>
    <cellStyle name="烹拳 [0]_1202" xfId="154"/>
    <cellStyle name="烹拳_1202" xfId="155"/>
    <cellStyle name="普通_ 白土" xfId="156"/>
    <cellStyle name="千分位[0]_ 白土" xfId="157"/>
    <cellStyle name="千分位_ 白土" xfId="158"/>
    <cellStyle name="千位[0]_ 预 付 帐 款" xfId="159"/>
    <cellStyle name="千位_ 预 付 帐 款" xfId="160"/>
    <cellStyle name="钎霖_(沥焊何巩)岿喊牢盔拌裙" xfId="161"/>
    <cellStyle name="通貨 [0.00]_１１月価格表" xfId="162"/>
    <cellStyle name="通貨_１１月価格表" xfId="163"/>
    <cellStyle name="样式 1" xfId="164"/>
    <cellStyle name="昗弨_BOOKSHIP" xfId="165"/>
    <cellStyle name="寘嬫愗傝 [0.00]_PRODUCT DETAIL Q1" xfId="166"/>
    <cellStyle name="寘嬫愗傝_PRODUCT DETAIL Q1" xfId="167"/>
    <cellStyle name="콤마 [0]_BOILER-CO1" xfId="168"/>
    <cellStyle name="콤마_BOILER-CO1" xfId="169"/>
    <cellStyle name="통화 [0]_BOILER-CO1" xfId="170"/>
    <cellStyle name="통화_BOILER-CO1" xfId="171"/>
    <cellStyle name="표준_0N-HANDLING " xfId="172"/>
    <cellStyle name="常规 11 5" xfId="17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何先琴</author>
  </authors>
  <commentList>
    <comment ref="C15" authorId="0" shapeId="0">
      <text>
        <t>专业技术部:
根据被审计单位实际情况和风险评估情况裁剪、修改或增加审计程序</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H19"/>
  <sheetViews>
    <sheetView zoomScaleNormal="100" zoomScaleSheetLayoutView="100" workbookViewId="0">
      <selection activeCell="A1" sqref="A1"/>
    </sheetView>
  </sheetViews>
  <sheetFormatPr baseColWidth="8" defaultColWidth="9" defaultRowHeight="20.1" customHeight="1"/>
  <cols>
    <col width="73.5" customWidth="1" style="82" min="1" max="1"/>
    <col width="2" customWidth="1" style="82" min="2" max="2"/>
    <col width="2.09765625" customWidth="1" style="82" min="3" max="3"/>
    <col width="4.19921875" customWidth="1" style="82" min="4" max="4"/>
    <col width="27.296875" customWidth="1" style="123" min="5" max="5"/>
    <col width="9.09765625" customWidth="1" style="82" min="6" max="6"/>
    <col width="9" customWidth="1" style="18" min="7" max="16384"/>
  </cols>
  <sheetData>
    <row r="1" ht="20.1" customHeight="1" s="158">
      <c r="A1" s="19" t="inlineStr">
        <is>
          <t>底稿开列时，可先在以下单元格填写有关内容，以便其他底稿引用有关数据：</t>
        </is>
      </c>
      <c r="D1" s="18" t="n"/>
      <c r="E1" s="120" t="n"/>
      <c r="F1" s="18" t="n"/>
    </row>
    <row r="2" ht="20.1" customHeight="1" s="158">
      <c r="A2" s="111" t="inlineStr">
        <is>
          <t>被审计单位：</t>
        </is>
      </c>
      <c r="B2" s="112" t="n"/>
      <c r="C2" s="112" t="n"/>
      <c r="D2" s="113" t="inlineStr">
        <is>
          <t>序号</t>
        </is>
      </c>
      <c r="E2" s="121" t="inlineStr">
        <is>
          <t>内容</t>
        </is>
      </c>
      <c r="F2" s="113" t="inlineStr">
        <is>
          <t>索引号</t>
        </is>
      </c>
      <c r="G2" s="114" t="n"/>
      <c r="H2" s="114" t="n"/>
    </row>
    <row r="3" ht="20.1" customHeight="1" s="158">
      <c r="A3" s="124" t="inlineStr">
        <is>
          <t>截止日：202X年12月31日</t>
        </is>
      </c>
      <c r="B3" s="112" t="n"/>
      <c r="C3" s="112" t="n"/>
      <c r="D3" s="115" t="n">
        <v>1</v>
      </c>
      <c r="E3" s="122" t="inlineStr">
        <is>
          <t>递延所得税负债审计程序表</t>
        </is>
      </c>
      <c r="F3" s="116" t="inlineStr">
        <is>
          <t>N3A</t>
        </is>
      </c>
      <c r="G3" s="114" t="n"/>
      <c r="H3" s="114" t="n"/>
    </row>
    <row r="4" ht="20.1" customHeight="1" s="158">
      <c r="A4" s="111" t="inlineStr">
        <is>
          <t>编制人：</t>
        </is>
      </c>
      <c r="D4" s="115" t="n">
        <v>2</v>
      </c>
      <c r="E4" s="122" t="inlineStr">
        <is>
          <t>递延所得税负债审定表</t>
        </is>
      </c>
      <c r="F4" s="116" t="inlineStr">
        <is>
          <t>N3-1</t>
        </is>
      </c>
      <c r="G4" s="114" t="n"/>
      <c r="H4" s="117" t="n"/>
    </row>
    <row r="5" ht="20.1" customHeight="1" s="158">
      <c r="A5" s="111" t="inlineStr">
        <is>
          <t>编制日期：</t>
        </is>
      </c>
      <c r="D5" s="118" t="n">
        <v>3</v>
      </c>
      <c r="E5" s="122" t="inlineStr">
        <is>
          <t>递延所得税负债明细表</t>
        </is>
      </c>
      <c r="F5" s="116" t="inlineStr">
        <is>
          <t>N3-2</t>
        </is>
      </c>
    </row>
    <row r="6" ht="20.1" customHeight="1" s="158">
      <c r="A6" s="111" t="inlineStr">
        <is>
          <t>复核人：</t>
        </is>
      </c>
      <c r="D6" s="118" t="n">
        <v>4</v>
      </c>
      <c r="E6" s="122" t="inlineStr">
        <is>
          <t>调整分录汇总表</t>
        </is>
      </c>
      <c r="F6" s="116" t="inlineStr">
        <is>
          <t>N3-3</t>
        </is>
      </c>
    </row>
    <row r="7" ht="20.1" customHeight="1" s="158">
      <c r="A7" s="111" t="inlineStr">
        <is>
          <t>复核日期：</t>
        </is>
      </c>
      <c r="D7" s="18" t="n"/>
      <c r="F7" s="18" t="n"/>
    </row>
    <row r="8" ht="20.1" customHeight="1" s="158">
      <c r="A8" s="83" t="n"/>
      <c r="F8" s="18" t="n"/>
    </row>
    <row r="9" ht="20.1" customHeight="1" s="158">
      <c r="A9" s="125" t="inlineStr">
        <is>
          <t>关于工作底稿与审计程序索引号对应的说明</t>
        </is>
      </c>
      <c r="F9" s="18" t="n"/>
    </row>
    <row r="10" ht="20.1" customHeight="1" s="158">
      <c r="A10" s="128"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row>
    <row r="11" ht="20.1" customHeight="1" s="158">
      <c r="A11" s="0" t="n"/>
    </row>
    <row r="12" ht="20.1" customHeight="1" s="158">
      <c r="A12" s="0" t="n"/>
    </row>
    <row r="13" ht="20.1" customHeight="1" s="158">
      <c r="A13" s="0" t="n"/>
    </row>
    <row r="14" ht="20.1" customHeight="1" s="158">
      <c r="A14" s="128"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row>
    <row r="15" ht="20.1" customHeight="1" s="158">
      <c r="A15" s="0" t="n"/>
    </row>
    <row r="16" ht="20.1" customHeight="1" s="158">
      <c r="A16" s="0" t="n"/>
    </row>
    <row r="17" ht="20.1" customHeight="1" s="158">
      <c r="A17" s="129" t="inlineStr">
        <is>
          <t>3.工作底稿索引号的编码规则：实质性程序索引号按循环从“D”到“N”,循环内账户以顺序号排列，模板中底稿索引号按账户顺序+自然数顺序（即模板中索引号按二级自然顺序排列，如D1-1、D1-2、D1-3、……D1-N）。</t>
        </is>
      </c>
    </row>
    <row r="18" ht="20.1" customHeight="1" s="158">
      <c r="A18" s="0" t="n"/>
    </row>
    <row r="19" ht="20.1" customHeight="1" s="158">
      <c r="A19" s="0" t="n"/>
    </row>
  </sheetData>
  <mergeCells count="3">
    <mergeCell ref="A14:A16"/>
    <mergeCell ref="A17:A19"/>
    <mergeCell ref="A10:A13"/>
  </mergeCells>
  <hyperlinks>
    <hyperlink ref="E3" location="递延所得税负债审计程序表的N3A!A1" display="递延所得税负债审计程序表"/>
    <hyperlink ref="E4" location="'递延所得税负债审定表N3-1'!A1" display="递延所得税负债审定表"/>
    <hyperlink ref="E5" location="'递延所得税负债明细表N3-2'!A1" display="递延所得税负债明细表"/>
    <hyperlink ref="E6" location="'调整分录汇总表N3-3'!A1" display="调整分录汇总表"/>
  </hyperlinks>
  <pageMargins left="0.708333333333333" right="0.708333333333333" top="0.747916666666667" bottom="0.747916666666667" header="0.314583333333333" footer="0.314583333333333"/>
  <pageSetup orientation="portrait" paperSize="9" scale="80" blackAndWhite="1" horizontalDpi="1200" verticalDpi="1200"/>
  <headerFooter>
    <oddHeader/>
    <oddFooter>&amp;C&amp;P/&amp;N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K29"/>
  <sheetViews>
    <sheetView tabSelected="1" view="pageBreakPreview" zoomScaleNormal="100" workbookViewId="0">
      <selection activeCell="A1" sqref="A1:J1"/>
    </sheetView>
  </sheetViews>
  <sheetFormatPr baseColWidth="8" defaultColWidth="9" defaultRowHeight="20.1" customHeight="1"/>
  <cols>
    <col width="5.19921875" customWidth="1" style="88" min="1" max="1"/>
    <col width="8.19921875" customWidth="1" style="88" min="2" max="2"/>
    <col width="51.5" customWidth="1" style="88" min="3" max="3"/>
    <col width="10.69921875" customWidth="1" style="88" min="4" max="4"/>
    <col width="6" customWidth="1" style="88" min="5" max="5"/>
    <col width="6.09765625" customWidth="1" style="88" min="6" max="7"/>
    <col width="7.59765625" customWidth="1" style="88" min="8" max="8"/>
    <col width="5.5" customWidth="1" style="88" min="9" max="9"/>
    <col width="6.8984375" customWidth="1" style="88" min="10" max="10"/>
    <col width="9" customWidth="1" style="88" min="11" max="16384"/>
  </cols>
  <sheetData>
    <row r="1" ht="20.1" customHeight="1" s="158">
      <c r="A1" s="139" t="inlineStr">
        <is>
          <t>致同会计师事务所</t>
        </is>
      </c>
    </row>
    <row r="2" ht="20.1" customHeight="1" s="158">
      <c r="A2" s="140" t="inlineStr">
        <is>
          <t>递延所得税负债实质性程序表</t>
        </is>
      </c>
    </row>
    <row r="3" ht="20.1" customHeight="1" s="158">
      <c r="A3" s="141">
        <f>底稿目录!A2</f>
        <v/>
      </c>
      <c r="B3" s="0" t="n"/>
      <c r="C3" s="0" t="n"/>
      <c r="D3" s="88">
        <f>底稿目录!A4</f>
        <v/>
      </c>
      <c r="F3" s="84">
        <f>底稿目录!A5</f>
        <v/>
      </c>
      <c r="I3" s="105" t="inlineStr">
        <is>
          <t>索引号：</t>
        </is>
      </c>
      <c r="J3" s="127" t="inlineStr">
        <is>
          <t>N3A</t>
        </is>
      </c>
    </row>
    <row r="4" ht="20.1" customHeight="1" s="158">
      <c r="A4" s="141">
        <f>底稿目录!A3</f>
        <v/>
      </c>
      <c r="B4" s="0" t="n"/>
      <c r="C4" s="0" t="n"/>
      <c r="D4" s="88">
        <f>底稿目录!A6</f>
        <v/>
      </c>
      <c r="F4" s="84">
        <f>底稿目录!A7</f>
        <v/>
      </c>
      <c r="I4" s="105" t="inlineStr">
        <is>
          <t>页次：</t>
        </is>
      </c>
    </row>
    <row r="5" ht="20.1" customHeight="1" s="158">
      <c r="A5" s="133" t="inlineStr">
        <is>
          <t>一、本账户涉及的科目</t>
        </is>
      </c>
      <c r="B5" s="0" t="n"/>
      <c r="C5" s="0" t="n"/>
      <c r="D5" s="86" t="n"/>
      <c r="E5" s="86" t="n"/>
      <c r="F5" s="86" t="n"/>
      <c r="G5" s="87" t="n"/>
      <c r="H5" s="86" t="n"/>
      <c r="I5" s="106" t="n"/>
      <c r="J5" s="106" t="n"/>
    </row>
    <row r="6" ht="20.1" customHeight="1" s="158">
      <c r="A6" s="88" t="inlineStr">
        <is>
          <t>递延所得税负债</t>
        </is>
      </c>
      <c r="B6" s="89" t="n"/>
      <c r="C6" s="89" t="n"/>
      <c r="D6" s="89" t="n"/>
      <c r="E6" s="89" t="n"/>
      <c r="F6" s="89" t="n"/>
      <c r="G6" s="89" t="n"/>
      <c r="H6" s="89" t="n"/>
      <c r="I6" s="89" t="n"/>
      <c r="J6" s="89" t="n"/>
    </row>
    <row r="7" ht="20.1" customHeight="1" s="158">
      <c r="A7" s="90" t="inlineStr">
        <is>
          <t>二、审计目标与财务报表认定对应关系</t>
        </is>
      </c>
      <c r="B7" s="90" t="n"/>
      <c r="C7" s="133" t="n"/>
      <c r="D7" s="91" t="n"/>
      <c r="G7" s="84" t="n"/>
      <c r="I7" s="25" t="n"/>
      <c r="J7" s="25" t="n"/>
    </row>
    <row r="8" ht="19.95" customHeight="1" s="158">
      <c r="A8" s="138" t="inlineStr">
        <is>
          <t>审计目标</t>
        </is>
      </c>
      <c r="B8" s="159" t="n"/>
      <c r="C8" s="159" t="n"/>
      <c r="D8" s="159" t="n"/>
      <c r="E8" s="159" t="n"/>
      <c r="F8" s="159" t="n"/>
      <c r="G8" s="160" t="n"/>
      <c r="H8" s="131" t="inlineStr">
        <is>
          <t xml:space="preserve">财务报表的认定　</t>
        </is>
      </c>
      <c r="I8" s="159" t="n"/>
      <c r="J8" s="160" t="n"/>
    </row>
    <row r="9" ht="19.95" customHeight="1" s="158">
      <c r="A9" s="137" t="inlineStr">
        <is>
          <t>A.资产负债表中记录的递延所得税负债是存在的，且已经记录在恰当的账户中</t>
        </is>
      </c>
      <c r="B9" s="159" t="n"/>
      <c r="C9" s="159" t="n"/>
      <c r="D9" s="159" t="n"/>
      <c r="E9" s="159" t="n"/>
      <c r="F9" s="159" t="n"/>
      <c r="G9" s="160" t="n"/>
      <c r="H9" s="161" t="inlineStr">
        <is>
          <t>存在</t>
        </is>
      </c>
      <c r="I9" s="159" t="n"/>
      <c r="J9" s="160" t="n"/>
    </row>
    <row r="10" ht="19.95" customHeight="1" s="158">
      <c r="A10" s="137" t="inlineStr">
        <is>
          <t>B.所有应记录的递延所得税负债均已记录，所有应当包括在财务报表中的相关披露均已包括</t>
        </is>
      </c>
      <c r="B10" s="159" t="n"/>
      <c r="C10" s="159" t="n"/>
      <c r="D10" s="159" t="n"/>
      <c r="E10" s="159" t="n"/>
      <c r="F10" s="159" t="n"/>
      <c r="G10" s="160" t="n"/>
      <c r="H10" s="161" t="inlineStr">
        <is>
          <t>完整性</t>
        </is>
      </c>
      <c r="I10" s="159" t="n"/>
      <c r="J10" s="160" t="n"/>
    </row>
    <row r="11" ht="19.95" customHeight="1" s="158">
      <c r="A11" s="137" t="inlineStr">
        <is>
          <t>C.记录的递延所得税负债由被审计单位拥有或控制</t>
        </is>
      </c>
      <c r="B11" s="159" t="n"/>
      <c r="C11" s="159" t="n"/>
      <c r="D11" s="159" t="n"/>
      <c r="E11" s="159" t="n"/>
      <c r="F11" s="159" t="n"/>
      <c r="G11" s="160" t="n"/>
      <c r="H11" s="161" t="inlineStr">
        <is>
          <t>权利和义务</t>
        </is>
      </c>
      <c r="I11" s="159" t="n"/>
      <c r="J11" s="160" t="n"/>
    </row>
    <row r="12" ht="21" customHeight="1" s="158">
      <c r="A12" s="137" t="inlineStr">
        <is>
          <t xml:space="preserve">D.递延所得税负债以恰当的金额包括在财务报表中，与之相关的计价或分摊调整已恰当记录，相关披露已得到恰当计量和描述 </t>
        </is>
      </c>
      <c r="B12" s="159" t="n"/>
      <c r="C12" s="159" t="n"/>
      <c r="D12" s="159" t="n"/>
      <c r="E12" s="159" t="n"/>
      <c r="F12" s="159" t="n"/>
      <c r="G12" s="160" t="n"/>
      <c r="H12" s="161" t="inlineStr">
        <is>
          <t>准确性、计价和分摊</t>
        </is>
      </c>
      <c r="I12" s="159" t="n"/>
      <c r="J12" s="160" t="n"/>
    </row>
    <row r="13" ht="19.95" customHeight="1" s="158">
      <c r="A13" s="137" t="inlineStr">
        <is>
          <t>E.递延所得税负债已被恰当地汇总或分解且表述清楚，相关披露在按照企业会计准则的编制基础下是相关的、可理解的</t>
        </is>
      </c>
      <c r="B13" s="159" t="n"/>
      <c r="C13" s="159" t="n"/>
      <c r="D13" s="159" t="n"/>
      <c r="E13" s="159" t="n"/>
      <c r="F13" s="159" t="n"/>
      <c r="G13" s="160" t="n"/>
      <c r="H13" s="161" t="inlineStr">
        <is>
          <t>列报</t>
        </is>
      </c>
      <c r="I13" s="159" t="n"/>
      <c r="J13" s="160" t="n"/>
    </row>
    <row r="14" ht="20.1" customHeight="1" s="158">
      <c r="A14" s="133" t="inlineStr">
        <is>
          <t>三、计划实施的实质性程序</t>
        </is>
      </c>
      <c r="B14" s="0" t="n"/>
      <c r="C14" s="0" t="n"/>
      <c r="D14" s="91" t="n"/>
      <c r="G14" s="84" t="n"/>
      <c r="I14" s="25" t="n"/>
      <c r="J14" s="25" t="n"/>
    </row>
    <row r="15" ht="20.1" customHeight="1" s="158">
      <c r="A15" s="135" t="inlineStr">
        <is>
          <t>序号</t>
        </is>
      </c>
      <c r="B15" s="135" t="inlineStr">
        <is>
          <t>对应LEAP程序</t>
        </is>
      </c>
      <c r="C15" s="162" t="inlineStr">
        <is>
          <t>审计程序</t>
        </is>
      </c>
      <c r="D15" s="130" t="inlineStr">
        <is>
          <t>程序分类</t>
        </is>
      </c>
      <c r="E15" s="134" t="inlineStr">
        <is>
          <t>审计目标</t>
        </is>
      </c>
      <c r="F15" s="159" t="n"/>
      <c r="G15" s="159" t="n"/>
      <c r="H15" s="159" t="n"/>
      <c r="I15" s="160" t="n"/>
      <c r="J15" s="130" t="inlineStr">
        <is>
          <t>底稿索引号</t>
        </is>
      </c>
    </row>
    <row r="16" ht="41.4" customHeight="1" s="158">
      <c r="A16" s="163" t="n"/>
      <c r="B16" s="163" t="n"/>
      <c r="C16" s="163" t="n"/>
      <c r="D16" s="163" t="n"/>
      <c r="E16" s="164" t="inlineStr">
        <is>
          <t>存在</t>
        </is>
      </c>
      <c r="F16" s="164" t="inlineStr">
        <is>
          <t>完整性</t>
        </is>
      </c>
      <c r="G16" s="165" t="inlineStr">
        <is>
          <t>权利和
义务</t>
        </is>
      </c>
      <c r="H16" s="165" t="inlineStr">
        <is>
          <t>准确性、计价和分摊</t>
        </is>
      </c>
      <c r="I16" s="165" t="inlineStr">
        <is>
          <t>列报</t>
        </is>
      </c>
      <c r="J16" s="163" t="n"/>
      <c r="K16" s="166" t="inlineStr">
        <is>
          <t>根据被审计单位实际情况和风险评估情况裁剪、修改或增加审计程序</t>
        </is>
      </c>
    </row>
    <row r="17" ht="93.75" customHeight="1" s="158">
      <c r="A17" s="94" t="n">
        <v>1</v>
      </c>
      <c r="B17" s="95" t="inlineStr">
        <is>
          <t>常规程序</t>
        </is>
      </c>
      <c r="C17" s="96" t="inlineStr">
        <is>
          <t>获取递延所得税负债明细表，完成以下工作并编制审定表。 
（1）复核加计正确 。
（2）将总金额与总账、明细账合计数核对相符。
（3）核对期初余额与上期审定期末余额、纳税申报表及税务机关的认定数是否相符。
（4）识别被审计单位期初递延所得税负债的项目及金额，以及对当期经营损失以及未来期间的影响。</t>
        </is>
      </c>
      <c r="D17" s="97" t="inlineStr">
        <is>
          <t>常规★</t>
        </is>
      </c>
      <c r="E17" s="167" t="inlineStr">
        <is>
          <t>√</t>
        </is>
      </c>
      <c r="F17" s="167" t="inlineStr">
        <is>
          <t>√</t>
        </is>
      </c>
      <c r="G17" s="168" t="n"/>
      <c r="H17" s="169" t="inlineStr">
        <is>
          <t>√</t>
        </is>
      </c>
      <c r="I17" s="168" t="n"/>
      <c r="J17" s="107" t="inlineStr">
        <is>
          <t>N3-1
/N3-2</t>
        </is>
      </c>
    </row>
    <row r="18" ht="57" customHeight="1" s="158">
      <c r="A18" s="94" t="n">
        <v>2</v>
      </c>
      <c r="B18" s="95" t="inlineStr">
        <is>
          <t>期初余额</t>
        </is>
      </c>
      <c r="C18" s="119" t="inlineStr">
        <is>
          <t>对于期初余额审计，获得并查阅账户余额明细表、前期纳税申报表和其他有持续影响的税收文件资料，确定采用的会计政策和程序是适当的、应纳税差异是否合理，必要时，向税务专家咨询。(适用于首次承接）</t>
        </is>
      </c>
      <c r="D18" s="170" t="inlineStr">
        <is>
          <t>备选</t>
        </is>
      </c>
      <c r="E18" s="167" t="inlineStr">
        <is>
          <t>√</t>
        </is>
      </c>
      <c r="F18" s="169" t="inlineStr">
        <is>
          <t>√</t>
        </is>
      </c>
      <c r="G18" s="167" t="inlineStr">
        <is>
          <t>√</t>
        </is>
      </c>
      <c r="H18" s="167" t="inlineStr">
        <is>
          <t>√</t>
        </is>
      </c>
      <c r="I18" s="171" t="n"/>
      <c r="J18" s="107" t="n"/>
    </row>
    <row r="19" ht="57" customHeight="1" s="158">
      <c r="A19" s="94" t="n">
        <v>3</v>
      </c>
      <c r="B19" s="103" t="inlineStr">
        <is>
          <t>应对措施-检查</t>
        </is>
      </c>
      <c r="C19" s="101" t="inlineStr">
        <is>
          <t>确定具有持续性影响的相关税收规定和事项是否仍有效（例如，优惠政策、税率是否发生变化等）。检查被审计单位用于确认递延所得税负债的税率是否根据税法的规定，按照预期收回该资产期间的适用税率计量。</t>
        </is>
      </c>
      <c r="D19" s="97" t="inlineStr">
        <is>
          <t>常规★</t>
        </is>
      </c>
      <c r="E19" s="97" t="n"/>
      <c r="F19" s="97" t="n"/>
      <c r="G19" s="97" t="n"/>
      <c r="H19" s="104" t="inlineStr">
        <is>
          <t>√</t>
        </is>
      </c>
      <c r="I19" s="109" t="n"/>
      <c r="J19" s="107" t="inlineStr">
        <is>
          <t>N3-2</t>
        </is>
      </c>
    </row>
    <row r="20" ht="24.6" customHeight="1" s="158">
      <c r="A20" s="94" t="n">
        <v>4</v>
      </c>
      <c r="B20" s="103" t="inlineStr">
        <is>
          <t>应对措施-检查</t>
        </is>
      </c>
      <c r="C20" s="96" t="inlineStr">
        <is>
          <t>重新计算各项应纳税暂时性差异，检查其会计处理是否正确。</t>
        </is>
      </c>
      <c r="D20" s="97" t="inlineStr">
        <is>
          <t>常规★</t>
        </is>
      </c>
      <c r="E20" s="97" t="n"/>
      <c r="F20" s="97" t="n"/>
      <c r="G20" s="97" t="n"/>
      <c r="H20" s="104" t="inlineStr">
        <is>
          <t>√</t>
        </is>
      </c>
      <c r="I20" s="109" t="n"/>
      <c r="J20" s="107" t="inlineStr">
        <is>
          <t>N1-4</t>
        </is>
      </c>
    </row>
    <row r="21" ht="39" customHeight="1" s="158">
      <c r="A21" s="94" t="n">
        <v>5</v>
      </c>
      <c r="B21" s="103" t="n"/>
      <c r="C21" s="96" t="inlineStr">
        <is>
          <t>根据评估的舞弊风险等因素增加的审计程序。</t>
        </is>
      </c>
      <c r="D21" s="167" t="inlineStr">
        <is>
          <t>IPO/上市/新三板/重组/舞弊应对</t>
        </is>
      </c>
      <c r="E21" s="97" t="n"/>
      <c r="F21" s="97" t="n"/>
      <c r="G21" s="97" t="n"/>
      <c r="H21" s="97" t="n"/>
      <c r="I21" s="109" t="n"/>
      <c r="J21" s="107" t="n"/>
    </row>
    <row r="22" ht="42" customHeight="1" s="158">
      <c r="A22" s="94" t="n">
        <v>6</v>
      </c>
      <c r="B22" s="103" t="inlineStr">
        <is>
          <t>常规程序</t>
        </is>
      </c>
      <c r="C22" s="96" t="inlineStr">
        <is>
          <t>根据适用的会计准则及相关规定，确定财务报表的列报与披露是否恰当。</t>
        </is>
      </c>
      <c r="D22" s="97" t="inlineStr">
        <is>
          <t>常规★</t>
        </is>
      </c>
      <c r="E22" s="97" t="n"/>
      <c r="F22" s="97" t="n"/>
      <c r="G22" s="97" t="n"/>
      <c r="H22" s="97" t="n"/>
      <c r="I22" s="97" t="inlineStr">
        <is>
          <t>√</t>
        </is>
      </c>
      <c r="J22" s="172" t="inlineStr">
        <is>
          <t>A1-1/A1-15 /A1-16</t>
        </is>
      </c>
    </row>
    <row r="27" ht="20.1" customHeight="1" s="158">
      <c r="C27" s="17" t="n"/>
    </row>
    <row r="28" ht="20.1" customHeight="1" s="158">
      <c r="C28" s="17" t="n"/>
    </row>
    <row r="29" ht="20.1" customHeight="1" s="158">
      <c r="C29" s="17" t="n"/>
    </row>
  </sheetData>
  <mergeCells count="24">
    <mergeCell ref="A8:G8"/>
    <mergeCell ref="A3:C3"/>
    <mergeCell ref="J15:J16"/>
    <mergeCell ref="H11:J11"/>
    <mergeCell ref="A10:G10"/>
    <mergeCell ref="A13:G13"/>
    <mergeCell ref="A9:G9"/>
    <mergeCell ref="A5:C5"/>
    <mergeCell ref="A14:C14"/>
    <mergeCell ref="H13:J13"/>
    <mergeCell ref="H12:J12"/>
    <mergeCell ref="A4:C4"/>
    <mergeCell ref="A11:G11"/>
    <mergeCell ref="B15:B16"/>
    <mergeCell ref="D15:D16"/>
    <mergeCell ref="A1:J1"/>
    <mergeCell ref="E15:I15"/>
    <mergeCell ref="H8:J8"/>
    <mergeCell ref="H10:J10"/>
    <mergeCell ref="A12:G12"/>
    <mergeCell ref="A15:A16"/>
    <mergeCell ref="C15:C16"/>
    <mergeCell ref="H9:J9"/>
    <mergeCell ref="A2:J2"/>
  </mergeCells>
  <hyperlinks>
    <hyperlink ref="J3" location="底稿目录!A1" display="D11A"/>
  </hyperlinks>
  <pageMargins left="0.708333333333333" right="0.708333333333333" top="0.747916666666667" bottom="0.747916666666667" header="0.314583333333333" footer="0.314583333333333"/>
  <pageSetup orientation="portrait" paperSize="9" scale="72" blackAndWhite="1" horizontalDpi="1200" verticalDpi="1200"/>
  <headerFooter>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N24"/>
  <sheetViews>
    <sheetView view="pageBreakPreview" zoomScaleNormal="100" workbookViewId="0">
      <selection activeCell="B7" sqref="B7"/>
    </sheetView>
  </sheetViews>
  <sheetFormatPr baseColWidth="8" defaultColWidth="9" defaultRowHeight="23.25" customHeight="1"/>
  <cols>
    <col width="44.5" customWidth="1" style="173" min="1" max="1"/>
    <col width="9.59765625" customWidth="1" style="173" min="2" max="13"/>
    <col width="9" customWidth="1" style="173" min="14" max="16384"/>
  </cols>
  <sheetData>
    <row r="1" ht="20.1" customFormat="1" customHeight="1" s="174">
      <c r="A1" s="175" t="inlineStr">
        <is>
          <t>致同会计师事务所</t>
        </is>
      </c>
    </row>
    <row r="2" ht="24.9" customFormat="1" customHeight="1" s="174">
      <c r="A2" s="176" t="inlineStr">
        <is>
          <t>递延所得税负债审定表</t>
        </is>
      </c>
    </row>
    <row r="3" ht="20.1" customHeight="1" s="158">
      <c r="A3" s="177">
        <f>底稿目录!A2</f>
        <v/>
      </c>
      <c r="B3" s="177" t="n"/>
      <c r="C3" s="177" t="n"/>
      <c r="D3" s="177" t="n"/>
      <c r="E3" s="178">
        <f>底稿目录!A4</f>
        <v/>
      </c>
      <c r="F3" s="177" t="n"/>
      <c r="G3" s="177" t="n"/>
      <c r="H3" s="177" t="n"/>
      <c r="I3" s="69">
        <f>底稿目录!A5</f>
        <v/>
      </c>
      <c r="J3" s="69" t="n"/>
      <c r="K3" s="177" t="n"/>
      <c r="L3" s="177" t="n"/>
      <c r="M3" s="179" t="inlineStr">
        <is>
          <t>索引号：</t>
        </is>
      </c>
      <c r="N3" s="127" t="inlineStr">
        <is>
          <t>N3-1</t>
        </is>
      </c>
    </row>
    <row r="4" ht="20.1" customHeight="1" s="158">
      <c r="A4" s="177">
        <f>底稿目录!A3</f>
        <v/>
      </c>
      <c r="B4" s="52" t="n"/>
      <c r="C4" s="177" t="n"/>
      <c r="D4" s="177" t="n"/>
      <c r="E4" s="178">
        <f>底稿目录!A6</f>
        <v/>
      </c>
      <c r="F4" s="177" t="n"/>
      <c r="G4" s="177" t="n"/>
      <c r="H4" s="177" t="n"/>
      <c r="I4" s="69">
        <f>底稿目录!A7</f>
        <v/>
      </c>
      <c r="J4" s="69" t="n"/>
      <c r="K4" s="177" t="n"/>
      <c r="L4" s="177" t="n"/>
      <c r="M4" s="179" t="inlineStr">
        <is>
          <t>页次：</t>
        </is>
      </c>
      <c r="N4" s="71" t="n"/>
    </row>
    <row r="5" ht="31.5" customFormat="1" customHeight="1" s="180">
      <c r="A5" s="143" t="inlineStr">
        <is>
          <t>项目</t>
        </is>
      </c>
      <c r="B5" s="181" t="inlineStr">
        <is>
          <t>期初数</t>
        </is>
      </c>
      <c r="C5" s="159" t="n"/>
      <c r="D5" s="159" t="n"/>
      <c r="E5" s="160" t="n"/>
      <c r="F5" s="181" t="inlineStr">
        <is>
          <t>期末数</t>
        </is>
      </c>
      <c r="G5" s="159" t="n"/>
      <c r="H5" s="159" t="n"/>
      <c r="I5" s="160" t="n"/>
      <c r="J5" s="182" t="inlineStr">
        <is>
          <t>期末未审数与期初
未审数的比较</t>
        </is>
      </c>
      <c r="K5" s="160" t="n"/>
      <c r="L5" s="182" t="inlineStr">
        <is>
          <t>期末审定数与期初
审定数的比较</t>
        </is>
      </c>
      <c r="M5" s="160" t="n"/>
      <c r="N5" s="143" t="inlineStr">
        <is>
          <t>原因分析</t>
        </is>
      </c>
    </row>
    <row r="6" ht="20.1" customHeight="1" s="158">
      <c r="A6" s="183" t="n"/>
      <c r="B6" s="181" t="inlineStr">
        <is>
          <t>未审数</t>
        </is>
      </c>
      <c r="C6" s="181" t="inlineStr">
        <is>
          <t>账项调整</t>
        </is>
      </c>
      <c r="D6" s="181" t="inlineStr">
        <is>
          <t>重分类调整</t>
        </is>
      </c>
      <c r="E6" s="181" t="inlineStr">
        <is>
          <t>审定数</t>
        </is>
      </c>
      <c r="F6" s="181" t="inlineStr">
        <is>
          <t>未审数</t>
        </is>
      </c>
      <c r="G6" s="181" t="inlineStr">
        <is>
          <t>账项调整</t>
        </is>
      </c>
      <c r="H6" s="181" t="inlineStr">
        <is>
          <t>重分类调整</t>
        </is>
      </c>
      <c r="I6" s="181" t="inlineStr">
        <is>
          <t>审定数</t>
        </is>
      </c>
      <c r="J6" s="184" t="inlineStr">
        <is>
          <t>变动额</t>
        </is>
      </c>
      <c r="K6" s="74" t="inlineStr">
        <is>
          <t>变动率</t>
        </is>
      </c>
      <c r="L6" s="184" t="inlineStr">
        <is>
          <t>变动额</t>
        </is>
      </c>
      <c r="M6" s="185" t="inlineStr">
        <is>
          <t>变动率</t>
        </is>
      </c>
      <c r="N6" s="183" t="n"/>
    </row>
    <row r="7" ht="20.1" customHeight="1" s="158">
      <c r="A7" s="53" t="inlineStr">
        <is>
          <t>评估增值</t>
        </is>
      </c>
      <c r="B7" s="186">
        <f>SUMIF('递延所得税负债明细表N3-2'!$B$11:$B$21,'递延所得税负债审定表N3-1'!$A7,'递延所得税负债明细表N3-2'!E$11:E$21)</f>
        <v/>
      </c>
      <c r="C7" s="186">
        <f>SUMIF('递延所得税负债明细表N3-2'!$B$11:$B$21,'递延所得税负债审定表N3-1'!$A7,'递延所得税负债明细表N3-2'!F$11:F$21)</f>
        <v/>
      </c>
      <c r="D7" s="186">
        <f>SUMIF('递延所得税负债明细表N3-2'!$B$11:$B$21,'递延所得税负债审定表N3-1'!$A7,'递延所得税负债明细表N3-2'!G$11:G$21)</f>
        <v/>
      </c>
      <c r="E7" s="186">
        <f>B7+C7+D7</f>
        <v/>
      </c>
      <c r="F7" s="186">
        <f>SUMIF('递延所得税负债明细表N3-2'!$B$11:$B$21,'递延所得税负债审定表N3-1'!$A7,'递延所得税负债明细表N3-2'!K$11:K$21)</f>
        <v/>
      </c>
      <c r="G7" s="186">
        <f>SUMIF('递延所得税负债明细表N3-2'!$B$11:$B$21,'递延所得税负债审定表N3-1'!$A7,'递延所得税负债明细表N3-2'!L$11:L$21)</f>
        <v/>
      </c>
      <c r="H7" s="186">
        <f>SUMIF('递延所得税负债明细表N3-2'!$B$11:$B$21,'递延所得税负债审定表N3-1'!$A7,'递延所得税负债明细表N3-2'!M$11:M$21)</f>
        <v/>
      </c>
      <c r="I7" s="186">
        <f>F7+G7+H7</f>
        <v/>
      </c>
      <c r="J7" s="187">
        <f>F7-B7</f>
        <v/>
      </c>
      <c r="K7" s="76">
        <f>IF(AND(B7=0,J7=0),0,IF(AND(B7=0,J7&gt;0),1,J7/B7))</f>
        <v/>
      </c>
      <c r="L7" s="187">
        <f>I7-E7</f>
        <v/>
      </c>
      <c r="M7" s="76">
        <f>IF(AND(E7=0,L7=0),0,IF(AND(E7=0,L7&gt;0),1,L7/E7))</f>
        <v/>
      </c>
      <c r="N7" s="77" t="n"/>
    </row>
    <row r="8" ht="20.1" customHeight="1" s="158">
      <c r="A8" s="53" t="inlineStr">
        <is>
          <t>公允价值变动</t>
        </is>
      </c>
      <c r="B8" s="186">
        <f>SUMIF('递延所得税负债明细表N3-2'!$B$11:$B$21,'递延所得税负债审定表N3-1'!$A8,'递延所得税负债明细表N3-2'!E$11:E$21)</f>
        <v/>
      </c>
      <c r="C8" s="186">
        <f>SUMIF('递延所得税负债明细表N3-2'!$B$11:$B$21,'递延所得税负债审定表N3-1'!$A8,'递延所得税负债明细表N3-2'!F$11:F$21)</f>
        <v/>
      </c>
      <c r="D8" s="186">
        <f>SUMIF('递延所得税负债明细表N3-2'!$B$11:$B$21,'递延所得税负债审定表N3-1'!$A8,'递延所得税负债明细表N3-2'!G$11:G$21)</f>
        <v/>
      </c>
      <c r="E8" s="186">
        <f>B8+C8+D8</f>
        <v/>
      </c>
      <c r="F8" s="186">
        <f>SUMIF('递延所得税负债明细表N3-2'!$B$11:$B$21,'递延所得税负债审定表N3-1'!$A8,'递延所得税负债明细表N3-2'!K$11:K$21)</f>
        <v/>
      </c>
      <c r="G8" s="186">
        <f>SUMIF('递延所得税负债明细表N3-2'!$B$11:$B$21,'递延所得税负债审定表N3-1'!$A8,'递延所得税负债明细表N3-2'!L$11:L$21)</f>
        <v/>
      </c>
      <c r="H8" s="186">
        <f>SUMIF('递延所得税负债明细表N3-2'!$B$11:$B$21,'递延所得税负债审定表N3-1'!$A8,'递延所得税负债明细表N3-2'!M$11:M$21)</f>
        <v/>
      </c>
      <c r="I8" s="186">
        <f>F8+G8+H8</f>
        <v/>
      </c>
      <c r="J8" s="187">
        <f>F8-B8</f>
        <v/>
      </c>
      <c r="K8" s="76">
        <f>IF(AND(B8=0,J8=0),0,IF(AND(B8=0,J8&gt;0),1,J8/B8))</f>
        <v/>
      </c>
      <c r="L8" s="187">
        <f>I8-E8</f>
        <v/>
      </c>
      <c r="M8" s="76">
        <f>IF(AND(E8=0,L8=0),0,IF(AND(E8=0,L8&gt;0),1,L8/E8))</f>
        <v/>
      </c>
      <c r="N8" s="77" t="n"/>
    </row>
    <row r="9" ht="20.1" customHeight="1" s="158">
      <c r="A9" s="53" t="inlineStr">
        <is>
          <t>使用权资产</t>
        </is>
      </c>
      <c r="B9" s="186">
        <f>SUMIF('递延所得税负债明细表N3-2'!$B$11:$B$21,'递延所得税负债审定表N3-1'!$A9,'递延所得税负债明细表N3-2'!E$11:E$21)</f>
        <v/>
      </c>
      <c r="C9" s="186">
        <f>SUMIF('递延所得税负债明细表N3-2'!$B$11:$B$21,'递延所得税负债审定表N3-1'!$A9,'递延所得税负债明细表N3-2'!F$11:F$21)</f>
        <v/>
      </c>
      <c r="D9" s="186">
        <f>SUMIF('递延所得税负债明细表N3-2'!$B$11:$B$21,'递延所得税负债审定表N3-1'!$A9,'递延所得税负债明细表N3-2'!G$11:G$21)</f>
        <v/>
      </c>
      <c r="E9" s="186">
        <f>B9+C9+D9</f>
        <v/>
      </c>
      <c r="F9" s="186">
        <f>SUMIF('递延所得税负债明细表N3-2'!$B$11:$B$21,'递延所得税负债审定表N3-1'!$A9,'递延所得税负债明细表N3-2'!K$11:K$21)</f>
        <v/>
      </c>
      <c r="G9" s="186">
        <f>SUMIF('递延所得税负债明细表N3-2'!$B$11:$B$21,'递延所得税负债审定表N3-1'!$A9,'递延所得税负债明细表N3-2'!L$11:L$21)</f>
        <v/>
      </c>
      <c r="H9" s="186">
        <f>SUMIF('递延所得税负债明细表N3-2'!$B$11:$B$21,'递延所得税负债审定表N3-1'!$A9,'递延所得税负债明细表N3-2'!M$11:M$21)</f>
        <v/>
      </c>
      <c r="I9" s="186">
        <f>F9+G9+H9</f>
        <v/>
      </c>
      <c r="J9" s="187">
        <f>F9-B9</f>
        <v/>
      </c>
      <c r="K9" s="76">
        <f>IF(AND(B9=0,J9=0),0,IF(AND(B9=0,J9&gt;0),1,J9/B9))</f>
        <v/>
      </c>
      <c r="L9" s="187">
        <f>I9-E9</f>
        <v/>
      </c>
      <c r="M9" s="76">
        <f>IF(AND(E9=0,L9=0),0,IF(AND(E9=0,L9&gt;0),1,L9/E9))</f>
        <v/>
      </c>
      <c r="N9" s="77" t="n"/>
    </row>
    <row r="10" ht="20.1" customHeight="1" s="158">
      <c r="A10" s="53" t="inlineStr">
        <is>
          <t>购入摊销年限大于税法规定的资产</t>
        </is>
      </c>
      <c r="B10" s="186">
        <f>SUMIF('递延所得税负债明细表N3-2'!$B$11:$B$21,'递延所得税负债审定表N3-1'!$A10,'递延所得税负债明细表N3-2'!E$11:E$21)</f>
        <v/>
      </c>
      <c r="C10" s="186">
        <f>SUMIF('递延所得税负债明细表N3-2'!$B$11:$B$21,'递延所得税负债审定表N3-1'!$A10,'递延所得税负债明细表N3-2'!F$11:F$21)</f>
        <v/>
      </c>
      <c r="D10" s="186">
        <f>SUMIF('递延所得税负债明细表N3-2'!$B$11:$B$21,'递延所得税负债审定表N3-1'!$A10,'递延所得税负债明细表N3-2'!G$11:G$21)</f>
        <v/>
      </c>
      <c r="E10" s="186">
        <f>B10+C10+D10</f>
        <v/>
      </c>
      <c r="F10" s="186">
        <f>SUMIF('递延所得税负债明细表N3-2'!$B$11:$B$21,'递延所得税负债审定表N3-1'!$A10,'递延所得税负债明细表N3-2'!K$11:K$21)</f>
        <v/>
      </c>
      <c r="G10" s="186">
        <f>SUMIF('递延所得税负债明细表N3-2'!$B$11:$B$21,'递延所得税负债审定表N3-1'!$A10,'递延所得税负债明细表N3-2'!L$11:L$21)</f>
        <v/>
      </c>
      <c r="H10" s="186">
        <f>SUMIF('递延所得税负债明细表N3-2'!$B$11:$B$21,'递延所得税负债审定表N3-1'!$A10,'递延所得税负债明细表N3-2'!M$11:M$21)</f>
        <v/>
      </c>
      <c r="I10" s="186">
        <f>F10+G10+H10</f>
        <v/>
      </c>
      <c r="J10" s="187">
        <f>F10-B10</f>
        <v/>
      </c>
      <c r="K10" s="76">
        <f>IF(AND(B10=0,J10=0),0,IF(AND(B10=0,J10&gt;0),1,J10/B10))</f>
        <v/>
      </c>
      <c r="L10" s="187">
        <f>I10-E10</f>
        <v/>
      </c>
      <c r="M10" s="76">
        <f>IF(AND(E10=0,L10=0),0,IF(AND(E10=0,L10&gt;0),1,L10/E10))</f>
        <v/>
      </c>
      <c r="N10" s="77" t="n"/>
    </row>
    <row r="11" ht="20.1" customHeight="1" s="158">
      <c r="A11" s="53" t="inlineStr">
        <is>
          <t>其他</t>
        </is>
      </c>
      <c r="B11" s="186">
        <f>SUMIF('递延所得税负债明细表N3-2'!$B$11:$B$21,'递延所得税负债审定表N3-1'!$A11,'递延所得税负债明细表N3-2'!E$11:E$21)</f>
        <v/>
      </c>
      <c r="C11" s="186">
        <f>SUMIF('递延所得税负债明细表N3-2'!$B$11:$B$21,'递延所得税负债审定表N3-1'!$A11,'递延所得税负债明细表N3-2'!F$11:F$21)</f>
        <v/>
      </c>
      <c r="D11" s="186">
        <f>SUMIF('递延所得税负债明细表N3-2'!$B$11:$B$21,'递延所得税负债审定表N3-1'!$A11,'递延所得税负债明细表N3-2'!G$11:G$21)</f>
        <v/>
      </c>
      <c r="E11" s="186">
        <f>B11+C11+D11</f>
        <v/>
      </c>
      <c r="F11" s="186">
        <f>SUMIF('递延所得税负债明细表N3-2'!$B$11:$B$21,'递延所得税负债审定表N3-1'!$A11,'递延所得税负债明细表N3-2'!K$11:K$21)</f>
        <v/>
      </c>
      <c r="G11" s="186">
        <f>SUMIF('递延所得税负债明细表N3-2'!$B$11:$B$21,'递延所得税负债审定表N3-1'!$A11,'递延所得税负债明细表N3-2'!L$11:L$21)</f>
        <v/>
      </c>
      <c r="H11" s="186">
        <f>SUMIF('递延所得税负债明细表N3-2'!$B$11:$B$21,'递延所得税负债审定表N3-1'!$A11,'递延所得税负债明细表N3-2'!M$11:M$21)</f>
        <v/>
      </c>
      <c r="I11" s="186">
        <f>F11+G11+H11</f>
        <v/>
      </c>
      <c r="J11" s="187">
        <f>F11-B11</f>
        <v/>
      </c>
      <c r="K11" s="76">
        <f>IF(AND(B11=0,J11=0),0,IF(AND(B11=0,J11&gt;0),1,J11/B11))</f>
        <v/>
      </c>
      <c r="L11" s="187">
        <f>I11-E11</f>
        <v/>
      </c>
      <c r="M11" s="76">
        <f>IF(AND(E11=0,L11=0),0,IF(AND(E11=0,L11&gt;0),1,L11/E11))</f>
        <v/>
      </c>
      <c r="N11" s="77" t="n"/>
    </row>
    <row r="12" ht="20.1" customHeight="1" s="158">
      <c r="A12" s="53" t="n"/>
      <c r="B12" s="186">
        <f>SUMIF('递延所得税负债明细表N3-2'!$B$11:$B$21,'递延所得税负债审定表N3-1'!$A12,'递延所得税负债明细表N3-2'!E$11:E$21)</f>
        <v/>
      </c>
      <c r="C12" s="186">
        <f>SUMIF('递延所得税负债明细表N3-2'!$B$11:$B$21,'递延所得税负债审定表N3-1'!$A12,'递延所得税负债明细表N3-2'!F$11:F$21)</f>
        <v/>
      </c>
      <c r="D12" s="186">
        <f>SUMIF('递延所得税负债明细表N3-2'!$B$11:$B$21,'递延所得税负债审定表N3-1'!$A12,'递延所得税负债明细表N3-2'!G$11:G$21)</f>
        <v/>
      </c>
      <c r="E12" s="186">
        <f>B12+C12+D12</f>
        <v/>
      </c>
      <c r="F12" s="186">
        <f>SUMIF('递延所得税负债明细表N3-2'!$B$11:$B$21,'递延所得税负债审定表N3-1'!$A12,'递延所得税负债明细表N3-2'!K$11:K$21)</f>
        <v/>
      </c>
      <c r="G12" s="186">
        <f>SUMIF('递延所得税负债明细表N3-2'!$B$11:$B$21,'递延所得税负债审定表N3-1'!$A12,'递延所得税负债明细表N3-2'!L$11:L$21)</f>
        <v/>
      </c>
      <c r="H12" s="186">
        <f>SUMIF('递延所得税负债明细表N3-2'!$B$11:$B$21,'递延所得税负债审定表N3-1'!$A12,'递延所得税负债明细表N3-2'!M$11:M$21)</f>
        <v/>
      </c>
      <c r="I12" s="186">
        <f>F12+G12+H12</f>
        <v/>
      </c>
      <c r="J12" s="187">
        <f>F12-B12</f>
        <v/>
      </c>
      <c r="K12" s="76">
        <f>IF(AND(B12=0,J12=0),0,IF(AND(B12=0,J12&gt;0),1,J12/B12))</f>
        <v/>
      </c>
      <c r="L12" s="187">
        <f>I12-E12</f>
        <v/>
      </c>
      <c r="M12" s="76">
        <f>IF(AND(E12=0,L12=0),0,IF(AND(E12=0,L12&gt;0),1,L12/E12))</f>
        <v/>
      </c>
      <c r="N12" s="188" t="n"/>
    </row>
    <row r="13" ht="20.1" customHeight="1" s="158">
      <c r="A13" s="189" t="inlineStr">
        <is>
          <t>合计</t>
        </is>
      </c>
      <c r="B13" s="190">
        <f>SUM(B7:B12)</f>
        <v/>
      </c>
      <c r="C13" s="190">
        <f>SUM(C7:C12)</f>
        <v/>
      </c>
      <c r="D13" s="190">
        <f>SUM(D7:D12)</f>
        <v/>
      </c>
      <c r="E13" s="190">
        <f>SUM(E7:E12)</f>
        <v/>
      </c>
      <c r="F13" s="190">
        <f>SUM(F7:F12)</f>
        <v/>
      </c>
      <c r="G13" s="190">
        <f>SUM(G7:G12)</f>
        <v/>
      </c>
      <c r="H13" s="190">
        <f>SUM(H7:H12)</f>
        <v/>
      </c>
      <c r="I13" s="190">
        <f>SUM(I7:I12)</f>
        <v/>
      </c>
      <c r="J13" s="190">
        <f>SUM(J7:J12)</f>
        <v/>
      </c>
      <c r="K13" s="76">
        <f>IF(AND(B13=0,J13=0),0,IF(AND(B13=0,J13&gt;0),1,J13/B13))</f>
        <v/>
      </c>
      <c r="L13" s="187">
        <f>I13-E13</f>
        <v/>
      </c>
      <c r="M13" s="76">
        <f>IF(AND(E13=0,L13=0),0,IF(AND(E13=0,L13&gt;0),1,L13/E13))</f>
        <v/>
      </c>
      <c r="N13" s="188" t="n"/>
    </row>
    <row r="14" ht="20.1" customFormat="1" customHeight="1" s="173">
      <c r="A14" s="191" t="inlineStr">
        <is>
          <t>试算平衡表数</t>
        </is>
      </c>
      <c r="B14" s="192" t="n"/>
      <c r="C14" s="192" t="n"/>
      <c r="D14" s="192" t="n"/>
      <c r="E14" s="192" t="n"/>
      <c r="F14" s="192" t="n"/>
      <c r="G14" s="192" t="n"/>
      <c r="H14" s="192" t="n"/>
      <c r="I14" s="192" t="n"/>
      <c r="J14" s="193" t="n"/>
      <c r="K14" s="80" t="n"/>
      <c r="L14" s="193" t="n"/>
      <c r="M14" s="80" t="n"/>
      <c r="N14" s="194" t="n"/>
    </row>
    <row r="15" ht="20.1" customFormat="1" customHeight="1" s="173">
      <c r="A15" s="191" t="inlineStr">
        <is>
          <t>差异数</t>
        </is>
      </c>
      <c r="B15" s="192" t="n"/>
      <c r="C15" s="192" t="n"/>
      <c r="D15" s="192" t="n"/>
      <c r="E15" s="195">
        <f>E13-E14</f>
        <v/>
      </c>
      <c r="F15" s="192" t="n"/>
      <c r="G15" s="192" t="n"/>
      <c r="H15" s="192" t="n"/>
      <c r="I15" s="195">
        <f>I13-I14</f>
        <v/>
      </c>
      <c r="J15" s="193" t="n"/>
      <c r="K15" s="80" t="n"/>
      <c r="L15" s="193" t="n"/>
      <c r="M15" s="80" t="n"/>
      <c r="N15" s="194" t="n"/>
    </row>
    <row r="16" ht="20.1" customHeight="1" s="158">
      <c r="A16" s="196" t="inlineStr">
        <is>
          <t>1.审计说明</t>
        </is>
      </c>
      <c r="B16" s="197" t="n"/>
      <c r="C16" s="197" t="n"/>
      <c r="D16" s="197" t="n"/>
      <c r="E16" s="197" t="n"/>
      <c r="F16" s="198" t="n"/>
      <c r="G16" s="197" t="n"/>
    </row>
    <row r="17" ht="20.1" customHeight="1" s="158">
      <c r="A17" s="63" t="inlineStr">
        <is>
          <t>（1）期末余额较期初余额增加（负数为减少）：</t>
        </is>
      </c>
      <c r="B17" s="64" t="n"/>
      <c r="C17" s="64" t="n"/>
      <c r="D17" s="142" t="n"/>
      <c r="F17" s="64" t="n"/>
      <c r="G17" s="64" t="n"/>
    </row>
    <row r="18" ht="20.1" customHeight="1" s="158">
      <c r="A18" s="63" t="inlineStr">
        <is>
          <t>主要原因（比例超过30%的）：</t>
        </is>
      </c>
      <c r="B18" s="64" t="n"/>
      <c r="C18" s="64" t="n"/>
      <c r="D18" s="64" t="n"/>
      <c r="E18" s="64" t="n"/>
      <c r="F18" s="64" t="n"/>
      <c r="G18" s="64" t="n"/>
    </row>
    <row r="19" ht="20.1" customHeight="1" s="158">
      <c r="A19" s="65" t="inlineStr">
        <is>
          <t>（2）情况说明。</t>
        </is>
      </c>
      <c r="B19" s="66" t="n"/>
      <c r="C19" s="66" t="n"/>
      <c r="D19" s="66" t="n"/>
      <c r="E19" s="66" t="n"/>
      <c r="F19" s="66" t="n"/>
      <c r="G19" s="66" t="n"/>
    </row>
    <row r="20" ht="20.1" customHeight="1" s="158">
      <c r="A20" s="65" t="n"/>
      <c r="B20" s="66" t="n"/>
      <c r="C20" s="66" t="n"/>
      <c r="D20" s="66" t="n"/>
      <c r="E20" s="66" t="n"/>
      <c r="F20" s="66" t="n"/>
      <c r="G20" s="66" t="n"/>
    </row>
    <row r="21" ht="20.1" customHeight="1" s="158">
      <c r="A21" s="67" t="inlineStr">
        <is>
          <t>2.审计结论</t>
        </is>
      </c>
      <c r="B21" s="64" t="n"/>
      <c r="C21" s="64" t="n"/>
      <c r="D21" s="64" t="n"/>
      <c r="E21" s="64" t="n"/>
      <c r="F21" s="198" t="n"/>
      <c r="G21" s="64" t="n"/>
    </row>
    <row r="22" ht="20.1" customHeight="1" s="158">
      <c r="A22" s="67" t="n"/>
      <c r="B22" s="64" t="n"/>
      <c r="C22" s="64" t="n"/>
      <c r="D22" s="64" t="n"/>
      <c r="E22" s="64" t="n"/>
      <c r="F22" s="198" t="n"/>
      <c r="G22" s="64" t="n"/>
    </row>
    <row r="23" ht="20.1" customHeight="1" s="158">
      <c r="A23" s="67" t="n"/>
      <c r="B23" s="64" t="n"/>
      <c r="C23" s="64" t="n"/>
      <c r="D23" s="64" t="n"/>
      <c r="E23" s="64" t="n"/>
      <c r="F23" s="198" t="n"/>
      <c r="G23" s="64" t="n"/>
    </row>
    <row r="24" ht="23.25" customHeight="1" s="158">
      <c r="A24" s="199" t="n"/>
    </row>
  </sheetData>
  <mergeCells count="9">
    <mergeCell ref="A5:A6"/>
    <mergeCell ref="N5:N6"/>
    <mergeCell ref="J5:K5"/>
    <mergeCell ref="A2:N2"/>
    <mergeCell ref="L5:M5"/>
    <mergeCell ref="B5:E5"/>
    <mergeCell ref="F5:I5"/>
    <mergeCell ref="D17:E17"/>
    <mergeCell ref="A1:N1"/>
  </mergeCells>
  <hyperlinks>
    <hyperlink ref="N3" location="底稿目录!A1" display="D11-1"/>
  </hyperlinks>
  <pageMargins left="0.708333333333333" right="0.708333333333333" top="0.747916666666667" bottom="0.747916666666667" header="0.314583333333333" footer="0.314583333333333"/>
  <pageSetup orientation="landscape" paperSize="9" scale="72" blackAndWhite="1" horizontalDpi="1200" verticalDpi="1200"/>
  <headerFooter>
    <oddHeader/>
    <oddFooter>&amp;C&amp;P/&amp;N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N31"/>
  <sheetViews>
    <sheetView view="pageBreakPreview" topLeftCell="A7" zoomScaleNormal="100" workbookViewId="0">
      <selection activeCell="A1" sqref="A1:N1"/>
    </sheetView>
  </sheetViews>
  <sheetFormatPr baseColWidth="8" defaultColWidth="9" defaultRowHeight="20.1" customHeight="1"/>
  <cols>
    <col width="35.796875" customWidth="1" style="21" min="1" max="1"/>
    <col width="20" customWidth="1" style="21" min="2" max="2"/>
    <col width="9" customWidth="1" style="21" min="3" max="16384"/>
  </cols>
  <sheetData>
    <row r="1" ht="20.1" customHeight="1" s="158">
      <c r="A1" s="139" t="inlineStr">
        <is>
          <t>致同会计师事务所</t>
        </is>
      </c>
    </row>
    <row r="2" ht="20.1" customHeight="1" s="158">
      <c r="A2" s="152" t="inlineStr">
        <is>
          <t>递延所得税负债明细表</t>
        </is>
      </c>
    </row>
    <row r="3" ht="20.1" customHeight="1" s="158">
      <c r="A3" s="22">
        <f>底稿目录!A2</f>
        <v/>
      </c>
      <c r="B3" s="22" t="n"/>
      <c r="C3" s="22">
        <f>底稿目录!A4</f>
        <v/>
      </c>
      <c r="E3" s="22" t="n"/>
      <c r="F3" s="23" t="n"/>
      <c r="G3" s="23" t="n"/>
      <c r="H3" s="22">
        <f>底稿目录!A5</f>
        <v/>
      </c>
      <c r="I3" s="24" t="n"/>
      <c r="J3" s="24" t="n"/>
      <c r="K3" s="43" t="n"/>
      <c r="L3" s="24" t="n"/>
      <c r="M3" s="43" t="inlineStr">
        <is>
          <t>索引号：</t>
        </is>
      </c>
      <c r="N3" s="127" t="inlineStr">
        <is>
          <t>N3-2</t>
        </is>
      </c>
    </row>
    <row r="4" ht="20.1" customHeight="1" s="158">
      <c r="A4" s="22">
        <f>底稿目录!A3</f>
        <v/>
      </c>
      <c r="B4" s="22" t="n"/>
      <c r="C4" s="22">
        <f>底稿目录!A6</f>
        <v/>
      </c>
      <c r="E4" s="22" t="n"/>
      <c r="F4" s="23" t="n"/>
      <c r="G4" s="23" t="n"/>
      <c r="H4" s="22">
        <f>底稿目录!A7</f>
        <v/>
      </c>
      <c r="I4" s="24" t="n"/>
      <c r="J4" s="24" t="n"/>
      <c r="K4" s="43" t="n"/>
      <c r="L4" s="24" t="n"/>
      <c r="M4" s="43" t="inlineStr">
        <is>
          <t>页次：</t>
        </is>
      </c>
      <c r="N4" s="22" t="n"/>
    </row>
    <row r="5" ht="20.1" customHeight="1" s="158">
      <c r="A5" s="25" t="inlineStr">
        <is>
          <t>一、审计目标</t>
        </is>
      </c>
      <c r="B5" s="25" t="n"/>
      <c r="C5" s="25" t="n"/>
      <c r="D5" s="26" t="n"/>
      <c r="E5" s="88" t="n"/>
      <c r="F5" s="20" t="n"/>
      <c r="G5" s="20" t="n"/>
      <c r="H5" s="20" t="n"/>
      <c r="I5" s="88" t="n"/>
      <c r="J5" s="26" t="n"/>
      <c r="K5" s="26" t="n"/>
      <c r="L5" s="26" t="n"/>
      <c r="M5" s="26" t="n"/>
      <c r="N5" s="26" t="n"/>
    </row>
    <row r="6" ht="20.1" customHeight="1" s="158">
      <c r="A6" s="88" t="inlineStr">
        <is>
          <t>递延所得税负债以恰当的金额包括在财务报表中，与之相关的计价调整已恰当记录。</t>
        </is>
      </c>
      <c r="B6" s="88" t="n"/>
      <c r="C6" s="26" t="n"/>
      <c r="D6" s="26" t="n"/>
      <c r="E6" s="88" t="n"/>
      <c r="F6" s="20" t="n"/>
      <c r="G6" s="20" t="n"/>
      <c r="H6" s="20" t="n"/>
      <c r="I6" s="88" t="n"/>
      <c r="J6" s="26" t="n"/>
      <c r="K6" s="26" t="n"/>
      <c r="L6" s="26" t="n"/>
      <c r="M6" s="26" t="n"/>
      <c r="N6" s="26" t="n"/>
    </row>
    <row r="7" ht="20.1" customHeight="1" s="158">
      <c r="A7" s="25" t="inlineStr">
        <is>
          <t>二、审计过程</t>
        </is>
      </c>
      <c r="B7" s="25" t="n"/>
      <c r="C7" s="25" t="n"/>
      <c r="D7" s="26" t="n"/>
      <c r="E7" s="88" t="n"/>
      <c r="F7" s="20" t="n"/>
      <c r="G7" s="20" t="n"/>
      <c r="H7" s="20" t="n"/>
      <c r="I7" s="88" t="n"/>
      <c r="J7" s="26" t="n"/>
      <c r="K7" s="26" t="n"/>
      <c r="L7" s="26" t="n"/>
      <c r="M7" s="26" t="n"/>
      <c r="N7" s="26" t="n"/>
    </row>
    <row r="8" ht="20.1" customHeight="1" s="158">
      <c r="A8" s="28" t="inlineStr">
        <is>
          <t>【项目组根据被审计单位税收情况增减项目】</t>
        </is>
      </c>
      <c r="B8" s="28" t="n"/>
    </row>
    <row r="9" ht="20.1" customHeight="1" s="158">
      <c r="A9" s="153" t="inlineStr">
        <is>
          <t>项  目</t>
        </is>
      </c>
      <c r="B9" s="153" t="inlineStr">
        <is>
          <t>分类</t>
        </is>
      </c>
      <c r="C9" s="153" t="inlineStr">
        <is>
          <t>期初</t>
        </is>
      </c>
      <c r="D9" s="200" t="n"/>
      <c r="E9" s="200" t="n"/>
      <c r="F9" s="200" t="n"/>
      <c r="G9" s="200" t="n"/>
      <c r="H9" s="201" t="n"/>
      <c r="I9" s="153" t="inlineStr">
        <is>
          <t>期末</t>
        </is>
      </c>
      <c r="J9" s="200" t="n"/>
      <c r="K9" s="200" t="n"/>
      <c r="L9" s="200" t="n"/>
      <c r="M9" s="200" t="n"/>
      <c r="N9" s="201" t="n"/>
    </row>
    <row r="10" ht="43.5" customHeight="1" s="158">
      <c r="A10" s="183" t="n"/>
      <c r="B10" s="183" t="n"/>
      <c r="C10" s="29" t="inlineStr">
        <is>
          <t>暂时性差异</t>
        </is>
      </c>
      <c r="D10" s="29" t="inlineStr">
        <is>
          <t>适用税率</t>
        </is>
      </c>
      <c r="E10" s="29" t="inlineStr">
        <is>
          <t>递延所得税负债期初余额</t>
        </is>
      </c>
      <c r="F10" s="181" t="inlineStr">
        <is>
          <t>账项调整</t>
        </is>
      </c>
      <c r="G10" s="181" t="inlineStr">
        <is>
          <t>重分类调整</t>
        </is>
      </c>
      <c r="H10" s="29" t="inlineStr">
        <is>
          <t>递延所得税负债期初审定数</t>
        </is>
      </c>
      <c r="I10" s="29" t="inlineStr">
        <is>
          <t>暂时性差异</t>
        </is>
      </c>
      <c r="J10" s="29" t="inlineStr">
        <is>
          <t>适用税率</t>
        </is>
      </c>
      <c r="K10" s="29" t="inlineStr">
        <is>
          <t>递延所得税负债期末余额</t>
        </is>
      </c>
      <c r="L10" s="181" t="inlineStr">
        <is>
          <t>账项调整</t>
        </is>
      </c>
      <c r="M10" s="181" t="inlineStr">
        <is>
          <t>重分类调整</t>
        </is>
      </c>
      <c r="N10" s="44" t="inlineStr">
        <is>
          <t>递延所得税负债期末审定数</t>
        </is>
      </c>
    </row>
    <row r="11" ht="20.1" customHeight="1" s="158">
      <c r="A11" s="31" t="inlineStr">
        <is>
          <t>非同一控制企业合并资产评估增值</t>
        </is>
      </c>
      <c r="B11" s="31" t="inlineStr">
        <is>
          <t>评估增值</t>
        </is>
      </c>
      <c r="C11" s="202" t="n"/>
      <c r="D11" s="203" t="n"/>
      <c r="E11" s="204">
        <f>ROUND(C11*D11,2)</f>
        <v/>
      </c>
      <c r="F11" s="202" t="n"/>
      <c r="G11" s="202" t="n"/>
      <c r="H11" s="204">
        <f>E11+F11+G11</f>
        <v/>
      </c>
      <c r="I11" s="202" t="n"/>
      <c r="J11" s="203" t="n"/>
      <c r="K11" s="204">
        <f>ROUND(I11*J11,2)</f>
        <v/>
      </c>
      <c r="L11" s="202" t="n"/>
      <c r="M11" s="202" t="n"/>
      <c r="N11" s="205">
        <f>K11+L11+M11</f>
        <v/>
      </c>
    </row>
    <row r="12" ht="20.1" customHeight="1" s="158">
      <c r="A12" s="31" t="inlineStr">
        <is>
          <t>使用权资产</t>
        </is>
      </c>
      <c r="B12" s="31" t="inlineStr">
        <is>
          <t>使用权资产</t>
        </is>
      </c>
      <c r="C12" s="202" t="n"/>
      <c r="D12" s="203" t="n"/>
      <c r="E12" s="204">
        <f>ROUND(C12*D12,2)</f>
        <v/>
      </c>
      <c r="F12" s="202" t="n"/>
      <c r="G12" s="202" t="n"/>
      <c r="H12" s="204">
        <f>E12+F12+G12</f>
        <v/>
      </c>
      <c r="I12" s="202" t="n"/>
      <c r="J12" s="203" t="n"/>
      <c r="K12" s="204">
        <f>ROUND(I12*J12,2)</f>
        <v/>
      </c>
      <c r="L12" s="202" t="n"/>
      <c r="M12" s="202" t="n"/>
      <c r="N12" s="205">
        <f>K12+L12+M12</f>
        <v/>
      </c>
    </row>
    <row r="13" ht="20.1" customHeight="1" s="158">
      <c r="A13" s="31" t="inlineStr">
        <is>
          <t>交易性金融资产（公允价值与初始账面成本差异）</t>
        </is>
      </c>
      <c r="B13" s="31" t="inlineStr">
        <is>
          <t>公允价值变动</t>
        </is>
      </c>
      <c r="C13" s="202" t="n"/>
      <c r="D13" s="203" t="n"/>
      <c r="E13" s="204">
        <f>ROUND(C13*D13,2)</f>
        <v/>
      </c>
      <c r="F13" s="202" t="n"/>
      <c r="G13" s="202" t="n"/>
      <c r="H13" s="204">
        <f>E13+F13+G13</f>
        <v/>
      </c>
      <c r="I13" s="202" t="n"/>
      <c r="J13" s="203" t="n"/>
      <c r="K13" s="204">
        <f>ROUND(I13*J13,2)</f>
        <v/>
      </c>
      <c r="L13" s="202" t="n"/>
      <c r="M13" s="202" t="n"/>
      <c r="N13" s="205">
        <f>K13+L13+M13</f>
        <v/>
      </c>
    </row>
    <row r="14" ht="20.1" customHeight="1" s="158">
      <c r="A14" s="31" t="inlineStr">
        <is>
          <t>其他权益工具投资（公允价值与初始账面成本差异）</t>
        </is>
      </c>
      <c r="B14" s="31" t="inlineStr">
        <is>
          <t>公允价值变动</t>
        </is>
      </c>
      <c r="C14" s="202" t="n"/>
      <c r="D14" s="203" t="n"/>
      <c r="E14" s="204">
        <f>ROUND(C14*D14,2)</f>
        <v/>
      </c>
      <c r="F14" s="202" t="n"/>
      <c r="G14" s="202" t="n"/>
      <c r="H14" s="204">
        <f>E14+F14+G14</f>
        <v/>
      </c>
      <c r="I14" s="202" t="n"/>
      <c r="J14" s="203" t="n"/>
      <c r="K14" s="204">
        <f>ROUND(I14*J14,2)</f>
        <v/>
      </c>
      <c r="L14" s="202" t="n"/>
      <c r="M14" s="202" t="n"/>
      <c r="N14" s="205">
        <f>K14+L14+M14</f>
        <v/>
      </c>
    </row>
    <row r="15" ht="20.1" customHeight="1" s="158">
      <c r="A15" s="31" t="inlineStr">
        <is>
          <t>计入其他综合收益的应收款项融资公允价值变动</t>
        </is>
      </c>
      <c r="B15" s="31" t="inlineStr">
        <is>
          <t>公允价值变动</t>
        </is>
      </c>
      <c r="C15" s="202" t="n"/>
      <c r="D15" s="203" t="n"/>
      <c r="E15" s="204">
        <f>ROUND(C15*D15,2)</f>
        <v/>
      </c>
      <c r="F15" s="202" t="n"/>
      <c r="G15" s="202" t="n"/>
      <c r="H15" s="204">
        <f>E15+F15+G15</f>
        <v/>
      </c>
      <c r="I15" s="202" t="n"/>
      <c r="J15" s="203" t="n"/>
      <c r="K15" s="204">
        <f>ROUND(I15*J15,2)</f>
        <v/>
      </c>
      <c r="L15" s="202" t="n"/>
      <c r="M15" s="202" t="n"/>
      <c r="N15" s="205">
        <f>K15+L15+M15</f>
        <v/>
      </c>
    </row>
    <row r="16" ht="20.1" customHeight="1" s="158">
      <c r="A16" s="31" t="inlineStr">
        <is>
          <t>计入其他综合收益的其他债权投资公允价值变动</t>
        </is>
      </c>
      <c r="B16" s="31" t="inlineStr">
        <is>
          <t>公允价值变动</t>
        </is>
      </c>
      <c r="C16" s="202" t="n"/>
      <c r="D16" s="203" t="n"/>
      <c r="E16" s="204">
        <f>ROUND(C16*D16,2)</f>
        <v/>
      </c>
      <c r="F16" s="202" t="n"/>
      <c r="G16" s="202" t="n"/>
      <c r="H16" s="204">
        <f>E16+F16+G16</f>
        <v/>
      </c>
      <c r="I16" s="202" t="n"/>
      <c r="J16" s="203" t="n"/>
      <c r="K16" s="204">
        <f>ROUND(I16*J16,2)</f>
        <v/>
      </c>
      <c r="L16" s="202" t="n"/>
      <c r="M16" s="202" t="n"/>
      <c r="N16" s="205">
        <f>K16+L16+M16</f>
        <v/>
      </c>
    </row>
    <row r="17" ht="20.1" customHeight="1" s="158">
      <c r="A17" s="31" t="inlineStr">
        <is>
          <t>投资性房地产（公允价值与账面差异）</t>
        </is>
      </c>
      <c r="B17" s="31" t="inlineStr">
        <is>
          <t>公允价值变动</t>
        </is>
      </c>
      <c r="C17" s="202" t="n"/>
      <c r="D17" s="203" t="n"/>
      <c r="E17" s="204">
        <f>ROUND(C17*D17,2)</f>
        <v/>
      </c>
      <c r="F17" s="202" t="n"/>
      <c r="G17" s="202" t="n"/>
      <c r="H17" s="204">
        <f>E17+F17+G17</f>
        <v/>
      </c>
      <c r="I17" s="202" t="n"/>
      <c r="J17" s="203" t="n"/>
      <c r="K17" s="204">
        <f>ROUND(I17*J17,2)</f>
        <v/>
      </c>
      <c r="L17" s="202" t="n"/>
      <c r="M17" s="202" t="n"/>
      <c r="N17" s="205">
        <f>K17+L17+M17</f>
        <v/>
      </c>
    </row>
    <row r="18" ht="20.1" customHeight="1" s="158">
      <c r="A18" s="36" t="inlineStr">
        <is>
          <t>交易性金融负债（公允价值与账面差异）</t>
        </is>
      </c>
      <c r="B18" s="31" t="inlineStr">
        <is>
          <t>公允价值变动</t>
        </is>
      </c>
      <c r="C18" s="202" t="n"/>
      <c r="D18" s="203" t="n"/>
      <c r="E18" s="204">
        <f>ROUND(C18*D18,2)</f>
        <v/>
      </c>
      <c r="F18" s="202" t="n"/>
      <c r="G18" s="202" t="n"/>
      <c r="H18" s="204">
        <f>E18+F18+G18</f>
        <v/>
      </c>
      <c r="I18" s="202" t="n"/>
      <c r="J18" s="203" t="n"/>
      <c r="K18" s="204">
        <f>ROUND(I18*J18,2)</f>
        <v/>
      </c>
      <c r="L18" s="202" t="n"/>
      <c r="M18" s="202" t="n"/>
      <c r="N18" s="205">
        <f>K18+L18+M18</f>
        <v/>
      </c>
    </row>
    <row r="19" ht="20.1" customHeight="1" s="158">
      <c r="A19" s="36" t="inlineStr">
        <is>
          <t>购入摊销年限大于税法规定的资产</t>
        </is>
      </c>
      <c r="B19" s="31" t="inlineStr">
        <is>
          <t>购入摊销年限大于税法规定的资产</t>
        </is>
      </c>
      <c r="C19" s="202" t="n"/>
      <c r="D19" s="203" t="n"/>
      <c r="E19" s="204">
        <f>ROUND(C19*D19,2)</f>
        <v/>
      </c>
      <c r="F19" s="202" t="n"/>
      <c r="G19" s="202" t="n"/>
      <c r="H19" s="204">
        <f>E19+F19+G19</f>
        <v/>
      </c>
      <c r="I19" s="202" t="n"/>
      <c r="J19" s="203" t="n"/>
      <c r="K19" s="204">
        <f>ROUND(I19*J19,2)</f>
        <v/>
      </c>
      <c r="L19" s="202" t="n"/>
      <c r="M19" s="202" t="n"/>
      <c r="N19" s="205">
        <f>K19+L19+M19</f>
        <v/>
      </c>
    </row>
    <row r="20" ht="20.1" customHeight="1" s="158">
      <c r="A20" s="31" t="inlineStr">
        <is>
          <t>除上述项目以外的其他[注1]</t>
        </is>
      </c>
      <c r="B20" s="31" t="inlineStr">
        <is>
          <t>其他</t>
        </is>
      </c>
      <c r="C20" s="202" t="n"/>
      <c r="D20" s="203" t="n"/>
      <c r="E20" s="204">
        <f>ROUND(C20*D20,2)</f>
        <v/>
      </c>
      <c r="F20" s="202" t="n"/>
      <c r="G20" s="202" t="n"/>
      <c r="H20" s="204">
        <f>E20+F20+G20</f>
        <v/>
      </c>
      <c r="I20" s="202" t="n"/>
      <c r="J20" s="203" t="n"/>
      <c r="K20" s="204">
        <f>ROUND(I20*J20,2)</f>
        <v/>
      </c>
      <c r="L20" s="202" t="n"/>
      <c r="M20" s="202" t="n"/>
      <c r="N20" s="205">
        <f>K20+L20+M20</f>
        <v/>
      </c>
    </row>
    <row r="21" ht="20.1" customHeight="1" s="158">
      <c r="A21" s="35" t="inlineStr">
        <is>
          <t>…………</t>
        </is>
      </c>
      <c r="B21" s="31" t="n"/>
      <c r="C21" s="202" t="n"/>
      <c r="D21" s="203" t="n"/>
      <c r="E21" s="204">
        <f>ROUND(C21*D21,2)</f>
        <v/>
      </c>
      <c r="F21" s="202" t="n"/>
      <c r="G21" s="202" t="n"/>
      <c r="H21" s="204">
        <f>E21+F21+G21</f>
        <v/>
      </c>
      <c r="I21" s="202" t="n"/>
      <c r="J21" s="203" t="n"/>
      <c r="K21" s="204">
        <f>ROUND(I21*J21,2)</f>
        <v/>
      </c>
      <c r="L21" s="202" t="n"/>
      <c r="M21" s="202" t="n"/>
      <c r="N21" s="205">
        <f>K21+L21+M21</f>
        <v/>
      </c>
    </row>
    <row r="22" ht="20.1" customHeight="1" s="158">
      <c r="A22" s="37" t="n"/>
      <c r="B22" s="37" t="n"/>
      <c r="C22" s="206" t="n"/>
      <c r="D22" s="207" t="n"/>
      <c r="E22" s="204" t="n"/>
      <c r="F22" s="206" t="n"/>
      <c r="G22" s="206" t="n"/>
      <c r="H22" s="204" t="n"/>
      <c r="I22" s="206" t="n"/>
      <c r="J22" s="207" t="n"/>
      <c r="K22" s="204" t="n"/>
      <c r="L22" s="206" t="n"/>
      <c r="M22" s="206" t="n"/>
      <c r="N22" s="204" t="n"/>
    </row>
    <row r="23" ht="20.1" customHeight="1" s="158">
      <c r="A23" s="40" t="n"/>
      <c r="B23" s="40" t="n"/>
      <c r="C23" s="204">
        <f>SUM(C11:C22)</f>
        <v/>
      </c>
      <c r="D23" s="204" t="n"/>
      <c r="E23" s="204">
        <f>SUM(E11:E22)</f>
        <v/>
      </c>
      <c r="F23" s="204">
        <f>SUM(F11:F22)</f>
        <v/>
      </c>
      <c r="G23" s="204">
        <f>SUM(G11:G22)</f>
      </c>
      <c r="H23" s="204">
        <f>SUM(H11:H22)</f>
        <v/>
      </c>
      <c r="I23" s="204">
        <f>SUM(I11:I22)</f>
        <v/>
      </c>
      <c r="J23" s="204" t="n"/>
      <c r="K23" s="204">
        <f>SUM(K11:K22)</f>
        <v/>
      </c>
      <c r="L23" s="204">
        <f>SUM(L11:L22)</f>
        <v/>
      </c>
      <c r="M23" s="204">
        <f>SUM(M11:M22)</f>
      </c>
      <c r="N23" s="204">
        <f>SUM(N11:N22)</f>
        <v/>
      </c>
    </row>
    <row r="24" ht="20.1" customHeight="1" s="158">
      <c r="A24" s="25" t="inlineStr">
        <is>
          <t>三、审计说明</t>
        </is>
      </c>
      <c r="B24" s="25" t="n"/>
    </row>
    <row r="25" ht="20.1" customHeight="1" s="158">
      <c r="A25" s="88" t="inlineStr">
        <is>
          <t>递延所得税负债测算详见&lt;递延所得税资产（负债）测算表N1-4&gt;</t>
        </is>
      </c>
    </row>
    <row r="28" ht="20.1" customHeight="1" s="158">
      <c r="A28" s="25" t="inlineStr">
        <is>
          <t>四、审计结论</t>
        </is>
      </c>
      <c r="B28" s="25" t="n"/>
    </row>
    <row r="30" ht="20.1" customHeight="1" s="158">
      <c r="A30" s="41" t="inlineStr">
        <is>
          <t>[注1]若有其他项目，需详加说明内容。</t>
        </is>
      </c>
      <c r="B30" s="41" t="n"/>
    </row>
    <row r="31" ht="20.1" customHeight="1" s="158">
      <c r="A31" s="42" t="n"/>
      <c r="B31" s="42" t="n"/>
    </row>
  </sheetData>
  <autoFilter ref="A10:N21"/>
  <mergeCells count="6">
    <mergeCell ref="B9:B10"/>
    <mergeCell ref="A9:A10"/>
    <mergeCell ref="A2:N2"/>
    <mergeCell ref="C9:H9"/>
    <mergeCell ref="I9:N9"/>
    <mergeCell ref="A1:N1"/>
  </mergeCells>
  <dataValidations count="1">
    <dataValidation sqref="B11:B21" showDropDown="0" showInputMessage="1" showErrorMessage="1" allowBlank="1" type="list">
      <formula1>"评估增值,公允价值变动,使用权资产,购入摊销年限大于税法规定的资产,其他"</formula1>
    </dataValidation>
  </dataValidations>
  <hyperlinks>
    <hyperlink ref="N3" location="底稿目录!A1" display="D11-2"/>
  </hyperlinks>
  <pageMargins left="0.708333333333333" right="0.708333333333333" top="0.747916666666667" bottom="0.747916666666667" header="0.314583333333333" footer="0.314583333333333"/>
  <pageSetup orientation="landscape" paperSize="9" scale="70" blackAndWhite="1" horizontalDpi="1200" verticalDpi="1200"/>
  <headerFooter>
    <oddHeader/>
    <oddFooter>&amp;C&amp;P/&amp;N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J23"/>
  <sheetViews>
    <sheetView view="pageBreakPreview" zoomScaleNormal="100" workbookViewId="0">
      <selection activeCell="H17" sqref="H17"/>
    </sheetView>
  </sheetViews>
  <sheetFormatPr baseColWidth="8" defaultColWidth="9" defaultRowHeight="20.1" customHeight="1"/>
  <cols>
    <col width="13.8984375" customWidth="1" style="1" min="1" max="1"/>
    <col width="10.8984375" customWidth="1" style="1" min="2" max="2"/>
    <col width="9.59765625" customWidth="1" style="1" min="3" max="3"/>
    <col width="9" customWidth="1" style="1" min="4" max="16384"/>
  </cols>
  <sheetData>
    <row r="1" ht="20.1" customHeight="1" s="158">
      <c r="A1" s="156" t="inlineStr">
        <is>
          <t>致同会计师事务所</t>
        </is>
      </c>
    </row>
    <row r="2" ht="20.1" customHeight="1" s="158">
      <c r="A2" s="157" t="inlineStr">
        <is>
          <t>递延所得税资产调整分录汇总表</t>
        </is>
      </c>
    </row>
    <row r="3" ht="20.1" customHeight="1" s="158">
      <c r="A3" s="2">
        <f>底稿目录!A2</f>
        <v/>
      </c>
      <c r="B3" s="2" t="n"/>
      <c r="C3" s="2" t="n"/>
      <c r="D3" s="2">
        <f>底稿目录!A4</f>
        <v/>
      </c>
      <c r="E3" s="2" t="n"/>
      <c r="F3" s="3" t="n"/>
      <c r="G3" s="2">
        <f>底稿目录!A4</f>
        <v/>
      </c>
      <c r="H3" s="2" t="n"/>
      <c r="I3" s="15" t="inlineStr">
        <is>
          <t>索引号：</t>
        </is>
      </c>
      <c r="J3" s="127" t="inlineStr">
        <is>
          <t>N3-3</t>
        </is>
      </c>
    </row>
    <row r="4" ht="20.1" customHeight="1" s="158">
      <c r="A4" s="2">
        <f>底稿目录!A3</f>
        <v/>
      </c>
      <c r="B4" s="2" t="n"/>
      <c r="C4" s="2" t="n"/>
      <c r="D4" s="2">
        <f>底稿目录!A6</f>
        <v/>
      </c>
      <c r="E4" s="2" t="n"/>
      <c r="F4" s="3" t="n"/>
      <c r="G4" s="2">
        <f>底稿目录!A7</f>
        <v/>
      </c>
      <c r="H4" s="2" t="n"/>
      <c r="I4" s="15" t="inlineStr">
        <is>
          <t>页次：</t>
        </is>
      </c>
      <c r="J4" s="3" t="n"/>
    </row>
    <row r="5" ht="42.75" customHeight="1" s="158">
      <c r="A5" s="4" t="inlineStr">
        <is>
          <t>调整事项说明</t>
        </is>
      </c>
      <c r="B5" s="4" t="inlineStr">
        <is>
          <t>类别（报表调整/账项调整/其他）</t>
        </is>
      </c>
      <c r="C5" s="4" t="inlineStr">
        <is>
          <t>报表项目</t>
        </is>
      </c>
      <c r="D5" s="5" t="inlineStr">
        <is>
          <t>科目名称</t>
        </is>
      </c>
      <c r="E5" s="5" t="inlineStr">
        <is>
          <t>附注项目</t>
        </is>
      </c>
      <c r="F5" s="6" t="inlineStr">
        <is>
          <t>……</t>
        </is>
      </c>
      <c r="G5" s="5" t="inlineStr">
        <is>
          <t>借方调整金额</t>
        </is>
      </c>
      <c r="H5" s="5" t="inlineStr">
        <is>
          <t>贷方调整金额</t>
        </is>
      </c>
      <c r="I5" s="5" t="inlineStr">
        <is>
          <t>索引</t>
        </is>
      </c>
      <c r="J5" s="5" t="inlineStr">
        <is>
          <t>备注</t>
        </is>
      </c>
    </row>
    <row r="6" ht="20.1" customHeight="1" s="158">
      <c r="A6" s="7" t="n"/>
      <c r="B6" s="7" t="n"/>
      <c r="C6" s="7" t="n"/>
      <c r="D6" s="7" t="n"/>
      <c r="E6" s="7" t="n"/>
      <c r="F6" s="7" t="n"/>
      <c r="G6" s="208" t="n"/>
      <c r="H6" s="208" t="n"/>
      <c r="I6" s="16" t="n"/>
      <c r="J6" s="7" t="n"/>
    </row>
    <row r="7" ht="20.1" customHeight="1" s="158">
      <c r="A7" s="9" t="n"/>
      <c r="B7" s="7" t="n"/>
      <c r="C7" s="7" t="n"/>
      <c r="D7" s="7" t="n"/>
      <c r="E7" s="7" t="n"/>
      <c r="F7" s="7" t="n"/>
      <c r="G7" s="208" t="n"/>
      <c r="H7" s="208" t="n"/>
      <c r="I7" s="16" t="n"/>
      <c r="J7" s="7" t="n"/>
    </row>
    <row r="8" ht="20.1" customHeight="1" s="158">
      <c r="A8" s="10" t="n"/>
      <c r="B8" s="7" t="n"/>
      <c r="C8" s="7" t="n"/>
      <c r="D8" s="7" t="n"/>
      <c r="E8" s="7" t="n"/>
      <c r="F8" s="7" t="n"/>
      <c r="G8" s="208" t="n"/>
      <c r="H8" s="208" t="n"/>
      <c r="I8" s="16" t="n"/>
      <c r="J8" s="7" t="n"/>
    </row>
    <row r="9" ht="20.1" customHeight="1" s="158">
      <c r="A9" s="10" t="n"/>
      <c r="B9" s="7" t="n"/>
      <c r="C9" s="7" t="n"/>
      <c r="D9" s="7" t="n"/>
      <c r="E9" s="7" t="n"/>
      <c r="F9" s="7" t="n"/>
      <c r="G9" s="208" t="n"/>
      <c r="H9" s="208" t="n"/>
      <c r="I9" s="16" t="n"/>
      <c r="J9" s="7" t="n"/>
    </row>
    <row r="10" ht="20.1" customHeight="1" s="158">
      <c r="A10" s="10" t="n"/>
      <c r="B10" s="7" t="n"/>
      <c r="C10" s="7" t="n"/>
      <c r="D10" s="7" t="n"/>
      <c r="E10" s="7" t="n"/>
      <c r="F10" s="7" t="n"/>
      <c r="G10" s="208" t="n"/>
      <c r="H10" s="208" t="n"/>
      <c r="I10" s="16" t="n"/>
      <c r="J10" s="7" t="n"/>
    </row>
    <row r="11" ht="20.1" customHeight="1" s="158">
      <c r="A11" s="11" t="n"/>
      <c r="B11" s="7" t="n"/>
      <c r="C11" s="7" t="n"/>
      <c r="D11" s="7" t="n"/>
      <c r="E11" s="7" t="n"/>
      <c r="F11" s="7" t="n"/>
      <c r="G11" s="208" t="n"/>
      <c r="H11" s="208" t="n"/>
      <c r="I11" s="16" t="n"/>
      <c r="J11" s="7" t="n"/>
    </row>
    <row r="12" ht="20.1" customHeight="1" s="158">
      <c r="A12" s="10" t="n"/>
      <c r="B12" s="7" t="n"/>
      <c r="C12" s="7" t="n"/>
      <c r="D12" s="7" t="n"/>
      <c r="E12" s="7" t="n"/>
      <c r="F12" s="7" t="n"/>
      <c r="G12" s="208" t="n"/>
      <c r="H12" s="208" t="n"/>
      <c r="I12" s="16" t="n"/>
      <c r="J12" s="7" t="n"/>
    </row>
    <row r="13" ht="20.1" customHeight="1" s="158">
      <c r="A13" s="10" t="n"/>
      <c r="B13" s="7" t="n"/>
      <c r="C13" s="7" t="n"/>
      <c r="D13" s="7" t="n"/>
      <c r="E13" s="7" t="n"/>
      <c r="F13" s="7" t="n"/>
      <c r="G13" s="208" t="n"/>
      <c r="H13" s="208" t="n"/>
      <c r="I13" s="16" t="n"/>
      <c r="J13" s="7" t="n"/>
    </row>
    <row r="14" ht="20.1" customHeight="1" s="158">
      <c r="A14" s="10" t="n"/>
      <c r="B14" s="7" t="n"/>
      <c r="C14" s="7" t="n"/>
      <c r="D14" s="7" t="n"/>
      <c r="E14" s="7" t="n"/>
      <c r="F14" s="7" t="n"/>
      <c r="G14" s="208" t="n"/>
      <c r="H14" s="208" t="n"/>
      <c r="I14" s="16" t="n"/>
      <c r="J14" s="7" t="n"/>
    </row>
    <row r="15" ht="20.1" customHeight="1" s="158">
      <c r="A15" s="10" t="n"/>
      <c r="B15" s="7" t="n"/>
      <c r="C15" s="7" t="n"/>
      <c r="D15" s="7" t="n"/>
      <c r="E15" s="7" t="n"/>
      <c r="F15" s="7" t="n"/>
      <c r="G15" s="208" t="n"/>
      <c r="H15" s="208" t="n"/>
      <c r="I15" s="16" t="n"/>
      <c r="J15" s="7" t="n"/>
    </row>
    <row r="16" ht="20.1" customHeight="1" s="158">
      <c r="A16" s="10" t="n"/>
      <c r="B16" s="7" t="n"/>
      <c r="C16" s="7" t="n"/>
      <c r="D16" s="7" t="n"/>
      <c r="E16" s="7" t="n"/>
      <c r="F16" s="7" t="n"/>
      <c r="G16" s="208" t="n"/>
      <c r="H16" s="208" t="n"/>
      <c r="I16" s="16" t="n"/>
      <c r="J16" s="7" t="n"/>
    </row>
    <row r="17" ht="20.1" customHeight="1" s="158">
      <c r="A17" s="10" t="n"/>
      <c r="B17" s="7" t="n"/>
      <c r="C17" s="7" t="n"/>
      <c r="D17" s="7" t="n"/>
      <c r="E17" s="7" t="n"/>
      <c r="F17" s="7" t="n"/>
      <c r="G17" s="208" t="n"/>
      <c r="H17" s="208" t="n"/>
      <c r="I17" s="16" t="n"/>
      <c r="J17" s="7" t="n"/>
    </row>
    <row r="18" ht="20.1" customHeight="1" s="158">
      <c r="A18" s="10" t="n"/>
      <c r="B18" s="7" t="n"/>
      <c r="C18" s="7" t="n"/>
      <c r="D18" s="7" t="n"/>
      <c r="E18" s="7" t="n"/>
      <c r="F18" s="7" t="n"/>
      <c r="G18" s="208" t="n"/>
      <c r="H18" s="208" t="n"/>
      <c r="I18" s="16" t="n"/>
      <c r="J18" s="7" t="n"/>
    </row>
    <row r="19" ht="20.1" customHeight="1" s="158">
      <c r="A19" s="10" t="n"/>
      <c r="B19" s="7" t="n"/>
      <c r="C19" s="7" t="n"/>
      <c r="D19" s="7" t="n"/>
      <c r="E19" s="7" t="n"/>
      <c r="F19" s="7" t="n"/>
      <c r="G19" s="208" t="n"/>
      <c r="H19" s="208" t="n"/>
      <c r="I19" s="16" t="n"/>
      <c r="J19" s="7" t="n"/>
    </row>
    <row r="20" ht="20.1" customHeight="1" s="158">
      <c r="A20" s="10" t="n"/>
      <c r="B20" s="7" t="n"/>
      <c r="C20" s="7" t="n"/>
      <c r="D20" s="7" t="n"/>
      <c r="E20" s="7" t="n"/>
      <c r="F20" s="7" t="n"/>
      <c r="G20" s="208" t="n"/>
      <c r="H20" s="208" t="n"/>
      <c r="I20" s="16" t="n"/>
      <c r="J20" s="7" t="n"/>
    </row>
    <row r="21" ht="20.1" customHeight="1" s="158">
      <c r="A21" s="12" t="inlineStr">
        <is>
          <t>提示：本底稿适用于调整分录较多、较复杂的项目，且仅列示与本报表项目相关的审计调整。项目组可根据项目实际情况选择是否使用该底稿。</t>
        </is>
      </c>
      <c r="B21" s="13" t="n"/>
      <c r="C21" s="13" t="n"/>
      <c r="D21" s="13" t="n"/>
      <c r="E21" s="13" t="n"/>
      <c r="F21" s="13" t="n"/>
      <c r="G21" s="13" t="n"/>
      <c r="H21" s="13" t="n"/>
      <c r="I21" s="13" t="n"/>
      <c r="J21" s="13" t="n"/>
    </row>
    <row r="22" ht="20.1" customHeight="1" s="158">
      <c r="A22" s="14" t="n"/>
      <c r="B22" s="14" t="n"/>
      <c r="C22" s="14" t="n"/>
      <c r="D22" s="14" t="n"/>
      <c r="E22" s="14" t="n"/>
      <c r="F22" s="14" t="n"/>
      <c r="G22" s="14" t="n"/>
      <c r="H22" s="14" t="n"/>
      <c r="I22" s="14" t="n"/>
      <c r="J22" s="14" t="n"/>
    </row>
    <row r="23" ht="20.1" customHeight="1" s="158">
      <c r="A23" s="14" t="n"/>
      <c r="B23" s="14" t="n"/>
      <c r="C23" s="14" t="n"/>
      <c r="D23" s="14" t="n"/>
      <c r="E23" s="14" t="n"/>
      <c r="F23" s="14" t="n"/>
      <c r="G23" s="14" t="n"/>
      <c r="H23" s="14" t="n"/>
      <c r="I23" s="14" t="n"/>
      <c r="J23" s="14" t="n"/>
    </row>
  </sheetData>
  <mergeCells count="2">
    <mergeCell ref="A1:J1"/>
    <mergeCell ref="A2:J2"/>
  </mergeCells>
  <dataValidations count="1">
    <dataValidation sqref="B6:B20" showDropDown="0" showInputMessage="1" showErrorMessage="1" allowBlank="1" type="list">
      <formula1>"账项调整,报表调整,其他"</formula1>
    </dataValidation>
  </dataValidations>
  <hyperlinks>
    <hyperlink ref="J3" location="底稿目录!A1" display="D11-3"/>
  </hyperlinks>
  <pageMargins left="0.708333333333333" right="0.708333333333333" top="0.747916666666667" bottom="0.747916666666667" header="0.314583333333333" footer="0.314583333333333"/>
  <pageSetup orientation="portrait" paperSize="9" scale="84" blackAndWhite="1" horizontalDpi="1200" verticalDpi="1200"/>
  <headerFooter>
    <oddHeader/>
    <oddFooter>&amp;C&amp;P/&amp;N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2007-05-20T08:51:00Z</dcterms:created>
  <dcterms:modified xmlns:dcterms="http://purl.org/dc/terms/" xmlns:xsi="http://www.w3.org/2001/XMLSchema-instance" xsi:type="dcterms:W3CDTF">2026-10-08T14:57:39Z</dcterms:modified>
  <cp:lastModifiedBy>何先琴</cp:lastModifiedBy>
  <cp:lastPrinted>2025-10-30T08:04:15Z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B7B7E343D6724BAEA939837142035BB9_12</vt:lpwstr>
  </property>
  <property name="KSOProductBuildVer" fmtid="{D5CDD505-2E9C-101B-9397-08002B2CF9AE}" pid="3">
    <vt:lpwstr xmlns:vt="http://schemas.openxmlformats.org/officeDocument/2006/docPropsVTypes">2052-12.1.0.22529</vt:lpwstr>
  </property>
</Properties>
</file>