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2188" windowHeight="9180" tabRatio="805" firstSheet="0" activeTab="0" autoFilterDateGrouping="1"/>
  </bookViews>
  <sheets>
    <sheet xmlns:r="http://schemas.openxmlformats.org/officeDocument/2006/relationships" name="底稿目录" sheetId="1" state="visible" r:id="rId1"/>
    <sheet xmlns:r="http://schemas.openxmlformats.org/officeDocument/2006/relationships" name="应交税费审计程序表N2A" sheetId="2" state="visible" r:id="rId2"/>
    <sheet xmlns:r="http://schemas.openxmlformats.org/officeDocument/2006/relationships" name="应交税费审计程序表O1A （原底稿）" sheetId="3" state="hidden" r:id="rId3"/>
    <sheet xmlns:r="http://schemas.openxmlformats.org/officeDocument/2006/relationships" name="应交税费审定表N2-1" sheetId="4" state="visible" r:id="rId4"/>
    <sheet xmlns:r="http://schemas.openxmlformats.org/officeDocument/2006/relationships" name="附注披露信息（上市公司）" sheetId="5" state="visible" r:id="rId5"/>
    <sheet xmlns:r="http://schemas.openxmlformats.org/officeDocument/2006/relationships" name="附注披露信息（国企）" sheetId="6" state="visible" r:id="rId6"/>
    <sheet xmlns:r="http://schemas.openxmlformats.org/officeDocument/2006/relationships" name="应交税费明细表N2-2" sheetId="7" state="visible" r:id="rId7"/>
    <sheet xmlns:r="http://schemas.openxmlformats.org/officeDocument/2006/relationships" name="调整分录汇总表N2-3" sheetId="8" state="visible" r:id="rId8"/>
    <sheet xmlns:r="http://schemas.openxmlformats.org/officeDocument/2006/relationships" name="税收政策检查N2-4" sheetId="9" state="visible" r:id="rId9"/>
    <sheet xmlns:r="http://schemas.openxmlformats.org/officeDocument/2006/relationships" name="应交税金认定表N2-5" sheetId="10" state="visible" r:id="rId10"/>
    <sheet xmlns:r="http://schemas.openxmlformats.org/officeDocument/2006/relationships" name="增值税测算表N2-6" sheetId="11" state="visible" r:id="rId11"/>
    <sheet xmlns:r="http://schemas.openxmlformats.org/officeDocument/2006/relationships" name="出口退税核对表N2-7" sheetId="12" state="visible" r:id="rId12"/>
    <sheet xmlns:r="http://schemas.openxmlformats.org/officeDocument/2006/relationships" name="应交其他税费测算表N2-8" sheetId="13" state="visible" r:id="rId13"/>
    <sheet xmlns:r="http://schemas.openxmlformats.org/officeDocument/2006/relationships" name="房产税测算表N2-9" sheetId="14" state="visible" r:id="rId14"/>
    <sheet xmlns:r="http://schemas.openxmlformats.org/officeDocument/2006/relationships" name="土地增值税测算表N2-10" sheetId="15" state="visible" r:id="rId15"/>
    <sheet xmlns:r="http://schemas.openxmlformats.org/officeDocument/2006/relationships" name="应交税费检查表N2-11" sheetId="16" state="visible" r:id="rId16"/>
    <sheet xmlns:r="http://schemas.openxmlformats.org/officeDocument/2006/relationships" name="出口退税额复核示例" sheetId="17" state="visible" r:id="rId17"/>
    <sheet xmlns:r="http://schemas.openxmlformats.org/officeDocument/2006/relationships" name="GT_Custom" sheetId="18" state="hidden" r:id="rId18"/>
  </sheets>
  <definedNames>
    <definedName name="AS2DocOpenMode" hidden="1">"AS2DocumentEdit"</definedName>
    <definedName name="bs" hidden="1">{#N/A,#N/A,FALSE,"BBPREP"}</definedName>
    <definedName name="bs_1" hidden="1">{#N/A,#N/A,FALSE,"BBPREP"}</definedName>
    <definedName name="gg" hidden="1">{#N/A,#N/A,FALSE,"BBPREP"}</definedName>
    <definedName name="TextRefCopyRangeCount" hidden="1">136</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发的撒发" hidden="1">{#N/A,#N/A,FALSE,"BBPREP"}</definedName>
    <definedName name="_xlnm.Print_Titles" localSheetId="1">'应交税费审计程序表N2A'!$15:$16</definedName>
    <definedName name="_xlnm.Print_Area" localSheetId="1">'应交税费审计程序表N2A'!$A$1:$I$36</definedName>
    <definedName name="_xlnm.Print_Area" localSheetId="2">'应交税费审计程序表O1A （原底稿）'!$A$1:$J$77</definedName>
    <definedName name="_xlnm.Print_Area" localSheetId="3">'应交税费审定表N2-1'!$A$1:$N$30</definedName>
    <definedName name="_xlnm.Print_Area" localSheetId="5">'附注披露信息（国企）'!$A$1:$E$25</definedName>
    <definedName name="_xlnm.Print_Area" localSheetId="6">'应交税费明细表N2-2'!$A$1:$Q$31</definedName>
    <definedName name="_xlnm.Print_Area" localSheetId="7">'调整分录汇总表N2-3'!$A$1:$J$26</definedName>
    <definedName name="bs" localSheetId="8" hidden="1">{#N/A,#N/A,FALSE,"BBPREP"}</definedName>
    <definedName name="bs_1" localSheetId="8" hidden="1">{#N/A,#N/A,FALSE,"BBPREP"}</definedName>
    <definedName name="gg" localSheetId="8" hidden="1">{#N/A,#N/A,FALSE,"BBPREP"}</definedName>
    <definedName name="XREF_COLUMN_1" localSheetId="8" hidden="1">#REF!</definedName>
    <definedName name="XREF_COLUMN_2" localSheetId="8" hidden="1">[1]Breakdown!#REF!</definedName>
    <definedName name="XREF_COLUMN_3" localSheetId="8" hidden="1">#REF!</definedName>
    <definedName name="XREF_COLUMN_5" localSheetId="8" hidden="1">'[2]2004'!#REF!</definedName>
    <definedName name="XRefActiveRow" localSheetId="8" hidden="1">#REF!</definedName>
    <definedName name="XRefCopy1" localSheetId="8" hidden="1">#REF!</definedName>
    <definedName name="XRefCopy1Row" localSheetId="8" hidden="1">#REF!</definedName>
    <definedName name="XRefCopy2Row" localSheetId="8" hidden="1">#REF!</definedName>
    <definedName name="XRefPaste1" localSheetId="8" hidden="1">#REF!</definedName>
    <definedName name="XRefPaste1Row" localSheetId="8" hidden="1">#REF!</definedName>
    <definedName name="XRefPaste2" localSheetId="8" hidden="1">#REF!</definedName>
    <definedName name="XRefPaste2Row" localSheetId="8" hidden="1">#REF!</definedName>
    <definedName name="XRefPaste3" localSheetId="8" hidden="1">#REF!</definedName>
    <definedName name="XRefPaste3Row" localSheetId="8" hidden="1">#REF!</definedName>
    <definedName name="发的撒发" localSheetId="8" hidden="1">{#N/A,#N/A,FALSE,"BBPREP"}</definedName>
    <definedName name="_xlnm.Print_Area" localSheetId="8">'税收政策检查N2-4'!$A$1:$H$36</definedName>
    <definedName name="bs" localSheetId="9" hidden="1">{#N/A,#N/A,FALSE,"BBPREP"}</definedName>
    <definedName name="bs_1" localSheetId="9" hidden="1">{#N/A,#N/A,FALSE,"BBPREP"}</definedName>
    <definedName name="gg" localSheetId="9" hidden="1">{#N/A,#N/A,FALSE,"BBPREP"}</definedName>
    <definedName name="XREF_COLUMN_1" localSheetId="9" hidden="1">#REF!</definedName>
    <definedName name="XREF_COLUMN_2" localSheetId="9" hidden="1">[1]Breakdown!#REF!</definedName>
    <definedName name="XREF_COLUMN_3" localSheetId="9" hidden="1">#REF!</definedName>
    <definedName name="XREF_COLUMN_5" localSheetId="9" hidden="1">'[2]2004'!#REF!</definedName>
    <definedName name="XRefActiveRow" localSheetId="9" hidden="1">#REF!</definedName>
    <definedName name="XRefCopy1" localSheetId="9" hidden="1">#REF!</definedName>
    <definedName name="XRefCopy1Row" localSheetId="9" hidden="1">#REF!</definedName>
    <definedName name="XRefCopy2Row" localSheetId="9" hidden="1">#REF!</definedName>
    <definedName name="XRefPaste1" localSheetId="9" hidden="1">#REF!</definedName>
    <definedName name="XRefPaste1Row" localSheetId="9" hidden="1">#REF!</definedName>
    <definedName name="XRefPaste2" localSheetId="9" hidden="1">#REF!</definedName>
    <definedName name="XRefPaste2Row" localSheetId="9" hidden="1">#REF!</definedName>
    <definedName name="XRefPaste3" localSheetId="9" hidden="1">#REF!</definedName>
    <definedName name="XRefPaste3Row" localSheetId="9" hidden="1">#REF!</definedName>
    <definedName name="发的撒发" localSheetId="9" hidden="1">{#N/A,#N/A,FALSE,"BBPREP"}</definedName>
    <definedName name="_xlnm.Print_Titles" localSheetId="9">'应交税金认定表N2-5'!$1:$4</definedName>
    <definedName name="_xlnm.Print_Area" localSheetId="9">'应交税金认定表N2-5'!$A$1:$J$54</definedName>
    <definedName name="bs" localSheetId="10" hidden="1">{#N/A,#N/A,FALSE,"BBPREP"}</definedName>
    <definedName name="bs_1" localSheetId="10" hidden="1">{#N/A,#N/A,FALSE,"BBPREP"}</definedName>
    <definedName name="gg" localSheetId="10" hidden="1">{#N/A,#N/A,FALSE,"BBPREP"}</definedName>
    <definedName name="XREF_COLUMN_1" localSheetId="10" hidden="1">#REF!</definedName>
    <definedName name="XREF_COLUMN_2" localSheetId="10" hidden="1">[1]Breakdown!#REF!</definedName>
    <definedName name="XREF_COLUMN_3" localSheetId="10" hidden="1">#REF!</definedName>
    <definedName name="XREF_COLUMN_5" localSheetId="10" hidden="1">'[2]2004'!#REF!</definedName>
    <definedName name="XRefActiveRow" localSheetId="10" hidden="1">#REF!</definedName>
    <definedName name="XRefCopy1" localSheetId="10" hidden="1">#REF!</definedName>
    <definedName name="XRefCopy1Row" localSheetId="10" hidden="1">#REF!</definedName>
    <definedName name="XRefCopy2Row" localSheetId="10" hidden="1">#REF!</definedName>
    <definedName name="XRefPaste1" localSheetId="10" hidden="1">#REF!</definedName>
    <definedName name="XRefPaste1Row" localSheetId="10" hidden="1">#REF!</definedName>
    <definedName name="XRefPaste2" localSheetId="10" hidden="1">#REF!</definedName>
    <definedName name="XRefPaste2Row" localSheetId="10" hidden="1">#REF!</definedName>
    <definedName name="XRefPaste3" localSheetId="10" hidden="1">#REF!</definedName>
    <definedName name="XRefPaste3Row" localSheetId="10" hidden="1">#REF!</definedName>
    <definedName name="发的撒发" localSheetId="10" hidden="1">{#N/A,#N/A,FALSE,"BBPREP"}</definedName>
    <definedName name="_xlnm.Print_Area" localSheetId="10">'增值税测算表N2-6'!$A$1:$F$49</definedName>
    <definedName name="bs" localSheetId="11" hidden="1">{#N/A,#N/A,FALSE,"BBPREP"}</definedName>
    <definedName name="bs_1" localSheetId="11" hidden="1">{#N/A,#N/A,FALSE,"BBPREP"}</definedName>
    <definedName name="gg" localSheetId="11" hidden="1">{#N/A,#N/A,FALSE,"BBPREP"}</definedName>
    <definedName name="XREF_COLUMN_1" localSheetId="11" hidden="1">#REF!</definedName>
    <definedName name="XREF_COLUMN_2" localSheetId="11" hidden="1">[1]Breakdown!#REF!</definedName>
    <definedName name="XREF_COLUMN_3" localSheetId="11" hidden="1">#REF!</definedName>
    <definedName name="XREF_COLUMN_5" localSheetId="11" hidden="1">'[2]2004'!#REF!</definedName>
    <definedName name="XRefActiveRow" localSheetId="11" hidden="1">#REF!</definedName>
    <definedName name="XRefCopy1" localSheetId="11" hidden="1">#REF!</definedName>
    <definedName name="XRefCopy1Row" localSheetId="11" hidden="1">#REF!</definedName>
    <definedName name="XRefCopy2Row" localSheetId="11" hidden="1">#REF!</definedName>
    <definedName name="XRefPaste1" localSheetId="11" hidden="1">#REF!</definedName>
    <definedName name="XRefPaste1Row" localSheetId="11" hidden="1">#REF!</definedName>
    <definedName name="XRefPaste2" localSheetId="11" hidden="1">#REF!</definedName>
    <definedName name="XRefPaste2Row" localSheetId="11" hidden="1">#REF!</definedName>
    <definedName name="XRefPaste3" localSheetId="11" hidden="1">#REF!</definedName>
    <definedName name="XRefPaste3Row" localSheetId="11" hidden="1">#REF!</definedName>
    <definedName name="发的撒发" localSheetId="11" hidden="1">{#N/A,#N/A,FALSE,"BBPREP"}</definedName>
    <definedName name="_xlnm.Print_Area" localSheetId="11">'出口退税核对表N2-7'!$A$1:$F$40</definedName>
    <definedName name="bs" localSheetId="12" hidden="1">{#N/A,#N/A,FALSE,"BBPREP"}</definedName>
    <definedName name="bs_1" localSheetId="12" hidden="1">{#N/A,#N/A,FALSE,"BBPREP"}</definedName>
    <definedName name="gg" localSheetId="12" hidden="1">{#N/A,#N/A,FALSE,"BBPREP"}</definedName>
    <definedName name="XREF_COLUMN_1" localSheetId="12" hidden="1">#REF!</definedName>
    <definedName name="XREF_COLUMN_2" localSheetId="12" hidden="1">[1]Breakdown!#REF!</definedName>
    <definedName name="XREF_COLUMN_3" localSheetId="12" hidden="1">#REF!</definedName>
    <definedName name="XREF_COLUMN_5" localSheetId="12" hidden="1">'[2]2004'!#REF!</definedName>
    <definedName name="XRefActiveRow" localSheetId="12" hidden="1">#REF!</definedName>
    <definedName name="XRefCopy1" localSheetId="12" hidden="1">#REF!</definedName>
    <definedName name="XRefCopy1Row" localSheetId="12" hidden="1">#REF!</definedName>
    <definedName name="XRefCopy2Row" localSheetId="12" hidden="1">#REF!</definedName>
    <definedName name="XRefPaste1" localSheetId="12" hidden="1">#REF!</definedName>
    <definedName name="XRefPaste1Row" localSheetId="12" hidden="1">#REF!</definedName>
    <definedName name="XRefPaste2" localSheetId="12" hidden="1">#REF!</definedName>
    <definedName name="XRefPaste2Row" localSheetId="12" hidden="1">#REF!</definedName>
    <definedName name="XRefPaste3" localSheetId="12" hidden="1">#REF!</definedName>
    <definedName name="XRefPaste3Row" localSheetId="12" hidden="1">#REF!</definedName>
    <definedName name="发的撒发" localSheetId="12" hidden="1">{#N/A,#N/A,FALSE,"BBPREP"}</definedName>
    <definedName name="_xlnm.Print_Area" localSheetId="12">'应交其他税费测算表N2-8'!$A$1:$I$24</definedName>
    <definedName name="bs" localSheetId="13" hidden="1">{#N/A,#N/A,FALSE,"BBPREP"}</definedName>
    <definedName name="bs_1" localSheetId="13" hidden="1">{#N/A,#N/A,FALSE,"BBPREP"}</definedName>
    <definedName name="gg" localSheetId="13" hidden="1">{#N/A,#N/A,FALSE,"BBPREP"}</definedName>
    <definedName name="XREF_COLUMN_1" localSheetId="13" hidden="1">#REF!</definedName>
    <definedName name="XREF_COLUMN_2" localSheetId="13" hidden="1">[1]Breakdown!#REF!</definedName>
    <definedName name="XREF_COLUMN_3" localSheetId="13" hidden="1">#REF!</definedName>
    <definedName name="XREF_COLUMN_5" localSheetId="13" hidden="1">'[2]2004'!#REF!</definedName>
    <definedName name="XRefActiveRow" localSheetId="13" hidden="1">#REF!</definedName>
    <definedName name="XRefCopy1" localSheetId="13" hidden="1">#REF!</definedName>
    <definedName name="XRefCopy1Row" localSheetId="13" hidden="1">#REF!</definedName>
    <definedName name="XRefCopy2Row" localSheetId="13" hidden="1">#REF!</definedName>
    <definedName name="XRefPaste1" localSheetId="13" hidden="1">#REF!</definedName>
    <definedName name="XRefPaste1Row" localSheetId="13" hidden="1">#REF!</definedName>
    <definedName name="XRefPaste2" localSheetId="13" hidden="1">#REF!</definedName>
    <definedName name="XRefPaste2Row" localSheetId="13" hidden="1">#REF!</definedName>
    <definedName name="XRefPaste3" localSheetId="13" hidden="1">#REF!</definedName>
    <definedName name="XRefPaste3Row" localSheetId="13" hidden="1">#REF!</definedName>
    <definedName name="发的撒发" localSheetId="13" hidden="1">{#N/A,#N/A,FALSE,"BBPREP"}</definedName>
    <definedName name="_xlnm.Print_Area" localSheetId="13">'房产税测算表N2-9'!$A$1:$G$31</definedName>
    <definedName name="bs" localSheetId="14" hidden="1">{#N/A,#N/A,FALSE,"BBPREP"}</definedName>
    <definedName name="bs_1" localSheetId="14" hidden="1">{#N/A,#N/A,FALSE,"BBPREP"}</definedName>
    <definedName name="gg" localSheetId="14" hidden="1">{#N/A,#N/A,FALSE,"BBPREP"}</definedName>
    <definedName name="XREF_COLUMN_1" localSheetId="14" hidden="1">#REF!</definedName>
    <definedName name="XREF_COLUMN_2" localSheetId="14" hidden="1">[1]Breakdown!#REF!</definedName>
    <definedName name="XREF_COLUMN_3" localSheetId="14" hidden="1">#REF!</definedName>
    <definedName name="XREF_COLUMN_5" localSheetId="14" hidden="1">'[2]2004'!#REF!</definedName>
    <definedName name="XRefActiveRow" localSheetId="14" hidden="1">#REF!</definedName>
    <definedName name="XRefCopy1" localSheetId="14" hidden="1">#REF!</definedName>
    <definedName name="XRefCopy1Row" localSheetId="14" hidden="1">#REF!</definedName>
    <definedName name="XRefCopy2Row" localSheetId="14" hidden="1">#REF!</definedName>
    <definedName name="XRefPaste1" localSheetId="14" hidden="1">#REF!</definedName>
    <definedName name="XRefPaste1Row" localSheetId="14" hidden="1">#REF!</definedName>
    <definedName name="XRefPaste2" localSheetId="14" hidden="1">#REF!</definedName>
    <definedName name="XRefPaste2Row" localSheetId="14" hidden="1">#REF!</definedName>
    <definedName name="XRefPaste3" localSheetId="14" hidden="1">#REF!</definedName>
    <definedName name="XRefPaste3Row" localSheetId="14" hidden="1">#REF!</definedName>
    <definedName name="发的撒发" localSheetId="14" hidden="1">{#N/A,#N/A,FALSE,"BBPREP"}</definedName>
    <definedName name="_xlnm.Print_Titles" localSheetId="14">'土地增值税测算表N2-10'!$1:$4</definedName>
    <definedName name="_xlnm.Print_Area" localSheetId="14">'土地增值税测算表N2-10'!$A$1:$E$52</definedName>
    <definedName name="_xlnm.Print_Area" localSheetId="15">'应交税费检查表N2-11'!$A$1:$P$27</definedName>
    <definedName name="bs" localSheetId="16" hidden="1">{#N/A,#N/A,FALSE,"BBPREP"}</definedName>
    <definedName name="bs_1" localSheetId="16" hidden="1">{#N/A,#N/A,FALSE,"BBPREP"}</definedName>
    <definedName name="gg" localSheetId="16" hidden="1">{#N/A,#N/A,FALSE,"BBPREP"}</definedName>
    <definedName name="XREF_COLUMN_1" localSheetId="16" hidden="1">#REF!</definedName>
    <definedName name="XREF_COLUMN_2" localSheetId="16" hidden="1">[1]Breakdown!#REF!</definedName>
    <definedName name="XREF_COLUMN_3" localSheetId="16" hidden="1">#REF!</definedName>
    <definedName name="XREF_COLUMN_5" localSheetId="16" hidden="1">'[2]2004'!#REF!</definedName>
    <definedName name="XRefActiveRow" localSheetId="16" hidden="1">#REF!</definedName>
    <definedName name="XRefCopy1" localSheetId="16" hidden="1">#REF!</definedName>
    <definedName name="XRefCopy1Row" localSheetId="16" hidden="1">#REF!</definedName>
    <definedName name="XRefCopy2Row" localSheetId="16" hidden="1">#REF!</definedName>
    <definedName name="XRefPaste1" localSheetId="16" hidden="1">#REF!</definedName>
    <definedName name="XRefPaste1Row" localSheetId="16" hidden="1">#REF!</definedName>
    <definedName name="XRefPaste2" localSheetId="16" hidden="1">#REF!</definedName>
    <definedName name="XRefPaste2Row" localSheetId="16" hidden="1">#REF!</definedName>
    <definedName name="XRefPaste3" localSheetId="16" hidden="1">#REF!</definedName>
    <definedName name="XRefPaste3Row" localSheetId="16" hidden="1">#REF!</definedName>
    <definedName name="发的撒发" localSheetId="16" hidden="1">{#N/A,#N/A,FALSE,"BBPREP"}</definedName>
    <definedName name="_xlnm.Print_Area" localSheetId="16">'出口退税额复核示例'!$A$1:$H$24</definedName>
  </definedNames>
  <calcPr calcId="162913" fullCalcOnLoad="1"/>
</workbook>
</file>

<file path=xl/styles.xml><?xml version="1.0" encoding="utf-8"?>
<styleSheet xmlns="http://schemas.openxmlformats.org/spreadsheetml/2006/main">
  <numFmts count="35">
    <numFmt numFmtId="164" formatCode="_([$€-2]* #,##0.00_);_([$€-2]* \(#,##0.00\);_([$€-2]* &quot;-&quot;??_)"/>
    <numFmt numFmtId="165" formatCode="_ * #,##0.00_ ;_ * \-#,##0.00_ ;_ * &quot;-&quot;??_ ;_ @_ "/>
    <numFmt numFmtId="166" formatCode="0_);[Red]\(0\)"/>
    <numFmt numFmtId="167" formatCode="_ * #,##0.00_ ;_ * \-#,##0.00_ ;_ * &quot;-&quot;_ ;_ @_ "/>
    <numFmt numFmtId="168" formatCode="#,##0.00_ "/>
    <numFmt numFmtId="169" formatCode="_-#,##0_-;\(#,##0\);_-\ \ &quot;-&quot;_-;_-@_-"/>
    <numFmt numFmtId="170" formatCode="_-#,##0.00_-;\(#,##0.00\);_-\ \ &quot;-&quot;_-;_-@_-"/>
    <numFmt numFmtId="171" formatCode="mmm/dd/yyyy;_-\ &quot;N/A&quot;_-;_-\ &quot;-&quot;_-"/>
    <numFmt numFmtId="172" formatCode="mmm/yyyy;_-\ &quot;N/A&quot;_-;_-\ &quot;-&quot;_-"/>
    <numFmt numFmtId="173" formatCode="_-#,##0%_-;\(#,##0%\);_-\ &quot;-&quot;_-"/>
    <numFmt numFmtId="174" formatCode="_-#,###,_-;\(#,###,\);_-\ \ &quot;-&quot;_-;_-@_-"/>
    <numFmt numFmtId="175" formatCode="_-#,###.00,_-;\(#,###.00,\);_-\ \ &quot;-&quot;_-;_-@_-"/>
    <numFmt numFmtId="176" formatCode="_-#0&quot;.&quot;0,_-;\(#0&quot;.&quot;0,\);_-\ \ &quot;-&quot;_-;_-@_-"/>
    <numFmt numFmtId="177" formatCode="_-#0&quot;.&quot;0000_-;\(#0&quot;.&quot;0000\);_-\ \ &quot;-&quot;_-;_-@_-"/>
    <numFmt numFmtId="178" formatCode="0%;\(0%\)"/>
    <numFmt numFmtId="179" formatCode="0.0%"/>
    <numFmt numFmtId="180" formatCode="&quot;$&quot;#,##0_);\(&quot;$&quot;#,##0\)"/>
    <numFmt numFmtId="181" formatCode="#,##0;\-#,##0;&quot;-&quot;"/>
    <numFmt numFmtId="182" formatCode="&quot;\&quot;#,##0;[Red]&quot;\&quot;&quot;\&quot;&quot;\&quot;&quot;\&quot;&quot;\&quot;&quot;\&quot;&quot;\&quot;\-#,##0"/>
    <numFmt numFmtId="183" formatCode="&quot;$&quot;#,##0;[Red]&quot;$&quot;&quot;$&quot;&quot;$&quot;&quot;$&quot;&quot;$&quot;&quot;$&quot;&quot;$&quot;\-#,##0"/>
    <numFmt numFmtId="184" formatCode="#,##0.0_);\(#,##0.0\)"/>
    <numFmt numFmtId="185" formatCode="hh:mm\ AM/PM_)"/>
    <numFmt numFmtId="186" formatCode="&quot;$&quot;#,##0.00_);\(&quot;$&quot;#,##0.00\)"/>
    <numFmt numFmtId="187" formatCode=";;;"/>
    <numFmt numFmtId="188" formatCode="&quot;\&quot;#,##0;[Red]&quot;\&quot;&quot;\&quot;\-#,##0"/>
    <numFmt numFmtId="189" formatCode="&quot;\&quot;#,##0.00;[Red]&quot;\&quot;&quot;\&quot;\-#,##0.00"/>
    <numFmt numFmtId="190" formatCode="_(&quot;$&quot;* #,##0.00_);_(&quot;$&quot;* \(#,##0.00\);_(&quot;$&quot;* &quot;-&quot;??_);_(@_)"/>
    <numFmt numFmtId="191" formatCode="_-* #,##0_-;\-* #,##0_-;_-* &quot;-&quot;??_-;_-@_-"/>
    <numFmt numFmtId="192" formatCode="0.00000000000_);[Red]\(0.00000000000\)"/>
    <numFmt numFmtId="193" formatCode="&quot;\&quot;#,##0;&quot;\&quot;&quot;\&quot;\-#,##0"/>
    <numFmt numFmtId="194" formatCode="0%_);\(0%\)"/>
    <numFmt numFmtId="195" formatCode="&quot;\&quot;#,##0.00;[Red]&quot;\&quot;&quot;\&quot;&quot;\&quot;&quot;\&quot;&quot;\&quot;&quot;\&quot;\-#,##0.00"/>
    <numFmt numFmtId="196" formatCode="&quot;\&quot;#,##0.00;[Red]&quot;\&quot;\-#,##0.00"/>
    <numFmt numFmtId="197" formatCode="&quot;\&quot;#,##0;[Red]&quot;\&quot;\-#,##0"/>
    <numFmt numFmtId="19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6">
    <font>
      <name val="宋体"/>
      <charset val="134"/>
      <sz val="12"/>
    </font>
    <font>
      <name val="宋体"/>
      <charset val="134"/>
      <family val="2"/>
      <color theme="1"/>
      <sz val="11"/>
      <scheme val="minor"/>
    </font>
    <font>
      <name val="宋体"/>
      <charset val="134"/>
      <family val="3"/>
      <sz val="12"/>
      <scheme val="minor"/>
    </font>
    <font>
      <name val="宋体"/>
      <charset val="134"/>
      <family val="3"/>
      <b val="1"/>
      <sz val="12"/>
      <scheme val="minor"/>
    </font>
    <font>
      <name val="宋体"/>
      <charset val="134"/>
      <family val="3"/>
      <b val="1"/>
      <sz val="14"/>
      <scheme val="minor"/>
    </font>
    <font>
      <name val="宋体"/>
      <charset val="134"/>
      <family val="3"/>
      <sz val="10"/>
      <scheme val="minor"/>
    </font>
    <font>
      <name val="宋体"/>
      <charset val="134"/>
      <family val="3"/>
      <b val="1"/>
      <color indexed="8"/>
      <sz val="10"/>
      <scheme val="minor"/>
    </font>
    <font>
      <name val="宋体"/>
      <charset val="134"/>
      <family val="3"/>
      <b val="1"/>
      <sz val="10"/>
      <scheme val="minor"/>
    </font>
    <font>
      <name val="宋体"/>
      <charset val="134"/>
      <family val="3"/>
      <b val="1"/>
      <color rgb="FFE92841"/>
      <sz val="10"/>
      <scheme val="minor"/>
    </font>
    <font>
      <name val="宋体"/>
      <charset val="134"/>
      <family val="3"/>
      <color indexed="8"/>
      <sz val="10"/>
      <scheme val="minor"/>
    </font>
    <font>
      <name val="宋体"/>
      <charset val="134"/>
      <family val="3"/>
      <color rgb="FFFF0000"/>
      <sz val="10"/>
      <scheme val="minor"/>
    </font>
    <font>
      <name val="宋体"/>
      <charset val="134"/>
      <family val="3"/>
      <color indexed="12"/>
      <sz val="10"/>
      <scheme val="minor"/>
    </font>
    <font>
      <name val="宋体"/>
      <charset val="134"/>
      <family val="3"/>
      <sz val="10"/>
    </font>
    <font>
      <name val="宋体"/>
      <charset val="134"/>
      <family val="3"/>
      <b val="1"/>
      <sz val="12"/>
    </font>
    <font>
      <name val="宋体"/>
      <charset val="134"/>
      <family val="3"/>
      <b val="1"/>
      <sz val="14"/>
    </font>
    <font>
      <name val="宋体"/>
      <charset val="134"/>
      <family val="3"/>
      <b val="1"/>
      <sz val="10"/>
    </font>
    <font>
      <name val="Arial Narrow"/>
      <family val="2"/>
      <sz val="10"/>
    </font>
    <font>
      <name val="Arial Narrow"/>
      <family val="2"/>
      <b val="1"/>
      <sz val="10"/>
    </font>
    <font>
      <name val="宋体"/>
      <charset val="134"/>
      <family val="3"/>
      <color rgb="FF0000FF"/>
      <sz val="10"/>
    </font>
    <font>
      <name val="宋体"/>
      <charset val="134"/>
      <family val="3"/>
      <color indexed="12"/>
      <sz val="10"/>
    </font>
    <font>
      <name val="Arial Narrow"/>
      <family val="2"/>
      <sz val="12"/>
    </font>
    <font>
      <name val="Arial Narrow"/>
      <family val="2"/>
      <b val="1"/>
      <sz val="12"/>
    </font>
    <font>
      <name val="仿宋_GB2312"/>
      <charset val="134"/>
      <family val="3"/>
      <sz val="12"/>
    </font>
    <font>
      <name val="仿宋_GB2312"/>
      <charset val="134"/>
      <family val="3"/>
      <b val="1"/>
      <sz val="12"/>
    </font>
    <font>
      <name val="仿宋_GB2312"/>
      <charset val="134"/>
      <family val="3"/>
      <b val="1"/>
      <color rgb="FF000000"/>
      <sz val="12"/>
    </font>
    <font>
      <name val="仿宋_GB2312"/>
      <charset val="134"/>
      <family val="3"/>
      <color rgb="FF0000FF"/>
      <sz val="12"/>
    </font>
    <font>
      <name val="仿宋_GB2312"/>
      <charset val="134"/>
      <family val="3"/>
      <sz val="10"/>
    </font>
    <font>
      <name val="Arial Narrow"/>
      <family val="2"/>
      <color indexed="8"/>
      <sz val="10"/>
    </font>
    <font>
      <name val="Arial"/>
      <family val="2"/>
      <b val="1"/>
      <sz val="10"/>
    </font>
    <font>
      <name val="Arial"/>
      <family val="2"/>
      <b val="1"/>
      <sz val="12"/>
    </font>
    <font>
      <name val="Arial"/>
      <family val="2"/>
      <sz val="10"/>
    </font>
    <font>
      <name val="Arial"/>
      <family val="2"/>
      <color theme="1"/>
      <sz val="10"/>
    </font>
    <font>
      <name val="宋体"/>
      <charset val="134"/>
      <family val="3"/>
      <color theme="1"/>
      <sz val="10"/>
    </font>
    <font>
      <name val="Arial"/>
      <family val="2"/>
      <b val="1"/>
      <color indexed="10"/>
      <sz val="10"/>
    </font>
    <font>
      <name val="宋体"/>
      <charset val="134"/>
      <family val="3"/>
      <color rgb="FFFF0000"/>
      <sz val="10"/>
    </font>
    <font>
      <name val="Arial Narrow"/>
      <family val="2"/>
      <color theme="1"/>
      <sz val="10"/>
    </font>
    <font>
      <name val="宋体"/>
      <charset val="134"/>
      <family val="3"/>
      <b val="1"/>
      <color theme="1"/>
      <sz val="10"/>
    </font>
    <font>
      <name val="Arial Narrow"/>
      <family val="2"/>
      <b val="1"/>
      <color theme="1"/>
      <sz val="10"/>
    </font>
    <font>
      <name val="宋体"/>
      <charset val="134"/>
      <family val="3"/>
      <color theme="1"/>
      <sz val="10"/>
      <scheme val="minor"/>
    </font>
    <font>
      <name val="Arial Narrow"/>
      <family val="2"/>
      <color rgb="FFFF0000"/>
      <sz val="10"/>
    </font>
    <font>
      <name val="Arial Narrow"/>
      <family val="2"/>
      <color rgb="FF0000FF"/>
      <sz val="10"/>
    </font>
    <font>
      <name val="宋体"/>
      <charset val="134"/>
      <family val="3"/>
      <color rgb="FF5445C7"/>
      <sz val="10"/>
    </font>
    <font>
      <name val="宋体"/>
      <charset val="134"/>
      <family val="3"/>
      <color theme="1"/>
      <sz val="11"/>
      <scheme val="minor"/>
    </font>
    <font>
      <name val="宋体"/>
      <charset val="134"/>
      <family val="3"/>
      <color indexed="12"/>
      <sz val="12"/>
      <u val="single"/>
    </font>
    <font>
      <name val="Times New Roman"/>
      <family val="1"/>
      <sz val="10"/>
    </font>
    <font>
      <name val="Arial"/>
      <family val="2"/>
      <color indexed="8"/>
      <sz val="10"/>
    </font>
    <font>
      <name val="Times New Roman"/>
      <family val="1"/>
      <sz val="10"/>
      <u val="singleAccounting"/>
      <vertAlign val="subscript"/>
    </font>
    <font>
      <name val="Times New Roman"/>
      <family val="1"/>
      <i val="1"/>
      <sz val="9"/>
    </font>
    <font>
      <name val="Tms Rmn"/>
      <family val="1"/>
      <sz val="13"/>
    </font>
    <font>
      <name val="Times New Roman"/>
      <family val="1"/>
      <sz val="12"/>
    </font>
    <font>
      <name val="楷体"/>
      <charset val="134"/>
      <family val="3"/>
      <sz val="12"/>
    </font>
    <font>
      <name val="Calibri"/>
      <family val="2"/>
      <color indexed="8"/>
      <sz val="11"/>
    </font>
    <font>
      <name val="Calibri"/>
      <family val="2"/>
      <color indexed="9"/>
      <sz val="11"/>
    </font>
    <font>
      <name val="Calibri"/>
      <family val="2"/>
      <color indexed="20"/>
      <sz val="11"/>
    </font>
    <font>
      <name val="Helv"/>
      <family val="2"/>
      <sz val="7"/>
    </font>
    <font>
      <name val="MS Sans Serif"/>
      <family val="1"/>
      <b val="1"/>
      <sz val="10"/>
    </font>
    <font>
      <name val="Calibri"/>
      <family val="2"/>
      <b val="1"/>
      <color indexed="52"/>
      <sz val="11"/>
    </font>
    <font>
      <name val="Calibri"/>
      <family val="2"/>
      <b val="1"/>
      <color indexed="9"/>
      <sz val="11"/>
    </font>
    <font>
      <name val="Tms Rmn"/>
      <family val="1"/>
      <b val="1"/>
      <sz val="13"/>
    </font>
    <font>
      <name val="Arial"/>
      <family val="2"/>
      <b val="1"/>
      <sz val="8"/>
    </font>
    <font>
      <name val="MS Sans Serif"/>
      <family val="2"/>
      <sz val="10"/>
    </font>
    <font>
      <name val="Times New Roman"/>
      <family val="1"/>
      <sz val="9"/>
    </font>
    <font>
      <name val="Arial"/>
      <family val="2"/>
      <sz val="8"/>
    </font>
    <font>
      <name val="Calibri"/>
      <family val="2"/>
      <i val="1"/>
      <color indexed="23"/>
      <sz val="11"/>
    </font>
    <font>
      <name val="Arial"/>
      <family val="2"/>
      <color indexed="36"/>
      <sz val="7.5"/>
      <u val="single"/>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Arial"/>
      <family val="2"/>
      <color indexed="12"/>
      <sz val="7.5"/>
      <u val="single"/>
    </font>
    <font>
      <name val="Calibri"/>
      <family val="2"/>
      <color indexed="62"/>
      <sz val="11"/>
    </font>
    <font>
      <name val="Calibri"/>
      <family val="2"/>
      <color indexed="52"/>
      <sz val="11"/>
    </font>
    <font>
      <name val="Calibri"/>
      <family val="2"/>
      <color indexed="60"/>
      <sz val="11"/>
    </font>
    <font>
      <name val="Small Fonts"/>
      <family val="2"/>
      <sz val="7"/>
    </font>
    <font>
      <name val="Courier"/>
      <family val="3"/>
      <sz val="10"/>
    </font>
    <font>
      <name val="MS Sans Serif"/>
      <family val="2"/>
      <color indexed="8"/>
      <sz val="10"/>
    </font>
    <font>
      <name val="Calibri"/>
      <family val="2"/>
      <b val="1"/>
      <color indexed="63"/>
      <sz val="11"/>
    </font>
    <font>
      <name val="Helv"/>
      <family val="2"/>
      <color indexed="10"/>
      <sz val="7"/>
    </font>
    <font>
      <name val="Century Schoolbook"/>
      <family val="1"/>
      <color indexed="16"/>
      <sz val="8"/>
    </font>
    <font>
      <name val="宋体"/>
      <charset val="134"/>
      <family val="3"/>
      <color indexed="8"/>
      <sz val="9"/>
    </font>
    <font>
      <name val="Times New Roman"/>
      <family val="1"/>
      <b val="1"/>
      <i val="1"/>
      <sz val="10"/>
    </font>
    <font>
      <name val="MS Sans Serif"/>
      <family val="2"/>
      <b val="1"/>
      <sz val="12"/>
    </font>
    <font>
      <name val="MS Sans Serif"/>
      <family val="2"/>
      <sz val="12"/>
    </font>
    <font>
      <name val="Times New Roman"/>
      <family val="1"/>
      <b val="1"/>
      <sz val="9"/>
    </font>
    <font>
      <name val="Calibri"/>
      <family val="2"/>
      <b val="1"/>
      <color indexed="8"/>
      <sz val="11"/>
    </font>
    <font>
      <name val="Calibri"/>
      <family val="2"/>
      <color indexed="10"/>
      <sz val="11"/>
    </font>
    <font>
      <name val="Geneva"/>
      <family val="1"/>
      <sz val="10"/>
    </font>
    <font>
      <name val="明朝"/>
      <family val="2"/>
      <sz val="11"/>
    </font>
    <font>
      <name val="柧挬"/>
      <charset val="134"/>
      <sz val="14"/>
    </font>
    <font>
      <name val="Century Schoolbook"/>
      <family val="1"/>
      <sz val="8"/>
    </font>
    <font>
      <name val="宋体"/>
      <charset val="134"/>
      <family val="3"/>
      <color indexed="12"/>
      <sz val="10"/>
      <u val="single"/>
    </font>
    <font>
      <name val="Tms Rmn"/>
      <family val="1"/>
      <color indexed="12"/>
      <sz val="8"/>
      <u val="single"/>
    </font>
    <font>
      <name val="冼极"/>
      <charset val="134"/>
      <sz val="12"/>
    </font>
    <font>
      <name val="官帕眉"/>
      <charset val="134"/>
      <sz val="12"/>
    </font>
    <font>
      <name val="奔覆眉"/>
      <charset val="134"/>
      <sz val="10"/>
    </font>
    <font>
      <name val="MS Sans Serif"/>
      <family val="2"/>
      <color indexed="14"/>
      <sz val="10"/>
      <u val="single"/>
    </font>
    <font>
      <name val="柧挬"/>
      <charset val="134"/>
      <sz val="12"/>
    </font>
    <font>
      <name val="ＭＳ Ｐゴシック"/>
      <family val="2"/>
      <sz val="11"/>
    </font>
    <font>
      <name val="바탕체"/>
      <family val="3"/>
      <sz val="12"/>
    </font>
    <font>
      <name val="Arial Narrow"/>
      <family val="2"/>
      <color rgb="FF0000FF"/>
      <sz val="12"/>
    </font>
    <font>
      <name val="微软雅黑"/>
      <charset val="134"/>
      <family val="2"/>
      <sz val="10"/>
    </font>
    <font>
      <name val="宋体"/>
      <charset val="134"/>
      <family val="3"/>
      <sz val="12"/>
    </font>
    <font>
      <name val="宋体"/>
      <charset val="134"/>
      <family val="3"/>
      <sz val="9"/>
    </font>
    <font>
      <name val="宋体"/>
      <charset val="134"/>
      <family val="3"/>
      <color theme="10"/>
      <sz val="11"/>
      <u val="single"/>
      <scheme val="minor"/>
    </font>
    <font>
      <name val="Arial Narrow"/>
      <family val="2"/>
      <b val="1"/>
      <color rgb="FFFF0000"/>
      <sz val="10"/>
    </font>
    <font>
      <name val="宋体"/>
      <charset val="134"/>
      <family val="3"/>
      <color indexed="10"/>
      <sz val="10"/>
    </font>
    <font>
      <name val="宋体"/>
      <charset val="134"/>
      <family val="3"/>
      <b val="1"/>
      <color indexed="8"/>
      <sz val="10"/>
    </font>
    <font>
      <name val="宋体"/>
      <charset val="134"/>
      <family val="3"/>
      <color indexed="8"/>
      <sz val="10"/>
    </font>
    <font>
      <name val="Arial Narrow"/>
      <family val="2"/>
      <b val="1"/>
      <color indexed="8"/>
      <sz val="10"/>
    </font>
    <font>
      <name val="宋体"/>
      <charset val="134"/>
      <family val="3"/>
      <color theme="1"/>
      <sz val="11"/>
    </font>
    <font>
      <name val="宋体"/>
      <charset val="134"/>
      <family val="3"/>
      <b val="1"/>
      <color rgb="FFFF0000"/>
      <sz val="10"/>
    </font>
    <font>
      <name val="宋体"/>
      <charset val="134"/>
      <family val="3"/>
      <sz val="11"/>
      <scheme val="minor"/>
    </font>
    <font>
      <name val="宋体"/>
      <charset val="134"/>
      <family val="3"/>
      <color indexed="12"/>
      <sz val="11"/>
      <u val="single"/>
    </font>
    <font>
      <name val="宋体"/>
      <charset val="134"/>
      <family val="2"/>
      <sz val="9"/>
      <scheme val="minor"/>
    </font>
    <font>
      <name val="宋体"/>
      <charset val="134"/>
      <family val="3"/>
      <b val="1"/>
      <color indexed="81"/>
      <sz val="9"/>
    </font>
    <font>
      <name val="宋体"/>
      <charset val="134"/>
      <family val="3"/>
      <color indexed="81"/>
      <sz val="9"/>
    </font>
  </fonts>
  <fills count="34">
    <fill>
      <patternFill/>
    </fill>
    <fill>
      <patternFill patternType="gray125"/>
    </fill>
    <fill>
      <patternFill patternType="solid">
        <fgColor theme="7" tint="0.7999511703848384"/>
        <bgColor indexed="64"/>
      </patternFill>
    </fill>
    <fill>
      <patternFill patternType="solid">
        <fgColor rgb="FFE4DFEC"/>
        <bgColor indexed="64"/>
      </patternFill>
    </fill>
    <fill>
      <patternFill patternType="solid">
        <fgColor indexed="9"/>
        <bgColor indexed="64"/>
      </patternFill>
    </fill>
    <fill>
      <patternFill patternType="solid">
        <fgColor theme="0" tint="-0.1499679555650502"/>
        <bgColor indexed="64"/>
      </patternFill>
    </fill>
    <fill>
      <patternFill patternType="solid">
        <fgColor indexed="14"/>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
      <patternFill patternType="solid">
        <fgColor indexed="13"/>
        <bgColor indexed="64"/>
      </patternFill>
    </fill>
    <fill>
      <patternFill patternType="solid">
        <fgColor theme="0"/>
        <bgColor indexed="64"/>
      </patternFill>
    </fill>
    <fill>
      <patternFill patternType="solid">
        <fgColor theme="7" tint="0.5999938962981048"/>
        <bgColor indexed="64"/>
      </patternFill>
    </fill>
    <fill>
      <patternFill patternType="solid">
        <fgColor rgb="FFE4DFEC"/>
        <bgColor rgb="FFB7DEE8"/>
      </patternFill>
    </fill>
    <fill>
      <patternFill patternType="solid">
        <fgColor theme="7" tint="0.7999816888943144"/>
        <bgColor indexed="64"/>
      </patternFill>
    </fill>
  </fills>
  <borders count="34">
    <border>
      <left/>
      <right/>
      <top/>
      <bottom/>
      <diagonal/>
    </border>
    <border>
      <left style="hair">
        <color auto="1"/>
      </left>
      <right style="hair">
        <color auto="1"/>
      </right>
      <top style="hair">
        <color auto="1"/>
      </top>
      <bottom style="hair">
        <color auto="1"/>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hair">
        <color auto="1"/>
      </top>
      <bottom/>
      <diagonal/>
    </border>
    <border>
      <left style="hair">
        <color auto="1"/>
      </left>
      <right/>
      <top/>
      <bottom style="hair">
        <color auto="1"/>
      </bottom>
      <diagonal/>
    </border>
    <border>
      <left/>
      <right/>
      <top/>
      <bottom style="hair">
        <color auto="1"/>
      </bottom>
      <diagonal/>
    </border>
    <border>
      <left style="thin">
        <color auto="1"/>
      </left>
      <right/>
      <top/>
      <bottom style="hair">
        <color auto="1"/>
      </bottom>
      <diagonal/>
    </border>
    <border>
      <left/>
      <right style="hair">
        <color auto="1"/>
      </right>
      <top style="hair">
        <color auto="1"/>
      </top>
      <bottom/>
      <diagonal/>
    </border>
    <border>
      <left style="hair">
        <color auto="1"/>
      </left>
      <right/>
      <top/>
      <bottom/>
      <diagonal/>
    </border>
    <border>
      <left style="hair">
        <color auto="1"/>
      </left>
      <right style="hair">
        <color auto="1"/>
      </right>
      <top/>
      <bottom/>
      <diagonal/>
    </border>
    <border>
      <left/>
      <right style="hair">
        <color auto="1"/>
      </right>
      <top/>
      <bottom/>
      <diagonal/>
    </border>
    <border>
      <left/>
      <right style="hair">
        <color auto="1"/>
      </right>
      <top/>
      <bottom style="hair">
        <color auto="1"/>
      </bottom>
      <diagonal/>
    </border>
  </borders>
  <cellStyleXfs count="327">
    <xf numFmtId="164" fontId="0" fillId="0" borderId="0" applyProtection="1">
      <protection locked="0" hidden="0"/>
    </xf>
    <xf numFmtId="43" fontId="101" fillId="0" borderId="0"/>
    <xf numFmtId="9" fontId="101" fillId="0" borderId="0"/>
    <xf numFmtId="164" fontId="43" fillId="0" borderId="0" applyAlignment="1" applyProtection="1">
      <alignment vertical="top"/>
      <protection locked="0" hidden="0"/>
    </xf>
    <xf numFmtId="164" fontId="30" fillId="0" borderId="0"/>
    <xf numFmtId="164" fontId="30" fillId="0" borderId="0"/>
    <xf numFmtId="164" fontId="30" fillId="0" borderId="0"/>
    <xf numFmtId="164" fontId="30" fillId="0" borderId="0"/>
    <xf numFmtId="164" fontId="30" fillId="0" borderId="0"/>
    <xf numFmtId="164" fontId="30" fillId="0" borderId="0"/>
    <xf numFmtId="164" fontId="30" fillId="0" borderId="0"/>
    <xf numFmtId="164" fontId="30" fillId="0" borderId="0"/>
    <xf numFmtId="49" fontId="44" fillId="0" borderId="0" applyAlignment="1">
      <alignment horizontal="left"/>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lignment vertical="top"/>
    </xf>
    <xf numFmtId="164" fontId="45" fillId="0" borderId="0" applyAlignment="1" applyProtection="1">
      <alignment vertical="top"/>
      <protection locked="0" hidden="0"/>
    </xf>
    <xf numFmtId="164" fontId="45" fillId="0" borderId="0" applyAlignment="1">
      <alignment vertical="top"/>
    </xf>
    <xf numFmtId="164" fontId="45" fillId="0" borderId="0" applyAlignment="1">
      <alignment vertical="top"/>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lignment vertical="top"/>
    </xf>
    <xf numFmtId="164" fontId="45" fillId="0" borderId="0" applyAlignment="1">
      <alignment vertical="top"/>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lignment vertical="top"/>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lignment vertical="top"/>
    </xf>
    <xf numFmtId="164" fontId="45" fillId="0" borderId="0" applyAlignment="1" applyProtection="1">
      <alignment vertical="top"/>
      <protection locked="0" hidden="0"/>
    </xf>
    <xf numFmtId="164" fontId="45" fillId="0" borderId="0" applyAlignment="1" applyProtection="1">
      <alignment vertical="top"/>
      <protection locked="0" hidden="0"/>
    </xf>
    <xf numFmtId="164" fontId="45" fillId="0" borderId="0" applyAlignment="1">
      <alignment vertical="top"/>
    </xf>
    <xf numFmtId="164" fontId="45" fillId="0" borderId="0" applyAlignment="1" applyProtection="1">
      <alignment vertical="top"/>
      <protection locked="0" hidden="0"/>
    </xf>
    <xf numFmtId="164" fontId="45" fillId="0" borderId="0" applyAlignment="1">
      <alignment vertical="top"/>
    </xf>
    <xf numFmtId="164" fontId="45" fillId="0" borderId="0" applyAlignment="1">
      <alignment vertical="top"/>
    </xf>
    <xf numFmtId="164" fontId="45" fillId="0" borderId="0" applyAlignment="1" applyProtection="1">
      <alignment vertical="top"/>
      <protection locked="0" hidden="0"/>
    </xf>
    <xf numFmtId="169" fontId="44" fillId="0" borderId="0" applyAlignment="1">
      <alignment horizontal="right"/>
    </xf>
    <xf numFmtId="170" fontId="44" fillId="0" borderId="0" applyAlignment="1">
      <alignment horizontal="right"/>
    </xf>
    <xf numFmtId="171" fontId="46" fillId="0" borderId="0" applyAlignment="1">
      <alignment horizontal="center"/>
    </xf>
    <xf numFmtId="172" fontId="46" fillId="0" borderId="0" applyAlignment="1">
      <alignment horizontal="center"/>
    </xf>
    <xf numFmtId="173" fontId="47" fillId="0" borderId="0" applyAlignment="1">
      <alignment horizontal="right"/>
    </xf>
    <xf numFmtId="174" fontId="44" fillId="0" borderId="0" applyAlignment="1">
      <alignment horizontal="right"/>
    </xf>
    <xf numFmtId="175" fontId="44" fillId="0" borderId="0" applyAlignment="1">
      <alignment horizontal="right"/>
    </xf>
    <xf numFmtId="176" fontId="44" fillId="0" borderId="0" applyAlignment="1">
      <alignment horizontal="right"/>
    </xf>
    <xf numFmtId="177" fontId="44" fillId="0" borderId="0" applyAlignment="1">
      <alignment horizontal="right"/>
    </xf>
    <xf numFmtId="178" fontId="48" fillId="0" borderId="0"/>
    <xf numFmtId="164" fontId="49" fillId="0" borderId="0"/>
    <xf numFmtId="179" fontId="48" fillId="0" borderId="0"/>
    <xf numFmtId="10" fontId="48" fillId="0" borderId="0"/>
    <xf numFmtId="41" fontId="50" fillId="0" borderId="0"/>
    <xf numFmtId="164" fontId="51" fillId="15" borderId="0"/>
    <xf numFmtId="164" fontId="51" fillId="12" borderId="0"/>
    <xf numFmtId="164" fontId="51" fillId="11" borderId="0"/>
    <xf numFmtId="164" fontId="51" fillId="23" borderId="0"/>
    <xf numFmtId="164" fontId="51" fillId="25" borderId="0"/>
    <xf numFmtId="164" fontId="51" fillId="8" borderId="0"/>
    <xf numFmtId="164" fontId="51" fillId="16" borderId="0"/>
    <xf numFmtId="164" fontId="51" fillId="19" borderId="0"/>
    <xf numFmtId="164" fontId="51" fillId="21" borderId="0"/>
    <xf numFmtId="164" fontId="51" fillId="23" borderId="0"/>
    <xf numFmtId="164" fontId="51" fillId="16" borderId="0"/>
    <xf numFmtId="164" fontId="51" fillId="27" borderId="0"/>
    <xf numFmtId="164" fontId="52" fillId="17" borderId="0"/>
    <xf numFmtId="164" fontId="52" fillId="19" borderId="0"/>
    <xf numFmtId="164" fontId="52" fillId="21" borderId="0"/>
    <xf numFmtId="164" fontId="52" fillId="22" borderId="0"/>
    <xf numFmtId="164" fontId="52" fillId="24" borderId="0"/>
    <xf numFmtId="164" fontId="52" fillId="28" borderId="0"/>
    <xf numFmtId="164" fontId="52" fillId="14" borderId="0"/>
    <xf numFmtId="164" fontId="52" fillId="18" borderId="0"/>
    <xf numFmtId="164" fontId="52" fillId="20" borderId="0"/>
    <xf numFmtId="164" fontId="52" fillId="22" borderId="0"/>
    <xf numFmtId="164" fontId="52" fillId="24" borderId="0"/>
    <xf numFmtId="164" fontId="52" fillId="26" borderId="0"/>
    <xf numFmtId="164" fontId="53" fillId="12" borderId="0"/>
    <xf numFmtId="3" fontId="54" fillId="0" borderId="0"/>
    <xf numFmtId="180" fontId="55" fillId="0" borderId="20"/>
    <xf numFmtId="42" fontId="101" fillId="0" borderId="0"/>
    <xf numFmtId="181" fontId="45" fillId="0" borderId="0"/>
    <xf numFmtId="164" fontId="56" fillId="9" borderId="15"/>
    <xf numFmtId="164" fontId="57" fillId="10" borderId="17"/>
    <xf numFmtId="164" fontId="58" fillId="0" borderId="21" applyAlignment="1">
      <alignment horizontal="center"/>
    </xf>
    <xf numFmtId="164" fontId="59" fillId="0" borderId="22" applyAlignment="1">
      <alignment horizontal="center"/>
    </xf>
    <xf numFmtId="182" fontId="30" fillId="0" borderId="0"/>
    <xf numFmtId="183" fontId="30" fillId="0" borderId="0"/>
    <xf numFmtId="182" fontId="30" fillId="0" borderId="0"/>
    <xf numFmtId="183" fontId="30" fillId="0" borderId="0"/>
    <xf numFmtId="182" fontId="30" fillId="0" borderId="0"/>
    <xf numFmtId="183" fontId="30" fillId="0" borderId="0"/>
    <xf numFmtId="182" fontId="30" fillId="0" borderId="0"/>
    <xf numFmtId="183" fontId="30" fillId="0" borderId="0"/>
    <xf numFmtId="182" fontId="30" fillId="0" borderId="0"/>
    <xf numFmtId="183" fontId="30" fillId="0" borderId="0"/>
    <xf numFmtId="182" fontId="30" fillId="0" borderId="0"/>
    <xf numFmtId="183" fontId="30" fillId="0" borderId="0"/>
    <xf numFmtId="182" fontId="30" fillId="0" borderId="0"/>
    <xf numFmtId="183" fontId="30" fillId="0" borderId="0"/>
    <xf numFmtId="182" fontId="30" fillId="0" borderId="0"/>
    <xf numFmtId="183" fontId="30" fillId="0" borderId="0"/>
    <xf numFmtId="38" fontId="60" fillId="0" borderId="0"/>
    <xf numFmtId="37" fontId="48" fillId="0" borderId="0"/>
    <xf numFmtId="184" fontId="48" fillId="0" borderId="0"/>
    <xf numFmtId="39" fontId="48" fillId="0" borderId="0"/>
    <xf numFmtId="40" fontId="60" fillId="0" borderId="0"/>
    <xf numFmtId="185" fontId="101" fillId="0" borderId="0"/>
    <xf numFmtId="180" fontId="48" fillId="0" borderId="0"/>
    <xf numFmtId="186" fontId="48" fillId="0" borderId="0"/>
    <xf numFmtId="187" fontId="101" fillId="0" borderId="0"/>
    <xf numFmtId="41" fontId="30" fillId="0" borderId="0"/>
    <xf numFmtId="43" fontId="30" fillId="0" borderId="0"/>
    <xf numFmtId="164" fontId="61" fillId="0" borderId="0" applyAlignment="1">
      <alignment horizontal="left"/>
    </xf>
    <xf numFmtId="164" fontId="61" fillId="0" borderId="0" applyAlignment="1">
      <alignment horizontal="left"/>
    </xf>
    <xf numFmtId="164" fontId="62" fillId="29" borderId="10"/>
    <xf numFmtId="164" fontId="62" fillId="29" borderId="10"/>
    <xf numFmtId="164" fontId="44" fillId="0" borderId="0"/>
    <xf numFmtId="164" fontId="63" fillId="0" borderId="0"/>
    <xf numFmtId="164" fontId="49" fillId="0" borderId="0"/>
    <xf numFmtId="164" fontId="64" fillId="0" borderId="0" applyAlignment="1" applyProtection="1">
      <alignment vertical="top"/>
      <protection locked="0" hidden="0"/>
    </xf>
    <xf numFmtId="164" fontId="65" fillId="11" borderId="0"/>
    <xf numFmtId="38" fontId="62" fillId="9" borderId="0"/>
    <xf numFmtId="164" fontId="29" fillId="0" borderId="2" applyAlignment="1">
      <alignment horizontal="left" vertical="center"/>
    </xf>
    <xf numFmtId="164" fontId="29" fillId="0" borderId="2" applyAlignment="1">
      <alignment horizontal="left" vertical="center"/>
    </xf>
    <xf numFmtId="164" fontId="29" fillId="0" borderId="23" applyAlignment="1">
      <alignment horizontal="left" vertical="center"/>
    </xf>
    <xf numFmtId="164" fontId="29" fillId="0" borderId="23" applyAlignment="1">
      <alignment horizontal="left" vertical="center"/>
    </xf>
    <xf numFmtId="14" fontId="28" fillId="25" borderId="4" applyAlignment="1">
      <alignment horizontal="center" vertical="center" wrapText="1"/>
    </xf>
    <xf numFmtId="164" fontId="66" fillId="0" borderId="12"/>
    <xf numFmtId="164" fontId="67" fillId="0" borderId="13"/>
    <xf numFmtId="164" fontId="68" fillId="0" borderId="14"/>
    <xf numFmtId="164" fontId="68" fillId="0" borderId="0"/>
    <xf numFmtId="164" fontId="69" fillId="0" borderId="0" applyAlignment="1" applyProtection="1">
      <alignment vertical="top"/>
      <protection locked="0" hidden="0"/>
    </xf>
    <xf numFmtId="164" fontId="70" fillId="8" borderId="15"/>
    <xf numFmtId="10" fontId="62" fillId="7" borderId="10"/>
    <xf numFmtId="164" fontId="44" fillId="0" borderId="0" applyAlignment="1">
      <alignment horizontal="left" vertical="center"/>
    </xf>
    <xf numFmtId="164" fontId="44" fillId="0" borderId="0" applyAlignment="1">
      <alignment horizontal="left" vertical="center"/>
    </xf>
    <xf numFmtId="164" fontId="71" fillId="0" borderId="18"/>
    <xf numFmtId="41" fontId="30" fillId="0" borderId="0"/>
    <xf numFmtId="43" fontId="30" fillId="0" borderId="0"/>
    <xf numFmtId="188" fontId="101" fillId="0" borderId="0"/>
    <xf numFmtId="189" fontId="101" fillId="0" borderId="0"/>
    <xf numFmtId="42" fontId="30" fillId="0" borderId="0"/>
    <xf numFmtId="190" fontId="30" fillId="0" borderId="0"/>
    <xf numFmtId="191" fontId="30" fillId="0" borderId="0"/>
    <xf numFmtId="192" fontId="101" fillId="0" borderId="0"/>
    <xf numFmtId="164" fontId="72" fillId="13" borderId="0"/>
    <xf numFmtId="37" fontId="73" fillId="0" borderId="0"/>
    <xf numFmtId="164" fontId="74" fillId="0" borderId="0"/>
    <xf numFmtId="193" fontId="101" fillId="0" borderId="0"/>
    <xf numFmtId="164" fontId="30" fillId="0" borderId="0"/>
    <xf numFmtId="164" fontId="30" fillId="0" borderId="0"/>
    <xf numFmtId="164" fontId="60" fillId="0" borderId="0"/>
    <xf numFmtId="164" fontId="75" fillId="0" borderId="0"/>
    <xf numFmtId="164" fontId="30" fillId="7" borderId="11"/>
    <xf numFmtId="164" fontId="76" fillId="9" borderId="16"/>
    <xf numFmtId="194" fontId="30" fillId="0" borderId="0"/>
    <xf numFmtId="9" fontId="44" fillId="0" borderId="0"/>
    <xf numFmtId="10" fontId="44" fillId="0" borderId="0"/>
    <xf numFmtId="10" fontId="30" fillId="0" borderId="0"/>
    <xf numFmtId="164" fontId="62" fillId="9" borderId="10"/>
    <xf numFmtId="164" fontId="62" fillId="9" borderId="10"/>
    <xf numFmtId="4" fontId="61" fillId="0" borderId="0" applyAlignment="1">
      <alignment horizontal="right"/>
    </xf>
    <xf numFmtId="3" fontId="77" fillId="0" borderId="0"/>
    <xf numFmtId="4" fontId="78" fillId="0" borderId="0" applyAlignment="1">
      <alignment horizontal="right"/>
    </xf>
    <xf numFmtId="41" fontId="44" fillId="0" borderId="0"/>
    <xf numFmtId="164" fontId="79" fillId="4" borderId="0" applyAlignment="1">
      <alignment horizontal="left" vertical="center"/>
    </xf>
    <xf numFmtId="164" fontId="79" fillId="4" borderId="0" applyAlignment="1">
      <alignment horizontal="right" vertical="center"/>
    </xf>
    <xf numFmtId="164" fontId="80" fillId="0" borderId="0" applyAlignment="1">
      <alignment horizontal="left"/>
    </xf>
    <xf numFmtId="164" fontId="80" fillId="0" borderId="0" applyAlignment="1">
      <alignment horizontal="left"/>
    </xf>
    <xf numFmtId="164" fontId="81" fillId="0" borderId="10" applyAlignment="1">
      <alignment horizontal="center"/>
    </xf>
    <xf numFmtId="164" fontId="81" fillId="0" borderId="10" applyAlignment="1">
      <alignment horizontal="center"/>
    </xf>
    <xf numFmtId="164" fontId="81" fillId="0" borderId="0" applyAlignment="1">
      <alignment horizontal="center" vertical="center"/>
    </xf>
    <xf numFmtId="164" fontId="81" fillId="0" borderId="0" applyAlignment="1">
      <alignment horizontal="center" vertical="center"/>
    </xf>
    <xf numFmtId="164" fontId="82" fillId="0" borderId="0" applyAlignment="1">
      <alignment horizontal="left" vertical="center"/>
    </xf>
    <xf numFmtId="164" fontId="82" fillId="0" borderId="0" applyAlignment="1">
      <alignment horizontal="left" vertical="center"/>
    </xf>
    <xf numFmtId="164" fontId="30" fillId="0" borderId="0"/>
    <xf numFmtId="164" fontId="33" fillId="0" borderId="0" applyAlignment="1">
      <alignment horizontal="left" vertical="top"/>
    </xf>
    <xf numFmtId="164" fontId="33" fillId="0" borderId="0" applyAlignment="1">
      <alignment horizontal="left" vertical="top"/>
    </xf>
    <xf numFmtId="164" fontId="83" fillId="0" borderId="0" applyAlignment="1">
      <alignment horizontal="center"/>
    </xf>
    <xf numFmtId="164" fontId="83" fillId="0" borderId="0" applyAlignment="1">
      <alignment horizontal="center"/>
    </xf>
    <xf numFmtId="164" fontId="84" fillId="0" borderId="19"/>
    <xf numFmtId="164" fontId="85" fillId="0" borderId="0"/>
    <xf numFmtId="164" fontId="86" fillId="0" borderId="0" applyAlignment="1">
      <alignment horizontal="center" vertical="center" wrapText="1"/>
    </xf>
    <xf numFmtId="164" fontId="86" fillId="0" borderId="0" applyAlignment="1">
      <alignment horizontal="center" vertical="center" wrapText="1"/>
    </xf>
    <xf numFmtId="9" fontId="87" fillId="0" borderId="0"/>
    <xf numFmtId="164" fontId="16" fillId="0" borderId="0"/>
    <xf numFmtId="9" fontId="49" fillId="0" borderId="0"/>
    <xf numFmtId="9" fontId="30" fillId="0" borderId="0"/>
    <xf numFmtId="9" fontId="101" fillId="0" borderId="0"/>
    <xf numFmtId="164" fontId="88" fillId="0" borderId="0"/>
    <xf numFmtId="164" fontId="88" fillId="0" borderId="0"/>
    <xf numFmtId="4" fontId="89" fillId="0" borderId="0" applyAlignment="1">
      <alignment horizontal="right"/>
    </xf>
    <xf numFmtId="164" fontId="12" fillId="0" borderId="0"/>
    <xf numFmtId="164" fontId="42" fillId="0" borderId="0" applyAlignment="1">
      <alignment vertical="center"/>
    </xf>
    <xf numFmtId="164" fontId="42" fillId="0" borderId="0"/>
    <xf numFmtId="164" fontId="101" fillId="0" borderId="0" applyAlignment="1" applyProtection="1">
      <alignment vertical="center"/>
      <protection locked="0" hidden="0"/>
    </xf>
    <xf numFmtId="164" fontId="30" fillId="0" borderId="0"/>
    <xf numFmtId="164" fontId="101" fillId="0" borderId="0"/>
    <xf numFmtId="164" fontId="101" fillId="0" borderId="0" applyAlignment="1" applyProtection="1">
      <alignment vertical="center"/>
      <protection locked="0" hidden="0"/>
    </xf>
    <xf numFmtId="164" fontId="101" fillId="0" borderId="0"/>
    <xf numFmtId="164" fontId="101" fillId="0" borderId="0" applyProtection="1">
      <protection locked="0" hidden="0"/>
    </xf>
    <xf numFmtId="164" fontId="101" fillId="0" borderId="0" applyProtection="1">
      <protection locked="0" hidden="0"/>
    </xf>
    <xf numFmtId="164" fontId="12" fillId="0" borderId="0"/>
    <xf numFmtId="164" fontId="101" fillId="0" borderId="0"/>
    <xf numFmtId="164" fontId="101" fillId="0" borderId="0"/>
    <xf numFmtId="164" fontId="101" fillId="0" borderId="0" applyAlignment="1" applyProtection="1">
      <alignment vertical="center"/>
      <protection locked="0" hidden="0"/>
    </xf>
    <xf numFmtId="164" fontId="42" fillId="0" borderId="0" applyAlignment="1">
      <alignment vertical="center"/>
    </xf>
    <xf numFmtId="164" fontId="42" fillId="0" borderId="0" applyAlignment="1">
      <alignment vertical="center"/>
    </xf>
    <xf numFmtId="164" fontId="42" fillId="0" borderId="0" applyAlignment="1">
      <alignment vertical="center"/>
    </xf>
    <xf numFmtId="164" fontId="42" fillId="0" borderId="0" applyAlignment="1">
      <alignment vertical="center"/>
    </xf>
    <xf numFmtId="164" fontId="101" fillId="0" borderId="0" applyProtection="1">
      <protection locked="0" hidden="0"/>
    </xf>
    <xf numFmtId="164" fontId="101" fillId="0" borderId="0" applyAlignment="1">
      <alignment vertical="center"/>
    </xf>
    <xf numFmtId="164" fontId="101" fillId="0" borderId="0" applyAlignment="1">
      <alignment vertical="center"/>
    </xf>
    <xf numFmtId="164" fontId="49" fillId="0" borderId="0"/>
    <xf numFmtId="164" fontId="101" fillId="0" borderId="0"/>
    <xf numFmtId="164" fontId="101" fillId="0" borderId="0"/>
    <xf numFmtId="164" fontId="101" fillId="0" borderId="0" applyAlignment="1">
      <alignment vertical="center"/>
    </xf>
    <xf numFmtId="164" fontId="101" fillId="0" borderId="0" applyAlignment="1">
      <alignment vertical="center"/>
    </xf>
    <xf numFmtId="164" fontId="90" fillId="0" borderId="0" applyAlignment="1" applyProtection="1">
      <alignment vertical="top"/>
      <protection locked="0" hidden="0"/>
    </xf>
    <xf numFmtId="164" fontId="91" fillId="0" borderId="0" applyAlignment="1" applyProtection="1">
      <alignment vertical="top"/>
      <protection locked="0" hidden="0"/>
    </xf>
    <xf numFmtId="164" fontId="43" fillId="0" borderId="0" applyAlignment="1" applyProtection="1">
      <alignment vertical="top"/>
      <protection locked="0" hidden="0"/>
    </xf>
    <xf numFmtId="164" fontId="43" fillId="0" borderId="0" applyAlignment="1" applyProtection="1">
      <alignment vertical="top"/>
      <protection locked="0" hidden="0"/>
    </xf>
    <xf numFmtId="164" fontId="92" fillId="0" borderId="0"/>
    <xf numFmtId="164" fontId="55" fillId="0" borderId="0"/>
    <xf numFmtId="4" fontId="86" fillId="0" borderId="0"/>
    <xf numFmtId="41" fontId="30" fillId="0" borderId="0"/>
    <xf numFmtId="42" fontId="44" fillId="0" borderId="0"/>
    <xf numFmtId="190" fontId="44" fillId="0" borderId="0"/>
    <xf numFmtId="188" fontId="30" fillId="0" borderId="0"/>
    <xf numFmtId="195" fontId="30" fillId="0" borderId="0"/>
    <xf numFmtId="196" fontId="93" fillId="0" borderId="0"/>
    <xf numFmtId="197" fontId="93" fillId="0" borderId="0"/>
    <xf numFmtId="164" fontId="44" fillId="0" borderId="0"/>
    <xf numFmtId="41" fontId="44" fillId="0" borderId="0"/>
    <xf numFmtId="43" fontId="44" fillId="0" borderId="0"/>
    <xf numFmtId="41" fontId="101" fillId="0" borderId="0"/>
    <xf numFmtId="43" fontId="101" fillId="0" borderId="0"/>
    <xf numFmtId="43" fontId="101" fillId="0" borderId="0" applyAlignment="1">
      <alignment vertical="center"/>
    </xf>
    <xf numFmtId="43" fontId="101" fillId="0" borderId="0"/>
    <xf numFmtId="164" fontId="30" fillId="0" borderId="0"/>
    <xf numFmtId="43" fontId="101" fillId="0" borderId="0"/>
    <xf numFmtId="41" fontId="101" fillId="0" borderId="0"/>
    <xf numFmtId="164" fontId="94" fillId="0" borderId="0"/>
    <xf numFmtId="164" fontId="95" fillId="0" borderId="0"/>
    <xf numFmtId="190" fontId="30" fillId="0" borderId="0"/>
    <xf numFmtId="198" fontId="86" fillId="0" borderId="0"/>
    <xf numFmtId="164" fontId="45" fillId="0" borderId="0" applyAlignment="1">
      <alignment vertical="top"/>
    </xf>
    <xf numFmtId="164" fontId="45" fillId="0" borderId="0" applyAlignment="1">
      <alignment vertical="top"/>
    </xf>
    <xf numFmtId="164" fontId="44" fillId="0" borderId="0"/>
    <xf numFmtId="164" fontId="96" fillId="0" borderId="0"/>
    <xf numFmtId="40" fontId="88" fillId="0" borderId="0"/>
    <xf numFmtId="38" fontId="88" fillId="0" borderId="0"/>
    <xf numFmtId="38" fontId="97" fillId="0" borderId="0"/>
    <xf numFmtId="40" fontId="97" fillId="0" borderId="0"/>
    <xf numFmtId="164" fontId="97" fillId="0" borderId="0"/>
    <xf numFmtId="164" fontId="97" fillId="0" borderId="0"/>
    <xf numFmtId="164" fontId="98" fillId="0" borderId="0"/>
    <xf numFmtId="0" fontId="101" fillId="0" borderId="0" applyAlignment="1">
      <alignment vertical="center"/>
    </xf>
    <xf numFmtId="0" fontId="42" fillId="0" borderId="0"/>
    <xf numFmtId="0" fontId="101" fillId="0" borderId="0" applyProtection="1">
      <protection locked="0" hidden="0"/>
    </xf>
    <xf numFmtId="0" fontId="103" fillId="0" borderId="0"/>
    <xf numFmtId="0" fontId="101" fillId="0" borderId="0"/>
    <xf numFmtId="0" fontId="101" fillId="0" borderId="0"/>
    <xf numFmtId="0" fontId="101" fillId="0" borderId="0"/>
    <xf numFmtId="0" fontId="101" fillId="0" borderId="0"/>
    <xf numFmtId="0" fontId="101" fillId="0" borderId="0"/>
    <xf numFmtId="43" fontId="101" fillId="0" borderId="0" applyAlignment="1">
      <alignment vertical="center"/>
    </xf>
    <xf numFmtId="0" fontId="101" fillId="0" borderId="0"/>
    <xf numFmtId="0" fontId="101" fillId="0" borderId="0" applyAlignment="1">
      <alignment vertical="center"/>
    </xf>
    <xf numFmtId="0" fontId="101" fillId="0" borderId="0" applyAlignment="1">
      <alignment vertical="center"/>
    </xf>
    <xf numFmtId="43" fontId="101" fillId="0" borderId="0"/>
    <xf numFmtId="0" fontId="101" fillId="0" borderId="0"/>
    <xf numFmtId="0" fontId="101" fillId="0" borderId="0"/>
    <xf numFmtId="0" fontId="50" fillId="0" borderId="0"/>
    <xf numFmtId="41" fontId="101" fillId="0" borderId="0"/>
    <xf numFmtId="43" fontId="101" fillId="0" borderId="0"/>
    <xf numFmtId="0" fontId="12" fillId="0" borderId="0"/>
    <xf numFmtId="0" fontId="49" fillId="0" borderId="0"/>
    <xf numFmtId="0" fontId="101" fillId="0" borderId="0" applyAlignment="1" applyProtection="1">
      <alignment vertical="center"/>
      <protection locked="0" hidden="0"/>
    </xf>
    <xf numFmtId="0" fontId="101" fillId="0" borderId="0"/>
    <xf numFmtId="0" fontId="101" fillId="0" borderId="0" applyProtection="1">
      <protection locked="0" hidden="0"/>
    </xf>
    <xf numFmtId="43" fontId="12" fillId="0" borderId="0" applyAlignment="1">
      <alignment vertical="center"/>
    </xf>
    <xf numFmtId="164" fontId="1" fillId="0" borderId="0" applyAlignment="1">
      <alignment vertical="center"/>
    </xf>
  </cellStyleXfs>
  <cellXfs count="792">
    <xf numFmtId="164" fontId="0" fillId="0" borderId="0" applyProtection="1" pivotButton="0" quotePrefix="0" xfId="0">
      <protection locked="0" hidden="0"/>
    </xf>
    <xf numFmtId="164" fontId="2" fillId="0" borderId="0" applyAlignment="1" applyProtection="1" pivotButton="0" quotePrefix="0" xfId="0">
      <alignment vertical="center"/>
      <protection locked="0" hidden="0"/>
    </xf>
    <xf numFmtId="164" fontId="5" fillId="0" borderId="0" applyAlignment="1" pivotButton="0" quotePrefix="0" xfId="259">
      <alignment vertical="center"/>
    </xf>
    <xf numFmtId="164" fontId="5" fillId="0" borderId="0" applyAlignment="1" pivotButton="0" quotePrefix="0" xfId="259">
      <alignment horizontal="left" vertical="center"/>
    </xf>
    <xf numFmtId="164" fontId="6" fillId="2" borderId="1" applyAlignment="1" pivotButton="0" quotePrefix="0" xfId="239">
      <alignment horizontal="center" vertical="center"/>
    </xf>
    <xf numFmtId="164" fontId="6" fillId="2" borderId="1" applyAlignment="1" pivotButton="0" quotePrefix="0" xfId="239">
      <alignment horizontal="center" vertical="center" wrapText="1"/>
    </xf>
    <xf numFmtId="164" fontId="7" fillId="2" borderId="1" applyAlignment="1" applyProtection="1" pivotButton="0" quotePrefix="0" xfId="248">
      <alignment horizontal="center" vertical="center" wrapText="1"/>
      <protection locked="0" hidden="0"/>
    </xf>
    <xf numFmtId="164" fontId="8" fillId="2" borderId="1" applyAlignment="1" applyProtection="1" pivotButton="0" quotePrefix="0" xfId="248">
      <alignment horizontal="center" vertical="center" wrapText="1"/>
      <protection locked="0" hidden="0"/>
    </xf>
    <xf numFmtId="164" fontId="9" fillId="0" borderId="1" applyAlignment="1" pivotButton="0" quotePrefix="0" xfId="239">
      <alignment vertical="center"/>
    </xf>
    <xf numFmtId="164" fontId="5" fillId="0" borderId="1" applyAlignment="1" pivotButton="0" quotePrefix="0" xfId="239">
      <alignment vertical="center"/>
    </xf>
    <xf numFmtId="164" fontId="10" fillId="0" borderId="1" applyAlignment="1" pivotButton="0" quotePrefix="0" xfId="239">
      <alignment horizontal="left" vertical="center"/>
    </xf>
    <xf numFmtId="164" fontId="6" fillId="0" borderId="1" applyAlignment="1" pivotButton="0" quotePrefix="0" xfId="239">
      <alignment horizontal="center" vertical="center"/>
    </xf>
    <xf numFmtId="164" fontId="7" fillId="0" borderId="0" applyAlignment="1" pivotButton="0" quotePrefix="0" xfId="259">
      <alignment horizontal="left" vertical="center"/>
    </xf>
    <xf numFmtId="164" fontId="5" fillId="0" borderId="0" applyAlignment="1" pivotButton="0" quotePrefix="0" xfId="257">
      <alignment vertical="center"/>
    </xf>
    <xf numFmtId="164" fontId="5" fillId="0" borderId="0" applyAlignment="1" pivotButton="0" quotePrefix="0" xfId="257">
      <alignment horizontal="left" vertical="center"/>
    </xf>
    <xf numFmtId="164" fontId="5" fillId="0" borderId="0" applyAlignment="1" pivotButton="0" quotePrefix="0" xfId="259">
      <alignment vertical="center"/>
    </xf>
    <xf numFmtId="164" fontId="7" fillId="0" borderId="0" applyAlignment="1" pivotButton="0" quotePrefix="0" xfId="257">
      <alignment vertical="center"/>
    </xf>
    <xf numFmtId="164" fontId="2" fillId="0" borderId="0" applyAlignment="1" applyProtection="1" pivotButton="0" quotePrefix="0" xfId="239">
      <alignment vertical="center"/>
      <protection locked="0" hidden="0"/>
    </xf>
    <xf numFmtId="164" fontId="5" fillId="0" borderId="0" applyAlignment="1" pivotButton="0" quotePrefix="0" xfId="259">
      <alignment horizontal="right" vertical="center"/>
    </xf>
    <xf numFmtId="164" fontId="0" fillId="0" borderId="0" applyAlignment="1" pivotButton="0" quotePrefix="0" xfId="255">
      <alignment vertical="center"/>
    </xf>
    <xf numFmtId="164" fontId="12" fillId="0" borderId="0" applyAlignment="1" applyProtection="1" pivotButton="0" quotePrefix="0" xfId="0">
      <alignment vertical="center"/>
      <protection locked="0" hidden="0"/>
    </xf>
    <xf numFmtId="164" fontId="0" fillId="0" borderId="0" applyAlignment="1" applyProtection="1" pivotButton="0" quotePrefix="0" xfId="0">
      <alignment vertical="center"/>
      <protection locked="0" hidden="0"/>
    </xf>
    <xf numFmtId="164" fontId="15" fillId="0" borderId="0" applyAlignment="1" pivotButton="0" quotePrefix="0" xfId="258">
      <alignment vertical="center"/>
    </xf>
    <xf numFmtId="164" fontId="12" fillId="0" borderId="0" applyAlignment="1" applyProtection="1" pivotButton="0" quotePrefix="0" xfId="0">
      <alignment horizontal="left" vertical="center"/>
      <protection locked="0" hidden="0"/>
    </xf>
    <xf numFmtId="164" fontId="15" fillId="0" borderId="0" applyAlignment="1" applyProtection="1" pivotButton="0" quotePrefix="0" xfId="258">
      <alignment vertical="center"/>
      <protection locked="0" hidden="0"/>
    </xf>
    <xf numFmtId="164" fontId="15" fillId="2" borderId="1" applyAlignment="1" applyProtection="1" pivotButton="0" quotePrefix="0" xfId="0">
      <alignment horizontal="center" vertical="center" wrapText="1"/>
      <protection locked="0" hidden="0"/>
    </xf>
    <xf numFmtId="164" fontId="12" fillId="0" borderId="1" applyAlignment="1" applyProtection="1" pivotButton="0" quotePrefix="0" xfId="0">
      <alignment vertical="center"/>
      <protection locked="0" hidden="0"/>
    </xf>
    <xf numFmtId="165" fontId="16" fillId="0" borderId="1" applyAlignment="1" applyProtection="1" pivotButton="0" quotePrefix="0" xfId="0">
      <alignment horizontal="center" vertical="center"/>
      <protection locked="0" hidden="0"/>
    </xf>
    <xf numFmtId="165" fontId="16" fillId="0" borderId="1" applyAlignment="1" pivotButton="0" quotePrefix="0" xfId="1">
      <alignment horizontal="right" vertical="center"/>
    </xf>
    <xf numFmtId="165" fontId="16" fillId="3" borderId="1" applyAlignment="1" pivotButton="0" quotePrefix="0" xfId="1">
      <alignment horizontal="right" vertical="center"/>
    </xf>
    <xf numFmtId="164" fontId="15" fillId="3" borderId="1" applyAlignment="1" applyProtection="1" pivotButton="0" quotePrefix="0" xfId="0">
      <alignment horizontal="center" vertical="center"/>
      <protection locked="0" hidden="0"/>
    </xf>
    <xf numFmtId="165" fontId="17" fillId="3" borderId="1" applyAlignment="1" applyProtection="1" pivotButton="0" quotePrefix="0" xfId="0">
      <alignment horizontal="center" vertical="center"/>
      <protection locked="0" hidden="0"/>
    </xf>
    <xf numFmtId="165" fontId="17" fillId="3" borderId="1" applyAlignment="1" pivotButton="0" quotePrefix="0" xfId="1">
      <alignment vertical="center"/>
    </xf>
    <xf numFmtId="164" fontId="15" fillId="0" borderId="0" applyAlignment="1" applyProtection="1" pivotButton="0" quotePrefix="0" xfId="0">
      <alignment vertical="center"/>
      <protection locked="0" hidden="0"/>
    </xf>
    <xf numFmtId="164" fontId="18" fillId="0" borderId="0" applyAlignment="1" applyProtection="1" pivotButton="0" quotePrefix="0" xfId="0">
      <alignment vertical="center"/>
      <protection locked="0" hidden="0"/>
    </xf>
    <xf numFmtId="164" fontId="19" fillId="0" borderId="0" applyAlignment="1" applyProtection="1" pivotButton="0" quotePrefix="0" xfId="0">
      <alignment vertical="center"/>
      <protection locked="0" hidden="0"/>
    </xf>
    <xf numFmtId="164" fontId="12" fillId="0" borderId="0" applyAlignment="1" applyProtection="1" pivotButton="0" quotePrefix="0" xfId="0">
      <alignment horizontal="right" vertical="center"/>
      <protection locked="0" hidden="0"/>
    </xf>
    <xf numFmtId="165" fontId="16" fillId="0" borderId="1" applyAlignment="1" pivotButton="0" quotePrefix="0" xfId="1">
      <alignment horizontal="right" vertical="center"/>
    </xf>
    <xf numFmtId="164" fontId="13" fillId="0" borderId="0" applyAlignment="1" pivotButton="0" quotePrefix="0" xfId="255">
      <alignment vertical="center"/>
    </xf>
    <xf numFmtId="164" fontId="15" fillId="3" borderId="1" applyAlignment="1" applyProtection="1" pivotButton="0" quotePrefix="0" xfId="0">
      <alignment vertical="center"/>
      <protection locked="0" hidden="0"/>
    </xf>
    <xf numFmtId="165" fontId="16" fillId="0" borderId="0" applyAlignment="1" pivotButton="0" quotePrefix="0" xfId="259">
      <alignment vertical="center"/>
    </xf>
    <xf numFmtId="164" fontId="20" fillId="0" borderId="0" applyAlignment="1" applyProtection="1" pivotButton="0" quotePrefix="0" xfId="0">
      <alignment vertical="center"/>
      <protection locked="0" hidden="0"/>
    </xf>
    <xf numFmtId="165" fontId="0" fillId="0" borderId="0" applyAlignment="1" pivotButton="0" quotePrefix="0" xfId="0">
      <alignment vertical="center"/>
    </xf>
    <xf numFmtId="164" fontId="20" fillId="0" borderId="0" applyProtection="1" pivotButton="0" quotePrefix="0" xfId="0">
      <protection locked="0" hidden="0"/>
    </xf>
    <xf numFmtId="164" fontId="17" fillId="0" borderId="0" applyAlignment="1" pivotButton="0" quotePrefix="0" xfId="257">
      <alignment vertical="center"/>
    </xf>
    <xf numFmtId="165" fontId="21" fillId="0" borderId="0" applyAlignment="1" pivotButton="0" quotePrefix="0" xfId="259">
      <alignment vertical="center"/>
    </xf>
    <xf numFmtId="165" fontId="16" fillId="0" borderId="0" applyAlignment="1" pivotButton="0" quotePrefix="0" xfId="259">
      <alignment horizontal="left" vertical="center"/>
    </xf>
    <xf numFmtId="49" fontId="16" fillId="0" borderId="0" applyAlignment="1" pivotButton="0" quotePrefix="0" xfId="259">
      <alignment vertical="center"/>
    </xf>
    <xf numFmtId="164" fontId="22" fillId="0" borderId="0" applyAlignment="1" applyProtection="1" pivotButton="0" quotePrefix="0" xfId="0">
      <alignment horizontal="left" vertical="center"/>
      <protection locked="0" hidden="0"/>
    </xf>
    <xf numFmtId="164" fontId="20" fillId="0" borderId="0" applyAlignment="1" applyProtection="1" pivotButton="0" quotePrefix="0" xfId="0">
      <alignment horizontal="left" vertical="center"/>
      <protection locked="0" hidden="0"/>
    </xf>
    <xf numFmtId="164" fontId="16" fillId="0" borderId="0" applyAlignment="1" applyProtection="1" pivotButton="0" quotePrefix="0" xfId="0">
      <alignment vertical="center"/>
      <protection locked="0" hidden="0"/>
    </xf>
    <xf numFmtId="164" fontId="23" fillId="0" borderId="2" applyAlignment="1" applyProtection="1" pivotButton="0" quotePrefix="0" xfId="0">
      <alignment horizontal="justify" vertical="center" wrapText="1"/>
      <protection locked="0" hidden="0"/>
    </xf>
    <xf numFmtId="164" fontId="24" fillId="0" borderId="2" applyAlignment="1" applyProtection="1" pivotButton="0" quotePrefix="0" xfId="0">
      <alignment horizontal="right" vertical="center" wrapText="1"/>
      <protection locked="0" hidden="0"/>
    </xf>
    <xf numFmtId="164" fontId="23" fillId="0" borderId="2" applyAlignment="1" applyProtection="1" pivotButton="0" quotePrefix="0" xfId="0">
      <alignment horizontal="right" vertical="center" wrapText="1"/>
      <protection locked="0" hidden="0"/>
    </xf>
    <xf numFmtId="164" fontId="22" fillId="0" borderId="0" applyAlignment="1" applyProtection="1" pivotButton="0" quotePrefix="0" xfId="0">
      <alignment horizontal="justify" vertical="center" wrapText="1"/>
      <protection locked="0" hidden="0"/>
    </xf>
    <xf numFmtId="165" fontId="20" fillId="0" borderId="0" applyAlignment="1" applyProtection="1" pivotButton="0" quotePrefix="0" xfId="0">
      <alignment horizontal="right" vertical="center" wrapText="1"/>
      <protection locked="0" hidden="0"/>
    </xf>
    <xf numFmtId="164" fontId="22" fillId="0" borderId="0" applyAlignment="1" applyProtection="1" pivotButton="0" quotePrefix="0" xfId="0">
      <alignment horizontal="right" vertical="center" wrapText="1"/>
      <protection locked="0" hidden="0"/>
    </xf>
    <xf numFmtId="165" fontId="22" fillId="0" borderId="0" applyAlignment="1" applyProtection="1" pivotButton="0" quotePrefix="0" xfId="0">
      <alignment horizontal="right" vertical="center" wrapText="1"/>
      <protection locked="0" hidden="0"/>
    </xf>
    <xf numFmtId="165" fontId="21" fillId="0" borderId="2" applyAlignment="1" applyProtection="1" pivotButton="0" quotePrefix="0" xfId="0">
      <alignment horizontal="right" vertical="center" wrapText="1"/>
      <protection locked="0" hidden="0"/>
    </xf>
    <xf numFmtId="164" fontId="22" fillId="0" borderId="0" applyAlignment="1" applyProtection="1" pivotButton="0" quotePrefix="0" xfId="0">
      <alignment vertical="center"/>
      <protection locked="0" hidden="0"/>
    </xf>
    <xf numFmtId="164" fontId="22" fillId="0" borderId="0" applyAlignment="1" applyProtection="1" pivotButton="0" quotePrefix="0" xfId="0">
      <alignment horizontal="justify" vertical="center"/>
      <protection locked="0" hidden="0"/>
    </xf>
    <xf numFmtId="164" fontId="26" fillId="0" borderId="0" applyAlignment="1" applyProtection="1" pivotButton="0" quotePrefix="0" xfId="0">
      <alignment vertical="center"/>
      <protection locked="0" hidden="0"/>
    </xf>
    <xf numFmtId="164" fontId="22" fillId="0" borderId="4" applyAlignment="1" applyProtection="1" pivotButton="0" quotePrefix="0" xfId="0">
      <alignment horizontal="justify" vertical="center" wrapText="1"/>
      <protection locked="0" hidden="0"/>
    </xf>
    <xf numFmtId="165" fontId="22" fillId="0" borderId="4" applyAlignment="1" applyProtection="1" pivotButton="0" quotePrefix="0" xfId="0">
      <alignment horizontal="right" vertical="center" wrapText="1"/>
      <protection locked="0" hidden="0"/>
    </xf>
    <xf numFmtId="164" fontId="23" fillId="0" borderId="4" applyAlignment="1" applyProtection="1" pivotButton="0" quotePrefix="0" xfId="0">
      <alignment horizontal="justify" vertical="center" wrapText="1"/>
      <protection locked="0" hidden="0"/>
    </xf>
    <xf numFmtId="165" fontId="23" fillId="0" borderId="4" applyAlignment="1" applyProtection="1" pivotButton="0" quotePrefix="0" xfId="0">
      <alignment horizontal="right" vertical="center" wrapText="1"/>
      <protection locked="0" hidden="0"/>
    </xf>
    <xf numFmtId="164" fontId="20" fillId="0" borderId="0" applyAlignment="1" applyProtection="1" pivotButton="0" quotePrefix="0" xfId="0">
      <alignment horizontal="justify" vertical="center"/>
      <protection locked="0" hidden="0"/>
    </xf>
    <xf numFmtId="164" fontId="5" fillId="0" borderId="0" applyAlignment="1" applyProtection="1" pivotButton="0" quotePrefix="0" xfId="0">
      <alignment vertical="center"/>
      <protection locked="0" hidden="0"/>
    </xf>
    <xf numFmtId="164" fontId="7" fillId="2" borderId="1" applyAlignment="1" applyProtection="1" pivotButton="0" quotePrefix="0" xfId="247">
      <alignment horizontal="center" vertical="center" wrapText="1"/>
      <protection locked="0" hidden="0"/>
    </xf>
    <xf numFmtId="164" fontId="9" fillId="0" borderId="1" applyAlignment="1" pivotButton="0" quotePrefix="0" xfId="0">
      <alignment vertical="center"/>
    </xf>
    <xf numFmtId="165" fontId="27" fillId="3" borderId="1" applyAlignment="1" pivotButton="0" quotePrefix="0" xfId="1">
      <alignment horizontal="right" vertical="center"/>
    </xf>
    <xf numFmtId="164" fontId="9" fillId="0" borderId="1" applyAlignment="1" pivotButton="0" quotePrefix="0" xfId="0">
      <alignment horizontal="left" vertical="center"/>
    </xf>
    <xf numFmtId="164" fontId="6" fillId="0" borderId="1" applyAlignment="1" pivotButton="0" quotePrefix="0" xfId="0">
      <alignment horizontal="center" vertical="center"/>
    </xf>
    <xf numFmtId="164" fontId="7" fillId="0" borderId="0" applyAlignment="1" pivotButton="0" quotePrefix="0" xfId="259">
      <alignment vertical="center"/>
    </xf>
    <xf numFmtId="164" fontId="9" fillId="0" borderId="0" applyAlignment="1" pivotButton="0" quotePrefix="0" xfId="1">
      <alignment horizontal="right" vertical="center"/>
    </xf>
    <xf numFmtId="165" fontId="27" fillId="3" borderId="0" applyAlignment="1" pivotButton="0" quotePrefix="0" xfId="1">
      <alignment horizontal="right" vertical="center"/>
    </xf>
    <xf numFmtId="165" fontId="27" fillId="0" borderId="0" applyAlignment="1" pivotButton="0" quotePrefix="0" xfId="1">
      <alignment horizontal="right" vertical="center"/>
    </xf>
    <xf numFmtId="164" fontId="7" fillId="0" borderId="0" applyAlignment="1" applyProtection="1" pivotButton="0" quotePrefix="0" xfId="0">
      <alignment vertical="center"/>
      <protection locked="0" hidden="0"/>
    </xf>
    <xf numFmtId="164" fontId="5" fillId="0" borderId="0" applyAlignment="1" applyProtection="1" pivotButton="0" quotePrefix="0" xfId="0">
      <alignment horizontal="right" vertical="center"/>
      <protection locked="0" hidden="0"/>
    </xf>
    <xf numFmtId="164" fontId="6" fillId="2" borderId="1" applyAlignment="1" applyProtection="1" pivotButton="0" quotePrefix="0" xfId="245">
      <alignment horizontal="center" vertical="center" wrapText="1"/>
      <protection locked="0" hidden="0"/>
    </xf>
    <xf numFmtId="164" fontId="7" fillId="2" borderId="1" applyAlignment="1" applyProtection="1" pivotButton="0" quotePrefix="0" xfId="245">
      <alignment horizontal="center" vertical="center"/>
      <protection locked="0" hidden="0"/>
    </xf>
    <xf numFmtId="165" fontId="16" fillId="3" borderId="1" applyAlignment="1" pivotButton="0" quotePrefix="0" xfId="1">
      <alignment horizontal="right" vertical="center" wrapText="1"/>
    </xf>
    <xf numFmtId="165" fontId="16" fillId="3" borderId="1" applyAlignment="1" pivotButton="0" quotePrefix="0" xfId="2">
      <alignment horizontal="right" vertical="center" wrapText="1"/>
    </xf>
    <xf numFmtId="164" fontId="5" fillId="0" borderId="1" applyAlignment="1" pivotButton="0" quotePrefix="0" xfId="1">
      <alignment horizontal="right" vertical="center" wrapText="1"/>
    </xf>
    <xf numFmtId="164" fontId="5" fillId="0" borderId="0" applyAlignment="1" pivotButton="0" quotePrefix="0" xfId="1">
      <alignment horizontal="right" vertical="center" wrapText="1"/>
    </xf>
    <xf numFmtId="164" fontId="5" fillId="0" borderId="0" applyAlignment="1" pivotButton="0" quotePrefix="0" xfId="2">
      <alignment horizontal="right" vertical="center" wrapText="1"/>
    </xf>
    <xf numFmtId="164" fontId="101" fillId="0" borderId="0" applyProtection="1" pivotButton="0" quotePrefix="0" xfId="254">
      <protection locked="0" hidden="0"/>
    </xf>
    <xf numFmtId="164" fontId="12" fillId="0" borderId="0" applyProtection="1" pivotButton="0" quotePrefix="0" xfId="254">
      <protection locked="0" hidden="0"/>
    </xf>
    <xf numFmtId="164" fontId="30" fillId="0" borderId="0" applyAlignment="1" applyProtection="1" pivotButton="0" quotePrefix="0" xfId="254">
      <alignment vertical="center"/>
      <protection locked="0" hidden="0"/>
    </xf>
    <xf numFmtId="164" fontId="31" fillId="0" borderId="0" applyAlignment="1" applyProtection="1" pivotButton="0" quotePrefix="0" xfId="254">
      <alignment vertical="center"/>
      <protection locked="0" hidden="0"/>
    </xf>
    <xf numFmtId="164" fontId="32" fillId="0" borderId="0" applyAlignment="1" applyProtection="1" pivotButton="0" quotePrefix="0" xfId="254">
      <alignment vertical="center"/>
      <protection locked="0" hidden="0"/>
    </xf>
    <xf numFmtId="164" fontId="28" fillId="0" borderId="0" applyAlignment="1" applyProtection="1" pivotButton="0" quotePrefix="0" xfId="254">
      <alignment horizontal="left" vertical="center"/>
      <protection locked="0" hidden="0"/>
    </xf>
    <xf numFmtId="164" fontId="30" fillId="0" borderId="0" applyAlignment="1" pivotButton="0" quotePrefix="0" xfId="261">
      <alignment vertical="center"/>
    </xf>
    <xf numFmtId="164" fontId="31" fillId="0" borderId="0" applyAlignment="1" pivotButton="0" quotePrefix="0" xfId="261">
      <alignment vertical="center"/>
    </xf>
    <xf numFmtId="49" fontId="28" fillId="0" borderId="0" applyAlignment="1" applyProtection="1" pivotButton="0" quotePrefix="0" xfId="254">
      <alignment horizontal="left" vertical="center"/>
      <protection locked="0" hidden="0"/>
    </xf>
    <xf numFmtId="164" fontId="28" fillId="0" borderId="0" applyAlignment="1" applyProtection="1" pivotButton="0" quotePrefix="0" xfId="254">
      <alignment horizontal="justify" vertical="center"/>
      <protection locked="0" hidden="0"/>
    </xf>
    <xf numFmtId="164" fontId="30" fillId="0" borderId="1" applyAlignment="1" applyProtection="1" pivotButton="0" quotePrefix="0" xfId="254">
      <alignment horizontal="center" vertical="center" wrapText="1"/>
      <protection locked="0" hidden="0"/>
    </xf>
    <xf numFmtId="164" fontId="31" fillId="0" borderId="1" applyAlignment="1" applyProtection="1" pivotButton="0" quotePrefix="0" xfId="254">
      <alignment horizontal="center" vertical="center" wrapText="1"/>
      <protection locked="0" hidden="0"/>
    </xf>
    <xf numFmtId="164" fontId="30" fillId="0" borderId="1" applyAlignment="1" applyProtection="1" pivotButton="0" quotePrefix="0" xfId="254">
      <alignment horizontal="left" vertical="center" wrapText="1"/>
      <protection locked="0" hidden="0"/>
    </xf>
    <xf numFmtId="49" fontId="28" fillId="2" borderId="1" applyAlignment="1" applyProtection="1" pivotButton="0" quotePrefix="0" xfId="254">
      <alignment horizontal="left" vertical="center"/>
      <protection locked="0" hidden="0"/>
    </xf>
    <xf numFmtId="164" fontId="28" fillId="2" borderId="1" applyAlignment="1" applyProtection="1" pivotButton="0" quotePrefix="0" xfId="254">
      <alignment horizontal="center" vertical="center" wrapText="1"/>
      <protection locked="0" hidden="0"/>
    </xf>
    <xf numFmtId="164" fontId="15" fillId="2" borderId="1" applyAlignment="1" applyProtection="1" pivotButton="0" quotePrefix="0" xfId="254">
      <alignment horizontal="left" vertical="center"/>
      <protection locked="0" hidden="0"/>
    </xf>
    <xf numFmtId="164" fontId="15" fillId="2" borderId="1" applyAlignment="1" applyProtection="1" pivotButton="0" quotePrefix="0" xfId="254">
      <alignment horizontal="left" vertical="center" wrapText="1"/>
      <protection locked="0" hidden="0"/>
    </xf>
    <xf numFmtId="164" fontId="12" fillId="2" borderId="1" applyAlignment="1" applyProtection="1" pivotButton="0" quotePrefix="0" xfId="254">
      <alignment horizontal="center" vertical="center" wrapText="1"/>
      <protection locked="0" hidden="0"/>
    </xf>
    <xf numFmtId="164" fontId="15" fillId="2" borderId="1" applyAlignment="1" pivotButton="0" quotePrefix="0" xfId="261">
      <alignment horizontal="left" vertical="center"/>
    </xf>
    <xf numFmtId="164" fontId="15" fillId="2" borderId="1" applyAlignment="1" pivotButton="0" quotePrefix="0" xfId="254">
      <alignment horizontal="left" vertical="center" wrapText="1"/>
    </xf>
    <xf numFmtId="164" fontId="17" fillId="0" borderId="1" applyAlignment="1" pivotButton="0" quotePrefix="0" xfId="261">
      <alignment horizontal="center" vertical="center"/>
    </xf>
    <xf numFmtId="49" fontId="16" fillId="0" borderId="1" applyAlignment="1" pivotButton="0" quotePrefix="0" xfId="261">
      <alignment horizontal="left" vertical="center"/>
    </xf>
    <xf numFmtId="164" fontId="16" fillId="4" borderId="1" applyAlignment="1" applyProtection="1" pivotButton="0" quotePrefix="0" xfId="254">
      <alignment horizontal="left" vertical="center" wrapText="1"/>
      <protection locked="0" hidden="0"/>
    </xf>
    <xf numFmtId="164" fontId="12" fillId="0" borderId="1" applyAlignment="1" applyProtection="1" pivotButton="0" quotePrefix="0" xfId="254">
      <alignment horizontal="center" vertical="center" wrapText="1"/>
      <protection locked="0" hidden="0"/>
    </xf>
    <xf numFmtId="164" fontId="12" fillId="4" borderId="1" applyAlignment="1" applyProtection="1" pivotButton="0" quotePrefix="0" xfId="254">
      <alignment horizontal="left" vertical="center" wrapText="1"/>
      <protection locked="0" hidden="0"/>
    </xf>
    <xf numFmtId="164" fontId="16" fillId="0" borderId="1" applyAlignment="1" applyProtection="1" pivotButton="0" quotePrefix="0" xfId="254">
      <alignment horizontal="left" vertical="center" wrapText="1"/>
      <protection locked="0" hidden="0"/>
    </xf>
    <xf numFmtId="164" fontId="12" fillId="0" borderId="1" applyAlignment="1" applyProtection="1" pivotButton="0" quotePrefix="0" xfId="254">
      <alignment horizontal="left" vertical="center" wrapText="1"/>
      <protection locked="0" hidden="0"/>
    </xf>
    <xf numFmtId="164" fontId="28" fillId="2" borderId="1" applyAlignment="1" applyProtection="1" pivotButton="0" quotePrefix="0" xfId="242">
      <alignment horizontal="left" vertical="center" wrapText="1"/>
      <protection locked="0" hidden="0"/>
    </xf>
    <xf numFmtId="164" fontId="16" fillId="2" borderId="1" applyAlignment="1" applyProtection="1" pivotButton="0" quotePrefix="0" xfId="254">
      <alignment horizontal="center" vertical="center" wrapText="1"/>
      <protection locked="0" hidden="0"/>
    </xf>
    <xf numFmtId="164" fontId="16" fillId="0" borderId="1" applyAlignment="1" pivotButton="0" quotePrefix="0" xfId="261">
      <alignment horizontal="left" vertical="center"/>
    </xf>
    <xf numFmtId="164" fontId="30" fillId="0" borderId="1" applyAlignment="1" applyProtection="1" pivotButton="0" quotePrefix="0" xfId="242">
      <alignment horizontal="left" vertical="center" wrapText="1"/>
      <protection locked="0" hidden="0"/>
    </xf>
    <xf numFmtId="164" fontId="16" fillId="0" borderId="5" applyAlignment="1" applyProtection="1" pivotButton="0" quotePrefix="0" xfId="254">
      <alignment horizontal="center" vertical="center" wrapText="1"/>
      <protection locked="0" hidden="0"/>
    </xf>
    <xf numFmtId="164" fontId="16" fillId="0" borderId="6" applyAlignment="1" applyProtection="1" pivotButton="0" quotePrefix="0" xfId="254">
      <alignment horizontal="center" vertical="center" wrapText="1"/>
      <protection locked="0" hidden="0"/>
    </xf>
    <xf numFmtId="164" fontId="17" fillId="0" borderId="1" applyAlignment="1" applyProtection="1" pivotButton="0" quotePrefix="0" xfId="254">
      <alignment horizontal="center" vertical="center"/>
      <protection locked="0" hidden="0"/>
    </xf>
    <xf numFmtId="49" fontId="16" fillId="0" borderId="1" applyAlignment="1" applyProtection="1" pivotButton="0" quotePrefix="0" xfId="254">
      <alignment horizontal="left" vertical="center"/>
      <protection locked="0" hidden="0"/>
    </xf>
    <xf numFmtId="164" fontId="16" fillId="0" borderId="1" applyAlignment="1" applyProtection="1" pivotButton="0" quotePrefix="0" xfId="254">
      <alignment horizontal="center" vertical="center" wrapText="1"/>
      <protection locked="0" hidden="0"/>
    </xf>
    <xf numFmtId="164" fontId="12" fillId="0" borderId="1" applyAlignment="1" pivotButton="0" quotePrefix="0" xfId="254">
      <alignment horizontal="left" vertical="center" wrapText="1"/>
    </xf>
    <xf numFmtId="164" fontId="12" fillId="0" borderId="1" applyAlignment="1" pivotButton="0" quotePrefix="0" xfId="254">
      <alignment vertical="center" wrapText="1"/>
    </xf>
    <xf numFmtId="164" fontId="17" fillId="2" borderId="1" applyAlignment="1" applyProtection="1" pivotButton="0" quotePrefix="0" xfId="254">
      <alignment horizontal="left" vertical="center" wrapText="1"/>
      <protection locked="0" hidden="0"/>
    </xf>
    <xf numFmtId="164" fontId="12" fillId="0" borderId="1" applyAlignment="1" pivotButton="0" quotePrefix="0" xfId="261">
      <alignment horizontal="left" vertical="center"/>
    </xf>
    <xf numFmtId="164" fontId="16" fillId="0" borderId="1" applyAlignment="1" pivotButton="0" quotePrefix="0" xfId="254">
      <alignment horizontal="left" vertical="center" wrapText="1"/>
    </xf>
    <xf numFmtId="164" fontId="16" fillId="0" borderId="1" applyAlignment="1" pivotButton="0" quotePrefix="0" xfId="261">
      <alignment horizontal="center" vertical="center"/>
    </xf>
    <xf numFmtId="49" fontId="17" fillId="0" borderId="1" applyAlignment="1" pivotButton="0" quotePrefix="0" xfId="261">
      <alignment horizontal="center" vertical="center"/>
    </xf>
    <xf numFmtId="49" fontId="15" fillId="2" borderId="1" applyAlignment="1" pivotButton="0" quotePrefix="0" xfId="261">
      <alignment horizontal="left" vertical="center"/>
    </xf>
    <xf numFmtId="49" fontId="17" fillId="0" borderId="1" applyAlignment="1" pivotButton="0" quotePrefix="0" xfId="261">
      <alignment horizontal="right" vertical="center" indent="1"/>
    </xf>
    <xf numFmtId="164" fontId="32" fillId="0" borderId="1" applyAlignment="1" applyProtection="1" pivotButton="0" quotePrefix="0" xfId="254">
      <alignment horizontal="left" vertical="center" wrapText="1"/>
      <protection locked="0" hidden="0"/>
    </xf>
    <xf numFmtId="164" fontId="12" fillId="2" borderId="1" applyAlignment="1" applyProtection="1" pivotButton="0" quotePrefix="0" xfId="254">
      <alignment vertical="center" wrapText="1"/>
      <protection locked="0" hidden="0"/>
    </xf>
    <xf numFmtId="164" fontId="16" fillId="4" borderId="1" applyAlignment="1" applyProtection="1" pivotButton="0" quotePrefix="0" xfId="254">
      <alignment horizontal="center" vertical="center" wrapText="1"/>
      <protection locked="0" hidden="0"/>
    </xf>
    <xf numFmtId="164" fontId="28" fillId="0" borderId="0" applyAlignment="1" applyProtection="1" pivotButton="0" quotePrefix="0" xfId="254">
      <alignment horizontal="right" vertical="center"/>
      <protection locked="0" hidden="0"/>
    </xf>
    <xf numFmtId="164" fontId="28" fillId="0" borderId="0" applyAlignment="1" applyProtection="1" pivotButton="0" quotePrefix="0" xfId="254">
      <alignment vertical="center"/>
      <protection locked="0" hidden="0"/>
    </xf>
    <xf numFmtId="164" fontId="28" fillId="0" borderId="0" applyAlignment="1" pivotButton="0" quotePrefix="0" xfId="261">
      <alignment vertical="center"/>
    </xf>
    <xf numFmtId="164" fontId="28" fillId="0" borderId="1" applyAlignment="1" applyProtection="1" pivotButton="0" quotePrefix="0" xfId="254">
      <alignment horizontal="center" vertical="center" wrapText="1"/>
      <protection locked="0" hidden="0"/>
    </xf>
    <xf numFmtId="164" fontId="33" fillId="0" borderId="1" applyAlignment="1" applyProtection="1" pivotButton="0" quotePrefix="0" xfId="254">
      <alignment horizontal="center" vertical="center" wrapText="1"/>
      <protection locked="0" hidden="0"/>
    </xf>
    <xf numFmtId="164" fontId="12" fillId="0" borderId="0" applyAlignment="1" applyProtection="1" pivotButton="0" quotePrefix="0" xfId="254">
      <alignment horizontal="left" wrapText="1"/>
      <protection locked="0" hidden="0"/>
    </xf>
    <xf numFmtId="164" fontId="16" fillId="0" borderId="7" applyAlignment="1" applyProtection="1" pivotButton="0" quotePrefix="0" xfId="254">
      <alignment horizontal="center" vertical="center" wrapText="1"/>
      <protection locked="0" hidden="0"/>
    </xf>
    <xf numFmtId="164" fontId="12" fillId="0" borderId="0" applyAlignment="1" applyProtection="1" pivotButton="0" quotePrefix="0" xfId="254">
      <alignment wrapText="1"/>
      <protection locked="0" hidden="0"/>
    </xf>
    <xf numFmtId="164" fontId="34" fillId="0" borderId="0" applyAlignment="1" applyProtection="1" pivotButton="0" quotePrefix="0" xfId="254">
      <alignment wrapText="1"/>
      <protection locked="0" hidden="0"/>
    </xf>
    <xf numFmtId="164" fontId="34" fillId="0" borderId="0" applyAlignment="1" applyProtection="1" pivotButton="0" quotePrefix="0" xfId="254">
      <alignment horizontal="center" wrapText="1"/>
      <protection locked="0" hidden="0"/>
    </xf>
    <xf numFmtId="164" fontId="12" fillId="2" borderId="1" applyAlignment="1" applyProtection="1" pivotButton="0" quotePrefix="0" xfId="254">
      <alignment horizontal="left" vertical="center" wrapText="1"/>
      <protection locked="0" hidden="0"/>
    </xf>
    <xf numFmtId="164" fontId="35" fillId="2" borderId="1" applyAlignment="1" applyProtection="1" pivotButton="0" quotePrefix="0" xfId="254">
      <alignment horizontal="left" vertical="center" wrapText="1"/>
      <protection locked="0" hidden="0"/>
    </xf>
    <xf numFmtId="164" fontId="35" fillId="2" borderId="1" applyAlignment="1" applyProtection="1" pivotButton="0" quotePrefix="0" xfId="254">
      <alignment horizontal="center" vertical="center" wrapText="1"/>
      <protection locked="0" hidden="0"/>
    </xf>
    <xf numFmtId="164" fontId="34" fillId="0" borderId="1" applyAlignment="1" applyProtection="1" pivotButton="0" quotePrefix="0" xfId="0">
      <alignment vertical="center" wrapText="1"/>
      <protection locked="0" hidden="0"/>
    </xf>
    <xf numFmtId="164" fontId="34" fillId="0" borderId="1" applyAlignment="1" applyProtection="1" pivotButton="0" quotePrefix="0" xfId="0">
      <alignment horizontal="left" vertical="center" wrapText="1"/>
      <protection locked="0" hidden="0"/>
    </xf>
    <xf numFmtId="164" fontId="12" fillId="0" borderId="0" applyProtection="1" pivotButton="0" quotePrefix="0" xfId="0">
      <protection locked="0" hidden="0"/>
    </xf>
    <xf numFmtId="164" fontId="12" fillId="0" borderId="0" applyAlignment="1" applyProtection="1" pivotButton="0" quotePrefix="0" xfId="0">
      <alignment vertical="center"/>
      <protection locked="0" hidden="0"/>
    </xf>
    <xf numFmtId="164" fontId="32" fillId="0" borderId="0" applyAlignment="1" applyProtection="1" pivotButton="0" quotePrefix="0" xfId="0">
      <alignment vertical="center"/>
      <protection locked="0" hidden="0"/>
    </xf>
    <xf numFmtId="164" fontId="12" fillId="0" borderId="0" applyAlignment="1" applyProtection="1" pivotButton="0" quotePrefix="0" xfId="0">
      <alignment horizontal="right" vertical="center"/>
      <protection locked="0" hidden="0"/>
    </xf>
    <xf numFmtId="164" fontId="15" fillId="0" borderId="0" applyAlignment="1" applyProtection="1" pivotButton="0" quotePrefix="0" xfId="0">
      <alignment horizontal="left" vertical="center"/>
      <protection locked="0" hidden="0"/>
    </xf>
    <xf numFmtId="164" fontId="12" fillId="0" borderId="0" applyAlignment="1" pivotButton="0" quotePrefix="0" xfId="260">
      <alignment vertical="center"/>
    </xf>
    <xf numFmtId="164" fontId="32" fillId="0" borderId="0" applyAlignment="1" pivotButton="0" quotePrefix="0" xfId="260">
      <alignment vertical="center"/>
    </xf>
    <xf numFmtId="164" fontId="12" fillId="0" borderId="0" applyAlignment="1" applyProtection="1" pivotButton="0" quotePrefix="0" xfId="0">
      <alignment vertical="center" wrapText="1"/>
      <protection locked="0" hidden="0"/>
    </xf>
    <xf numFmtId="49" fontId="15" fillId="0" borderId="0" applyAlignment="1" applyProtection="1" pivotButton="0" quotePrefix="0" xfId="0">
      <alignment horizontal="left" vertical="center"/>
      <protection locked="0" hidden="0"/>
    </xf>
    <xf numFmtId="164" fontId="15" fillId="0" borderId="0" applyAlignment="1" applyProtection="1" pivotButton="0" quotePrefix="0" xfId="0">
      <alignment horizontal="justify" vertical="center"/>
      <protection locked="0" hidden="0"/>
    </xf>
    <xf numFmtId="164" fontId="15" fillId="2" borderId="1" applyAlignment="1" applyProtection="1" pivotButton="0" quotePrefix="0" xfId="0">
      <alignment horizontal="center" vertical="center" wrapText="1"/>
      <protection locked="0" hidden="0"/>
    </xf>
    <xf numFmtId="164" fontId="15" fillId="0" borderId="0" applyAlignment="1" applyProtection="1" pivotButton="0" quotePrefix="0" xfId="0">
      <alignment vertical="center"/>
      <protection locked="0" hidden="0"/>
    </xf>
    <xf numFmtId="164" fontId="12" fillId="0" borderId="1" applyAlignment="1" applyProtection="1" pivotButton="0" quotePrefix="0" xfId="0">
      <alignment horizontal="left" vertical="center" wrapText="1"/>
      <protection locked="0" hidden="0"/>
    </xf>
    <xf numFmtId="164" fontId="12" fillId="0" borderId="1" applyAlignment="1" applyProtection="1" pivotButton="0" quotePrefix="0" xfId="0">
      <alignment horizontal="center" vertical="center" wrapText="1"/>
      <protection locked="0" hidden="0"/>
    </xf>
    <xf numFmtId="164" fontId="32" fillId="0" borderId="0" applyAlignment="1" applyProtection="1" pivotButton="0" quotePrefix="0" xfId="0">
      <alignment horizontal="center" vertical="center" wrapText="1"/>
      <protection locked="0" hidden="0"/>
    </xf>
    <xf numFmtId="166" fontId="16" fillId="0" borderId="1" applyAlignment="1" pivotButton="0" quotePrefix="0" xfId="260">
      <alignment horizontal="center" vertical="center"/>
    </xf>
    <xf numFmtId="164" fontId="32" fillId="0" borderId="1" applyAlignment="1" pivotButton="0" quotePrefix="0" xfId="252">
      <alignment horizontal="center" vertical="center" wrapText="1"/>
    </xf>
    <xf numFmtId="164" fontId="35" fillId="0" borderId="1" applyAlignment="1" pivotButton="0" quotePrefix="0" xfId="252">
      <alignment horizontal="center" vertical="center" wrapText="1"/>
    </xf>
    <xf numFmtId="164" fontId="36" fillId="0" borderId="1" applyAlignment="1" pivotButton="0" quotePrefix="0" xfId="252">
      <alignment horizontal="center" vertical="center" wrapText="1"/>
    </xf>
    <xf numFmtId="164" fontId="12" fillId="0" borderId="1" applyAlignment="1" applyProtection="1" pivotButton="0" quotePrefix="0" xfId="0">
      <alignment vertical="center" wrapText="1"/>
      <protection locked="0" hidden="0"/>
    </xf>
    <xf numFmtId="164" fontId="35" fillId="0" borderId="1" applyAlignment="1" pivotButton="0" quotePrefix="0" xfId="252">
      <alignment vertical="center" wrapText="1"/>
    </xf>
    <xf numFmtId="164" fontId="35" fillId="0" borderId="1" applyAlignment="1" pivotButton="0" quotePrefix="0" xfId="237">
      <alignment vertical="center" wrapText="1"/>
    </xf>
    <xf numFmtId="164" fontId="32" fillId="0" borderId="1" applyAlignment="1" pivotButton="0" quotePrefix="0" xfId="0">
      <alignment horizontal="left" vertical="center" wrapText="1"/>
    </xf>
    <xf numFmtId="164" fontId="32" fillId="0" borderId="1" applyAlignment="1" pivotButton="0" quotePrefix="0" xfId="237">
      <alignment horizontal="center" vertical="center" wrapText="1"/>
    </xf>
    <xf numFmtId="164" fontId="32" fillId="0" borderId="1" applyAlignment="1" pivotButton="0" quotePrefix="0" xfId="252">
      <alignment horizontal="center" vertical="center" wrapText="1"/>
    </xf>
    <xf numFmtId="164" fontId="36" fillId="0" borderId="1" applyAlignment="1" pivotButton="0" quotePrefix="0" xfId="252">
      <alignment horizontal="center" vertical="center" wrapText="1"/>
    </xf>
    <xf numFmtId="164" fontId="38" fillId="0" borderId="1" applyAlignment="1" applyProtection="1" pivotButton="0" quotePrefix="0" xfId="244">
      <alignment horizontal="center" vertical="center" wrapText="1"/>
      <protection locked="0" hidden="0"/>
    </xf>
    <xf numFmtId="164" fontId="32" fillId="0" borderId="1" applyAlignment="1" applyProtection="1" pivotButton="0" quotePrefix="0" xfId="0">
      <alignment horizontal="left" vertical="center" wrapText="1"/>
      <protection locked="0" hidden="0"/>
    </xf>
    <xf numFmtId="164" fontId="32" fillId="0" borderId="1" applyAlignment="1" pivotButton="0" quotePrefix="0" xfId="237">
      <alignment vertical="center" wrapText="1"/>
    </xf>
    <xf numFmtId="164" fontId="15" fillId="0" borderId="0" applyAlignment="1" pivotButton="0" quotePrefix="0" xfId="260">
      <alignment vertical="center"/>
    </xf>
    <xf numFmtId="164" fontId="16" fillId="0" borderId="1" applyAlignment="1" applyProtection="1" pivotButton="0" quotePrefix="0" xfId="0">
      <alignment horizontal="center" vertical="center" wrapText="1"/>
      <protection locked="0" hidden="0"/>
    </xf>
    <xf numFmtId="164" fontId="39" fillId="0" borderId="1" applyAlignment="1" applyProtection="1" pivotButton="0" quotePrefix="0" xfId="0">
      <alignment horizontal="center" vertical="center" wrapText="1"/>
      <protection locked="0" hidden="0"/>
    </xf>
    <xf numFmtId="164" fontId="40" fillId="5" borderId="0" applyAlignment="1" applyProtection="1" pivotButton="0" quotePrefix="0" xfId="252">
      <alignment horizontal="left" vertical="center" wrapText="1"/>
      <protection locked="0" hidden="0"/>
    </xf>
    <xf numFmtId="164" fontId="12" fillId="0" borderId="0" applyAlignment="1" applyProtection="1" pivotButton="0" quotePrefix="0" xfId="0">
      <alignment wrapText="1"/>
      <protection locked="0" hidden="0"/>
    </xf>
    <xf numFmtId="164" fontId="18" fillId="5" borderId="0" applyAlignment="1" applyProtection="1" pivotButton="0" quotePrefix="0" xfId="252">
      <alignment horizontal="left" vertical="center" wrapText="1"/>
      <protection locked="0" hidden="0"/>
    </xf>
    <xf numFmtId="164" fontId="41" fillId="0" borderId="0" applyProtection="1" pivotButton="0" quotePrefix="0" xfId="0">
      <protection locked="0" hidden="0"/>
    </xf>
    <xf numFmtId="164" fontId="16" fillId="0" borderId="1" applyAlignment="1" pivotButton="0" quotePrefix="0" xfId="237">
      <alignment horizontal="center" vertical="center" wrapText="1"/>
    </xf>
    <xf numFmtId="0" fontId="5"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6" borderId="0"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wrapText="1"/>
      <protection locked="0" hidden="0"/>
    </xf>
    <xf numFmtId="0" fontId="5" fillId="0" borderId="1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5" fillId="0" borderId="0" applyAlignment="1" applyProtection="1" pivotButton="0" quotePrefix="0" xfId="0">
      <alignment horizontal="left" vertical="center"/>
      <protection locked="0" hidden="0"/>
    </xf>
    <xf numFmtId="164" fontId="16" fillId="0" borderId="1" applyAlignment="1" applyProtection="1" pivotButton="0" quotePrefix="1" xfId="0">
      <alignment horizontal="center" vertical="center" wrapText="1"/>
      <protection locked="0" hidden="0"/>
    </xf>
    <xf numFmtId="164" fontId="12" fillId="0" borderId="1" applyAlignment="1" applyProtection="1" pivotButton="0" quotePrefix="0" xfId="0">
      <alignment horizontal="left" vertical="center" wrapText="1"/>
      <protection locked="0" hidden="0"/>
    </xf>
    <xf numFmtId="164" fontId="12" fillId="0" borderId="1" applyAlignment="1" applyProtection="1" pivotButton="0" quotePrefix="0" xfId="0">
      <alignment horizontal="center" vertical="center" wrapText="1"/>
      <protection locked="0" hidden="0"/>
    </xf>
    <xf numFmtId="0" fontId="16" fillId="0" borderId="24" applyAlignment="1" applyProtection="1" pivotButton="0" quotePrefix="0" xfId="0">
      <alignment horizontal="center" vertical="center"/>
      <protection locked="0" hidden="0"/>
    </xf>
    <xf numFmtId="0" fontId="16" fillId="0" borderId="24" applyAlignment="1" applyProtection="1" pivotButton="0" quotePrefix="0" xfId="0">
      <alignment horizontal="center" vertical="center" wrapText="1"/>
      <protection locked="0" hidden="0"/>
    </xf>
    <xf numFmtId="0" fontId="32" fillId="0" borderId="0" applyAlignment="1" pivotButton="0" quotePrefix="0" xfId="302">
      <alignment vertical="center"/>
    </xf>
    <xf numFmtId="0" fontId="12" fillId="0" borderId="0" applyAlignment="1" applyProtection="1" pivotButton="0" quotePrefix="0" xfId="303">
      <alignment vertical="center"/>
      <protection locked="0" hidden="0"/>
    </xf>
    <xf numFmtId="0" fontId="12" fillId="0" borderId="0" applyAlignment="1" applyProtection="1" pivotButton="0" quotePrefix="0" xfId="303">
      <alignment horizontal="right" vertical="center"/>
      <protection locked="0" hidden="0"/>
    </xf>
    <xf numFmtId="0" fontId="17" fillId="0" borderId="0" applyAlignment="1" pivotButton="0" quotePrefix="0" xfId="305">
      <alignment vertical="center"/>
    </xf>
    <xf numFmtId="0" fontId="12" fillId="0" borderId="0" applyAlignment="1" applyProtection="1" pivotButton="0" quotePrefix="0" xfId="303">
      <alignment horizontal="left" vertical="center"/>
      <protection locked="0" hidden="0"/>
    </xf>
    <xf numFmtId="0" fontId="17" fillId="0" borderId="0" applyAlignment="1" applyProtection="1" pivotButton="0" quotePrefix="0" xfId="305">
      <alignment vertical="center"/>
      <protection locked="0" hidden="0"/>
    </xf>
    <xf numFmtId="0" fontId="104" fillId="0" borderId="0" applyAlignment="1" applyProtection="1" pivotButton="0" quotePrefix="0" xfId="305">
      <alignment vertical="center"/>
      <protection locked="0" hidden="0"/>
    </xf>
    <xf numFmtId="0" fontId="15" fillId="3" borderId="1" applyAlignment="1" pivotButton="0" quotePrefix="0" xfId="306">
      <alignment horizontal="center" vertical="center" wrapText="1"/>
    </xf>
    <xf numFmtId="0" fontId="12" fillId="0" borderId="1" applyAlignment="1" pivotButton="0" quotePrefix="0" xfId="307">
      <alignment horizontal="left" vertical="center"/>
    </xf>
    <xf numFmtId="0" fontId="12" fillId="30" borderId="1" applyAlignment="1" pivotButton="0" quotePrefix="0" xfId="306">
      <alignment horizontal="left" vertical="center" wrapText="1"/>
    </xf>
    <xf numFmtId="0" fontId="12" fillId="30" borderId="1" applyAlignment="1" pivotButton="0" quotePrefix="0" xfId="306">
      <alignment horizontal="center" vertical="center" shrinkToFit="1"/>
    </xf>
    <xf numFmtId="0" fontId="12" fillId="30" borderId="1" applyAlignment="1" pivotButton="0" quotePrefix="0" xfId="306">
      <alignment vertical="center"/>
    </xf>
    <xf numFmtId="0" fontId="12" fillId="30" borderId="1" applyAlignment="1" pivotButton="0" quotePrefix="0" xfId="306">
      <alignment horizontal="right" vertical="center" shrinkToFit="1"/>
    </xf>
    <xf numFmtId="0" fontId="12" fillId="30" borderId="1" applyAlignment="1" pivotButton="0" quotePrefix="0" xfId="306">
      <alignment vertical="center" wrapText="1"/>
    </xf>
    <xf numFmtId="0" fontId="15" fillId="0" borderId="0" applyAlignment="1" pivotButton="0" quotePrefix="0" xfId="303">
      <alignment vertical="center"/>
    </xf>
    <xf numFmtId="0" fontId="12" fillId="0" borderId="0" applyAlignment="1" pivotButton="0" quotePrefix="0" xfId="303">
      <alignment vertical="center"/>
    </xf>
    <xf numFmtId="0" fontId="36" fillId="0" borderId="0" applyAlignment="1" pivotButton="0" quotePrefix="0" xfId="302">
      <alignment vertical="center"/>
    </xf>
    <xf numFmtId="0" fontId="15" fillId="0" borderId="0" applyAlignment="1" pivotButton="0" quotePrefix="0" xfId="301">
      <alignment vertical="center"/>
    </xf>
    <xf numFmtId="0" fontId="12" fillId="0" borderId="0" applyAlignment="1" pivotButton="0" quotePrefix="0" xfId="301">
      <alignment vertical="center"/>
    </xf>
    <xf numFmtId="0" fontId="15" fillId="0" borderId="0" applyAlignment="1" pivotButton="0" quotePrefix="0" xfId="305">
      <alignment vertical="center"/>
    </xf>
    <xf numFmtId="0" fontId="12" fillId="0" borderId="0" applyAlignment="1" applyProtection="1" pivotButton="0" quotePrefix="0" xfId="303">
      <alignment horizontal="left" vertical="center"/>
      <protection locked="0" hidden="0"/>
    </xf>
    <xf numFmtId="0" fontId="15" fillId="0" borderId="0" applyAlignment="1" applyProtection="1" pivotButton="0" quotePrefix="0" xfId="305">
      <alignment vertical="center"/>
      <protection locked="0" hidden="0"/>
    </xf>
    <xf numFmtId="0" fontId="34" fillId="0" borderId="0" applyAlignment="1" applyProtection="1" pivotButton="0" quotePrefix="0" xfId="303">
      <alignment horizontal="left" vertical="center"/>
      <protection locked="0" hidden="0"/>
    </xf>
    <xf numFmtId="0" fontId="12" fillId="0" borderId="1" applyAlignment="1" pivotButton="0" quotePrefix="0" xfId="282">
      <alignment horizontal="left" vertical="center"/>
    </xf>
    <xf numFmtId="165" fontId="16" fillId="0" borderId="1" applyAlignment="1" pivotButton="0" quotePrefix="0" xfId="282">
      <alignment horizontal="center" vertical="center"/>
    </xf>
    <xf numFmtId="165" fontId="16" fillId="0" borderId="1" applyAlignment="1" pivotButton="0" quotePrefix="0" xfId="282">
      <alignment horizontal="right" vertical="center"/>
    </xf>
    <xf numFmtId="165" fontId="16" fillId="3" borderId="1" applyAlignment="1" pivotButton="0" quotePrefix="0" xfId="282">
      <alignment horizontal="right" vertical="center"/>
    </xf>
    <xf numFmtId="0" fontId="15" fillId="3" borderId="1" applyAlignment="1" pivotButton="0" quotePrefix="1" xfId="282">
      <alignment horizontal="center" vertical="center"/>
    </xf>
    <xf numFmtId="165" fontId="16" fillId="3" borderId="1" applyAlignment="1" pivotButton="0" quotePrefix="0" xfId="282">
      <alignment horizontal="center" vertical="center"/>
    </xf>
    <xf numFmtId="165" fontId="17" fillId="3" borderId="1" applyAlignment="1" pivotButton="0" quotePrefix="0" xfId="282">
      <alignment horizontal="right" vertical="center"/>
    </xf>
    <xf numFmtId="0" fontId="12" fillId="0" borderId="1" applyAlignment="1" pivotButton="0" quotePrefix="0" xfId="282">
      <alignment horizontal="right" vertical="center"/>
    </xf>
    <xf numFmtId="0" fontId="12" fillId="3" borderId="1" applyAlignment="1" pivotButton="0" quotePrefix="0" xfId="282">
      <alignment horizontal="right" vertical="center"/>
    </xf>
    <xf numFmtId="0" fontId="15" fillId="0" borderId="25" applyAlignment="1" applyProtection="1" pivotButton="0" quotePrefix="0" xfId="303">
      <alignment vertical="center"/>
      <protection locked="0" hidden="0"/>
    </xf>
    <xf numFmtId="0" fontId="12" fillId="0" borderId="25" applyAlignment="1" applyProtection="1" pivotButton="0" quotePrefix="0" xfId="303">
      <alignment vertical="center"/>
      <protection locked="0" hidden="0"/>
    </xf>
    <xf numFmtId="0" fontId="15" fillId="0" borderId="0" applyAlignment="1" applyProtection="1" pivotButton="0" quotePrefix="0" xfId="303">
      <alignment vertical="center"/>
      <protection locked="0" hidden="0"/>
    </xf>
    <xf numFmtId="0" fontId="12" fillId="0" borderId="0" applyAlignment="1" applyProtection="1" pivotButton="0" quotePrefix="0" xfId="303">
      <alignment vertical="center"/>
      <protection locked="0" hidden="0"/>
    </xf>
    <xf numFmtId="0" fontId="15" fillId="0" borderId="0" applyAlignment="1" applyProtection="1" pivotButton="0" quotePrefix="0" xfId="303">
      <alignment vertical="center"/>
      <protection locked="0" hidden="0"/>
    </xf>
    <xf numFmtId="0" fontId="12" fillId="0" borderId="0" applyAlignment="1" pivotButton="0" quotePrefix="0" xfId="303">
      <alignment horizontal="right" vertical="center"/>
    </xf>
    <xf numFmtId="0" fontId="15" fillId="0" borderId="0" applyAlignment="1" pivotButton="0" quotePrefix="0" xfId="308">
      <alignment horizontal="left" vertical="center"/>
    </xf>
    <xf numFmtId="0" fontId="15" fillId="0" borderId="0" applyAlignment="1" pivotButton="0" quotePrefix="0" xfId="308">
      <alignment horizontal="right" vertical="center"/>
    </xf>
    <xf numFmtId="0" fontId="15" fillId="0" borderId="26" applyAlignment="1" pivotButton="0" quotePrefix="0" xfId="308">
      <alignment vertical="center"/>
    </xf>
    <xf numFmtId="0" fontId="15" fillId="0" borderId="27" applyAlignment="1" pivotButton="0" quotePrefix="0" xfId="308">
      <alignment vertical="center"/>
    </xf>
    <xf numFmtId="0" fontId="15" fillId="3" borderId="1" applyAlignment="1" pivotButton="0" quotePrefix="0" xfId="310">
      <alignment horizontal="center" vertical="center"/>
    </xf>
    <xf numFmtId="0" fontId="105" fillId="0" borderId="1" applyAlignment="1" pivotButton="0" quotePrefix="0" xfId="310">
      <alignment horizontal="center" vertical="center"/>
    </xf>
    <xf numFmtId="0" fontId="105" fillId="0" borderId="0" applyAlignment="1" pivotButton="0" quotePrefix="0" xfId="310">
      <alignment horizontal="center" vertical="center"/>
    </xf>
    <xf numFmtId="0" fontId="12" fillId="0" borderId="1" applyAlignment="1" pivotButton="0" quotePrefix="0" xfId="309">
      <alignment vertical="center" wrapText="1"/>
    </xf>
    <xf numFmtId="0" fontId="12" fillId="0" borderId="1" applyAlignment="1" applyProtection="1" pivotButton="0" quotePrefix="0" xfId="303">
      <alignment vertical="center"/>
      <protection locked="0" hidden="0"/>
    </xf>
    <xf numFmtId="0" fontId="15" fillId="0" borderId="28" applyAlignment="1" pivotButton="0" quotePrefix="0" xfId="311">
      <alignment vertical="center"/>
    </xf>
    <xf numFmtId="0" fontId="15" fillId="0" borderId="27" applyAlignment="1" pivotButton="0" quotePrefix="0" xfId="311">
      <alignment vertical="center"/>
    </xf>
    <xf numFmtId="0" fontId="106" fillId="3" borderId="1" applyAlignment="1" pivotButton="0" quotePrefix="0" xfId="311">
      <alignment horizontal="center" vertical="center" wrapText="1"/>
    </xf>
    <xf numFmtId="0" fontId="107" fillId="0" borderId="1" applyAlignment="1" pivotButton="0" quotePrefix="0" xfId="311">
      <alignment horizontal="justify" vertical="center" wrapText="1"/>
    </xf>
    <xf numFmtId="165" fontId="16" fillId="0" borderId="1" applyAlignment="1" pivotButton="0" quotePrefix="0" xfId="311">
      <alignment vertical="center" shrinkToFit="1"/>
    </xf>
    <xf numFmtId="165" fontId="16" fillId="0" borderId="1" applyAlignment="1" applyProtection="1" pivotButton="0" quotePrefix="0" xfId="303">
      <alignment vertical="center"/>
      <protection locked="0" hidden="0"/>
    </xf>
    <xf numFmtId="165" fontId="16" fillId="3" borderId="1" applyAlignment="1" applyProtection="1" pivotButton="0" quotePrefix="0" xfId="303">
      <alignment vertical="center"/>
      <protection locked="0" hidden="0"/>
    </xf>
    <xf numFmtId="165" fontId="27" fillId="0" borderId="1" applyAlignment="1" pivotButton="0" quotePrefix="0" xfId="311">
      <alignment horizontal="center" vertical="center" wrapText="1"/>
    </xf>
    <xf numFmtId="165" fontId="16" fillId="3" borderId="1" applyAlignment="1" pivotButton="0" quotePrefix="0" xfId="311">
      <alignment vertical="center" shrinkToFit="1"/>
    </xf>
    <xf numFmtId="0" fontId="12" fillId="0" borderId="1" applyAlignment="1" pivotButton="0" quotePrefix="0" xfId="311">
      <alignment horizontal="justify" vertical="center" wrapText="1"/>
    </xf>
    <xf numFmtId="165" fontId="16" fillId="0" borderId="1" applyAlignment="1" pivotButton="0" quotePrefix="0" xfId="311">
      <alignment horizontal="center" vertical="center" wrapText="1"/>
    </xf>
    <xf numFmtId="165" fontId="16" fillId="0" borderId="1" applyAlignment="1" pivotButton="0" quotePrefix="0" xfId="311">
      <alignment horizontal="justify" vertical="center" wrapText="1"/>
    </xf>
    <xf numFmtId="165" fontId="108" fillId="3" borderId="1" applyAlignment="1" pivotButton="0" quotePrefix="0" xfId="311">
      <alignment vertical="center" wrapText="1"/>
    </xf>
    <xf numFmtId="165" fontId="16" fillId="0" borderId="1" applyAlignment="1" pivotButton="0" quotePrefix="0" xfId="311">
      <alignment vertical="center" shrinkToFit="1"/>
    </xf>
    <xf numFmtId="0" fontId="15" fillId="3" borderId="1" applyAlignment="1" pivotButton="0" quotePrefix="0" xfId="313">
      <alignment horizontal="center" vertical="center" wrapText="1"/>
    </xf>
    <xf numFmtId="0" fontId="15" fillId="3" borderId="1" applyAlignment="1" pivotButton="0" quotePrefix="0" xfId="312">
      <alignment horizontal="center" vertical="center"/>
    </xf>
    <xf numFmtId="165" fontId="16" fillId="0" borderId="1" applyAlignment="1" pivotButton="0" quotePrefix="0" xfId="314">
      <alignment vertical="center"/>
    </xf>
    <xf numFmtId="165" fontId="16" fillId="0" borderId="1" applyAlignment="1" pivotButton="0" quotePrefix="0" xfId="312">
      <alignment vertical="center"/>
    </xf>
    <xf numFmtId="165" fontId="16" fillId="3" borderId="1" applyAlignment="1" pivotButton="0" quotePrefix="0" xfId="312">
      <alignment vertical="center"/>
    </xf>
    <xf numFmtId="165" fontId="17" fillId="3" borderId="1" applyAlignment="1" pivotButton="0" quotePrefix="0" xfId="312">
      <alignment vertical="center"/>
    </xf>
    <xf numFmtId="165" fontId="16" fillId="30" borderId="1" applyAlignment="1" pivotButton="0" quotePrefix="0" xfId="312">
      <alignment vertical="center"/>
    </xf>
    <xf numFmtId="0" fontId="12" fillId="0" borderId="0" applyAlignment="1" pivotButton="0" quotePrefix="0" xfId="312">
      <alignment vertical="center"/>
    </xf>
    <xf numFmtId="0" fontId="12" fillId="0" borderId="0" applyAlignment="1" pivotButton="0" quotePrefix="0" xfId="315">
      <alignment vertical="center"/>
    </xf>
    <xf numFmtId="0" fontId="12" fillId="0" borderId="0" applyAlignment="1" applyProtection="1" pivotButton="0" quotePrefix="0" xfId="303">
      <alignment vertical="center"/>
      <protection locked="0" hidden="0"/>
    </xf>
    <xf numFmtId="0" fontId="12" fillId="0" borderId="0" applyAlignment="1" applyProtection="1" pivotButton="0" quotePrefix="0" xfId="303">
      <alignment vertical="center"/>
      <protection locked="0" hidden="0"/>
    </xf>
    <xf numFmtId="0" fontId="12" fillId="0" borderId="0" applyAlignment="1" pivotButton="0" quotePrefix="0" xfId="303">
      <alignment vertical="center"/>
    </xf>
    <xf numFmtId="0" fontId="12" fillId="0" borderId="0" applyAlignment="1" pivotButton="0" quotePrefix="0" xfId="303">
      <alignment horizontal="left" vertical="center"/>
    </xf>
    <xf numFmtId="0" fontId="12" fillId="0" borderId="0" applyAlignment="1" applyProtection="1" pivotButton="0" quotePrefix="0" xfId="303">
      <alignment horizontal="right" vertical="center"/>
      <protection locked="0" hidden="0"/>
    </xf>
    <xf numFmtId="0" fontId="12" fillId="0" borderId="0" applyAlignment="1" pivotButton="0" quotePrefix="0" xfId="303">
      <alignment horizontal="right" vertical="center"/>
    </xf>
    <xf numFmtId="0" fontId="15" fillId="0" borderId="0" applyAlignment="1" pivotButton="0" quotePrefix="0" xfId="305">
      <alignment vertical="center"/>
    </xf>
    <xf numFmtId="0" fontId="15" fillId="0" borderId="0" applyAlignment="1" applyProtection="1" pivotButton="0" quotePrefix="0" xfId="305">
      <alignment vertical="center"/>
      <protection locked="0" hidden="0"/>
    </xf>
    <xf numFmtId="0" fontId="34" fillId="0" borderId="0" applyAlignment="1" applyProtection="1" pivotButton="0" quotePrefix="0" xfId="303">
      <alignment vertical="center"/>
      <protection locked="0" hidden="0"/>
    </xf>
    <xf numFmtId="0" fontId="15" fillId="3" borderId="1" applyAlignment="1" pivotButton="0" quotePrefix="0" xfId="316">
      <alignment horizontal="center" vertical="center"/>
    </xf>
    <xf numFmtId="0" fontId="106" fillId="3" borderId="1" applyAlignment="1" applyProtection="1" pivotButton="0" quotePrefix="0" xfId="316">
      <alignment horizontal="center" vertical="center" wrapText="1"/>
      <protection locked="0" hidden="0"/>
    </xf>
    <xf numFmtId="0" fontId="15" fillId="3" borderId="1" applyAlignment="1" pivotButton="0" quotePrefix="0" xfId="317">
      <alignment horizontal="center" vertical="center" wrapText="1"/>
    </xf>
    <xf numFmtId="0" fontId="107" fillId="0" borderId="1" applyAlignment="1" applyProtection="1" pivotButton="0" quotePrefix="0" xfId="316">
      <alignment horizontal="left" vertical="center" wrapText="1"/>
      <protection locked="0" hidden="0"/>
    </xf>
    <xf numFmtId="165" fontId="16" fillId="0" borderId="1" applyAlignment="1" pivotButton="0" quotePrefix="0" xfId="318">
      <alignment vertical="center"/>
    </xf>
    <xf numFmtId="165" fontId="16" fillId="3" borderId="1" applyAlignment="1" pivotButton="0" quotePrefix="0" xfId="319">
      <alignment vertical="center"/>
    </xf>
    <xf numFmtId="167" fontId="12" fillId="0" borderId="1" applyAlignment="1" pivotButton="0" quotePrefix="0" xfId="318">
      <alignment vertical="center"/>
    </xf>
    <xf numFmtId="165" fontId="12" fillId="3" borderId="1" applyAlignment="1" pivotButton="0" quotePrefix="0" xfId="319">
      <alignment vertical="center"/>
    </xf>
    <xf numFmtId="0" fontId="106" fillId="0" borderId="0" applyAlignment="1" applyProtection="1" pivotButton="0" quotePrefix="0" xfId="316">
      <alignment horizontal="left" vertical="center" wrapText="1"/>
      <protection locked="0" hidden="0"/>
    </xf>
    <xf numFmtId="0" fontId="107" fillId="0" borderId="0" applyAlignment="1" applyProtection="1" pivotButton="0" quotePrefix="0" xfId="316">
      <alignment horizontal="left" vertical="center" wrapText="1"/>
      <protection locked="0" hidden="0"/>
    </xf>
    <xf numFmtId="0" fontId="19" fillId="0" borderId="0" applyAlignment="1" pivotButton="0" quotePrefix="0" xfId="317">
      <alignment vertical="center"/>
    </xf>
    <xf numFmtId="0" fontId="19" fillId="0" borderId="0" applyAlignment="1" pivotButton="0" quotePrefix="0" xfId="320">
      <alignment vertical="center"/>
    </xf>
    <xf numFmtId="0" fontId="15" fillId="0" borderId="0" applyAlignment="1" pivotButton="0" quotePrefix="0" xfId="317">
      <alignment vertical="center"/>
    </xf>
    <xf numFmtId="0" fontId="18" fillId="0" borderId="0" applyAlignment="1" pivotButton="0" quotePrefix="0" xfId="317">
      <alignment vertical="center"/>
    </xf>
    <xf numFmtId="0" fontId="19" fillId="0" borderId="0" applyAlignment="1" pivotButton="0" quotePrefix="0" xfId="317">
      <alignment vertical="center" wrapText="1"/>
    </xf>
    <xf numFmtId="0" fontId="18" fillId="31" borderId="0" applyAlignment="1" pivotButton="0" quotePrefix="0" xfId="303">
      <alignment horizontal="left" vertical="center"/>
    </xf>
    <xf numFmtId="0" fontId="12" fillId="31" borderId="0" applyAlignment="1" pivotButton="0" quotePrefix="0" xfId="303">
      <alignment horizontal="left" vertical="center" wrapText="1"/>
    </xf>
    <xf numFmtId="49" fontId="18" fillId="31" borderId="0" applyAlignment="1" pivotButton="0" quotePrefix="0" xfId="303">
      <alignment horizontal="left" vertical="center"/>
    </xf>
    <xf numFmtId="49" fontId="12" fillId="31" borderId="0" applyAlignment="1" pivotButton="0" quotePrefix="0" xfId="303">
      <alignment horizontal="left" vertical="center" wrapText="1"/>
    </xf>
    <xf numFmtId="49" fontId="18" fillId="31" borderId="0" applyAlignment="1" pivotButton="0" quotePrefix="0" xfId="303">
      <alignment vertical="center"/>
    </xf>
    <xf numFmtId="49" fontId="12" fillId="31" borderId="0" applyAlignment="1" pivotButton="0" quotePrefix="0" xfId="303">
      <alignment vertical="center" wrapText="1"/>
    </xf>
    <xf numFmtId="0" fontId="101" fillId="0" borderId="0" applyAlignment="1" pivotButton="0" quotePrefix="0" xfId="301">
      <alignment vertical="center"/>
    </xf>
    <xf numFmtId="0" fontId="15" fillId="3" borderId="1" applyAlignment="1" pivotButton="0" quotePrefix="0" xfId="321">
      <alignment horizontal="center" vertical="center"/>
    </xf>
    <xf numFmtId="0" fontId="12" fillId="0" borderId="1" applyAlignment="1" pivotButton="0" quotePrefix="0" xfId="321">
      <alignment horizontal="left" vertical="center"/>
    </xf>
    <xf numFmtId="0" fontId="15" fillId="0" borderId="1" applyAlignment="1" pivotButton="0" quotePrefix="0" xfId="321">
      <alignment horizontal="center" vertical="center"/>
    </xf>
    <xf numFmtId="0" fontId="12" fillId="0" borderId="1" applyAlignment="1" pivotButton="0" quotePrefix="0" xfId="282">
      <alignment horizontal="left" vertical="center"/>
    </xf>
    <xf numFmtId="165" fontId="17" fillId="0" borderId="1" applyAlignment="1" pivotButton="0" quotePrefix="0" xfId="321">
      <alignment horizontal="center" vertical="center"/>
    </xf>
    <xf numFmtId="9" fontId="17" fillId="0" borderId="1" applyAlignment="1" pivotButton="0" quotePrefix="0" xfId="321">
      <alignment horizontal="center" vertical="center"/>
    </xf>
    <xf numFmtId="165" fontId="16" fillId="0" borderId="1" applyAlignment="1" pivotButton="0" quotePrefix="0" xfId="282">
      <alignment horizontal="right" vertical="center"/>
    </xf>
    <xf numFmtId="0" fontId="12" fillId="0" borderId="1" applyAlignment="1" applyProtection="1" pivotButton="0" quotePrefix="0" xfId="303">
      <alignment horizontal="left" vertical="center"/>
      <protection locked="0" hidden="0"/>
    </xf>
    <xf numFmtId="165" fontId="16" fillId="0" borderId="1" applyAlignment="1" pivotButton="0" quotePrefix="0" xfId="282">
      <alignment horizontal="center" vertical="center"/>
    </xf>
    <xf numFmtId="0" fontId="12" fillId="0" borderId="1" applyAlignment="1" applyProtection="1" pivotButton="0" quotePrefix="0" xfId="303">
      <alignment vertical="center" wrapText="1"/>
      <protection locked="0" hidden="0"/>
    </xf>
    <xf numFmtId="0" fontId="34" fillId="0" borderId="1" applyAlignment="1" applyProtection="1" pivotButton="0" quotePrefix="0" xfId="303">
      <alignment horizontal="left" vertical="center"/>
      <protection locked="0" hidden="0"/>
    </xf>
    <xf numFmtId="0" fontId="12" fillId="0" borderId="1" applyAlignment="1" pivotButton="0" quotePrefix="0" xfId="282">
      <alignment horizontal="center" vertical="center"/>
    </xf>
    <xf numFmtId="0" fontId="12" fillId="0" borderId="1" applyAlignment="1" pivotButton="0" quotePrefix="0" xfId="282">
      <alignment horizontal="right" vertical="center"/>
    </xf>
    <xf numFmtId="0" fontId="12" fillId="0" borderId="0" applyAlignment="1" pivotButton="0" quotePrefix="0" xfId="321">
      <alignment vertical="center"/>
    </xf>
    <xf numFmtId="0" fontId="101" fillId="0" borderId="0" applyAlignment="1" applyProtection="1" pivotButton="0" quotePrefix="0" xfId="303">
      <alignment vertical="center"/>
      <protection locked="0" hidden="0"/>
    </xf>
    <xf numFmtId="0" fontId="12" fillId="0" borderId="0" applyAlignment="1" pivotButton="0" quotePrefix="0" xfId="302">
      <alignment vertical="center"/>
    </xf>
    <xf numFmtId="0" fontId="12" fillId="0" borderId="0" applyAlignment="1" pivotButton="0" quotePrefix="0" xfId="302">
      <alignment horizontal="right" vertical="center"/>
    </xf>
    <xf numFmtId="0" fontId="12" fillId="0" borderId="0" applyAlignment="1" pivotButton="0" quotePrefix="0" xfId="302">
      <alignment horizontal="center" vertical="center"/>
    </xf>
    <xf numFmtId="0" fontId="109" fillId="0" borderId="0" applyAlignment="1" pivotButton="0" quotePrefix="0" xfId="302">
      <alignment vertical="center"/>
    </xf>
    <xf numFmtId="0" fontId="15" fillId="3" borderId="1" applyAlignment="1" pivotButton="0" quotePrefix="0" xfId="302">
      <alignment horizontal="center" vertical="center" wrapText="1"/>
    </xf>
    <xf numFmtId="0" fontId="12" fillId="0" borderId="1" applyAlignment="1" pivotButton="0" quotePrefix="0" xfId="302">
      <alignment horizontal="right" vertical="center" shrinkToFit="1"/>
    </xf>
    <xf numFmtId="165" fontId="16" fillId="0" borderId="1" applyAlignment="1" pivotButton="0" quotePrefix="0" xfId="302">
      <alignment horizontal="right" vertical="center" shrinkToFit="1"/>
    </xf>
    <xf numFmtId="165" fontId="16" fillId="3" borderId="1" applyAlignment="1" pivotButton="0" quotePrefix="0" xfId="302">
      <alignment horizontal="right" vertical="center" shrinkToFit="1"/>
    </xf>
    <xf numFmtId="165" fontId="16" fillId="0" borderId="1" applyAlignment="1" pivotButton="0" quotePrefix="0" xfId="232">
      <alignment horizontal="right" vertical="center" shrinkToFit="1"/>
    </xf>
    <xf numFmtId="0" fontId="15" fillId="3" borderId="1" applyAlignment="1" pivotButton="0" quotePrefix="0" xfId="302">
      <alignment horizontal="center" vertical="center" shrinkToFit="1"/>
    </xf>
    <xf numFmtId="165" fontId="17" fillId="3" borderId="1" applyAlignment="1" pivotButton="0" quotePrefix="0" xfId="302">
      <alignment horizontal="center" vertical="center" shrinkToFit="1"/>
    </xf>
    <xf numFmtId="14" fontId="12" fillId="0" borderId="1" applyAlignment="1" pivotButton="0" quotePrefix="0" xfId="302">
      <alignment horizontal="right" vertical="center" shrinkToFit="1"/>
    </xf>
    <xf numFmtId="165" fontId="15" fillId="3" borderId="1" applyAlignment="1" pivotButton="0" quotePrefix="0" xfId="302">
      <alignment horizontal="center" vertical="center" shrinkToFit="1"/>
    </xf>
    <xf numFmtId="0" fontId="12" fillId="0" borderId="0" applyAlignment="1" applyProtection="1" pivotButton="0" quotePrefix="0" xfId="322">
      <alignment vertical="center"/>
      <protection locked="0" hidden="0"/>
    </xf>
    <xf numFmtId="0" fontId="12" fillId="0" borderId="0" applyAlignment="1" applyProtection="1" pivotButton="0" quotePrefix="0" xfId="303">
      <alignment horizontal="right" vertical="center"/>
      <protection locked="0" hidden="0"/>
    </xf>
    <xf numFmtId="0" fontId="12" fillId="0" borderId="0" applyAlignment="1" pivotButton="0" quotePrefix="0" xfId="321">
      <alignment vertical="center"/>
    </xf>
    <xf numFmtId="0" fontId="12" fillId="0" borderId="0" applyAlignment="1" applyProtection="1" pivotButton="0" quotePrefix="0" xfId="303">
      <alignment horizontal="left" vertical="center" indent="1"/>
      <protection locked="0" hidden="0"/>
    </xf>
    <xf numFmtId="0" fontId="12" fillId="0" borderId="0" applyAlignment="1" applyProtection="1" pivotButton="0" quotePrefix="0" xfId="303">
      <alignment horizontal="left" vertical="center" wrapText="1" indent="1"/>
      <protection locked="0" hidden="0"/>
    </xf>
    <xf numFmtId="0" fontId="15" fillId="3" borderId="1" applyAlignment="1" pivotButton="0" quotePrefix="0" xfId="323">
      <alignment horizontal="center" vertical="center"/>
    </xf>
    <xf numFmtId="0" fontId="12" fillId="0" borderId="1" applyAlignment="1" pivotButton="0" quotePrefix="0" xfId="323">
      <alignment horizontal="left" vertical="center"/>
    </xf>
    <xf numFmtId="165" fontId="16" fillId="0" borderId="1" applyAlignment="1" pivotButton="0" quotePrefix="0" xfId="323">
      <alignment vertical="center"/>
    </xf>
    <xf numFmtId="165" fontId="16" fillId="3" borderId="1" applyAlignment="1" pivotButton="0" quotePrefix="0" xfId="323">
      <alignment vertical="center"/>
    </xf>
    <xf numFmtId="0" fontId="16" fillId="0" borderId="1" applyAlignment="1" pivotButton="0" quotePrefix="0" xfId="323">
      <alignment vertical="center"/>
    </xf>
    <xf numFmtId="0" fontId="15" fillId="3" borderId="0" applyAlignment="1" pivotButton="0" quotePrefix="0" xfId="323">
      <alignment horizontal="center" vertical="center"/>
    </xf>
    <xf numFmtId="168" fontId="15" fillId="3" borderId="0" applyAlignment="1" pivotButton="0" quotePrefix="0" xfId="323">
      <alignment horizontal="center" vertical="center"/>
    </xf>
    <xf numFmtId="0" fontId="12" fillId="0" borderId="1" applyAlignment="1" applyProtection="1" pivotButton="0" quotePrefix="0" xfId="322">
      <alignment vertical="center"/>
      <protection locked="0" hidden="0"/>
    </xf>
    <xf numFmtId="0" fontId="16" fillId="0" borderId="1" applyAlignment="1" applyProtection="1" pivotButton="0" quotePrefix="0" xfId="322">
      <alignment horizontal="center" vertical="center"/>
      <protection locked="0" hidden="0"/>
    </xf>
    <xf numFmtId="0" fontId="12" fillId="0" borderId="1" applyAlignment="1" applyProtection="1" pivotButton="0" quotePrefix="0" xfId="322">
      <alignment horizontal="center" vertical="center"/>
      <protection locked="0" hidden="0"/>
    </xf>
    <xf numFmtId="165" fontId="16" fillId="0" borderId="1" applyAlignment="1" applyProtection="1" pivotButton="0" quotePrefix="0" xfId="282">
      <alignment vertical="center"/>
      <protection locked="0" hidden="0"/>
    </xf>
    <xf numFmtId="165" fontId="12" fillId="0" borderId="1" applyAlignment="1" applyProtection="1" pivotButton="0" quotePrefix="0" xfId="322">
      <alignment vertical="center" shrinkToFit="1"/>
      <protection locked="0" hidden="0"/>
    </xf>
    <xf numFmtId="0" fontId="12" fillId="0" borderId="1" applyAlignment="1" applyProtection="1" pivotButton="0" quotePrefix="0" xfId="322">
      <alignment vertical="center" shrinkToFit="1"/>
      <protection locked="0" hidden="0"/>
    </xf>
    <xf numFmtId="165" fontId="16" fillId="3" borderId="1" applyAlignment="1" applyProtection="1" pivotButton="0" quotePrefix="0" xfId="282">
      <alignment horizontal="center" vertical="center"/>
      <protection locked="0" hidden="0"/>
    </xf>
    <xf numFmtId="165" fontId="15" fillId="0" borderId="1" applyAlignment="1" applyProtection="1" pivotButton="0" quotePrefix="0" xfId="322">
      <alignment vertical="center"/>
      <protection locked="0" hidden="0"/>
    </xf>
    <xf numFmtId="165" fontId="12" fillId="0" borderId="1" applyAlignment="1" applyProtection="1" pivotButton="0" quotePrefix="0" xfId="322">
      <alignment horizontal="center" vertical="center"/>
      <protection locked="0" hidden="0"/>
    </xf>
    <xf numFmtId="0" fontId="12" fillId="0" borderId="1" applyAlignment="1" applyProtection="1" pivotButton="0" quotePrefix="0" xfId="322">
      <alignment horizontal="left" vertical="center" shrinkToFit="1"/>
      <protection locked="0" hidden="0"/>
    </xf>
    <xf numFmtId="165" fontId="16" fillId="0" borderId="1" applyAlignment="1" applyProtection="1" pivotButton="0" quotePrefix="0" xfId="282">
      <alignment horizontal="center" vertical="center"/>
      <protection locked="0" hidden="0"/>
    </xf>
    <xf numFmtId="10" fontId="16" fillId="3" borderId="1" applyAlignment="1" applyProtection="1" pivotButton="0" quotePrefix="0" xfId="232">
      <alignment horizontal="right" vertical="center" shrinkToFit="1"/>
      <protection locked="0" hidden="0"/>
    </xf>
    <xf numFmtId="0" fontId="12" fillId="0" borderId="1" applyAlignment="1" applyProtection="1" pivotButton="0" quotePrefix="0" xfId="322">
      <alignment vertical="center"/>
      <protection locked="0" hidden="0"/>
    </xf>
    <xf numFmtId="10" fontId="16" fillId="0" borderId="1" applyAlignment="1" applyProtection="1" pivotButton="0" quotePrefix="0" xfId="232">
      <alignment horizontal="right" vertical="center" shrinkToFit="1"/>
      <protection locked="0" hidden="0"/>
    </xf>
    <xf numFmtId="0" fontId="15" fillId="0" borderId="1" applyAlignment="1" applyProtection="1" pivotButton="0" quotePrefix="0" xfId="322">
      <alignment vertical="center"/>
      <protection locked="0" hidden="0"/>
    </xf>
    <xf numFmtId="165" fontId="17" fillId="3" borderId="1" applyAlignment="1" applyProtection="1" pivotButton="0" quotePrefix="0" xfId="282">
      <alignment horizontal="right" vertical="center"/>
      <protection locked="0" hidden="0"/>
    </xf>
    <xf numFmtId="165" fontId="15" fillId="0" borderId="1" applyAlignment="1" applyProtection="1" pivotButton="0" quotePrefix="0" xfId="322">
      <alignment horizontal="center" vertical="center"/>
      <protection locked="0" hidden="0"/>
    </xf>
    <xf numFmtId="0" fontId="15" fillId="0" borderId="25" applyAlignment="1" applyProtection="1" pivotButton="0" quotePrefix="0" xfId="303">
      <alignment vertical="center"/>
      <protection locked="0" hidden="0"/>
    </xf>
    <xf numFmtId="0" fontId="15" fillId="0" borderId="0" applyAlignment="1" applyProtection="1" pivotButton="0" quotePrefix="0" xfId="303">
      <alignment vertical="center"/>
      <protection locked="0" hidden="0"/>
    </xf>
    <xf numFmtId="0" fontId="12" fillId="0" borderId="0" applyProtection="1" pivotButton="0" quotePrefix="0" xfId="303">
      <protection locked="0" hidden="0"/>
    </xf>
    <xf numFmtId="0" fontId="12" fillId="0" borderId="0" applyAlignment="1" pivotButton="0" quotePrefix="0" xfId="303">
      <alignment horizontal="center" vertical="center"/>
    </xf>
    <xf numFmtId="0" fontId="12" fillId="0" borderId="0" applyAlignment="1" pivotButton="0" quotePrefix="0" xfId="303">
      <alignment vertical="center"/>
    </xf>
    <xf numFmtId="0" fontId="12" fillId="0" borderId="0" applyAlignment="1" pivotButton="0" quotePrefix="0" xfId="303">
      <alignment horizontal="center" vertical="center"/>
    </xf>
    <xf numFmtId="0" fontId="18" fillId="0" borderId="0" applyAlignment="1" pivotButton="0" quotePrefix="0" xfId="303">
      <alignment vertical="center"/>
    </xf>
    <xf numFmtId="0" fontId="12" fillId="0" borderId="0" applyAlignment="1" pivotButton="0" quotePrefix="0" xfId="303">
      <alignment vertical="center" wrapText="1"/>
    </xf>
    <xf numFmtId="0" fontId="12" fillId="0" borderId="0" applyAlignment="1" pivotButton="0" quotePrefix="0" xfId="303">
      <alignment vertical="center"/>
    </xf>
    <xf numFmtId="0" fontId="12" fillId="0" borderId="0" applyProtection="1" pivotButton="0" quotePrefix="0" xfId="303">
      <protection locked="0" hidden="0"/>
    </xf>
    <xf numFmtId="0" fontId="15" fillId="3" borderId="1" applyAlignment="1" pivotButton="0" quotePrefix="0" xfId="303">
      <alignment horizontal="center" vertical="center"/>
    </xf>
    <xf numFmtId="0" fontId="12" fillId="0" borderId="1" applyAlignment="1" pivotButton="0" quotePrefix="0" xfId="303">
      <alignment vertical="center"/>
    </xf>
    <xf numFmtId="0" fontId="12" fillId="0" borderId="0" applyAlignment="1" pivotButton="0" quotePrefix="0" xfId="305">
      <alignment vertical="center"/>
    </xf>
    <xf numFmtId="0" fontId="12" fillId="0" borderId="0" applyAlignment="1" applyProtection="1" pivotButton="0" quotePrefix="0" xfId="305">
      <alignment vertical="center"/>
      <protection locked="0" hidden="0"/>
    </xf>
    <xf numFmtId="0" fontId="15" fillId="0" borderId="0" applyAlignment="1" pivotButton="0" quotePrefix="0" xfId="305">
      <alignment vertical="center"/>
    </xf>
    <xf numFmtId="0" fontId="16" fillId="0" borderId="0" applyAlignment="1" applyProtection="1" pivotButton="0" quotePrefix="0" xfId="305">
      <alignment vertical="center"/>
      <protection locked="0" hidden="0"/>
    </xf>
    <xf numFmtId="0" fontId="12" fillId="0" borderId="0" applyAlignment="1" pivotButton="0" quotePrefix="0" xfId="305">
      <alignment vertical="center"/>
    </xf>
    <xf numFmtId="0" fontId="15" fillId="0" borderId="0" applyAlignment="1" pivotButton="0" quotePrefix="0" xfId="305">
      <alignment horizontal="left" vertical="center"/>
    </xf>
    <xf numFmtId="164" fontId="39" fillId="0" borderId="0" applyAlignment="1" applyProtection="1" pivotButton="0" quotePrefix="0" xfId="0">
      <alignment horizontal="left" vertical="center"/>
      <protection locked="0" hidden="0"/>
    </xf>
    <xf numFmtId="0" fontId="19" fillId="0" borderId="0" applyAlignment="1" applyProtection="1" pivotButton="0" quotePrefix="0" xfId="305">
      <alignment horizontal="center" vertical="center"/>
      <protection locked="1" hidden="1"/>
    </xf>
    <xf numFmtId="0" fontId="12" fillId="0" borderId="0" applyAlignment="1" applyProtection="1" pivotButton="0" quotePrefix="0" xfId="305">
      <alignment horizontal="left" vertical="center"/>
      <protection locked="1" hidden="1"/>
    </xf>
    <xf numFmtId="0" fontId="19" fillId="0" borderId="0" applyAlignment="1" applyProtection="1" pivotButton="0" quotePrefix="0" xfId="305">
      <alignment horizontal="left" vertical="center"/>
      <protection locked="0" hidden="0"/>
    </xf>
    <xf numFmtId="0" fontId="15" fillId="3" borderId="1" applyAlignment="1" applyProtection="1" pivotButton="0" quotePrefix="0" xfId="324">
      <alignment horizontal="center" vertical="center"/>
      <protection locked="0" hidden="0"/>
    </xf>
    <xf numFmtId="0" fontId="15" fillId="3" borderId="1" applyAlignment="1" applyProtection="1" pivotButton="0" quotePrefix="0" xfId="324">
      <alignment horizontal="center" vertical="center" wrapText="1"/>
      <protection locked="0" hidden="0"/>
    </xf>
    <xf numFmtId="0" fontId="17" fillId="3" borderId="1" applyAlignment="1" applyProtection="1" pivotButton="0" quotePrefix="0" xfId="0">
      <alignment horizontal="center" vertical="center"/>
      <protection locked="0" hidden="0"/>
    </xf>
    <xf numFmtId="14" fontId="16" fillId="0" borderId="1" applyAlignment="1" applyProtection="1" pivotButton="0" quotePrefix="0" xfId="324">
      <alignment horizontal="center" vertical="center"/>
      <protection locked="0" hidden="0"/>
    </xf>
    <xf numFmtId="49" fontId="16" fillId="0" borderId="1" applyAlignment="1" applyProtection="1" pivotButton="0" quotePrefix="0" xfId="324">
      <alignment horizontal="center" vertical="center"/>
      <protection locked="0" hidden="0"/>
    </xf>
    <xf numFmtId="0" fontId="12" fillId="0" borderId="1" applyAlignment="1" applyProtection="1" pivotButton="0" quotePrefix="0" xfId="324">
      <alignment vertical="center"/>
      <protection locked="0" hidden="0"/>
    </xf>
    <xf numFmtId="43" fontId="16" fillId="0" borderId="1" applyAlignment="1" applyProtection="1" pivotButton="0" quotePrefix="0" xfId="325">
      <alignment vertical="center"/>
      <protection locked="0" hidden="0"/>
    </xf>
    <xf numFmtId="49" fontId="12" fillId="0" borderId="1" applyAlignment="1" applyProtection="1" pivotButton="0" quotePrefix="0" xfId="324">
      <alignment horizontal="center" vertical="center"/>
      <protection locked="0" hidden="0"/>
    </xf>
    <xf numFmtId="164" fontId="16" fillId="0" borderId="1" applyAlignment="1" applyProtection="1" pivotButton="0" quotePrefix="0" xfId="0">
      <alignment horizontal="center" vertical="center"/>
      <protection locked="0" hidden="0"/>
    </xf>
    <xf numFmtId="0" fontId="16" fillId="0" borderId="1" applyAlignment="1" applyProtection="1" pivotButton="0" quotePrefix="0" xfId="325">
      <alignment horizontal="center" vertical="center"/>
      <protection locked="0" hidden="0"/>
    </xf>
    <xf numFmtId="49" fontId="16" fillId="0" borderId="1" applyAlignment="1" applyProtection="1" pivotButton="0" quotePrefix="0" xfId="324">
      <alignment vertical="center"/>
      <protection locked="0" hidden="0"/>
    </xf>
    <xf numFmtId="0" fontId="12" fillId="3" borderId="1" applyAlignment="1" applyProtection="1" pivotButton="0" quotePrefix="0" xfId="324">
      <alignment vertical="center"/>
      <protection locked="0" hidden="0"/>
    </xf>
    <xf numFmtId="43" fontId="17" fillId="3" borderId="1" applyAlignment="1" applyProtection="1" pivotButton="0" quotePrefix="0" xfId="325">
      <alignment vertical="center"/>
      <protection locked="0" hidden="0"/>
    </xf>
    <xf numFmtId="0" fontId="15" fillId="3" borderId="1" applyAlignment="1" applyProtection="1" pivotButton="0" quotePrefix="0" xfId="324">
      <alignment vertical="center"/>
      <protection locked="0" hidden="0"/>
    </xf>
    <xf numFmtId="0" fontId="12" fillId="0" borderId="0" applyAlignment="1" applyProtection="1" pivotButton="0" quotePrefix="0" xfId="303">
      <alignment horizontal="center" vertical="center"/>
      <protection locked="0" hidden="0"/>
    </xf>
    <xf numFmtId="0" fontId="15" fillId="0" borderId="0" applyAlignment="1" applyProtection="1" pivotButton="0" quotePrefix="0" xfId="303">
      <alignment horizontal="left" vertical="center"/>
      <protection locked="0" hidden="0"/>
    </xf>
    <xf numFmtId="165" fontId="12" fillId="0" borderId="0" applyAlignment="1" pivotButton="0" quotePrefix="0" xfId="259">
      <alignment horizontal="left" vertical="center"/>
    </xf>
    <xf numFmtId="165" fontId="12" fillId="0" borderId="0" applyAlignment="1" pivotButton="0" quotePrefix="0" xfId="259">
      <alignment vertical="center"/>
    </xf>
    <xf numFmtId="0" fontId="111" fillId="0" borderId="0" applyAlignment="1" applyProtection="1" pivotButton="0" quotePrefix="0" xfId="0">
      <alignment vertical="center"/>
      <protection locked="0" hidden="0"/>
    </xf>
    <xf numFmtId="0" fontId="111" fillId="0" borderId="10" applyAlignment="1" applyProtection="1" pivotButton="0" quotePrefix="0" xfId="0">
      <alignment horizontal="center" vertical="center"/>
      <protection locked="0" hidden="0"/>
    </xf>
    <xf numFmtId="0" fontId="112" fillId="0" borderId="24" applyAlignment="1" applyProtection="1" pivotButton="0" quotePrefix="0" xfId="3">
      <alignment vertical="center"/>
      <protection locked="0" hidden="0"/>
    </xf>
    <xf numFmtId="164" fontId="12" fillId="0" borderId="1" applyAlignment="1" applyProtection="1" pivotButton="0" quotePrefix="0" xfId="0">
      <alignment horizontal="center" vertical="center" wrapText="1"/>
      <protection locked="0" hidden="0"/>
    </xf>
    <xf numFmtId="164" fontId="15" fillId="2" borderId="1" applyAlignment="1" applyProtection="1" pivotButton="0" quotePrefix="0" xfId="252">
      <alignment horizontal="center" vertical="center" wrapText="1"/>
      <protection locked="0" hidden="0"/>
    </xf>
    <xf numFmtId="164" fontId="17" fillId="2" borderId="1" applyAlignment="1" applyProtection="1" pivotButton="0" quotePrefix="0" xfId="252">
      <alignment horizontal="center" vertical="center" wrapText="1"/>
      <protection locked="0" hidden="0"/>
    </xf>
    <xf numFmtId="164" fontId="15" fillId="0" borderId="0" applyAlignment="1" applyProtection="1" pivotButton="0" quotePrefix="0" xfId="0">
      <alignment horizontal="left" vertical="center"/>
      <protection locked="0" hidden="0"/>
    </xf>
    <xf numFmtId="164" fontId="7" fillId="2" borderId="1" applyAlignment="1" applyProtection="1" pivotButton="0" quotePrefix="0" xfId="244">
      <alignment horizontal="center" vertical="center" wrapText="1"/>
      <protection locked="0" hidden="0"/>
    </xf>
    <xf numFmtId="49" fontId="15" fillId="2" borderId="1" applyAlignment="1" applyProtection="1" pivotButton="0" quotePrefix="0" xfId="0">
      <alignment horizontal="center" vertical="center"/>
      <protection locked="0" hidden="0"/>
    </xf>
    <xf numFmtId="164" fontId="15" fillId="2" borderId="1" applyAlignment="1" applyProtection="1" pivotButton="0" quotePrefix="0" xfId="0">
      <alignment horizontal="center" vertical="center" wrapText="1"/>
      <protection locked="0" hidden="0"/>
    </xf>
    <xf numFmtId="164" fontId="12" fillId="0" borderId="1" applyAlignment="1" applyProtection="1" pivotButton="0" quotePrefix="0" xfId="0">
      <alignment horizontal="left" vertical="center" wrapText="1"/>
      <protection locked="0" hidden="0"/>
    </xf>
    <xf numFmtId="164" fontId="15" fillId="2" borderId="1" applyAlignment="1" applyProtection="1" pivotButton="0" quotePrefix="0" xfId="0">
      <alignment horizontal="center" vertical="center"/>
      <protection locked="0" hidden="0"/>
    </xf>
    <xf numFmtId="164" fontId="13" fillId="0" borderId="0" applyAlignment="1" pivotButton="0" quotePrefix="0" xfId="255">
      <alignment horizontal="center" vertical="center"/>
    </xf>
    <xf numFmtId="164" fontId="14" fillId="0" borderId="0" applyAlignment="1" pivotButton="0" quotePrefix="0" xfId="255">
      <alignment horizontal="center" vertical="center"/>
    </xf>
    <xf numFmtId="164" fontId="12" fillId="0" borderId="0" applyAlignment="1" applyProtection="1" pivotButton="0" quotePrefix="0" xfId="0">
      <alignment horizontal="left" vertical="center"/>
      <protection locked="0" hidden="0"/>
    </xf>
    <xf numFmtId="164" fontId="12" fillId="0" borderId="1" applyAlignment="1" applyProtection="1" pivotButton="0" quotePrefix="0" xfId="0">
      <alignment horizontal="center" vertical="center" wrapText="1"/>
      <protection locked="0" hidden="0"/>
    </xf>
    <xf numFmtId="164" fontId="12" fillId="0" borderId="0" applyAlignment="1" applyProtection="1" pivotButton="0" quotePrefix="0" xfId="254">
      <alignment horizontal="left" wrapText="1"/>
      <protection locked="0" hidden="0"/>
    </xf>
    <xf numFmtId="164" fontId="12" fillId="0" borderId="0" applyAlignment="1" applyProtection="1" pivotButton="0" quotePrefix="0" xfId="254">
      <alignment horizontal="center" wrapText="1"/>
      <protection locked="0" hidden="0"/>
    </xf>
    <xf numFmtId="164" fontId="28" fillId="0" borderId="1" applyAlignment="1" applyProtection="1" pivotButton="0" quotePrefix="0" xfId="254">
      <alignment horizontal="left" vertical="center" wrapText="1"/>
      <protection locked="0" hidden="0"/>
    </xf>
    <xf numFmtId="164" fontId="15" fillId="2" borderId="5" applyAlignment="1" applyProtection="1" pivotButton="0" quotePrefix="0" xfId="254">
      <alignment horizontal="center" vertical="center" wrapText="1"/>
      <protection locked="0" hidden="0"/>
    </xf>
    <xf numFmtId="164" fontId="17" fillId="2" borderId="6" applyAlignment="1" applyProtection="1" pivotButton="0" quotePrefix="0" xfId="254">
      <alignment horizontal="center" vertical="center" wrapText="1"/>
      <protection locked="0" hidden="0"/>
    </xf>
    <xf numFmtId="164" fontId="16" fillId="2" borderId="5" applyAlignment="1" applyProtection="1" pivotButton="0" quotePrefix="0" xfId="254">
      <alignment horizontal="center" vertical="center" wrapText="1"/>
      <protection locked="0" hidden="0"/>
    </xf>
    <xf numFmtId="164" fontId="16" fillId="2" borderId="7" applyAlignment="1" applyProtection="1" pivotButton="0" quotePrefix="0" xfId="254">
      <alignment horizontal="center" vertical="center" wrapText="1"/>
      <protection locked="0" hidden="0"/>
    </xf>
    <xf numFmtId="164" fontId="16" fillId="0" borderId="5" applyAlignment="1" applyProtection="1" pivotButton="0" quotePrefix="0" xfId="254">
      <alignment horizontal="center" vertical="center" wrapText="1"/>
      <protection locked="0" hidden="0"/>
    </xf>
    <xf numFmtId="164" fontId="16" fillId="0" borderId="6" applyAlignment="1" applyProtection="1" pivotButton="0" quotePrefix="0" xfId="254">
      <alignment horizontal="center" vertical="center" wrapText="1"/>
      <protection locked="0" hidden="0"/>
    </xf>
    <xf numFmtId="164" fontId="16" fillId="0" borderId="7" applyAlignment="1" applyProtection="1" pivotButton="0" quotePrefix="0" xfId="254">
      <alignment horizontal="center" vertical="center" wrapText="1"/>
      <protection locked="0" hidden="0"/>
    </xf>
    <xf numFmtId="164" fontId="16" fillId="2" borderId="1" applyAlignment="1" applyProtection="1" pivotButton="0" quotePrefix="0" xfId="254">
      <alignment horizontal="center" vertical="center" wrapText="1"/>
      <protection locked="0" hidden="0"/>
    </xf>
    <xf numFmtId="164" fontId="16" fillId="0" borderId="1" applyAlignment="1" applyProtection="1" pivotButton="0" quotePrefix="0" xfId="254">
      <alignment horizontal="center" vertical="center" wrapText="1"/>
      <protection locked="0" hidden="0"/>
    </xf>
    <xf numFmtId="164" fontId="17" fillId="0" borderId="5" applyAlignment="1" applyProtection="1" pivotButton="0" quotePrefix="0" xfId="254">
      <alignment horizontal="center" vertical="center" wrapText="1"/>
      <protection locked="0" hidden="0"/>
    </xf>
    <xf numFmtId="164" fontId="17" fillId="0" borderId="6" applyAlignment="1" applyProtection="1" pivotButton="0" quotePrefix="0" xfId="254">
      <alignment horizontal="center" vertical="center" wrapText="1"/>
      <protection locked="0" hidden="0"/>
    </xf>
    <xf numFmtId="164" fontId="36" fillId="2" borderId="5" applyAlignment="1" applyProtection="1" pivotButton="0" quotePrefix="0" xfId="254">
      <alignment horizontal="center" vertical="center" wrapText="1"/>
      <protection locked="0" hidden="0"/>
    </xf>
    <xf numFmtId="164" fontId="37" fillId="2" borderId="6" applyAlignment="1" applyProtection="1" pivotButton="0" quotePrefix="0" xfId="254">
      <alignment horizontal="center" vertical="center" wrapText="1"/>
      <protection locked="0" hidden="0"/>
    </xf>
    <xf numFmtId="164" fontId="16" fillId="0" borderId="5" applyAlignment="1" applyProtection="1" pivotButton="0" quotePrefix="0" xfId="254">
      <alignment horizontal="left" vertical="center" wrapText="1"/>
      <protection locked="0" hidden="0"/>
    </xf>
    <xf numFmtId="164" fontId="16" fillId="0" borderId="6" applyAlignment="1" applyProtection="1" pivotButton="0" quotePrefix="0" xfId="254">
      <alignment horizontal="left" vertical="center" wrapText="1"/>
      <protection locked="0" hidden="0"/>
    </xf>
    <xf numFmtId="164" fontId="5" fillId="0" borderId="1" applyAlignment="1" applyProtection="1" pivotButton="0" quotePrefix="0" xfId="254">
      <alignment horizontal="left" vertical="center" wrapText="1"/>
      <protection locked="0" hidden="0"/>
    </xf>
    <xf numFmtId="164" fontId="28" fillId="0" borderId="0" applyAlignment="1" applyProtection="1" pivotButton="0" quotePrefix="0" xfId="254">
      <alignment horizontal="left" vertical="center"/>
      <protection locked="0" hidden="0"/>
    </xf>
    <xf numFmtId="164" fontId="28" fillId="2" borderId="5" applyAlignment="1" applyProtection="1" pivotButton="0" quotePrefix="0" xfId="254">
      <alignment horizontal="center" vertical="center"/>
      <protection locked="0" hidden="0"/>
    </xf>
    <xf numFmtId="164" fontId="28" fillId="2" borderId="6" applyAlignment="1" applyProtection="1" pivotButton="0" quotePrefix="0" xfId="254">
      <alignment horizontal="center" vertical="center"/>
      <protection locked="0" hidden="0"/>
    </xf>
    <xf numFmtId="164" fontId="28" fillId="2" borderId="7" applyAlignment="1" applyProtection="1" pivotButton="0" quotePrefix="0" xfId="254">
      <alignment horizontal="center" vertical="center"/>
      <protection locked="0" hidden="0"/>
    </xf>
    <xf numFmtId="164" fontId="28" fillId="2" borderId="1" applyAlignment="1" applyProtection="1" pivotButton="0" quotePrefix="0" xfId="254">
      <alignment horizontal="center" vertical="center" wrapText="1"/>
      <protection locked="0" hidden="0"/>
    </xf>
    <xf numFmtId="164" fontId="28" fillId="0" borderId="0" applyAlignment="1" pivotButton="0" quotePrefix="0" xfId="256">
      <alignment horizontal="center" vertical="center"/>
    </xf>
    <xf numFmtId="164" fontId="13" fillId="0" borderId="0" applyAlignment="1" pivotButton="0" quotePrefix="0" xfId="256">
      <alignment horizontal="center" vertical="center"/>
    </xf>
    <xf numFmtId="164" fontId="29" fillId="0" borderId="0" applyAlignment="1" pivotButton="0" quotePrefix="0" xfId="256">
      <alignment horizontal="center" vertical="center"/>
    </xf>
    <xf numFmtId="164" fontId="30" fillId="0" borderId="0" applyAlignment="1" applyProtection="1" pivotButton="0" quotePrefix="0" xfId="254">
      <alignment horizontal="left" vertical="center"/>
      <protection locked="0" hidden="0"/>
    </xf>
    <xf numFmtId="164" fontId="12" fillId="0" borderId="5" applyAlignment="1" applyProtection="1" pivotButton="0" quotePrefix="0" xfId="254">
      <alignment horizontal="left" vertical="center" wrapText="1"/>
      <protection locked="0" hidden="0"/>
    </xf>
    <xf numFmtId="164" fontId="12" fillId="0" borderId="6" applyAlignment="1" applyProtection="1" pivotButton="0" quotePrefix="0" xfId="254">
      <alignment horizontal="left" vertical="center" wrapText="1"/>
      <protection locked="0" hidden="0"/>
    </xf>
    <xf numFmtId="164" fontId="30" fillId="0" borderId="6" applyAlignment="1" applyProtection="1" pivotButton="0" quotePrefix="0" xfId="254">
      <alignment horizontal="left" vertical="center" wrapText="1"/>
      <protection locked="0" hidden="0"/>
    </xf>
    <xf numFmtId="164" fontId="30" fillId="0" borderId="7" applyAlignment="1" applyProtection="1" pivotButton="0" quotePrefix="0" xfId="254">
      <alignment horizontal="left" vertical="center" wrapText="1"/>
      <protection locked="0" hidden="0"/>
    </xf>
    <xf numFmtId="164" fontId="28" fillId="0" borderId="1" applyAlignment="1" applyProtection="1" pivotButton="0" quotePrefix="0" xfId="254">
      <alignment horizontal="center" vertical="center"/>
      <protection locked="0" hidden="0"/>
    </xf>
    <xf numFmtId="164" fontId="15" fillId="0" borderId="8" applyAlignment="1" applyProtection="1" pivotButton="0" quotePrefix="0" xfId="254">
      <alignment horizontal="center" vertical="center" wrapText="1"/>
      <protection locked="0" hidden="0"/>
    </xf>
    <xf numFmtId="164" fontId="15" fillId="0" borderId="9" applyAlignment="1" applyProtection="1" pivotButton="0" quotePrefix="0" xfId="254">
      <alignment horizontal="center" vertical="center" wrapText="1"/>
      <protection locked="0" hidden="0"/>
    </xf>
    <xf numFmtId="164" fontId="28" fillId="0" borderId="8" applyAlignment="1" applyProtection="1" pivotButton="0" quotePrefix="0" xfId="254">
      <alignment horizontal="center" vertical="center" wrapText="1"/>
      <protection locked="0" hidden="0"/>
    </xf>
    <xf numFmtId="164" fontId="28" fillId="0" borderId="9" applyAlignment="1" applyProtection="1" pivotButton="0" quotePrefix="0" xfId="254">
      <alignment horizontal="center" vertical="center" wrapText="1"/>
      <protection locked="0" hidden="0"/>
    </xf>
    <xf numFmtId="164" fontId="3" fillId="0" borderId="0" applyAlignment="1" pivotButton="0" quotePrefix="0" xfId="259">
      <alignment horizontal="center" vertical="center"/>
    </xf>
    <xf numFmtId="164" fontId="4" fillId="0" borderId="0" applyAlignment="1" pivotButton="0" quotePrefix="0" xfId="259">
      <alignment horizontal="center" vertical="center"/>
    </xf>
    <xf numFmtId="164" fontId="7" fillId="2" borderId="5" applyAlignment="1" applyProtection="1" pivotButton="0" quotePrefix="0" xfId="247">
      <alignment horizontal="center" vertical="center" wrapText="1"/>
      <protection locked="0" hidden="0"/>
    </xf>
    <xf numFmtId="164" fontId="7" fillId="2" borderId="6" applyAlignment="1" applyProtection="1" pivotButton="0" quotePrefix="0" xfId="247">
      <alignment horizontal="center" vertical="center" wrapText="1"/>
      <protection locked="0" hidden="0"/>
    </xf>
    <xf numFmtId="164" fontId="7" fillId="2" borderId="7" applyAlignment="1" applyProtection="1" pivotButton="0" quotePrefix="0" xfId="247">
      <alignment horizontal="center" vertical="center" wrapText="1"/>
      <protection locked="0" hidden="0"/>
    </xf>
    <xf numFmtId="164" fontId="6" fillId="2" borderId="5" applyAlignment="1" applyProtection="1" pivotButton="0" quotePrefix="0" xfId="245">
      <alignment horizontal="center" vertical="center" wrapText="1"/>
      <protection locked="0" hidden="0"/>
    </xf>
    <xf numFmtId="164" fontId="6" fillId="2" borderId="7" applyAlignment="1" applyProtection="1" pivotButton="0" quotePrefix="0" xfId="245">
      <alignment horizontal="center" vertical="center" wrapText="1"/>
      <protection locked="0" hidden="0"/>
    </xf>
    <xf numFmtId="164" fontId="6" fillId="2" borderId="1" applyAlignment="1" applyProtection="1" pivotButton="0" quotePrefix="0" xfId="245">
      <alignment horizontal="center" vertical="center" wrapText="1"/>
      <protection locked="0" hidden="0"/>
    </xf>
    <xf numFmtId="164" fontId="7" fillId="2" borderId="1" applyAlignment="1" applyProtection="1" pivotButton="0" quotePrefix="0" xfId="245">
      <alignment horizontal="center" vertical="center" wrapText="1"/>
      <protection locked="0" hidden="0"/>
    </xf>
    <xf numFmtId="164" fontId="6" fillId="2" borderId="1" applyAlignment="1" pivotButton="0" quotePrefix="0" xfId="0">
      <alignment horizontal="center" vertical="center"/>
    </xf>
    <xf numFmtId="164" fontId="6" fillId="2" borderId="1" applyAlignment="1" pivotButton="0" quotePrefix="0" xfId="0">
      <alignment vertical="center"/>
    </xf>
    <xf numFmtId="164" fontId="9" fillId="2" borderId="1" applyAlignment="1" pivotButton="0" quotePrefix="0" xfId="0">
      <alignment vertical="center"/>
    </xf>
    <xf numFmtId="164" fontId="17" fillId="0" borderId="0" applyAlignment="1" pivotButton="0" quotePrefix="0" xfId="257">
      <alignment horizontal="center" vertical="center"/>
    </xf>
    <xf numFmtId="165" fontId="21" fillId="0" borderId="0" applyAlignment="1" pivotButton="0" quotePrefix="0" xfId="259">
      <alignment horizontal="center" vertical="center"/>
    </xf>
    <xf numFmtId="164" fontId="25" fillId="0" borderId="0" applyAlignment="1" applyProtection="1" pivotButton="0" quotePrefix="0" xfId="0">
      <alignment horizontal="left" vertical="center" wrapText="1"/>
      <protection locked="0" hidden="0"/>
    </xf>
    <xf numFmtId="165" fontId="25" fillId="0" borderId="3" applyAlignment="1" pivotButton="0" quotePrefix="0" xfId="0">
      <alignment horizontal="left" vertical="center" wrapText="1"/>
    </xf>
    <xf numFmtId="164" fontId="13" fillId="0" borderId="0" applyAlignment="1" pivotButton="0" quotePrefix="0" xfId="255">
      <alignment horizontal="center" vertical="center"/>
    </xf>
    <xf numFmtId="164" fontId="14" fillId="0" borderId="0" applyAlignment="1" pivotButton="0" quotePrefix="0" xfId="255">
      <alignment horizontal="center" vertical="center"/>
    </xf>
    <xf numFmtId="164" fontId="15" fillId="2" borderId="1" applyAlignment="1" applyProtection="1" pivotButton="0" quotePrefix="0" xfId="0">
      <alignment horizontal="center" vertical="center" wrapText="1"/>
      <protection locked="0" hidden="0"/>
    </xf>
    <xf numFmtId="164" fontId="11" fillId="0" borderId="0" applyAlignment="1" applyProtection="1" pivotButton="0" quotePrefix="0" xfId="239">
      <alignment horizontal="left" vertical="center" wrapText="1"/>
      <protection locked="0" hidden="0"/>
    </xf>
    <xf numFmtId="164" fontId="5" fillId="0" borderId="0" applyAlignment="1" applyProtection="1" pivotButton="0" quotePrefix="0" xfId="239">
      <alignment horizontal="left" vertical="center" wrapText="1"/>
      <protection locked="0" hidden="0"/>
    </xf>
    <xf numFmtId="0" fontId="13" fillId="0" borderId="0" applyAlignment="1" pivotButton="0" quotePrefix="0" xfId="301">
      <alignment horizontal="center" vertical="center"/>
    </xf>
    <xf numFmtId="0" fontId="14" fillId="0" borderId="0" applyAlignment="1" pivotButton="0" quotePrefix="0" xfId="301">
      <alignment horizontal="center" vertical="center"/>
    </xf>
    <xf numFmtId="0" fontId="15" fillId="3" borderId="1" applyAlignment="1" pivotButton="0" quotePrefix="0" xfId="306">
      <alignment horizontal="center" vertical="center" wrapText="1"/>
    </xf>
    <xf numFmtId="0" fontId="15" fillId="3" borderId="1" applyAlignment="1" pivotButton="0" quotePrefix="0" xfId="282">
      <alignment horizontal="center" vertical="center" wrapText="1"/>
    </xf>
    <xf numFmtId="0" fontId="15" fillId="3" borderId="1" applyAlignment="1" pivotButton="0" quotePrefix="1" xfId="282">
      <alignment horizontal="center" vertical="center" wrapText="1"/>
    </xf>
    <xf numFmtId="0" fontId="15" fillId="3" borderId="1" applyAlignment="1" pivotButton="0" quotePrefix="0" xfId="282">
      <alignment horizontal="center" vertical="center"/>
    </xf>
    <xf numFmtId="0" fontId="15" fillId="3" borderId="8" applyAlignment="1" pivotButton="0" quotePrefix="1" xfId="282">
      <alignment horizontal="center" vertical="center" wrapText="1"/>
    </xf>
    <xf numFmtId="0" fontId="15" fillId="3" borderId="9" applyAlignment="1" pivotButton="0" quotePrefix="0" xfId="282">
      <alignment horizontal="center" vertical="center" wrapText="1"/>
    </xf>
    <xf numFmtId="0" fontId="15" fillId="3" borderId="8" applyAlignment="1" pivotButton="0" quotePrefix="0" xfId="282">
      <alignment horizontal="center" vertical="center" wrapText="1"/>
    </xf>
    <xf numFmtId="0" fontId="12" fillId="0" borderId="1" applyAlignment="1" pivotButton="0" quotePrefix="0" xfId="312">
      <alignment horizontal="left" vertical="center"/>
    </xf>
    <xf numFmtId="165" fontId="12" fillId="0" borderId="1" applyAlignment="1" pivotButton="0" quotePrefix="0" xfId="314">
      <alignment horizontal="center" vertical="center"/>
    </xf>
    <xf numFmtId="0" fontId="15" fillId="3" borderId="1" applyAlignment="1" pivotButton="0" quotePrefix="0" xfId="312">
      <alignment horizontal="center" vertical="center"/>
    </xf>
    <xf numFmtId="0" fontId="12" fillId="3" borderId="1" applyAlignment="1" pivotButton="0" quotePrefix="0" xfId="313">
      <alignment horizontal="center" vertical="center" wrapText="1"/>
    </xf>
    <xf numFmtId="0" fontId="12" fillId="0" borderId="1" applyAlignment="1" pivotButton="0" quotePrefix="0" xfId="303">
      <alignment horizontal="left" vertical="center" wrapText="1"/>
    </xf>
    <xf numFmtId="0" fontId="106" fillId="3" borderId="1" applyAlignment="1" pivotButton="0" quotePrefix="0" xfId="311">
      <alignment horizontal="left" vertical="center" wrapText="1"/>
    </xf>
    <xf numFmtId="0" fontId="12" fillId="0" borderId="1" applyAlignment="1" pivotButton="0" quotePrefix="0" xfId="312">
      <alignment horizontal="center" vertical="center"/>
    </xf>
    <xf numFmtId="0" fontId="15" fillId="3" borderId="5" applyAlignment="1" pivotButton="0" quotePrefix="0" xfId="312">
      <alignment horizontal="left" vertical="center"/>
    </xf>
    <xf numFmtId="0" fontId="15" fillId="3" borderId="6" applyAlignment="1" pivotButton="0" quotePrefix="0" xfId="312">
      <alignment horizontal="left" vertical="center"/>
    </xf>
    <xf numFmtId="0" fontId="15" fillId="3" borderId="7" applyAlignment="1" pivotButton="0" quotePrefix="0" xfId="312">
      <alignment horizontal="left" vertical="center"/>
    </xf>
    <xf numFmtId="0" fontId="15" fillId="3" borderId="5" applyAlignment="1" pivotButton="0" quotePrefix="0" xfId="315">
      <alignment horizontal="left" vertical="center"/>
    </xf>
    <xf numFmtId="0" fontId="15" fillId="3" borderId="6" applyAlignment="1" pivotButton="0" quotePrefix="0" xfId="315">
      <alignment horizontal="left" vertical="center"/>
    </xf>
    <xf numFmtId="0" fontId="15" fillId="3" borderId="7" applyAlignment="1" pivotButton="0" quotePrefix="0" xfId="315">
      <alignment horizontal="left" vertical="center"/>
    </xf>
    <xf numFmtId="0" fontId="12" fillId="0" borderId="1" applyAlignment="1" applyProtection="1" pivotButton="0" quotePrefix="0" xfId="303">
      <alignment horizontal="left" vertical="center"/>
      <protection locked="0" hidden="0"/>
    </xf>
    <xf numFmtId="0" fontId="13" fillId="0" borderId="0" applyAlignment="1" pivotButton="0" quotePrefix="0" xfId="301">
      <alignment horizontal="center" vertical="center"/>
    </xf>
    <xf numFmtId="0" fontId="14" fillId="0" borderId="0" applyAlignment="1" pivotButton="0" quotePrefix="0" xfId="308">
      <alignment horizontal="center" vertical="center"/>
    </xf>
    <xf numFmtId="0" fontId="15" fillId="3" borderId="1" applyAlignment="1" pivotButton="0" quotePrefix="0" xfId="309">
      <alignment horizontal="center" vertical="center"/>
    </xf>
    <xf numFmtId="0" fontId="12" fillId="0" borderId="1" applyAlignment="1" pivotButton="0" quotePrefix="0" xfId="309">
      <alignment horizontal="left" vertical="center" wrapText="1"/>
    </xf>
    <xf numFmtId="0" fontId="13" fillId="0" borderId="0" applyAlignment="1" pivotButton="0" quotePrefix="0" xfId="301">
      <alignment horizontal="center" vertical="center"/>
    </xf>
    <xf numFmtId="0" fontId="14" fillId="0" borderId="0" applyAlignment="1" pivotButton="0" quotePrefix="0" xfId="303">
      <alignment horizontal="center" vertical="center"/>
    </xf>
    <xf numFmtId="0" fontId="13" fillId="0" borderId="0" applyAlignment="1" applyProtection="1" pivotButton="0" quotePrefix="0" xfId="303">
      <alignment horizontal="center" vertical="center"/>
      <protection locked="0" hidden="0"/>
    </xf>
    <xf numFmtId="0" fontId="14" fillId="0" borderId="0" applyAlignment="1" applyProtection="1" pivotButton="0" quotePrefix="0" xfId="303">
      <alignment horizontal="center" vertical="center"/>
      <protection locked="0" hidden="0"/>
    </xf>
    <xf numFmtId="0" fontId="15" fillId="3" borderId="8" applyAlignment="1" pivotButton="0" quotePrefix="0" xfId="302">
      <alignment horizontal="center" vertical="center"/>
    </xf>
    <xf numFmtId="0" fontId="15" fillId="3" borderId="9" applyAlignment="1" pivotButton="0" quotePrefix="0" xfId="302">
      <alignment horizontal="center" vertical="center"/>
    </xf>
    <xf numFmtId="0" fontId="13" fillId="0" borderId="0" applyAlignment="1" applyProtection="1" pivotButton="0" quotePrefix="0" xfId="322">
      <alignment horizontal="center" vertical="center"/>
      <protection locked="0" hidden="0"/>
    </xf>
    <xf numFmtId="0" fontId="14" fillId="0" borderId="0" applyAlignment="1" applyProtection="1" pivotButton="0" quotePrefix="0" xfId="322">
      <alignment horizontal="center" vertical="center"/>
      <protection locked="0" hidden="0"/>
    </xf>
    <xf numFmtId="0" fontId="15" fillId="32" borderId="1" applyAlignment="1" pivotButton="0" quotePrefix="0" xfId="324">
      <alignment horizontal="center" vertical="center" wrapText="1"/>
    </xf>
    <xf numFmtId="0" fontId="15" fillId="3" borderId="1" applyAlignment="1" applyProtection="1" pivotButton="0" quotePrefix="0" xfId="316">
      <alignment horizontal="center" vertical="center"/>
      <protection locked="0" hidden="0"/>
    </xf>
    <xf numFmtId="0" fontId="17" fillId="3" borderId="1" applyAlignment="1" applyProtection="1" pivotButton="0" quotePrefix="0" xfId="316">
      <alignment horizontal="center" vertical="center"/>
      <protection locked="0" hidden="0"/>
    </xf>
    <xf numFmtId="0" fontId="15" fillId="3" borderId="1" applyAlignment="1" applyProtection="1" pivotButton="0" quotePrefix="0" xfId="324">
      <alignment horizontal="center" vertical="center"/>
      <protection locked="0" hidden="0"/>
    </xf>
    <xf numFmtId="0" fontId="15" fillId="3" borderId="1" applyAlignment="1" applyProtection="1" pivotButton="0" quotePrefix="0" xfId="316">
      <alignment horizontal="center" vertical="center" wrapText="1"/>
      <protection locked="0" hidden="0"/>
    </xf>
    <xf numFmtId="0" fontId="17" fillId="3" borderId="1" applyAlignment="1" applyProtection="1" pivotButton="0" quotePrefix="0" xfId="316">
      <alignment horizontal="center" vertical="center" wrapText="1"/>
      <protection locked="0" hidden="0"/>
    </xf>
    <xf numFmtId="164" fontId="17" fillId="3" borderId="1" applyAlignment="1" applyProtection="1" pivotButton="0" quotePrefix="0" xfId="0">
      <alignment horizontal="center" vertical="center"/>
      <protection locked="0" hidden="0"/>
    </xf>
    <xf numFmtId="49" fontId="12" fillId="0" borderId="1" applyAlignment="1" pivotButton="0" quotePrefix="0" xfId="303">
      <alignment horizontal="left" vertical="center" wrapText="1"/>
    </xf>
    <xf numFmtId="0" fontId="12" fillId="3" borderId="1" applyAlignment="1" pivotButton="0" quotePrefix="0" xfId="303">
      <alignment horizontal="left" vertical="center" wrapText="1"/>
    </xf>
    <xf numFmtId="49" fontId="12" fillId="3" borderId="1" applyAlignment="1" pivotButton="0" quotePrefix="0" xfId="303">
      <alignment horizontal="left" vertical="center" wrapText="1"/>
    </xf>
    <xf numFmtId="0" fontId="15" fillId="3" borderId="1" applyAlignment="1" pivotButton="0" quotePrefix="0" xfId="303">
      <alignment horizontal="center" vertical="center"/>
    </xf>
    <xf numFmtId="164" fontId="16" fillId="6" borderId="0" applyAlignment="1" applyProtection="1" pivotButton="0" quotePrefix="0" xfId="0">
      <alignment horizontal="justify" vertical="center" wrapText="1"/>
      <protection locked="0" hidden="0"/>
    </xf>
    <xf numFmtId="164" fontId="14" fillId="0" borderId="0" applyAlignment="1" applyProtection="1" pivotButton="0" quotePrefix="0" xfId="0">
      <alignment horizontal="center" vertical="center"/>
      <protection locked="0" hidden="0"/>
    </xf>
    <xf numFmtId="164" fontId="21" fillId="0" borderId="0" applyAlignment="1" applyProtection="1" pivotButton="0" quotePrefix="0" xfId="0">
      <alignment horizontal="left" vertical="center" wrapText="1"/>
      <protection locked="0" hidden="0"/>
    </xf>
    <xf numFmtId="164" fontId="20" fillId="0" borderId="0" applyAlignment="1" applyProtection="1" pivotButton="0" quotePrefix="0" xfId="0">
      <alignment horizontal="left" vertical="center" wrapText="1"/>
      <protection locked="0" hidden="0"/>
    </xf>
    <xf numFmtId="0" fontId="5" fillId="0" borderId="0" applyAlignment="1" applyProtection="1" pivotButton="0" quotePrefix="0" xfId="0">
      <alignment horizontal="center" vertical="center"/>
      <protection locked="0" hidden="0"/>
    </xf>
    <xf numFmtId="164" fontId="18" fillId="0" borderId="0" applyAlignment="1" pivotButton="0" quotePrefix="0" xfId="326">
      <alignment horizontal="left" vertical="center"/>
    </xf>
    <xf numFmtId="164" fontId="15" fillId="33" borderId="1" applyAlignment="1" applyProtection="1" pivotButton="0" quotePrefix="0" xfId="252">
      <alignment horizontal="center" vertical="center" wrapText="1"/>
      <protection locked="0" hidden="0"/>
    </xf>
    <xf numFmtId="14" fontId="15" fillId="3" borderId="1" applyAlignment="1" applyProtection="1" pivotButton="0" quotePrefix="0" xfId="244">
      <alignment horizontal="center" vertical="center"/>
      <protection locked="0" hidden="0"/>
    </xf>
    <xf numFmtId="10" fontId="17" fillId="3" borderId="1" applyAlignment="1" applyProtection="1" pivotButton="0" quotePrefix="0" xfId="2">
      <alignment horizontal="right" vertical="center"/>
      <protection locked="0" hidden="0"/>
    </xf>
    <xf numFmtId="0" fontId="40" fillId="0" borderId="0" applyAlignment="1" pivotButton="0" quotePrefix="0" xfId="304">
      <alignment vertical="center"/>
    </xf>
    <xf numFmtId="0" fontId="0" fillId="0" borderId="0" pivotButton="0" quotePrefix="0" xfId="0"/>
    <xf numFmtId="164" fontId="16" fillId="6" borderId="0" applyAlignment="1" applyProtection="1" pivotButton="0" quotePrefix="0" xfId="0">
      <alignment horizontal="justify" vertical="center" wrapText="1"/>
      <protection locked="0" hidden="0"/>
    </xf>
    <xf numFmtId="164" fontId="14" fillId="0" borderId="0" applyAlignment="1" applyProtection="1" pivotButton="0" quotePrefix="0" xfId="0">
      <alignment horizontal="center" vertical="center"/>
      <protection locked="0" hidden="0"/>
    </xf>
    <xf numFmtId="164" fontId="21" fillId="0" borderId="0" applyAlignment="1" applyProtection="1" pivotButton="0" quotePrefix="0" xfId="0">
      <alignment horizontal="left" vertical="center" wrapText="1"/>
      <protection locked="0" hidden="0"/>
    </xf>
    <xf numFmtId="0" fontId="0" fillId="0" borderId="0" applyProtection="1" pivotButton="0" quotePrefix="0" xfId="0">
      <protection locked="0" hidden="0"/>
    </xf>
    <xf numFmtId="164" fontId="20" fillId="0" borderId="0" applyAlignment="1" applyProtection="1" pivotButton="0" quotePrefix="0" xfId="0">
      <alignment horizontal="left" vertical="center" wrapText="1"/>
      <protection locked="0" hidden="0"/>
    </xf>
    <xf numFmtId="164" fontId="12" fillId="0" borderId="0" applyProtection="1" pivotButton="0" quotePrefix="0" xfId="0">
      <protection locked="0" hidden="0"/>
    </xf>
    <xf numFmtId="164" fontId="13" fillId="0" borderId="0" applyAlignment="1" pivotButton="0" quotePrefix="0" xfId="255">
      <alignment horizontal="center" vertical="center"/>
    </xf>
    <xf numFmtId="164" fontId="14" fillId="0" borderId="0" applyAlignment="1" pivotButton="0" quotePrefix="0" xfId="255">
      <alignment horizontal="center" vertical="center"/>
    </xf>
    <xf numFmtId="164" fontId="12" fillId="0" borderId="0" applyAlignment="1" applyProtection="1" pivotButton="0" quotePrefix="0" xfId="0">
      <alignment horizontal="left" vertical="center"/>
      <protection locked="0" hidden="0"/>
    </xf>
    <xf numFmtId="164" fontId="12" fillId="0" borderId="0" applyAlignment="1" applyProtection="1" pivotButton="0" quotePrefix="0" xfId="0">
      <alignment vertical="center"/>
      <protection locked="0" hidden="0"/>
    </xf>
    <xf numFmtId="164" fontId="32" fillId="0" borderId="0" applyAlignment="1" applyProtection="1" pivotButton="0" quotePrefix="0" xfId="0">
      <alignment vertical="center"/>
      <protection locked="0" hidden="0"/>
    </xf>
    <xf numFmtId="164" fontId="12" fillId="0" borderId="0" applyAlignment="1" applyProtection="1" pivotButton="0" quotePrefix="0" xfId="0">
      <alignment horizontal="right" vertical="center"/>
      <protection locked="0" hidden="0"/>
    </xf>
    <xf numFmtId="164" fontId="15" fillId="0" borderId="0" applyAlignment="1" applyProtection="1" pivotButton="0" quotePrefix="0" xfId="0">
      <alignment horizontal="left" vertical="center"/>
      <protection locked="0" hidden="0"/>
    </xf>
    <xf numFmtId="164" fontId="12" fillId="0" borderId="0" applyAlignment="1" pivotButton="0" quotePrefix="0" xfId="260">
      <alignment vertical="center"/>
    </xf>
    <xf numFmtId="164" fontId="32" fillId="0" borderId="0" applyAlignment="1" pivotButton="0" quotePrefix="0" xfId="260">
      <alignment vertical="center"/>
    </xf>
    <xf numFmtId="164" fontId="15" fillId="0" borderId="0" applyAlignment="1" pivotButton="0" quotePrefix="0" xfId="260">
      <alignment vertical="center"/>
    </xf>
    <xf numFmtId="164" fontId="12" fillId="0" borderId="0" applyAlignment="1" applyProtection="1" pivotButton="0" quotePrefix="0" xfId="0">
      <alignment vertical="center" wrapText="1"/>
      <protection locked="0" hidden="0"/>
    </xf>
    <xf numFmtId="164" fontId="15" fillId="0" borderId="0" applyAlignment="1" applyProtection="1" pivotButton="0" quotePrefix="0" xfId="0">
      <alignment horizontal="justify" vertical="center"/>
      <protection locked="0" hidden="0"/>
    </xf>
    <xf numFmtId="164" fontId="15" fillId="0" borderId="0" applyAlignment="1" applyProtection="1" pivotButton="0" quotePrefix="0" xfId="0">
      <alignment vertical="center"/>
      <protection locked="0" hidden="0"/>
    </xf>
    <xf numFmtId="164" fontId="15" fillId="2" borderId="1" applyAlignment="1" applyProtection="1" pivotButton="0" quotePrefix="0" xfId="0">
      <alignment horizontal="center" vertical="center" wrapText="1"/>
      <protection locked="0" hidden="0"/>
    </xf>
    <xf numFmtId="0" fontId="0" fillId="0" borderId="6" applyProtection="1" pivotButton="0" quotePrefix="0" xfId="0">
      <protection locked="0" hidden="0"/>
    </xf>
    <xf numFmtId="0" fontId="0" fillId="0" borderId="7" applyProtection="1" pivotButton="0" quotePrefix="0" xfId="0">
      <protection locked="0" hidden="0"/>
    </xf>
    <xf numFmtId="164" fontId="15" fillId="2" borderId="1" applyAlignment="1" applyProtection="1" pivotButton="0" quotePrefix="0" xfId="0">
      <alignment horizontal="center" vertical="center"/>
      <protection locked="0" hidden="0"/>
    </xf>
    <xf numFmtId="164" fontId="12" fillId="0" borderId="1" applyAlignment="1" applyProtection="1" pivotButton="0" quotePrefix="0" xfId="0">
      <alignment horizontal="left" vertical="center" wrapText="1"/>
      <protection locked="0" hidden="0"/>
    </xf>
    <xf numFmtId="164" fontId="12" fillId="0" borderId="1" applyAlignment="1" applyProtection="1" pivotButton="0" quotePrefix="0" xfId="0">
      <alignment horizontal="center" vertical="center" wrapText="1"/>
      <protection locked="0" hidden="0"/>
    </xf>
    <xf numFmtId="164" fontId="32" fillId="0" borderId="0" applyAlignment="1" applyProtection="1" pivotButton="0" quotePrefix="0" xfId="0">
      <alignment horizontal="center" vertical="center" wrapText="1"/>
      <protection locked="0" hidden="0"/>
    </xf>
    <xf numFmtId="164" fontId="15" fillId="33" borderId="1" applyAlignment="1" applyProtection="1" pivotButton="0" quotePrefix="0" xfId="252">
      <alignment horizontal="center" vertical="center" wrapText="1"/>
      <protection locked="0" hidden="0"/>
    </xf>
    <xf numFmtId="164" fontId="7" fillId="2" borderId="1" applyAlignment="1" applyProtection="1" pivotButton="0" quotePrefix="0" xfId="244">
      <alignment horizontal="center" vertical="center" wrapText="1"/>
      <protection locked="0" hidden="0"/>
    </xf>
    <xf numFmtId="164" fontId="15" fillId="2" borderId="1" applyAlignment="1" applyProtection="1" pivotButton="0" quotePrefix="0" xfId="252">
      <alignment horizontal="center" vertical="center" wrapText="1"/>
      <protection locked="0" hidden="0"/>
    </xf>
    <xf numFmtId="0" fontId="0" fillId="0" borderId="9" applyProtection="1" pivotButton="0" quotePrefix="0" xfId="0">
      <protection locked="0" hidden="0"/>
    </xf>
    <xf numFmtId="164" fontId="18" fillId="0" borderId="0" applyAlignment="1" pivotButton="0" quotePrefix="0" xfId="326">
      <alignment horizontal="left" vertical="center"/>
    </xf>
    <xf numFmtId="166" fontId="16" fillId="0" borderId="1" applyAlignment="1" pivotButton="0" quotePrefix="0" xfId="260">
      <alignment horizontal="center" vertical="center"/>
    </xf>
    <xf numFmtId="164" fontId="32" fillId="0" borderId="1" applyAlignment="1" pivotButton="0" quotePrefix="0" xfId="252">
      <alignment horizontal="center" vertical="center" wrapText="1"/>
    </xf>
    <xf numFmtId="164" fontId="35" fillId="0" borderId="1" applyAlignment="1" pivotButton="0" quotePrefix="0" xfId="252">
      <alignment horizontal="center" vertical="center" wrapText="1"/>
    </xf>
    <xf numFmtId="164" fontId="36" fillId="0" borderId="1" applyAlignment="1" pivotButton="0" quotePrefix="0" xfId="252">
      <alignment horizontal="center" vertical="center" wrapText="1"/>
    </xf>
    <xf numFmtId="164" fontId="12" fillId="0" borderId="1" applyAlignment="1" applyProtection="1" pivotButton="0" quotePrefix="0" xfId="0">
      <alignment vertical="center" wrapText="1"/>
      <protection locked="0" hidden="0"/>
    </xf>
    <xf numFmtId="164" fontId="16" fillId="0" borderId="1" applyAlignment="1" applyProtection="1" pivotButton="0" quotePrefix="0" xfId="0">
      <alignment horizontal="center" vertical="center" wrapText="1"/>
      <protection locked="0" hidden="0"/>
    </xf>
    <xf numFmtId="164" fontId="35" fillId="0" borderId="1" applyAlignment="1" pivotButton="0" quotePrefix="0" xfId="252">
      <alignment vertical="center" wrapText="1"/>
    </xf>
    <xf numFmtId="164" fontId="35" fillId="0" borderId="1" applyAlignment="1" pivotButton="0" quotePrefix="0" xfId="237">
      <alignment vertical="center" wrapText="1"/>
    </xf>
    <xf numFmtId="164" fontId="39" fillId="0" borderId="1" applyAlignment="1" applyProtection="1" pivotButton="0" quotePrefix="0" xfId="0">
      <alignment horizontal="center" vertical="center" wrapText="1"/>
      <protection locked="0" hidden="0"/>
    </xf>
    <xf numFmtId="164" fontId="40" fillId="5" borderId="0" applyAlignment="1" applyProtection="1" pivotButton="0" quotePrefix="0" xfId="252">
      <alignment horizontal="left" vertical="center" wrapText="1"/>
      <protection locked="0" hidden="0"/>
    </xf>
    <xf numFmtId="164" fontId="32" fillId="0" borderId="1" applyAlignment="1" pivotButton="0" quotePrefix="0" xfId="0">
      <alignment horizontal="left" vertical="center" wrapText="1"/>
    </xf>
    <xf numFmtId="164" fontId="32" fillId="0" borderId="1" applyAlignment="1" pivotButton="0" quotePrefix="0" xfId="237">
      <alignment horizontal="center" vertical="center" wrapText="1"/>
    </xf>
    <xf numFmtId="164" fontId="12" fillId="0" borderId="0" applyAlignment="1" applyProtection="1" pivotButton="0" quotePrefix="0" xfId="0">
      <alignment wrapText="1"/>
      <protection locked="0" hidden="0"/>
    </xf>
    <xf numFmtId="164" fontId="18" fillId="5" borderId="0" applyAlignment="1" applyProtection="1" pivotButton="0" quotePrefix="0" xfId="252">
      <alignment horizontal="left" vertical="center" wrapText="1"/>
      <protection locked="0" hidden="0"/>
    </xf>
    <xf numFmtId="164" fontId="38" fillId="0" borderId="1" applyAlignment="1" applyProtection="1" pivotButton="0" quotePrefix="0" xfId="244">
      <alignment horizontal="center" vertical="center" wrapText="1"/>
      <protection locked="0" hidden="0"/>
    </xf>
    <xf numFmtId="164" fontId="16" fillId="0" borderId="1" applyAlignment="1" applyProtection="1" pivotButton="0" quotePrefix="1" xfId="0">
      <alignment horizontal="center" vertical="center" wrapText="1"/>
      <protection locked="0" hidden="0"/>
    </xf>
    <xf numFmtId="164" fontId="41" fillId="0" borderId="0" applyProtection="1" pivotButton="0" quotePrefix="0" xfId="0">
      <protection locked="0" hidden="0"/>
    </xf>
    <xf numFmtId="164" fontId="32" fillId="0" borderId="1" applyAlignment="1" applyProtection="1" pivotButton="0" quotePrefix="0" xfId="0">
      <alignment horizontal="left" vertical="center" wrapText="1"/>
      <protection locked="0" hidden="0"/>
    </xf>
    <xf numFmtId="164" fontId="32" fillId="0" borderId="1" applyAlignment="1" pivotButton="0" quotePrefix="0" xfId="237">
      <alignment vertical="center" wrapText="1"/>
    </xf>
    <xf numFmtId="164" fontId="16" fillId="0" borderId="1" applyAlignment="1" pivotButton="0" quotePrefix="0" xfId="237">
      <alignment horizontal="center" vertical="center" wrapText="1"/>
    </xf>
    <xf numFmtId="164" fontId="101" fillId="0" borderId="0" applyProtection="1" pivotButton="0" quotePrefix="0" xfId="254">
      <protection locked="0" hidden="0"/>
    </xf>
    <xf numFmtId="164" fontId="12" fillId="0" borderId="0" applyProtection="1" pivotButton="0" quotePrefix="0" xfId="254">
      <protection locked="0" hidden="0"/>
    </xf>
    <xf numFmtId="164" fontId="28" fillId="0" borderId="0" applyAlignment="1" pivotButton="0" quotePrefix="0" xfId="256">
      <alignment horizontal="center" vertical="center"/>
    </xf>
    <xf numFmtId="164" fontId="13" fillId="0" borderId="0" applyAlignment="1" pivotButton="0" quotePrefix="0" xfId="256">
      <alignment horizontal="center" vertical="center"/>
    </xf>
    <xf numFmtId="164" fontId="30" fillId="0" borderId="0" applyAlignment="1" applyProtection="1" pivotButton="0" quotePrefix="0" xfId="254">
      <alignment horizontal="left" vertical="center"/>
      <protection locked="0" hidden="0"/>
    </xf>
    <xf numFmtId="164" fontId="30" fillId="0" borderId="0" applyAlignment="1" applyProtection="1" pivotButton="0" quotePrefix="0" xfId="254">
      <alignment vertical="center"/>
      <protection locked="0" hidden="0"/>
    </xf>
    <xf numFmtId="164" fontId="31" fillId="0" borderId="0" applyAlignment="1" applyProtection="1" pivotButton="0" quotePrefix="0" xfId="254">
      <alignment vertical="center"/>
      <protection locked="0" hidden="0"/>
    </xf>
    <xf numFmtId="164" fontId="28" fillId="0" borderId="0" applyAlignment="1" applyProtection="1" pivotButton="0" quotePrefix="0" xfId="254">
      <alignment horizontal="right" vertical="center"/>
      <protection locked="0" hidden="0"/>
    </xf>
    <xf numFmtId="164" fontId="28" fillId="0" borderId="0" applyAlignment="1" applyProtection="1" pivotButton="0" quotePrefix="0" xfId="254">
      <alignment vertical="center"/>
      <protection locked="0" hidden="0"/>
    </xf>
    <xf numFmtId="164" fontId="32" fillId="0" borderId="0" applyAlignment="1" applyProtection="1" pivotButton="0" quotePrefix="0" xfId="254">
      <alignment vertical="center"/>
      <protection locked="0" hidden="0"/>
    </xf>
    <xf numFmtId="164" fontId="28" fillId="0" borderId="0" applyAlignment="1" applyProtection="1" pivotButton="0" quotePrefix="0" xfId="254">
      <alignment horizontal="left" vertical="center"/>
      <protection locked="0" hidden="0"/>
    </xf>
    <xf numFmtId="164" fontId="30" fillId="0" borderId="0" applyAlignment="1" pivotButton="0" quotePrefix="0" xfId="261">
      <alignment vertical="center"/>
    </xf>
    <xf numFmtId="164" fontId="31" fillId="0" borderId="0" applyAlignment="1" pivotButton="0" quotePrefix="0" xfId="261">
      <alignment vertical="center"/>
    </xf>
    <xf numFmtId="164" fontId="28" fillId="0" borderId="0" applyAlignment="1" pivotButton="0" quotePrefix="0" xfId="261">
      <alignment vertical="center"/>
    </xf>
    <xf numFmtId="164" fontId="12" fillId="0" borderId="1" applyAlignment="1" applyProtection="1" pivotButton="0" quotePrefix="0" xfId="254">
      <alignment horizontal="left" vertical="center" wrapText="1"/>
      <protection locked="0" hidden="0"/>
    </xf>
    <xf numFmtId="164" fontId="28" fillId="0" borderId="0" applyAlignment="1" applyProtection="1" pivotButton="0" quotePrefix="0" xfId="254">
      <alignment horizontal="justify" vertical="center"/>
      <protection locked="0" hidden="0"/>
    </xf>
    <xf numFmtId="164" fontId="28" fillId="0" borderId="1" applyAlignment="1" applyProtection="1" pivotButton="0" quotePrefix="0" xfId="254">
      <alignment horizontal="left" vertical="center" wrapText="1"/>
      <protection locked="0" hidden="0"/>
    </xf>
    <xf numFmtId="0" fontId="0" fillId="0" borderId="25" applyProtection="1" pivotButton="0" quotePrefix="0" xfId="0">
      <protection locked="0" hidden="0"/>
    </xf>
    <xf numFmtId="0" fontId="0" fillId="0" borderId="29" applyProtection="1" pivotButton="0" quotePrefix="0" xfId="0">
      <protection locked="0" hidden="0"/>
    </xf>
    <xf numFmtId="164" fontId="28" fillId="0" borderId="1" applyAlignment="1" applyProtection="1" pivotButton="0" quotePrefix="0" xfId="254">
      <alignment horizontal="center" vertical="center"/>
      <protection locked="0" hidden="0"/>
    </xf>
    <xf numFmtId="164" fontId="15" fillId="0" borderId="1" applyAlignment="1" applyProtection="1" pivotButton="0" quotePrefix="0" xfId="254">
      <alignment horizontal="center" vertical="center" wrapText="1"/>
      <protection locked="0" hidden="0"/>
    </xf>
    <xf numFmtId="164" fontId="28" fillId="0" borderId="1" applyAlignment="1" applyProtection="1" pivotButton="0" quotePrefix="0" xfId="254">
      <alignment horizontal="center" vertical="center" wrapText="1"/>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33" applyProtection="1" pivotButton="0" quotePrefix="0" xfId="0">
      <protection locked="0" hidden="0"/>
    </xf>
    <xf numFmtId="164" fontId="30" fillId="0" borderId="1" applyAlignment="1" applyProtection="1" pivotButton="0" quotePrefix="0" xfId="254">
      <alignment horizontal="center" vertical="center" wrapText="1"/>
      <protection locked="0" hidden="0"/>
    </xf>
    <xf numFmtId="164" fontId="31" fillId="0" borderId="1" applyAlignment="1" applyProtection="1" pivotButton="0" quotePrefix="0" xfId="254">
      <alignment horizontal="center" vertical="center" wrapText="1"/>
      <protection locked="0" hidden="0"/>
    </xf>
    <xf numFmtId="164" fontId="5" fillId="0" borderId="1" applyAlignment="1" applyProtection="1" pivotButton="0" quotePrefix="0" xfId="254">
      <alignment horizontal="left" vertical="center" wrapText="1"/>
      <protection locked="0" hidden="0"/>
    </xf>
    <xf numFmtId="164" fontId="33" fillId="0" borderId="1" applyAlignment="1" applyProtection="1" pivotButton="0" quotePrefix="0" xfId="254">
      <alignment horizontal="center" vertical="center" wrapText="1"/>
      <protection locked="0" hidden="0"/>
    </xf>
    <xf numFmtId="164" fontId="30" fillId="0" borderId="1" applyAlignment="1" applyProtection="1" pivotButton="0" quotePrefix="0" xfId="254">
      <alignment horizontal="left" vertical="center" wrapText="1"/>
      <protection locked="0" hidden="0"/>
    </xf>
    <xf numFmtId="164" fontId="28" fillId="2" borderId="1" applyAlignment="1" applyProtection="1" pivotButton="0" quotePrefix="0" xfId="254">
      <alignment horizontal="center" vertical="center" wrapText="1"/>
      <protection locked="0" hidden="0"/>
    </xf>
    <xf numFmtId="164" fontId="28" fillId="2" borderId="1" applyAlignment="1" applyProtection="1" pivotButton="0" quotePrefix="0" xfId="254">
      <alignment horizontal="center" vertical="center"/>
      <protection locked="0" hidden="0"/>
    </xf>
    <xf numFmtId="164" fontId="15" fillId="2" borderId="1" applyAlignment="1" applyProtection="1" pivotButton="0" quotePrefix="0" xfId="254">
      <alignment horizontal="left" vertical="center"/>
      <protection locked="0" hidden="0"/>
    </xf>
    <xf numFmtId="164" fontId="15" fillId="2" borderId="1" applyAlignment="1" applyProtection="1" pivotButton="0" quotePrefix="0" xfId="254">
      <alignment horizontal="left" vertical="center" wrapText="1"/>
      <protection locked="0" hidden="0"/>
    </xf>
    <xf numFmtId="164" fontId="12" fillId="2" borderId="1" applyAlignment="1" applyProtection="1" pivotButton="0" quotePrefix="0" xfId="254">
      <alignment horizontal="center" vertical="center" wrapText="1"/>
      <protection locked="0" hidden="0"/>
    </xf>
    <xf numFmtId="164" fontId="15" fillId="2" borderId="5" applyAlignment="1" applyProtection="1" pivotButton="0" quotePrefix="0" xfId="254">
      <alignment horizontal="center" vertical="center" wrapText="1"/>
      <protection locked="0" hidden="0"/>
    </xf>
    <xf numFmtId="164" fontId="16" fillId="2" borderId="1" applyAlignment="1" applyProtection="1" pivotButton="0" quotePrefix="0" xfId="254">
      <alignment horizontal="center" vertical="center" wrapText="1"/>
      <protection locked="0" hidden="0"/>
    </xf>
    <xf numFmtId="164" fontId="15" fillId="2" borderId="1" applyAlignment="1" pivotButton="0" quotePrefix="0" xfId="261">
      <alignment horizontal="left" vertical="center"/>
    </xf>
    <xf numFmtId="164" fontId="15" fillId="2" borderId="1" applyAlignment="1" pivotButton="0" quotePrefix="0" xfId="254">
      <alignment horizontal="left" vertical="center" wrapText="1"/>
    </xf>
    <xf numFmtId="164" fontId="12" fillId="0" borderId="0" applyAlignment="1" applyProtection="1" pivotButton="0" quotePrefix="0" xfId="254">
      <alignment horizontal="left" wrapText="1"/>
      <protection locked="0" hidden="0"/>
    </xf>
    <xf numFmtId="164" fontId="17" fillId="0" borderId="1" applyAlignment="1" pivotButton="0" quotePrefix="0" xfId="261">
      <alignment horizontal="center" vertical="center"/>
    </xf>
    <xf numFmtId="164" fontId="16" fillId="4" borderId="1" applyAlignment="1" applyProtection="1" pivotButton="0" quotePrefix="0" xfId="254">
      <alignment horizontal="left" vertical="center" wrapText="1"/>
      <protection locked="0" hidden="0"/>
    </xf>
    <xf numFmtId="164" fontId="12" fillId="0" borderId="1" applyAlignment="1" applyProtection="1" pivotButton="0" quotePrefix="0" xfId="254">
      <alignment horizontal="center" vertical="center" wrapText="1"/>
      <protection locked="0" hidden="0"/>
    </xf>
    <xf numFmtId="164" fontId="16" fillId="0" borderId="5" applyAlignment="1" applyProtection="1" pivotButton="0" quotePrefix="0" xfId="254">
      <alignment horizontal="left" vertical="center" wrapText="1"/>
      <protection locked="0" hidden="0"/>
    </xf>
    <xf numFmtId="164" fontId="16" fillId="0" borderId="1" applyAlignment="1" applyProtection="1" pivotButton="0" quotePrefix="0" xfId="254">
      <alignment horizontal="center" vertical="center" wrapText="1"/>
      <protection locked="0" hidden="0"/>
    </xf>
    <xf numFmtId="164" fontId="12" fillId="4" borderId="1" applyAlignment="1" applyProtection="1" pivotButton="0" quotePrefix="0" xfId="254">
      <alignment horizontal="left" vertical="center" wrapText="1"/>
      <protection locked="0" hidden="0"/>
    </xf>
    <xf numFmtId="164" fontId="16" fillId="0" borderId="1" applyAlignment="1" applyProtection="1" pivotButton="0" quotePrefix="0" xfId="254">
      <alignment horizontal="left" vertical="center" wrapText="1"/>
      <protection locked="0" hidden="0"/>
    </xf>
    <xf numFmtId="164" fontId="28" fillId="2" borderId="1" applyAlignment="1" applyProtection="1" pivotButton="0" quotePrefix="0" xfId="242">
      <alignment horizontal="left" vertical="center" wrapText="1"/>
      <protection locked="0" hidden="0"/>
    </xf>
    <xf numFmtId="164" fontId="16" fillId="0" borderId="1" applyAlignment="1" pivotButton="0" quotePrefix="0" xfId="261">
      <alignment horizontal="left" vertical="center"/>
    </xf>
    <xf numFmtId="164" fontId="30" fillId="0" borderId="1" applyAlignment="1" applyProtection="1" pivotButton="0" quotePrefix="0" xfId="242">
      <alignment horizontal="left" vertical="center" wrapText="1"/>
      <protection locked="0" hidden="0"/>
    </xf>
    <xf numFmtId="164" fontId="16" fillId="0" borderId="5" applyAlignment="1" applyProtection="1" pivotButton="0" quotePrefix="0" xfId="254">
      <alignment horizontal="center" vertical="center" wrapText="1"/>
      <protection locked="0" hidden="0"/>
    </xf>
    <xf numFmtId="164" fontId="12" fillId="0" borderId="0" applyAlignment="1" applyProtection="1" pivotButton="0" quotePrefix="0" xfId="254">
      <alignment wrapText="1"/>
      <protection locked="0" hidden="0"/>
    </xf>
    <xf numFmtId="164" fontId="17" fillId="0" borderId="1" applyAlignment="1" applyProtection="1" pivotButton="0" quotePrefix="0" xfId="254">
      <alignment horizontal="center" vertical="center"/>
      <protection locked="0" hidden="0"/>
    </xf>
    <xf numFmtId="164" fontId="12" fillId="0" borderId="1" applyAlignment="1" pivotButton="0" quotePrefix="0" xfId="254">
      <alignment horizontal="left" vertical="center" wrapText="1"/>
    </xf>
    <xf numFmtId="164" fontId="12" fillId="0" borderId="1" applyAlignment="1" pivotButton="0" quotePrefix="0" xfId="254">
      <alignment vertical="center" wrapText="1"/>
    </xf>
    <xf numFmtId="164" fontId="16" fillId="0" borderId="6" applyAlignment="1" applyProtection="1" pivotButton="0" quotePrefix="0" xfId="254">
      <alignment horizontal="center" vertical="center" wrapText="1"/>
      <protection locked="0" hidden="0"/>
    </xf>
    <xf numFmtId="164" fontId="16" fillId="0" borderId="7" applyAlignment="1" applyProtection="1" pivotButton="0" quotePrefix="0" xfId="254">
      <alignment horizontal="center" vertical="center" wrapText="1"/>
      <protection locked="0" hidden="0"/>
    </xf>
    <xf numFmtId="164" fontId="34" fillId="0" borderId="0" applyAlignment="1" applyProtection="1" pivotButton="0" quotePrefix="0" xfId="254">
      <alignment wrapText="1"/>
      <protection locked="0" hidden="0"/>
    </xf>
    <xf numFmtId="164" fontId="17" fillId="2" borderId="1" applyAlignment="1" applyProtection="1" pivotButton="0" quotePrefix="0" xfId="254">
      <alignment horizontal="left" vertical="center" wrapText="1"/>
      <protection locked="0" hidden="0"/>
    </xf>
    <xf numFmtId="164" fontId="12" fillId="0" borderId="0" applyAlignment="1" applyProtection="1" pivotButton="0" quotePrefix="0" xfId="254">
      <alignment horizontal="center" wrapText="1"/>
      <protection locked="0" hidden="0"/>
    </xf>
    <xf numFmtId="164" fontId="12" fillId="0" borderId="1" applyAlignment="1" pivotButton="0" quotePrefix="0" xfId="261">
      <alignment horizontal="left" vertical="center"/>
    </xf>
    <xf numFmtId="164" fontId="16" fillId="0" borderId="1" applyAlignment="1" pivotButton="0" quotePrefix="0" xfId="254">
      <alignment horizontal="left" vertical="center" wrapText="1"/>
    </xf>
    <xf numFmtId="164" fontId="16" fillId="0" borderId="1" applyAlignment="1" pivotButton="0" quotePrefix="0" xfId="261">
      <alignment horizontal="center" vertical="center"/>
    </xf>
    <xf numFmtId="164" fontId="34" fillId="0" borderId="0" applyAlignment="1" applyProtection="1" pivotButton="0" quotePrefix="0" xfId="254">
      <alignment horizontal="center" wrapText="1"/>
      <protection locked="0" hidden="0"/>
    </xf>
    <xf numFmtId="164" fontId="32" fillId="0" borderId="1" applyAlignment="1" applyProtection="1" pivotButton="0" quotePrefix="0" xfId="254">
      <alignment horizontal="left" vertical="center" wrapText="1"/>
      <protection locked="0" hidden="0"/>
    </xf>
    <xf numFmtId="164" fontId="12" fillId="2" borderId="1" applyAlignment="1" applyProtection="1" pivotButton="0" quotePrefix="0" xfId="254">
      <alignment vertical="center" wrapText="1"/>
      <protection locked="0" hidden="0"/>
    </xf>
    <xf numFmtId="164" fontId="16" fillId="4" borderId="1" applyAlignment="1" applyProtection="1" pivotButton="0" quotePrefix="0" xfId="254">
      <alignment horizontal="center" vertical="center" wrapText="1"/>
      <protection locked="0" hidden="0"/>
    </xf>
    <xf numFmtId="164" fontId="12" fillId="2" borderId="1" applyAlignment="1" applyProtection="1" pivotButton="0" quotePrefix="0" xfId="254">
      <alignment horizontal="left" vertical="center" wrapText="1"/>
      <protection locked="0" hidden="0"/>
    </xf>
    <xf numFmtId="164" fontId="17" fillId="0" borderId="5" applyAlignment="1" applyProtection="1" pivotButton="0" quotePrefix="0" xfId="254">
      <alignment horizontal="center" vertical="center" wrapText="1"/>
      <protection locked="0" hidden="0"/>
    </xf>
    <xf numFmtId="164" fontId="35" fillId="2" borderId="1" applyAlignment="1" applyProtection="1" pivotButton="0" quotePrefix="0" xfId="254">
      <alignment horizontal="left" vertical="center" wrapText="1"/>
      <protection locked="0" hidden="0"/>
    </xf>
    <xf numFmtId="164" fontId="35" fillId="2" borderId="1" applyAlignment="1" applyProtection="1" pivotButton="0" quotePrefix="0" xfId="254">
      <alignment horizontal="center" vertical="center" wrapText="1"/>
      <protection locked="0" hidden="0"/>
    </xf>
    <xf numFmtId="164" fontId="36" fillId="2" borderId="5" applyAlignment="1" applyProtection="1" pivotButton="0" quotePrefix="0" xfId="254">
      <alignment horizontal="center" vertical="center" wrapText="1"/>
      <protection locked="0" hidden="0"/>
    </xf>
    <xf numFmtId="164" fontId="34" fillId="0" borderId="1" applyAlignment="1" applyProtection="1" pivotButton="0" quotePrefix="0" xfId="0">
      <alignment vertical="center" wrapText="1"/>
      <protection locked="0" hidden="0"/>
    </xf>
    <xf numFmtId="164" fontId="34" fillId="0" borderId="1" applyAlignment="1" applyProtection="1" pivotButton="0" quotePrefix="0" xfId="0">
      <alignment horizontal="left" vertical="center" wrapText="1"/>
      <protection locked="0" hidden="0"/>
    </xf>
    <xf numFmtId="164" fontId="5" fillId="0" borderId="0" applyAlignment="1" applyProtection="1" pivotButton="0" quotePrefix="0" xfId="0">
      <alignment vertical="center"/>
      <protection locked="0" hidden="0"/>
    </xf>
    <xf numFmtId="164" fontId="3" fillId="0" borderId="0" applyAlignment="1" pivotButton="0" quotePrefix="0" xfId="259">
      <alignment horizontal="center" vertical="center"/>
    </xf>
    <xf numFmtId="164" fontId="4" fillId="0" borderId="0" applyAlignment="1" pivotButton="0" quotePrefix="0" xfId="259">
      <alignment horizontal="center" vertical="center"/>
    </xf>
    <xf numFmtId="164" fontId="5" fillId="0" borderId="0" applyAlignment="1" pivotButton="0" quotePrefix="0" xfId="259">
      <alignment vertical="center"/>
    </xf>
    <xf numFmtId="164" fontId="5" fillId="0" borderId="0" applyAlignment="1" pivotButton="0" quotePrefix="0" xfId="259">
      <alignment horizontal="left" vertical="center"/>
    </xf>
    <xf numFmtId="164" fontId="5" fillId="0" borderId="0" applyAlignment="1" applyProtection="1" pivotButton="0" quotePrefix="0" xfId="0">
      <alignment horizontal="right" vertical="center"/>
      <protection locked="0" hidden="0"/>
    </xf>
    <xf numFmtId="164" fontId="6" fillId="2" borderId="1" applyAlignment="1" pivotButton="0" quotePrefix="0" xfId="0">
      <alignment horizontal="center" vertical="center"/>
    </xf>
    <xf numFmtId="164" fontId="7" fillId="2" borderId="1" applyAlignment="1" applyProtection="1" pivotButton="0" quotePrefix="0" xfId="247">
      <alignment horizontal="center" vertical="center" wrapText="1"/>
      <protection locked="0" hidden="0"/>
    </xf>
    <xf numFmtId="164" fontId="6" fillId="2" borderId="1" applyAlignment="1" applyProtection="1" pivotButton="0" quotePrefix="0" xfId="245">
      <alignment horizontal="center" vertical="center" wrapText="1"/>
      <protection locked="0" hidden="0"/>
    </xf>
    <xf numFmtId="0" fontId="0" fillId="0" borderId="9" pivotButton="0" quotePrefix="0" xfId="0"/>
    <xf numFmtId="164" fontId="7" fillId="2" borderId="1" applyAlignment="1" applyProtection="1" pivotButton="0" quotePrefix="0" xfId="245">
      <alignment horizontal="center" vertical="center"/>
      <protection locked="0" hidden="0"/>
    </xf>
    <xf numFmtId="164" fontId="9" fillId="0" borderId="1" applyAlignment="1" pivotButton="0" quotePrefix="0" xfId="0">
      <alignment vertical="center"/>
    </xf>
    <xf numFmtId="165" fontId="27" fillId="3" borderId="1" applyAlignment="1" pivotButton="0" quotePrefix="0" xfId="1">
      <alignment horizontal="right" vertical="center"/>
    </xf>
    <xf numFmtId="165" fontId="16" fillId="3" borderId="1" applyAlignment="1" pivotButton="0" quotePrefix="0" xfId="1">
      <alignment horizontal="right" vertical="center" wrapText="1"/>
    </xf>
    <xf numFmtId="165" fontId="16" fillId="3" borderId="1" applyAlignment="1" pivotButton="0" quotePrefix="0" xfId="2">
      <alignment horizontal="right" vertical="center" wrapText="1"/>
    </xf>
    <xf numFmtId="164" fontId="5" fillId="0" borderId="1" applyAlignment="1" pivotButton="0" quotePrefix="0" xfId="1">
      <alignment horizontal="right" vertical="center" wrapText="1"/>
    </xf>
    <xf numFmtId="164" fontId="9" fillId="0" borderId="1" applyAlignment="1" pivotButton="0" quotePrefix="0" xfId="0">
      <alignment horizontal="left" vertical="center"/>
    </xf>
    <xf numFmtId="164" fontId="6" fillId="0" borderId="1" applyAlignment="1" pivotButton="0" quotePrefix="0" xfId="0">
      <alignment horizontal="center" vertical="center"/>
    </xf>
    <xf numFmtId="164" fontId="7" fillId="0" borderId="0" applyAlignment="1" pivotButton="0" quotePrefix="0" xfId="259">
      <alignment vertical="center"/>
    </xf>
    <xf numFmtId="164" fontId="9" fillId="0" borderId="0" applyAlignment="1" pivotButton="0" quotePrefix="0" xfId="1">
      <alignment horizontal="right" vertical="center"/>
    </xf>
    <xf numFmtId="164" fontId="5" fillId="0" borderId="0" applyAlignment="1" pivotButton="0" quotePrefix="0" xfId="1">
      <alignment horizontal="right" vertical="center" wrapText="1"/>
    </xf>
    <xf numFmtId="164" fontId="5" fillId="0" borderId="0" applyAlignment="1" pivotButton="0" quotePrefix="0" xfId="2">
      <alignment horizontal="right" vertical="center" wrapText="1"/>
    </xf>
    <xf numFmtId="165" fontId="27" fillId="3" borderId="0" applyAlignment="1" pivotButton="0" quotePrefix="0" xfId="1">
      <alignment horizontal="right" vertical="center"/>
    </xf>
    <xf numFmtId="165" fontId="27" fillId="0" borderId="0" applyAlignment="1" pivotButton="0" quotePrefix="0" xfId="1">
      <alignment horizontal="right" vertical="center"/>
    </xf>
    <xf numFmtId="164" fontId="7" fillId="0" borderId="0" applyAlignment="1" applyProtection="1" pivotButton="0" quotePrefix="0" xfId="0">
      <alignment vertical="center"/>
      <protection locked="0" hidden="0"/>
    </xf>
    <xf numFmtId="164" fontId="20" fillId="0" borderId="0" applyAlignment="1" applyProtection="1" pivotButton="0" quotePrefix="0" xfId="0">
      <alignment vertical="center"/>
      <protection locked="0" hidden="0"/>
    </xf>
    <xf numFmtId="165" fontId="16" fillId="0" borderId="0" applyAlignment="1" pivotButton="0" quotePrefix="0" xfId="259">
      <alignment vertical="center"/>
    </xf>
    <xf numFmtId="164" fontId="17" fillId="0" borderId="0" applyAlignment="1" pivotButton="0" quotePrefix="0" xfId="257">
      <alignment horizontal="center" vertical="center"/>
    </xf>
    <xf numFmtId="164" fontId="17" fillId="0" borderId="0" applyAlignment="1" pivotButton="0" quotePrefix="0" xfId="257">
      <alignment vertical="center"/>
    </xf>
    <xf numFmtId="165" fontId="21" fillId="0" borderId="0" applyAlignment="1" pivotButton="0" quotePrefix="0" xfId="259">
      <alignment horizontal="center" vertical="center"/>
    </xf>
    <xf numFmtId="165" fontId="21" fillId="0" borderId="0" applyAlignment="1" pivotButton="0" quotePrefix="0" xfId="259">
      <alignment vertical="center"/>
    </xf>
    <xf numFmtId="165" fontId="12" fillId="0" borderId="0" applyAlignment="1" pivotButton="0" quotePrefix="0" xfId="259">
      <alignment vertical="center"/>
    </xf>
    <xf numFmtId="164" fontId="22" fillId="0" borderId="0" applyAlignment="1" applyProtection="1" pivotButton="0" quotePrefix="0" xfId="0">
      <alignment horizontal="justify" vertical="center" wrapText="1"/>
      <protection locked="0" hidden="0"/>
    </xf>
    <xf numFmtId="164" fontId="22" fillId="0" borderId="0" applyAlignment="1" applyProtection="1" pivotButton="0" quotePrefix="0" xfId="0">
      <alignment vertical="center"/>
      <protection locked="0" hidden="0"/>
    </xf>
    <xf numFmtId="164" fontId="22" fillId="0" borderId="0" applyAlignment="1" applyProtection="1" pivotButton="0" quotePrefix="0" xfId="0">
      <alignment horizontal="justify" vertical="center"/>
      <protection locked="0" hidden="0"/>
    </xf>
    <xf numFmtId="164" fontId="26" fillId="0" borderId="0" applyAlignment="1" applyProtection="1" pivotButton="0" quotePrefix="0" xfId="0">
      <alignment vertical="center"/>
      <protection locked="0" hidden="0"/>
    </xf>
    <xf numFmtId="164" fontId="23" fillId="0" borderId="2" applyAlignment="1" applyProtection="1" pivotButton="0" quotePrefix="0" xfId="0">
      <alignment horizontal="justify" vertical="center" wrapText="1"/>
      <protection locked="0" hidden="0"/>
    </xf>
    <xf numFmtId="164" fontId="24" fillId="0" borderId="2" applyAlignment="1" applyProtection="1" pivotButton="0" quotePrefix="0" xfId="0">
      <alignment horizontal="right" vertical="center" wrapText="1"/>
      <protection locked="0" hidden="0"/>
    </xf>
    <xf numFmtId="165" fontId="20" fillId="0" borderId="0" applyAlignment="1" applyProtection="1" pivotButton="0" quotePrefix="0" xfId="0">
      <alignment horizontal="right" vertical="center" wrapText="1"/>
      <protection locked="0" hidden="0"/>
    </xf>
    <xf numFmtId="164" fontId="22" fillId="0" borderId="0" applyAlignment="1" applyProtection="1" pivotButton="0" quotePrefix="0" xfId="0">
      <alignment horizontal="left" vertical="center"/>
      <protection locked="0" hidden="0"/>
    </xf>
    <xf numFmtId="165" fontId="22" fillId="0" borderId="0" applyAlignment="1" applyProtection="1" pivotButton="0" quotePrefix="0" xfId="0">
      <alignment horizontal="right" vertical="center" wrapText="1"/>
      <protection locked="0" hidden="0"/>
    </xf>
    <xf numFmtId="164" fontId="22" fillId="0" borderId="4" applyAlignment="1" applyProtection="1" pivotButton="0" quotePrefix="0" xfId="0">
      <alignment horizontal="justify" vertical="center" wrapText="1"/>
      <protection locked="0" hidden="0"/>
    </xf>
    <xf numFmtId="165" fontId="22" fillId="0" borderId="4" applyAlignment="1" applyProtection="1" pivotButton="0" quotePrefix="0" xfId="0">
      <alignment horizontal="right" vertical="center" wrapText="1"/>
      <protection locked="0" hidden="0"/>
    </xf>
    <xf numFmtId="164" fontId="23" fillId="0" borderId="4" applyAlignment="1" applyProtection="1" pivotButton="0" quotePrefix="0" xfId="0">
      <alignment horizontal="justify" vertical="center" wrapText="1"/>
      <protection locked="0" hidden="0"/>
    </xf>
    <xf numFmtId="165" fontId="23" fillId="0" borderId="4" applyAlignment="1" applyProtection="1" pivotButton="0" quotePrefix="0" xfId="0">
      <alignment horizontal="right" vertical="center" wrapText="1"/>
      <protection locked="0" hidden="0"/>
    </xf>
    <xf numFmtId="164" fontId="20" fillId="0" borderId="0" applyAlignment="1" applyProtection="1" pivotButton="0" quotePrefix="0" xfId="0">
      <alignment horizontal="justify" vertical="center"/>
      <protection locked="0" hidden="0"/>
    </xf>
    <xf numFmtId="164" fontId="25" fillId="0" borderId="0" applyAlignment="1" applyProtection="1" pivotButton="0" quotePrefix="0" xfId="0">
      <alignment horizontal="left" vertical="center" wrapText="1"/>
      <protection locked="0" hidden="0"/>
    </xf>
    <xf numFmtId="164" fontId="20" fillId="0" borderId="0" applyProtection="1" pivotButton="0" quotePrefix="0" xfId="0">
      <protection locked="0" hidden="0"/>
    </xf>
    <xf numFmtId="165" fontId="12" fillId="0" borderId="0" applyAlignment="1" pivotButton="0" quotePrefix="0" xfId="259">
      <alignment horizontal="left" vertical="center"/>
    </xf>
    <xf numFmtId="165" fontId="16" fillId="0" borderId="0" applyAlignment="1" pivotButton="0" quotePrefix="0" xfId="259">
      <alignment horizontal="left" vertical="center"/>
    </xf>
    <xf numFmtId="164" fontId="20" fillId="0" borderId="0" applyAlignment="1" applyProtection="1" pivotButton="0" quotePrefix="0" xfId="0">
      <alignment horizontal="left" vertical="center"/>
      <protection locked="0" hidden="0"/>
    </xf>
    <xf numFmtId="164" fontId="16" fillId="0" borderId="0" applyAlignment="1" applyProtection="1" pivotButton="0" quotePrefix="0" xfId="0">
      <alignment vertical="center"/>
      <protection locked="0" hidden="0"/>
    </xf>
    <xf numFmtId="164" fontId="23" fillId="0" borderId="2" applyAlignment="1" applyProtection="1" pivotButton="0" quotePrefix="0" xfId="0">
      <alignment horizontal="right" vertical="center" wrapText="1"/>
      <protection locked="0" hidden="0"/>
    </xf>
    <xf numFmtId="164" fontId="22" fillId="0" borderId="0" applyAlignment="1" applyProtection="1" pivotButton="0" quotePrefix="0" xfId="0">
      <alignment horizontal="right" vertical="center" wrapText="1"/>
      <protection locked="0" hidden="0"/>
    </xf>
    <xf numFmtId="165" fontId="21" fillId="0" borderId="2" applyAlignment="1" applyProtection="1" pivotButton="0" quotePrefix="0" xfId="0">
      <alignment horizontal="right" vertical="center" wrapText="1"/>
      <protection locked="0" hidden="0"/>
    </xf>
    <xf numFmtId="165" fontId="0" fillId="0" borderId="0" applyAlignment="1" pivotButton="0" quotePrefix="0" xfId="0">
      <alignment vertical="center"/>
    </xf>
    <xf numFmtId="165" fontId="25" fillId="0" borderId="3" applyAlignment="1" pivotButton="0" quotePrefix="0" xfId="0">
      <alignment horizontal="left" vertical="center" wrapText="1"/>
    </xf>
    <xf numFmtId="0" fontId="0" fillId="0" borderId="3" pivotButton="0" quotePrefix="0" xfId="0"/>
    <xf numFmtId="164" fontId="0" fillId="0" borderId="0" applyAlignment="1" applyProtection="1" pivotButton="0" quotePrefix="0" xfId="0">
      <alignment vertical="center"/>
      <protection locked="0" hidden="0"/>
    </xf>
    <xf numFmtId="164" fontId="0" fillId="0" borderId="0" applyAlignment="1" pivotButton="0" quotePrefix="0" xfId="255">
      <alignment vertical="center"/>
    </xf>
    <xf numFmtId="164" fontId="13" fillId="0" borderId="0" applyAlignment="1" pivotButton="0" quotePrefix="0" xfId="255">
      <alignment vertical="center"/>
    </xf>
    <xf numFmtId="164" fontId="15" fillId="0" borderId="0" applyAlignment="1" pivotButton="0" quotePrefix="0" xfId="258">
      <alignment vertical="center"/>
    </xf>
    <xf numFmtId="164" fontId="15" fillId="0" borderId="0" applyAlignment="1" applyProtection="1" pivotButton="0" quotePrefix="0" xfId="258">
      <alignment vertical="center"/>
      <protection locked="0" hidden="0"/>
    </xf>
    <xf numFmtId="164" fontId="12" fillId="0" borderId="1" applyAlignment="1" applyProtection="1" pivotButton="0" quotePrefix="0" xfId="0">
      <alignment vertical="center"/>
      <protection locked="0" hidden="0"/>
    </xf>
    <xf numFmtId="165" fontId="16" fillId="0" borderId="1" applyAlignment="1" applyProtection="1" pivotButton="0" quotePrefix="0" xfId="0">
      <alignment horizontal="center" vertical="center"/>
      <protection locked="0" hidden="0"/>
    </xf>
    <xf numFmtId="165" fontId="16" fillId="0" borderId="1" applyAlignment="1" pivotButton="0" quotePrefix="0" xfId="1">
      <alignment horizontal="right" vertical="center"/>
    </xf>
    <xf numFmtId="165" fontId="16" fillId="3" borderId="1" applyAlignment="1" pivotButton="0" quotePrefix="0" xfId="1">
      <alignment horizontal="right" vertical="center"/>
    </xf>
    <xf numFmtId="164" fontId="15" fillId="3" borderId="1" applyAlignment="1" applyProtection="1" pivotButton="0" quotePrefix="0" xfId="0">
      <alignment horizontal="center" vertical="center"/>
      <protection locked="0" hidden="0"/>
    </xf>
    <xf numFmtId="165" fontId="17" fillId="3" borderId="1" applyAlignment="1" applyProtection="1" pivotButton="0" quotePrefix="0" xfId="0">
      <alignment horizontal="center" vertical="center"/>
      <protection locked="0" hidden="0"/>
    </xf>
    <xf numFmtId="165" fontId="17" fillId="3" borderId="1" applyAlignment="1" pivotButton="0" quotePrefix="0" xfId="1">
      <alignment vertical="center"/>
    </xf>
    <xf numFmtId="164" fontId="15" fillId="3" borderId="1" applyAlignment="1" applyProtection="1" pivotButton="0" quotePrefix="0" xfId="0">
      <alignment vertical="center"/>
      <protection locked="0" hidden="0"/>
    </xf>
    <xf numFmtId="164" fontId="18" fillId="0" borderId="0" applyAlignment="1" applyProtection="1" pivotButton="0" quotePrefix="0" xfId="0">
      <alignment vertical="center"/>
      <protection locked="0" hidden="0"/>
    </xf>
    <xf numFmtId="164" fontId="19" fillId="0" borderId="0" applyAlignment="1" applyProtection="1" pivotButton="0" quotePrefix="0" xfId="0">
      <alignment vertical="center"/>
      <protection locked="0" hidden="0"/>
    </xf>
    <xf numFmtId="164" fontId="2" fillId="0" borderId="0" applyAlignment="1" applyProtection="1" pivotButton="0" quotePrefix="0" xfId="0">
      <alignment vertical="center"/>
      <protection locked="0" hidden="0"/>
    </xf>
    <xf numFmtId="164" fontId="5" fillId="0" borderId="0" applyAlignment="1" pivotButton="0" quotePrefix="0" xfId="259">
      <alignment horizontal="right" vertical="center"/>
    </xf>
    <xf numFmtId="164" fontId="6" fillId="2" borderId="1" applyAlignment="1" pivotButton="0" quotePrefix="0" xfId="239">
      <alignment horizontal="center" vertical="center"/>
    </xf>
    <xf numFmtId="164" fontId="6" fillId="2" borderId="1" applyAlignment="1" pivotButton="0" quotePrefix="0" xfId="239">
      <alignment horizontal="center" vertical="center" wrapText="1"/>
    </xf>
    <xf numFmtId="164" fontId="7" fillId="2" borderId="1" applyAlignment="1" applyProtection="1" pivotButton="0" quotePrefix="0" xfId="248">
      <alignment horizontal="center" vertical="center" wrapText="1"/>
      <protection locked="0" hidden="0"/>
    </xf>
    <xf numFmtId="164" fontId="8" fillId="2" borderId="1" applyAlignment="1" applyProtection="1" pivotButton="0" quotePrefix="0" xfId="248">
      <alignment horizontal="center" vertical="center" wrapText="1"/>
      <protection locked="0" hidden="0"/>
    </xf>
    <xf numFmtId="164" fontId="9" fillId="0" borderId="1" applyAlignment="1" pivotButton="0" quotePrefix="0" xfId="239">
      <alignment vertical="center"/>
    </xf>
    <xf numFmtId="164" fontId="5" fillId="0" borderId="1" applyAlignment="1" pivotButton="0" quotePrefix="0" xfId="239">
      <alignment vertical="center"/>
    </xf>
    <xf numFmtId="164" fontId="10" fillId="0" borderId="1" applyAlignment="1" pivotButton="0" quotePrefix="0" xfId="239">
      <alignment horizontal="left" vertical="center"/>
    </xf>
    <xf numFmtId="164" fontId="6" fillId="0" borderId="1" applyAlignment="1" pivotButton="0" quotePrefix="0" xfId="239">
      <alignment horizontal="center" vertical="center"/>
    </xf>
    <xf numFmtId="164" fontId="7" fillId="0" borderId="0" applyAlignment="1" pivotButton="0" quotePrefix="0" xfId="259">
      <alignment horizontal="left" vertical="center"/>
    </xf>
    <xf numFmtId="164" fontId="5" fillId="0" borderId="0" applyAlignment="1" pivotButton="0" quotePrefix="0" xfId="257">
      <alignment vertical="center"/>
    </xf>
    <xf numFmtId="164" fontId="5" fillId="0" borderId="0" applyAlignment="1" pivotButton="0" quotePrefix="0" xfId="257">
      <alignment horizontal="left" vertical="center"/>
    </xf>
    <xf numFmtId="164" fontId="7" fillId="0" borderId="0" applyAlignment="1" pivotButton="0" quotePrefix="0" xfId="257">
      <alignment vertical="center"/>
    </xf>
    <xf numFmtId="164" fontId="11" fillId="0" borderId="0" applyAlignment="1" applyProtection="1" pivotButton="0" quotePrefix="0" xfId="239">
      <alignment horizontal="left" vertical="center" wrapText="1"/>
      <protection locked="0" hidden="0"/>
    </xf>
    <xf numFmtId="164" fontId="2" fillId="0" borderId="0" applyAlignment="1" applyProtection="1" pivotButton="0" quotePrefix="0" xfId="239">
      <alignment vertical="center"/>
      <protection locked="0" hidden="0"/>
    </xf>
    <xf numFmtId="0" fontId="0" fillId="0" borderId="6" pivotButton="0" quotePrefix="0" xfId="0"/>
    <xf numFmtId="0" fontId="0" fillId="0" borderId="7" pivotButton="0" quotePrefix="0" xfId="0"/>
    <xf numFmtId="165" fontId="16" fillId="0" borderId="1" applyAlignment="1" pivotButton="0" quotePrefix="0" xfId="282">
      <alignment horizontal="center" vertical="center"/>
    </xf>
    <xf numFmtId="165" fontId="16" fillId="0" borderId="1" applyAlignment="1" pivotButton="0" quotePrefix="0" xfId="282">
      <alignment horizontal="right" vertical="center"/>
    </xf>
    <xf numFmtId="165" fontId="16" fillId="3" borderId="1" applyAlignment="1" pivotButton="0" quotePrefix="0" xfId="282">
      <alignment horizontal="right" vertical="center"/>
    </xf>
    <xf numFmtId="165" fontId="16" fillId="3" borderId="1" applyAlignment="1" pivotButton="0" quotePrefix="0" xfId="282">
      <alignment horizontal="center" vertical="center"/>
    </xf>
    <xf numFmtId="165" fontId="17" fillId="3" borderId="1" applyAlignment="1" pivotButton="0" quotePrefix="0" xfId="282">
      <alignment horizontal="right" vertical="center"/>
    </xf>
    <xf numFmtId="165" fontId="16" fillId="0" borderId="1" applyAlignment="1" pivotButton="0" quotePrefix="0" xfId="311">
      <alignment vertical="center" shrinkToFit="1"/>
    </xf>
    <xf numFmtId="165" fontId="16" fillId="0" borderId="1" applyAlignment="1" applyProtection="1" pivotButton="0" quotePrefix="0" xfId="303">
      <alignment vertical="center"/>
      <protection locked="0" hidden="0"/>
    </xf>
    <xf numFmtId="165" fontId="16" fillId="3" borderId="1" applyAlignment="1" applyProtection="1" pivotButton="0" quotePrefix="0" xfId="303">
      <alignment vertical="center"/>
      <protection locked="0" hidden="0"/>
    </xf>
    <xf numFmtId="165" fontId="27" fillId="0" borderId="1" applyAlignment="1" pivotButton="0" quotePrefix="0" xfId="311">
      <alignment horizontal="center" vertical="center" wrapText="1"/>
    </xf>
    <xf numFmtId="165" fontId="16" fillId="3" borderId="1" applyAlignment="1" pivotButton="0" quotePrefix="0" xfId="311">
      <alignment vertical="center" shrinkToFit="1"/>
    </xf>
    <xf numFmtId="165" fontId="16" fillId="0" borderId="1" applyAlignment="1" pivotButton="0" quotePrefix="0" xfId="311">
      <alignment horizontal="center" vertical="center" wrapText="1"/>
    </xf>
    <xf numFmtId="165" fontId="16" fillId="0" borderId="1" applyAlignment="1" pivotButton="0" quotePrefix="0" xfId="311">
      <alignment horizontal="justify" vertical="center" wrapText="1"/>
    </xf>
    <xf numFmtId="165" fontId="108" fillId="3" borderId="1" applyAlignment="1" pivotButton="0" quotePrefix="0" xfId="311">
      <alignment vertical="center" wrapText="1"/>
    </xf>
    <xf numFmtId="165" fontId="16" fillId="0" borderId="1" applyAlignment="1" pivotButton="0" quotePrefix="0" xfId="314">
      <alignment vertical="center"/>
    </xf>
    <xf numFmtId="165" fontId="16" fillId="0" borderId="1" applyAlignment="1" pivotButton="0" quotePrefix="0" xfId="312">
      <alignment vertical="center"/>
    </xf>
    <xf numFmtId="165" fontId="16" fillId="3" borderId="1" applyAlignment="1" pivotButton="0" quotePrefix="0" xfId="312">
      <alignment vertical="center"/>
    </xf>
    <xf numFmtId="165" fontId="17" fillId="3" borderId="1" applyAlignment="1" pivotButton="0" quotePrefix="0" xfId="312">
      <alignment vertical="center"/>
    </xf>
    <xf numFmtId="0" fontId="15" fillId="3" borderId="1" applyAlignment="1" pivotButton="0" quotePrefix="0" xfId="312">
      <alignment horizontal="left" vertical="center"/>
    </xf>
    <xf numFmtId="165" fontId="16" fillId="30" borderId="1" applyAlignment="1" pivotButton="0" quotePrefix="0" xfId="312">
      <alignment vertical="center"/>
    </xf>
    <xf numFmtId="0" fontId="15" fillId="3" borderId="1" applyAlignment="1" pivotButton="0" quotePrefix="0" xfId="315">
      <alignment horizontal="left" vertical="center"/>
    </xf>
    <xf numFmtId="165" fontId="12" fillId="0" borderId="1" applyAlignment="1" pivotButton="0" quotePrefix="0" xfId="314">
      <alignment horizontal="center" vertical="center"/>
    </xf>
    <xf numFmtId="165" fontId="16" fillId="0" borderId="1" applyAlignment="1" pivotButton="0" quotePrefix="0" xfId="318">
      <alignment vertical="center"/>
    </xf>
    <xf numFmtId="165" fontId="16" fillId="3" borderId="1" applyAlignment="1" pivotButton="0" quotePrefix="0" xfId="319">
      <alignment vertical="center"/>
    </xf>
    <xf numFmtId="167" fontId="12" fillId="0" borderId="1" applyAlignment="1" pivotButton="0" quotePrefix="0" xfId="318">
      <alignment vertical="center"/>
    </xf>
    <xf numFmtId="165" fontId="12" fillId="3" borderId="1" applyAlignment="1" pivotButton="0" quotePrefix="0" xfId="319">
      <alignment vertical="center"/>
    </xf>
    <xf numFmtId="165" fontId="17" fillId="0" borderId="1" applyAlignment="1" pivotButton="0" quotePrefix="0" xfId="321">
      <alignment horizontal="center" vertical="center"/>
    </xf>
    <xf numFmtId="0" fontId="15" fillId="3" borderId="1" applyAlignment="1" pivotButton="0" quotePrefix="0" xfId="302">
      <alignment horizontal="center" vertical="center"/>
    </xf>
    <xf numFmtId="165" fontId="16" fillId="0" borderId="1" applyAlignment="1" pivotButton="0" quotePrefix="0" xfId="302">
      <alignment horizontal="right" vertical="center" shrinkToFit="1"/>
    </xf>
    <xf numFmtId="165" fontId="16" fillId="3" borderId="1" applyAlignment="1" pivotButton="0" quotePrefix="0" xfId="302">
      <alignment horizontal="right" vertical="center" shrinkToFit="1"/>
    </xf>
    <xf numFmtId="165" fontId="16" fillId="0" borderId="1" applyAlignment="1" pivotButton="0" quotePrefix="0" xfId="232">
      <alignment horizontal="right" vertical="center" shrinkToFit="1"/>
    </xf>
    <xf numFmtId="165" fontId="17" fillId="3" borderId="1" applyAlignment="1" pivotButton="0" quotePrefix="0" xfId="302">
      <alignment horizontal="center" vertical="center" shrinkToFit="1"/>
    </xf>
    <xf numFmtId="165" fontId="15" fillId="3" borderId="1" applyAlignment="1" pivotButton="0" quotePrefix="0" xfId="302">
      <alignment horizontal="center" vertical="center" shrinkToFit="1"/>
    </xf>
    <xf numFmtId="165" fontId="16" fillId="0" borderId="1" applyAlignment="1" pivotButton="0" quotePrefix="0" xfId="323">
      <alignment vertical="center"/>
    </xf>
    <xf numFmtId="165" fontId="16" fillId="3" borderId="1" applyAlignment="1" pivotButton="0" quotePrefix="0" xfId="323">
      <alignment vertical="center"/>
    </xf>
    <xf numFmtId="168" fontId="15" fillId="3" borderId="0" applyAlignment="1" pivotButton="0" quotePrefix="0" xfId="323">
      <alignment horizontal="center" vertical="center"/>
    </xf>
    <xf numFmtId="165" fontId="16" fillId="0" borderId="1" applyAlignment="1" applyProtection="1" pivotButton="0" quotePrefix="0" xfId="282">
      <alignment vertical="center"/>
      <protection locked="0" hidden="0"/>
    </xf>
    <xf numFmtId="165" fontId="12" fillId="0" borderId="1" applyAlignment="1" applyProtection="1" pivotButton="0" quotePrefix="0" xfId="322">
      <alignment vertical="center" shrinkToFit="1"/>
      <protection locked="0" hidden="0"/>
    </xf>
    <xf numFmtId="165" fontId="16" fillId="3" borderId="1" applyAlignment="1" applyProtection="1" pivotButton="0" quotePrefix="0" xfId="282">
      <alignment horizontal="center" vertical="center"/>
      <protection locked="0" hidden="0"/>
    </xf>
    <xf numFmtId="165" fontId="15" fillId="0" borderId="1" applyAlignment="1" applyProtection="1" pivotButton="0" quotePrefix="0" xfId="322">
      <alignment vertical="center"/>
      <protection locked="0" hidden="0"/>
    </xf>
    <xf numFmtId="165" fontId="12" fillId="0" borderId="1" applyAlignment="1" applyProtection="1" pivotButton="0" quotePrefix="0" xfId="322">
      <alignment horizontal="center" vertical="center"/>
      <protection locked="0" hidden="0"/>
    </xf>
    <xf numFmtId="165" fontId="16" fillId="0" borderId="1" applyAlignment="1" applyProtection="1" pivotButton="0" quotePrefix="0" xfId="282">
      <alignment horizontal="center" vertical="center"/>
      <protection locked="0" hidden="0"/>
    </xf>
    <xf numFmtId="165" fontId="17" fillId="3" borderId="1" applyAlignment="1" applyProtection="1" pivotButton="0" quotePrefix="0" xfId="282">
      <alignment horizontal="right" vertical="center"/>
      <protection locked="0" hidden="0"/>
    </xf>
    <xf numFmtId="165" fontId="15" fillId="0" borderId="1" applyAlignment="1" applyProtection="1" pivotButton="0" quotePrefix="0" xfId="322">
      <alignment horizontal="center" vertical="center"/>
      <protection locked="0" hidden="0"/>
    </xf>
    <xf numFmtId="164" fontId="39" fillId="0" borderId="0" applyAlignment="1" applyProtection="1" pivotButton="0" quotePrefix="0" xfId="0">
      <alignment horizontal="left" vertical="center"/>
      <protection locked="0" hidden="0"/>
    </xf>
    <xf numFmtId="164" fontId="17" fillId="3" borderId="1" applyAlignment="1" applyProtection="1" pivotButton="0" quotePrefix="0" xfId="0">
      <alignment horizontal="center" vertical="center"/>
      <protection locked="0" hidden="0"/>
    </xf>
    <xf numFmtId="43" fontId="16" fillId="0" borderId="1" applyAlignment="1" applyProtection="1" pivotButton="0" quotePrefix="0" xfId="325">
      <alignment vertical="center"/>
      <protection locked="0" hidden="0"/>
    </xf>
    <xf numFmtId="164" fontId="16" fillId="0" borderId="1" applyAlignment="1" applyProtection="1" pivotButton="0" quotePrefix="0" xfId="0">
      <alignment horizontal="center" vertical="center"/>
      <protection locked="0" hidden="0"/>
    </xf>
    <xf numFmtId="43" fontId="17" fillId="3" borderId="1" applyAlignment="1" applyProtection="1" pivotButton="0" quotePrefix="0" xfId="325">
      <alignment vertical="center"/>
      <protection locked="0" hidden="0"/>
    </xf>
    <xf numFmtId="164" fontId="0" fillId="0" borderId="0" applyProtection="1" pivotButton="0" quotePrefix="0" xfId="0">
      <protection locked="0" hidden="0"/>
    </xf>
  </cellXfs>
  <cellStyles count="327">
    <cellStyle name="常规" xfId="0" builtinId="0"/>
    <cellStyle name="千位分隔" xfId="1" builtinId="3"/>
    <cellStyle name="百分比" xfId="2" builtinId="5"/>
    <cellStyle name="超链接" xfId="3" builtinId="8"/>
    <cellStyle name="?" xfId="4"/>
    <cellStyle name="? 2" xfId="5"/>
    <cellStyle name="?餡_x000c_k" xfId="6"/>
    <cellStyle name="?餡_x000c_k 2" xfId="7"/>
    <cellStyle name="?餡_x000c_k?_x000d_^" xfId="8"/>
    <cellStyle name="?餡_x000c_k?_x000d_^ 2" xfId="9"/>
    <cellStyle name="?餡_x000c_k?_x000d_^黇_x0001_??_x0007__x0001__x0001_" xfId="10"/>
    <cellStyle name="?餡_x000c_k?_x000d_^黇_x0001_??_x0007__x0001__x0001_ 2" xfId="11"/>
    <cellStyle name="@_text" xfId="12"/>
    <cellStyle name="_2005审计报表及附注-中国建材股份模板（房屋）" xfId="13"/>
    <cellStyle name="_2005审计报表及附注-中国建材股份模板（房屋） 2" xfId="14"/>
    <cellStyle name="_2006年年报审计PBC表-XX" xfId="15"/>
    <cellStyle name="_2006年年报审计PBC表-XXX" xfId="16"/>
    <cellStyle name="_2006年年报审计PBC表-XXX 2" xfId="17"/>
    <cellStyle name="_2006年年报审计PBC表-福州分公司" xfId="18"/>
    <cellStyle name="_2006年年报审计PBC表-云南分公司" xfId="19"/>
    <cellStyle name="_2006年年报审计填报资料" xfId="20"/>
    <cellStyle name="_2006年年报审计填报资料 2" xfId="21"/>
    <cellStyle name="_Book1" xfId="22"/>
    <cellStyle name="_ET_STYLE_NoName_00_" xfId="23"/>
    <cellStyle name="_PBC审核提示" xfId="24"/>
    <cellStyle name="_PBC审核提示 2" xfId="25"/>
    <cellStyle name="_宝丽华房地产20051231" xfId="26"/>
    <cellStyle name="_宝丽华房地产20051231 2" xfId="27"/>
    <cellStyle name="_保证金-企业填写部分" xfId="28"/>
    <cellStyle name="_保证金-企业填写部分 2" xfId="29"/>
    <cellStyle name="_北新房屋2004年审-刘" xfId="30"/>
    <cellStyle name="_北新房屋2004年审-刘 2" xfId="31"/>
    <cellStyle name="_北新股份2005年审工作底稿" xfId="32"/>
    <cellStyle name="_北新股份2005年审工作底稿 2" xfId="33"/>
    <cellStyle name="_北新建材关连交易基础表051230（10－12月版）更新稿" xfId="34"/>
    <cellStyle name="_北新建材关连交易基础表051230（10－12月版）更新稿 2" xfId="35"/>
    <cellStyle name="_北新建材-会计报表附注模版" xfId="36"/>
    <cellStyle name="_北新建材-会计报表附注模版 2" xfId="37"/>
    <cellStyle name="_北新龙之星2004年审工作底稿" xfId="38"/>
    <cellStyle name="_北新龙之星2004年审工作底稿 2" xfId="39"/>
    <cellStyle name="_北新物流2005底稿-刘" xfId="40"/>
    <cellStyle name="_北新物流2005底稿-刘 2" xfId="41"/>
    <cellStyle name="_北新置换memo" xfId="42"/>
    <cellStyle name="_北新置换memo 2" xfId="43"/>
    <cellStyle name="_存货结转测试" xfId="44"/>
    <cellStyle name="_存货结转测试 2" xfId="45"/>
    <cellStyle name="_存货数量与明细05.12" xfId="46"/>
    <cellStyle name="_存货数量与明细05.12 2" xfId="47"/>
    <cellStyle name="_底稿－京津城际项目部" xfId="48"/>
    <cellStyle name="_动力厂2004年审工作底稿-刘" xfId="49"/>
    <cellStyle name="_动力厂2004年审工作底稿-刘 2" xfId="50"/>
    <cellStyle name="_分工" xfId="51"/>
    <cellStyle name="_分工 2" xfId="52"/>
    <cellStyle name="_工程施工项目现场审计提示" xfId="53"/>
    <cellStyle name="_工程施工项目现场审计提示 2" xfId="54"/>
    <cellStyle name="_关联交易" xfId="55"/>
    <cellStyle name="_关联交易 2" xfId="56"/>
    <cellStyle name="_关联交易、往来统计表" xfId="57"/>
    <cellStyle name="_关联交易、往来统计表 2" xfId="58"/>
    <cellStyle name="_汇总－刘青分工－子公司审计模板" xfId="59"/>
    <cellStyle name="_建造合同-宜万指（正式版）" xfId="60"/>
    <cellStyle name="_科目核对表" xfId="61"/>
    <cellStyle name="_科目核对表 2" xfId="62"/>
    <cellStyle name="_刘青分工填列信息统计" xfId="63"/>
    <cellStyle name="_刘青分工－子公司审计模板－铁达本部" xfId="64"/>
    <cellStyle name="_母PL" xfId="65"/>
    <cellStyle name="_母PL 2" xfId="66"/>
    <cellStyle name="_人员分工备忘录" xfId="67"/>
    <cellStyle name="_人员分工备忘录 2" xfId="68"/>
    <cellStyle name="_审计所需资料清单－子公司" xfId="69"/>
    <cellStyle name="_审计所需资料清单－子公司 2" xfId="70"/>
    <cellStyle name="_审计提示模版" xfId="71"/>
    <cellStyle name="_审计提示模版-母公司部分" xfId="72"/>
    <cellStyle name="_税金及附加" xfId="73"/>
    <cellStyle name="_铁鸿源－刘青分工－子公司审计模板" xfId="74"/>
    <cellStyle name="_一公司建造合同前5名" xfId="75"/>
    <cellStyle name="_一公司－刘丰收" xfId="76"/>
    <cellStyle name="_银行存款明细－刘青-最终" xfId="77"/>
    <cellStyle name="_银行询证函统计－大表" xfId="78"/>
    <cellStyle name="_长期借款－江阴" xfId="79"/>
    <cellStyle name="_长期借款－江阴 2" xfId="80"/>
    <cellStyle name="_子公司审计提示模版-Liufs" xfId="81"/>
    <cellStyle name="{Comma [0]}" xfId="82"/>
    <cellStyle name="{Comma}" xfId="83"/>
    <cellStyle name="{Date}" xfId="84"/>
    <cellStyle name="{Month}" xfId="85"/>
    <cellStyle name="{Percent}" xfId="86"/>
    <cellStyle name="{Thousand [0]}" xfId="87"/>
    <cellStyle name="{Thousand}" xfId="88"/>
    <cellStyle name="{Z'0000(1 dec)}" xfId="89"/>
    <cellStyle name="{Z'0000(4 dec)}" xfId="90"/>
    <cellStyle name="0%" xfId="91"/>
    <cellStyle name="0,0_x000d__x000a_NA_x000d__x000a_" xfId="92"/>
    <cellStyle name="0.0%" xfId="93"/>
    <cellStyle name="0.00%" xfId="94"/>
    <cellStyle name="00" xfId="95"/>
    <cellStyle name="20% - Accent1" xfId="96"/>
    <cellStyle name="20% - Accent2" xfId="97"/>
    <cellStyle name="20% - Accent3" xfId="98"/>
    <cellStyle name="20% - Accent4" xfId="99"/>
    <cellStyle name="20% - Accent5" xfId="100"/>
    <cellStyle name="20% - Accent6" xfId="101"/>
    <cellStyle name="40% - Accent1" xfId="102"/>
    <cellStyle name="40% - Accent2" xfId="103"/>
    <cellStyle name="40% - Accent3" xfId="104"/>
    <cellStyle name="40% - Accent4" xfId="105"/>
    <cellStyle name="40% - Accent5" xfId="106"/>
    <cellStyle name="40% - Accent6" xfId="107"/>
    <cellStyle name="60% - Accent1" xfId="108"/>
    <cellStyle name="60% - Accent2" xfId="109"/>
    <cellStyle name="60% - Accent3" xfId="110"/>
    <cellStyle name="60% - Accent4" xfId="111"/>
    <cellStyle name="60% - Accent5" xfId="112"/>
    <cellStyle name="60% - Accent6" xfId="113"/>
    <cellStyle name="Accent1" xfId="114"/>
    <cellStyle name="Accent2" xfId="115"/>
    <cellStyle name="Accent3" xfId="116"/>
    <cellStyle name="Accent4" xfId="117"/>
    <cellStyle name="Accent5" xfId="118"/>
    <cellStyle name="Accent6" xfId="119"/>
    <cellStyle name="Bad" xfId="120"/>
    <cellStyle name="Black" xfId="121"/>
    <cellStyle name="Border" xfId="122"/>
    <cellStyle name="Calc Currency (0)" xfId="123"/>
    <cellStyle name="Calc Currency (0) 2" xfId="124"/>
    <cellStyle name="Calculation" xfId="125"/>
    <cellStyle name="Check Cell" xfId="126"/>
    <cellStyle name="Col Heads" xfId="127"/>
    <cellStyle name="Column_Title" xfId="128"/>
    <cellStyle name="Comma  - Style1" xfId="129"/>
    <cellStyle name="Comma  - Style1 2" xfId="130"/>
    <cellStyle name="Comma  - Style2" xfId="131"/>
    <cellStyle name="Comma  - Style2 2" xfId="132"/>
    <cellStyle name="Comma  - Style3" xfId="133"/>
    <cellStyle name="Comma  - Style3 2" xfId="134"/>
    <cellStyle name="Comma  - Style4" xfId="135"/>
    <cellStyle name="Comma  - Style4 2" xfId="136"/>
    <cellStyle name="Comma  - Style5" xfId="137"/>
    <cellStyle name="Comma  - Style5 2" xfId="138"/>
    <cellStyle name="Comma  - Style6" xfId="139"/>
    <cellStyle name="Comma  - Style6 2" xfId="140"/>
    <cellStyle name="Comma  - Style7" xfId="141"/>
    <cellStyle name="Comma  - Style7 2" xfId="142"/>
    <cellStyle name="Comma  - Style8" xfId="143"/>
    <cellStyle name="Comma  - Style8 2" xfId="144"/>
    <cellStyle name="Comma [0]_ rislugp" xfId="145"/>
    <cellStyle name="Comma,0" xfId="146"/>
    <cellStyle name="Comma,1" xfId="147"/>
    <cellStyle name="Comma,2" xfId="148"/>
    <cellStyle name="Comma_ rislugp" xfId="149"/>
    <cellStyle name="Currency [0]_ rislugp" xfId="150"/>
    <cellStyle name="Currency,0" xfId="151"/>
    <cellStyle name="Currency,2" xfId="152"/>
    <cellStyle name="Currency_ rislugp" xfId="153"/>
    <cellStyle name="Dezimal [0]_laroux" xfId="154"/>
    <cellStyle name="Dezimal_laroux" xfId="155"/>
    <cellStyle name="entry" xfId="156"/>
    <cellStyle name="entry 2" xfId="157"/>
    <cellStyle name="entry box" xfId="158"/>
    <cellStyle name="entry box 2" xfId="159"/>
    <cellStyle name="Euro" xfId="160"/>
    <cellStyle name="Explanatory Text" xfId="161"/>
    <cellStyle name="EY House" xfId="162"/>
    <cellStyle name="Followed Hyperlink_AheadBehind.xls Chart 23" xfId="163"/>
    <cellStyle name="Good" xfId="164"/>
    <cellStyle name="Grey" xfId="165"/>
    <cellStyle name="Header1" xfId="166"/>
    <cellStyle name="Header1 2" xfId="167"/>
    <cellStyle name="Header2" xfId="168"/>
    <cellStyle name="Header2 2" xfId="169"/>
    <cellStyle name="Heading" xfId="170"/>
    <cellStyle name="Heading 1" xfId="171"/>
    <cellStyle name="Heading 2" xfId="172"/>
    <cellStyle name="Heading 3" xfId="173"/>
    <cellStyle name="Heading 4" xfId="174"/>
    <cellStyle name="Hyperlink_AheadBehind.xls Chart 23" xfId="175"/>
    <cellStyle name="Input" xfId="176"/>
    <cellStyle name="Input [yellow]" xfId="177"/>
    <cellStyle name="left" xfId="178"/>
    <cellStyle name="left 2" xfId="179"/>
    <cellStyle name="Linked Cell" xfId="180"/>
    <cellStyle name="Millares [0]_laroux" xfId="181"/>
    <cellStyle name="Millares_laroux" xfId="182"/>
    <cellStyle name="Milliers [0]_laroux" xfId="183"/>
    <cellStyle name="Milliers_laroux" xfId="184"/>
    <cellStyle name="Moneda [0]_laroux" xfId="185"/>
    <cellStyle name="Moneda_laroux" xfId="186"/>
    <cellStyle name="Mon閠aire [0]_laroux" xfId="187"/>
    <cellStyle name="Mon閠aire_laroux" xfId="188"/>
    <cellStyle name="Neutral" xfId="189"/>
    <cellStyle name="no dec" xfId="190"/>
    <cellStyle name="Non défini" xfId="191"/>
    <cellStyle name="Normal - Style1" xfId="192"/>
    <cellStyle name="Normal 2" xfId="193"/>
    <cellStyle name="Normal 2 2" xfId="194"/>
    <cellStyle name="Normal_ rislugp" xfId="195"/>
    <cellStyle name="Normalny_Arkusz1" xfId="196"/>
    <cellStyle name="Note" xfId="197"/>
    <cellStyle name="Output" xfId="198"/>
    <cellStyle name="Percent (0)" xfId="199"/>
    <cellStyle name="Percent [0%]" xfId="200"/>
    <cellStyle name="Percent [0.00%]" xfId="201"/>
    <cellStyle name="Percent [2]" xfId="202"/>
    <cellStyle name="Prefilled" xfId="203"/>
    <cellStyle name="Prefilled 2" xfId="204"/>
    <cellStyle name="price" xfId="205"/>
    <cellStyle name="Red" xfId="206"/>
    <cellStyle name="revised" xfId="207"/>
    <cellStyle name="row_def_array" xfId="208"/>
    <cellStyle name="S4" xfId="209"/>
    <cellStyle name="S5" xfId="210"/>
    <cellStyle name="section" xfId="211"/>
    <cellStyle name="section 2" xfId="212"/>
    <cellStyle name="style" xfId="213"/>
    <cellStyle name="style 2" xfId="214"/>
    <cellStyle name="style1" xfId="215"/>
    <cellStyle name="style1 2" xfId="216"/>
    <cellStyle name="style2" xfId="217"/>
    <cellStyle name="style2 2" xfId="218"/>
    <cellStyle name="t]_x000d__x000a_color schemes=默认 Windows_x000d__x000a__x000d__x000a_[color schemes]_x000d__x000a_Arizona=804000,FFFFFF,FFFFFF,0,FFFFFF,0,808040,C0C0C0,FFFFF" xfId="219"/>
    <cellStyle name="Tickmark" xfId="220"/>
    <cellStyle name="Tickmark 2" xfId="221"/>
    <cellStyle name="title" xfId="222"/>
    <cellStyle name="title 2" xfId="223"/>
    <cellStyle name="Total" xfId="224"/>
    <cellStyle name="Warning Text" xfId="225"/>
    <cellStyle name="wrap" xfId="226"/>
    <cellStyle name="wrap 2" xfId="227"/>
    <cellStyle name="パーセント_laroux" xfId="228"/>
    <cellStyle name="_laroux" xfId="229"/>
    <cellStyle name="だ_laroux" xfId="230"/>
    <cellStyle name="百分比 2" xfId="231"/>
    <cellStyle name="百分比 2 2" xfId="232"/>
    <cellStyle name="捠壿 [0.00]_PRODUCT DETAIL Q1" xfId="233"/>
    <cellStyle name="捠壿_PRODUCT DETAIL Q1" xfId="234"/>
    <cellStyle name="標準_１１月価格表" xfId="235"/>
    <cellStyle name="常规 10 2" xfId="236"/>
    <cellStyle name="常规 13" xfId="237"/>
    <cellStyle name="常规 2" xfId="238"/>
    <cellStyle name="常规 2 2" xfId="239"/>
    <cellStyle name="常规 2 2 2" xfId="240"/>
    <cellStyle name="常规 2 2 3" xfId="241"/>
    <cellStyle name="常规 2 2 4" xfId="242"/>
    <cellStyle name="常规 2 3" xfId="243"/>
    <cellStyle name="常规 2 8" xfId="244"/>
    <cellStyle name="常规 3" xfId="245"/>
    <cellStyle name="常规 3 2" xfId="246"/>
    <cellStyle name="常规 4" xfId="247"/>
    <cellStyle name="常规 4 2" xfId="248"/>
    <cellStyle name="常规 5" xfId="249"/>
    <cellStyle name="常规 5 2" xfId="250"/>
    <cellStyle name="常规 6" xfId="251"/>
    <cellStyle name="常规 7" xfId="252"/>
    <cellStyle name="常规 7 4" xfId="253"/>
    <cellStyle name="常规 8" xfId="254"/>
    <cellStyle name="常规_Book1" xfId="255"/>
    <cellStyle name="常规_Book1 2" xfId="256"/>
    <cellStyle name="常规_c-资产类" xfId="257"/>
    <cellStyle name="常规_进一步审计程序--销售与收款循环" xfId="258"/>
    <cellStyle name="常规_新审定表" xfId="259"/>
    <cellStyle name="常规_制造费用" xfId="260"/>
    <cellStyle name="常规_制造费用 2" xfId="261"/>
    <cellStyle name="超级链接_B10-0具体审计计划表" xfId="262"/>
    <cellStyle name="超連結" xfId="263"/>
    <cellStyle name="超链接 2" xfId="264"/>
    <cellStyle name="超链接 2 2" xfId="265"/>
    <cellStyle name="都寞_2000爛奻庈机數訧蹋隴牉桶ㄗ軞ㄘ" xfId="266"/>
    <cellStyle name="分级显示行_1_4附件二凯旋评估表" xfId="267"/>
    <cellStyle name="桁区切り [0.00]_１１月価格表" xfId="268"/>
    <cellStyle name="桁区切り_１１月価格表" xfId="269"/>
    <cellStyle name="貨幣 [0]_5 tier summary" xfId="270"/>
    <cellStyle name="貨幣_5 tier summary" xfId="271"/>
    <cellStyle name="霓付 [0]_1202" xfId="272"/>
    <cellStyle name="霓付_1202" xfId="273"/>
    <cellStyle name="烹拳 [0]_1202" xfId="274"/>
    <cellStyle name="烹拳_1202" xfId="275"/>
    <cellStyle name="普通_ 白土" xfId="276"/>
    <cellStyle name="千分位[0]_ 白土" xfId="277"/>
    <cellStyle name="千分位_ 白土" xfId="278"/>
    <cellStyle name="千位[0]_ 预 付 帐 款" xfId="279"/>
    <cellStyle name="千位_ 预 付 帐 款" xfId="280"/>
    <cellStyle name="千位分隔 2" xfId="281"/>
    <cellStyle name="千位分隔 2 2" xfId="282"/>
    <cellStyle name="千位分隔 3" xfId="283"/>
    <cellStyle name="千位分隔 4" xfId="284"/>
    <cellStyle name="千位分隔[0] 2" xfId="285"/>
    <cellStyle name="钎霖_(沥焊何巩)岿喊牢盔拌裙" xfId="286"/>
    <cellStyle name="隨後的超連結" xfId="287"/>
    <cellStyle name="通貨 [0.00]_１１月価格表" xfId="288"/>
    <cellStyle name="通貨_１１月価格表" xfId="289"/>
    <cellStyle name="样式 1" xfId="290"/>
    <cellStyle name="样式 1 2" xfId="291"/>
    <cellStyle name="一般_5 tier summary" xfId="292"/>
    <cellStyle name="昗弨_BOOKSHIP" xfId="293"/>
    <cellStyle name="寘嬫愗傝 [0.00]_PRODUCT DETAIL Q1" xfId="294"/>
    <cellStyle name="寘嬫愗傝_PRODUCT DETAIL Q1" xfId="295"/>
    <cellStyle name="콤마 [0]_BOILER-CO1" xfId="296"/>
    <cellStyle name="콤마_BOILER-CO1" xfId="297"/>
    <cellStyle name="통화 [0]_BOILER-CO1" xfId="298"/>
    <cellStyle name="통화_BOILER-CO1" xfId="299"/>
    <cellStyle name="표준_0N-HANDLING " xfId="300"/>
    <cellStyle name="常规_Book1 3" xfId="301"/>
    <cellStyle name="常规 9" xfId="302"/>
    <cellStyle name="常规 2 4" xfId="303"/>
    <cellStyle name="超链接 3" xfId="304"/>
    <cellStyle name="常规_进一步审计程序--销售与收款循环 2" xfId="305"/>
    <cellStyle name="常规_33-应交税费（空白模板） 2" xfId="306"/>
    <cellStyle name="常规_2005年度实质性测试－sunny 2" xfId="307"/>
    <cellStyle name="常规_控制测试底稿" xfId="308"/>
    <cellStyle name="常规_X1001应交税金" xfId="309"/>
    <cellStyle name="千位分隔 2 2 2" xfId="310"/>
    <cellStyle name="常规 2 3 2" xfId="311"/>
    <cellStyle name="常规 10 2 3 4" xfId="312"/>
    <cellStyle name="常规 5 2 5" xfId="313"/>
    <cellStyle name="千位分隔 15" xfId="314"/>
    <cellStyle name="常规 10 10" xfId="315"/>
    <cellStyle name="常规 2 2 3 2" xfId="316"/>
    <cellStyle name="Normal_附1 " xfId="317"/>
    <cellStyle name="千位分隔[0] 2 2" xfId="318"/>
    <cellStyle name="千位分隔 2 2 2 2" xfId="319"/>
    <cellStyle name="常规 10 2 2" xfId="320"/>
    <cellStyle name="常规_I16应交税金" xfId="321"/>
    <cellStyle name="常规_底稿模版" xfId="322"/>
    <cellStyle name="常规_土地增值税测算及各项目基本资料" xfId="323"/>
    <cellStyle name="常规 2 8 2" xfId="324"/>
    <cellStyle name="千位分隔 6" xfId="325"/>
    <cellStyle name="常规 11 5" xfId="326"/>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H24"/>
  <sheetViews>
    <sheetView tabSelected="1" zoomScaleNormal="100" zoomScaleSheetLayoutView="100" workbookViewId="0">
      <selection activeCell="A1" sqref="A1"/>
    </sheetView>
  </sheetViews>
  <sheetFormatPr baseColWidth="8" defaultColWidth="9" defaultRowHeight="20.1" customHeight="1"/>
  <cols>
    <col width="77.59765625" customWidth="1" style="186" min="1" max="1"/>
    <col width="2" customWidth="1" style="186" min="2" max="2"/>
    <col width="2.09765625" customWidth="1" style="186" min="3" max="3"/>
    <col width="6.09765625" customWidth="1" style="186" min="4" max="4"/>
    <col width="28.19921875" customWidth="1" style="396" min="5" max="5"/>
    <col width="8" customWidth="1" style="520" min="6" max="6"/>
    <col width="9" customWidth="1" style="186" min="7" max="16384"/>
  </cols>
  <sheetData>
    <row r="1" ht="20.1" customHeight="1" s="526">
      <c r="A1" s="187" t="inlineStr">
        <is>
          <t>底稿开列时，可先在以下单元格填写有关内容，以便其他底稿引用有关数据：</t>
        </is>
      </c>
    </row>
    <row r="2" ht="20.1" customHeight="1" s="526">
      <c r="A2" s="188" t="inlineStr">
        <is>
          <t>被审计单位：</t>
        </is>
      </c>
      <c r="B2" s="189" t="n"/>
      <c r="C2" s="189" t="n"/>
      <c r="D2" s="190" t="inlineStr">
        <is>
          <t>序号</t>
        </is>
      </c>
      <c r="E2" s="397" t="inlineStr">
        <is>
          <t>内容</t>
        </is>
      </c>
      <c r="F2" s="190" t="inlineStr">
        <is>
          <t>索引表</t>
        </is>
      </c>
      <c r="G2" s="189" t="n"/>
      <c r="H2" s="189" t="n"/>
    </row>
    <row r="3" ht="20.1" customHeight="1" s="526">
      <c r="A3" s="527" t="inlineStr">
        <is>
          <t>截止日：202X年12月31日</t>
        </is>
      </c>
      <c r="B3" s="189" t="n"/>
      <c r="C3" s="189" t="n"/>
      <c r="D3" s="196" t="n">
        <v>1</v>
      </c>
      <c r="E3" s="398" t="inlineStr">
        <is>
          <t>应交税费实质性程序表</t>
        </is>
      </c>
      <c r="F3" s="196" t="inlineStr">
        <is>
          <t>N2A</t>
        </is>
      </c>
      <c r="G3" s="189" t="n"/>
      <c r="H3" s="189" t="n"/>
    </row>
    <row r="4" ht="20.1" customHeight="1" s="526">
      <c r="A4" s="188" t="inlineStr">
        <is>
          <t>编制人：</t>
        </is>
      </c>
      <c r="D4" s="197" t="n">
        <v>2</v>
      </c>
      <c r="E4" s="398" t="inlineStr">
        <is>
          <t>应交税费审定表</t>
        </is>
      </c>
      <c r="F4" s="196" t="inlineStr">
        <is>
          <t>N2-1</t>
        </is>
      </c>
      <c r="G4" s="189" t="n"/>
      <c r="H4" s="189" t="n"/>
    </row>
    <row r="5" ht="20.1" customHeight="1" s="526">
      <c r="A5" s="188" t="inlineStr">
        <is>
          <t>编制日期：</t>
        </is>
      </c>
      <c r="D5" s="197" t="n">
        <v>3</v>
      </c>
      <c r="E5" s="398" t="inlineStr">
        <is>
          <t>附注披露信息（上市公司）</t>
        </is>
      </c>
      <c r="F5" s="196" t="n"/>
    </row>
    <row r="6" ht="20.1" customHeight="1" s="526">
      <c r="A6" s="188" t="inlineStr">
        <is>
          <t>复核人：</t>
        </is>
      </c>
      <c r="D6" s="197" t="n">
        <v>4</v>
      </c>
      <c r="E6" s="398" t="inlineStr">
        <is>
          <t>附注披露信息（国企）</t>
        </is>
      </c>
      <c r="F6" s="196" t="n"/>
    </row>
    <row r="7" ht="20.1" customHeight="1" s="526">
      <c r="A7" s="188" t="inlineStr">
        <is>
          <t>复核日期：</t>
        </is>
      </c>
      <c r="D7" s="197" t="n">
        <v>5</v>
      </c>
      <c r="E7" s="398" t="inlineStr">
        <is>
          <t>应交税费明细表</t>
        </is>
      </c>
      <c r="F7" s="196" t="inlineStr">
        <is>
          <t>N2-2</t>
        </is>
      </c>
    </row>
    <row r="8" ht="20.1" customHeight="1" s="526">
      <c r="A8" s="189" t="n"/>
      <c r="D8" s="197" t="n">
        <v>6</v>
      </c>
      <c r="E8" s="398" t="inlineStr">
        <is>
          <t>调整分录汇总表</t>
        </is>
      </c>
      <c r="F8" s="196" t="inlineStr">
        <is>
          <t>N2-3</t>
        </is>
      </c>
    </row>
    <row r="9" ht="20.1" customHeight="1" s="526">
      <c r="A9" s="528" t="inlineStr">
        <is>
          <t>关于工作底稿与审计程序索引号对应的说明</t>
        </is>
      </c>
      <c r="D9" s="197" t="n">
        <v>7</v>
      </c>
      <c r="E9" s="398" t="inlineStr">
        <is>
          <t>税收政策检查</t>
        </is>
      </c>
      <c r="F9" s="196" t="inlineStr">
        <is>
          <t>N2-4</t>
        </is>
      </c>
    </row>
    <row r="10" ht="20.1" customHeight="1" s="526">
      <c r="A10" s="529"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D10" s="197" t="n">
        <v>8</v>
      </c>
      <c r="E10" s="398" t="inlineStr">
        <is>
          <t>应交税金认定表</t>
        </is>
      </c>
      <c r="F10" s="196" t="inlineStr">
        <is>
          <t>N2-5</t>
        </is>
      </c>
    </row>
    <row r="11" ht="20.1" customHeight="1" s="526">
      <c r="A11" s="530" t="n"/>
      <c r="D11" s="197" t="n">
        <v>9</v>
      </c>
      <c r="E11" s="398" t="inlineStr">
        <is>
          <t>增值税测算表</t>
        </is>
      </c>
      <c r="F11" s="196" t="inlineStr">
        <is>
          <t>N2-6</t>
        </is>
      </c>
    </row>
    <row r="12" ht="20.1" customHeight="1" s="526">
      <c r="A12" s="530" t="n"/>
      <c r="D12" s="197" t="n">
        <v>10</v>
      </c>
      <c r="E12" s="398" t="inlineStr">
        <is>
          <t>出口退税核对表</t>
        </is>
      </c>
      <c r="F12" s="196" t="inlineStr">
        <is>
          <t>N2-7</t>
        </is>
      </c>
    </row>
    <row r="13" ht="20.1" customHeight="1" s="526">
      <c r="A13" s="530" t="n"/>
      <c r="D13" s="197" t="n">
        <v>11</v>
      </c>
      <c r="E13" s="398" t="inlineStr">
        <is>
          <t>应交其他税费测算表</t>
        </is>
      </c>
      <c r="F13" s="196" t="inlineStr">
        <is>
          <t>N2-8</t>
        </is>
      </c>
    </row>
    <row r="14" ht="20.1" customHeight="1" s="526">
      <c r="A14" s="529"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D14" s="197" t="n">
        <v>12</v>
      </c>
      <c r="E14" s="398" t="inlineStr">
        <is>
          <t>房产税测算表</t>
        </is>
      </c>
      <c r="F14" s="196" t="inlineStr">
        <is>
          <t>N2-9</t>
        </is>
      </c>
    </row>
    <row r="15" ht="20.1" customHeight="1" s="526">
      <c r="A15" s="530" t="n"/>
      <c r="D15" s="197" t="n">
        <v>13</v>
      </c>
      <c r="E15" s="398" t="inlineStr">
        <is>
          <t>土地增值税测算表</t>
        </is>
      </c>
      <c r="F15" s="196" t="inlineStr">
        <is>
          <t>N2-10</t>
        </is>
      </c>
    </row>
    <row r="16" ht="20.1" customHeight="1" s="526">
      <c r="A16" s="530" t="n"/>
      <c r="D16" s="197" t="n">
        <v>14</v>
      </c>
      <c r="E16" s="398" t="inlineStr">
        <is>
          <t>应交税费检查表</t>
        </is>
      </c>
      <c r="F16" s="196" t="inlineStr">
        <is>
          <t>N2-11</t>
        </is>
      </c>
    </row>
    <row r="17" ht="20.1" customHeight="1" s="526">
      <c r="A17" s="531" t="inlineStr">
        <is>
          <t>3.工作底稿索引号的编码规则：实质性程序索引号按循环从“D”到“N”,循环内账户以顺序号排列，模板中底稿索引号按账户顺序+自然数顺序（即模板中索引号按二级自然顺序排列，如D1-1、D1-2、D1-3、……D1-N）。</t>
        </is>
      </c>
    </row>
    <row r="18" ht="20.1" customHeight="1" s="526">
      <c r="A18" s="530" t="n"/>
    </row>
    <row r="19" ht="20.1" customHeight="1" s="526">
      <c r="A19" s="530" t="n"/>
    </row>
    <row r="22" ht="20.1" customHeight="1" s="526">
      <c r="A22" s="191" t="n"/>
    </row>
    <row r="23" ht="20.1" customHeight="1" s="526">
      <c r="A23" s="189" t="n"/>
    </row>
    <row r="24" ht="20.1" customHeight="1" s="526">
      <c r="A24" s="192" t="n"/>
    </row>
  </sheetData>
  <mergeCells count="3">
    <mergeCell ref="A14:A16"/>
    <mergeCell ref="A17:A19"/>
    <mergeCell ref="A10:A13"/>
  </mergeCells>
  <hyperlinks>
    <hyperlink ref="E3" location="应交税费审计程序表N2A!A1" display="应交税费实质性程序表"/>
    <hyperlink ref="E4" location="'应交税费审定表N2-1'!A1" display="应交税费审定表"/>
    <hyperlink ref="E5" location="'附注披露信息（上市公司）'!A1" display="附注披露信息（上市公司）"/>
    <hyperlink ref="E6" location="'附注披露信息（国企）'!A1" display="附注披露信息（国企）"/>
    <hyperlink ref="E7" location="'应交税费明细表N2-2'!A1" display="应交税费明细表"/>
    <hyperlink ref="E8" location="'调整分录汇总表N2-3'!A1" display="调整分录汇总表"/>
    <hyperlink ref="E9" location="'税收政策检查N2-4'!A1" display="税收政策检查"/>
    <hyperlink ref="E10" location="'应交税金认定表N2-5'!A1" display="应交税金认定表"/>
    <hyperlink ref="E11" location="'增值税测算表N2-6'!A1" display="增值税测算表"/>
    <hyperlink ref="E12" location="'出口退税核对表N2-7'!A1" display="出口退税核对表"/>
    <hyperlink ref="E13" location="'应交其他税费测算表N2-8'!A1" display="应交其他税费测算表"/>
    <hyperlink ref="E14" location="'房产税测算表N2-9'!A1" display="房产税测算表"/>
    <hyperlink ref="E15" location="'土地增值税测算表N2-10'!A1" display="土地增值税测算表"/>
    <hyperlink ref="E16" location="'应交税费检查表N2-11'!A1" display="应交税费检查表"/>
  </hyperlinks>
  <pageMargins left="0.708333333333333" right="0.708333333333333" top="0.747916666666667" bottom="0.747916666666667" header="0.314583333333333" footer="0.314583333333333"/>
  <pageSetup orientation="portrait" paperSize="9" scale="66" blackAndWhite="1" horizontalDpi="1200" verticalDpi="1200"/>
  <headerFooter alignWithMargins="0">
    <oddHeader/>
    <oddFooter>&amp;C&amp;P/&amp;N</oddFooter>
    <evenHeader/>
    <evenFooter/>
    <firstHeader/>
    <firstFooter/>
  </headerFooter>
</worksheet>
</file>

<file path=xl/worksheets/sheet2.xml><?xml version="1.0" encoding="utf-8"?>
<worksheet xmlns="http://schemas.openxmlformats.org/spreadsheetml/2006/main">
  <sheetPr codeName="Sheet2">
    <outlinePr summaryBelow="1" summaryRight="1"/>
    <pageSetUpPr/>
  </sheetPr>
  <dimension ref="A1:K36"/>
  <sheetViews>
    <sheetView view="pageBreakPreview" zoomScaleNormal="100" workbookViewId="0">
      <selection activeCell="A1" sqref="A1:I1"/>
    </sheetView>
  </sheetViews>
  <sheetFormatPr baseColWidth="8" defaultColWidth="9" defaultRowHeight="20.1" customHeight="1"/>
  <cols>
    <col width="4.796875" customWidth="1" style="532" min="1" max="1"/>
    <col width="64.5" customWidth="1" style="532" min="2" max="2"/>
    <col width="10.09765625" customWidth="1" style="532" min="3" max="3"/>
    <col width="5.19921875" customWidth="1" style="532" min="4" max="4"/>
    <col width="6.296875" customWidth="1" style="532" min="5" max="5"/>
    <col width="5.796875" customWidth="1" style="532" min="6" max="6"/>
    <col width="7.3984375" customWidth="1" style="532" min="7" max="7"/>
    <col width="5.3984375" customWidth="1" style="532" min="8" max="8"/>
    <col width="7.296875" customWidth="1" style="532" min="9" max="9"/>
    <col width="56.59765625" customWidth="1" style="532" min="10" max="10"/>
    <col width="9" customWidth="1" style="532" min="11" max="16384"/>
  </cols>
  <sheetData>
    <row r="1" ht="20.1" customHeight="1" s="526">
      <c r="A1" s="533" t="inlineStr">
        <is>
          <t>致同会计师事务所</t>
        </is>
      </c>
    </row>
    <row r="2" ht="20.1" customHeight="1" s="526">
      <c r="A2" s="534" t="inlineStr">
        <is>
          <t>应交税费实质性程序表</t>
        </is>
      </c>
    </row>
    <row r="3" ht="20.1" customHeight="1" s="526">
      <c r="A3" s="535">
        <f>底稿目录!A2</f>
        <v/>
      </c>
      <c r="B3" s="530" t="n"/>
      <c r="C3" s="536">
        <f>底稿目录!A4</f>
        <v/>
      </c>
      <c r="D3" s="536" t="n"/>
      <c r="E3" s="537">
        <f>底稿目录!A5</f>
        <v/>
      </c>
      <c r="G3" s="537" t="n"/>
      <c r="H3" s="538" t="inlineStr">
        <is>
          <t>索引号：</t>
        </is>
      </c>
      <c r="I3" s="525">
        <f>底稿目录!F3</f>
        <v/>
      </c>
    </row>
    <row r="4" ht="20.1" customHeight="1" s="526">
      <c r="A4" s="535">
        <f>底稿目录!A3</f>
        <v/>
      </c>
      <c r="B4" s="530" t="n"/>
      <c r="C4" s="536">
        <f>底稿目录!A6</f>
        <v/>
      </c>
      <c r="D4" s="536" t="n"/>
      <c r="E4" s="537">
        <f>底稿目录!A7</f>
        <v/>
      </c>
      <c r="G4" s="537" t="n"/>
      <c r="H4" s="538" t="inlineStr">
        <is>
          <t>页次：</t>
        </is>
      </c>
      <c r="I4" s="539" t="n"/>
    </row>
    <row r="5" ht="20.1" customHeight="1" s="526">
      <c r="A5" s="539" t="inlineStr">
        <is>
          <t>一、本账户涉及的科目</t>
        </is>
      </c>
      <c r="B5" s="530" t="n"/>
      <c r="C5" s="540" t="n"/>
      <c r="D5" s="540" t="n"/>
      <c r="E5" s="540" t="n"/>
      <c r="F5" s="541" t="n"/>
      <c r="G5" s="541" t="n"/>
      <c r="H5" s="540" t="n"/>
      <c r="I5" s="542" t="n"/>
    </row>
    <row r="6" ht="20.1" customHeight="1" s="526">
      <c r="A6" s="536" t="inlineStr">
        <is>
          <t>应交税费</t>
        </is>
      </c>
      <c r="B6" s="543" t="n"/>
      <c r="C6" s="543" t="n"/>
      <c r="D6" s="543" t="n"/>
      <c r="E6" s="543" t="n"/>
      <c r="F6" s="543" t="n"/>
      <c r="G6" s="543" t="n"/>
      <c r="H6" s="543" t="n"/>
      <c r="I6" s="543" t="n"/>
    </row>
    <row r="7" ht="20.1" customHeight="1" s="526">
      <c r="A7" s="157" t="inlineStr">
        <is>
          <t>二、审计目标与财务报表认定的关系</t>
        </is>
      </c>
      <c r="B7" s="539" t="n"/>
      <c r="C7" s="544" t="n"/>
      <c r="D7" s="536" t="n"/>
      <c r="E7" s="536" t="n"/>
      <c r="F7" s="537" t="n"/>
      <c r="G7" s="537" t="n"/>
      <c r="H7" s="536" t="n"/>
      <c r="I7" s="545" t="n"/>
    </row>
    <row r="8" ht="19.95" customHeight="1" s="526">
      <c r="A8" s="546" t="inlineStr">
        <is>
          <t>审计目标</t>
        </is>
      </c>
      <c r="B8" s="547" t="n"/>
      <c r="C8" s="547" t="n"/>
      <c r="D8" s="547" t="n"/>
      <c r="E8" s="547" t="n"/>
      <c r="F8" s="548" t="n"/>
      <c r="G8" s="549" t="inlineStr">
        <is>
          <t xml:space="preserve">财务报表的认定　</t>
        </is>
      </c>
      <c r="H8" s="547" t="n"/>
      <c r="I8" s="548" t="n"/>
    </row>
    <row r="9" ht="19.95" customHeight="1" s="526">
      <c r="A9" s="550" t="inlineStr">
        <is>
          <t>A.资产负债表中记录的应交税费是存在的，且已记录于恰当的账户</t>
        </is>
      </c>
      <c r="B9" s="547" t="n"/>
      <c r="C9" s="547" t="n"/>
      <c r="D9" s="547" t="n"/>
      <c r="E9" s="547" t="n"/>
      <c r="F9" s="548" t="n"/>
      <c r="G9" s="551" t="inlineStr">
        <is>
          <t>存在</t>
        </is>
      </c>
      <c r="H9" s="547" t="n"/>
      <c r="I9" s="548" t="n"/>
    </row>
    <row r="10" ht="19.95" customHeight="1" s="526">
      <c r="A10" s="550" t="inlineStr">
        <is>
          <t>B.所有应当记录的货币应交税费均已记录，所有应当包括在财务报表中的相关披露均已包括</t>
        </is>
      </c>
      <c r="B10" s="547" t="n"/>
      <c r="C10" s="547" t="n"/>
      <c r="D10" s="547" t="n"/>
      <c r="E10" s="547" t="n"/>
      <c r="F10" s="548" t="n"/>
      <c r="G10" s="551" t="inlineStr">
        <is>
          <t>完整性</t>
        </is>
      </c>
      <c r="H10" s="547" t="n"/>
      <c r="I10" s="548" t="n"/>
    </row>
    <row r="11" ht="19.95" customHeight="1" s="526">
      <c r="A11" s="550" t="inlineStr">
        <is>
          <t>C.记录的应交税费是被审计单位应当履行的现时义务</t>
        </is>
      </c>
      <c r="B11" s="547" t="n"/>
      <c r="C11" s="547" t="n"/>
      <c r="D11" s="547" t="n"/>
      <c r="E11" s="547" t="n"/>
      <c r="F11" s="548" t="n"/>
      <c r="G11" s="551" t="inlineStr">
        <is>
          <t>权利和义务</t>
        </is>
      </c>
      <c r="H11" s="547" t="n"/>
      <c r="I11" s="548" t="n"/>
    </row>
    <row r="12" ht="19.95" customHeight="1" s="526">
      <c r="A12" s="550" t="inlineStr">
        <is>
          <t xml:space="preserve">D.应交税费以恰当的金额包括在财务报表中，与之相关的计价或分摊调整已恰当记录，相关披露已得到恰当计量和描述 </t>
        </is>
      </c>
      <c r="B12" s="547" t="n"/>
      <c r="C12" s="547" t="n"/>
      <c r="D12" s="547" t="n"/>
      <c r="E12" s="547" t="n"/>
      <c r="F12" s="548" t="n"/>
      <c r="G12" s="551" t="inlineStr">
        <is>
          <t>准确性、计价和分摊</t>
        </is>
      </c>
      <c r="H12" s="547" t="n"/>
      <c r="I12" s="548" t="n"/>
    </row>
    <row r="13" ht="19.95" customHeight="1" s="526">
      <c r="A13" s="550" t="inlineStr">
        <is>
          <t>E.应交税费已被恰当地汇总或分解且表述清楚，相关披露在按照企业会计准则的编制基础下是相关的、可理解的</t>
        </is>
      </c>
      <c r="B13" s="547" t="n"/>
      <c r="C13" s="547" t="n"/>
      <c r="D13" s="547" t="n"/>
      <c r="E13" s="547" t="n"/>
      <c r="F13" s="548" t="n"/>
      <c r="G13" s="551" t="inlineStr">
        <is>
          <t>列报</t>
        </is>
      </c>
      <c r="H13" s="547" t="n"/>
      <c r="I13" s="548" t="n"/>
    </row>
    <row r="14" ht="20.1" customHeight="1" s="526">
      <c r="A14" s="539" t="inlineStr">
        <is>
          <t>三、计划实施的实质性程序</t>
        </is>
      </c>
      <c r="B14" s="530" t="n"/>
      <c r="C14" s="544" t="n"/>
      <c r="D14" s="552" t="n"/>
      <c r="E14" s="552" t="n"/>
      <c r="F14" s="552" t="n"/>
      <c r="G14" s="552" t="n"/>
      <c r="H14" s="552" t="n"/>
      <c r="I14" s="545" t="n"/>
    </row>
    <row r="15" ht="20.1" customHeight="1" s="526">
      <c r="A15" s="404" t="inlineStr">
        <is>
          <t>序号</t>
        </is>
      </c>
      <c r="B15" s="553" t="inlineStr">
        <is>
          <t>审计程序</t>
        </is>
      </c>
      <c r="C15" s="546" t="inlineStr">
        <is>
          <t>程序分类</t>
        </is>
      </c>
      <c r="D15" s="554" t="inlineStr">
        <is>
          <t>财务报表的认定</t>
        </is>
      </c>
      <c r="E15" s="547" t="n"/>
      <c r="F15" s="547" t="n"/>
      <c r="G15" s="547" t="n"/>
      <c r="H15" s="548" t="n"/>
      <c r="I15" s="555" t="inlineStr">
        <is>
          <t>底稿索引号</t>
        </is>
      </c>
    </row>
    <row r="16" ht="38.25" customHeight="1" s="526">
      <c r="A16" s="556" t="n"/>
      <c r="B16" s="556" t="n"/>
      <c r="C16" s="556" t="n"/>
      <c r="D16" s="546" t="inlineStr">
        <is>
          <t>存在</t>
        </is>
      </c>
      <c r="E16" s="546" t="inlineStr">
        <is>
          <t>完整性</t>
        </is>
      </c>
      <c r="F16" s="546" t="inlineStr">
        <is>
          <t>权利和义务</t>
        </is>
      </c>
      <c r="G16" s="546" t="inlineStr">
        <is>
          <t>准确性、计价和分摊</t>
        </is>
      </c>
      <c r="H16" s="546" t="inlineStr">
        <is>
          <t>列报</t>
        </is>
      </c>
      <c r="I16" s="556" t="n"/>
      <c r="J16" s="557" t="inlineStr">
        <is>
          <t>根据被审计单位实际情况和风险评估情况裁剪、修改或增加审计程序</t>
        </is>
      </c>
    </row>
    <row r="17" ht="108" customHeight="1" s="526">
      <c r="A17" s="558" t="n">
        <v>1</v>
      </c>
      <c r="B17" s="550" t="inlineStr">
        <is>
          <t>获取应交税费明细表,编制审定表，并完成下面工作。
（1）复核加计正确，与总账、明细账合计数核对是否相符，期初余额与上期审定期末余额是否相符；
（2）分析应交税费存在借方余额的项目，查明原因，判断是否由被审计单位预缴税款引起。
（3）注意印花税、耕地占用税以及其他不需要预计应缴数的税金有无误记入应交税费项目。
（4)如期初存在延期纳税的事项，检查是否经过税务机关批准。是否存在长期欠缴的应交税金，关注合理性。</t>
        </is>
      </c>
      <c r="C17" s="551" t="inlineStr">
        <is>
          <t>常规★</t>
        </is>
      </c>
      <c r="D17" s="559" t="inlineStr">
        <is>
          <t>√</t>
        </is>
      </c>
      <c r="E17" s="559" t="inlineStr">
        <is>
          <t>√</t>
        </is>
      </c>
      <c r="F17" s="560" t="n"/>
      <c r="G17" s="561" t="inlineStr">
        <is>
          <t>√</t>
        </is>
      </c>
      <c r="H17" s="562" t="n"/>
      <c r="I17" s="563" t="inlineStr">
        <is>
          <t>N2-1
/N2-2</t>
        </is>
      </c>
    </row>
    <row r="18" ht="48" customHeight="1" s="526">
      <c r="A18" s="558" t="n">
        <v>2</v>
      </c>
      <c r="B18" s="564"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551" t="inlineStr">
        <is>
          <t>常规★</t>
        </is>
      </c>
      <c r="D18" s="560" t="n"/>
      <c r="E18" s="561" t="inlineStr">
        <is>
          <t>√</t>
        </is>
      </c>
      <c r="F18" s="560" t="n"/>
      <c r="G18" s="559" t="inlineStr">
        <is>
          <t>√</t>
        </is>
      </c>
      <c r="H18" s="565" t="n"/>
      <c r="I18" s="566" t="inlineStr">
        <is>
          <t>T1</t>
        </is>
      </c>
      <c r="J18" s="567"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row>
    <row r="19" ht="46.5" customHeight="1" s="526">
      <c r="A19" s="558" t="n">
        <v>3</v>
      </c>
      <c r="B19" s="568" t="inlineStr">
        <is>
          <t>获取前期纳税申报表和其他有持续影响的税收文件资料，确认应交税费余额与纳税申报表税务机关认定金额一致；检查期初金额在本期缴纳情况；如果发现税收申报等存在异常，考虑向税务专家咨询。（适用于首次承接）</t>
        </is>
      </c>
      <c r="C19" s="569" t="inlineStr">
        <is>
          <t>备选</t>
        </is>
      </c>
      <c r="D19" s="559" t="inlineStr">
        <is>
          <t>√</t>
        </is>
      </c>
      <c r="E19" s="561" t="inlineStr">
        <is>
          <t>√</t>
        </is>
      </c>
      <c r="F19" s="559" t="inlineStr">
        <is>
          <t>√</t>
        </is>
      </c>
      <c r="G19" s="559" t="inlineStr">
        <is>
          <t>√</t>
        </is>
      </c>
      <c r="H19" s="565" t="n"/>
      <c r="I19" s="563" t="n"/>
      <c r="J19" s="567"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c r="K19" s="570" t="n"/>
    </row>
    <row r="20" ht="69" customHeight="1" s="526">
      <c r="A20" s="558" t="n">
        <v>4</v>
      </c>
      <c r="B20" s="568" t="inlineStr">
        <is>
          <t>取得被审计单位的纳税鉴定、纳税通知、减免税批准文件等，了解被审计单位适用的税种、附加税费、计税（费）基础、税（费）率，以及征、免、减税（费）的范围与期限。如果被审计单位适用特定的税基式优惠或税额式优惠、或减低适用税率的，且该项税收优惠需办理规定的审批或备案手续的，应检查相关的手续是否完整、有效。连续接受委托时，关注其变化情况。</t>
        </is>
      </c>
      <c r="C20" s="551" t="inlineStr">
        <is>
          <t>常规★</t>
        </is>
      </c>
      <c r="D20" s="559" t="n"/>
      <c r="E20" s="561" t="inlineStr">
        <is>
          <t>√</t>
        </is>
      </c>
      <c r="F20" s="562" t="n"/>
      <c r="G20" s="561" t="inlineStr">
        <is>
          <t>√</t>
        </is>
      </c>
      <c r="H20" s="562" t="n"/>
      <c r="I20" s="563" t="inlineStr">
        <is>
          <t>N2-4</t>
        </is>
      </c>
      <c r="J20" s="571" t="inlineStr">
        <is>
          <t>应交税费中的由被审计单位生成的信息例如：发票清单、报税清单等</t>
        </is>
      </c>
      <c r="K20" s="570" t="n"/>
    </row>
    <row r="21" ht="61.2" customHeight="1" s="526">
      <c r="A21" s="558" t="n">
        <v>5</v>
      </c>
      <c r="B21" s="550" t="inlineStr">
        <is>
          <t xml:space="preserve">取得税务部门汇算清缴或其他确认文件、有关政府部门的专项检查报告、税务代理机构专业报告、被审计单位纳税申报资料等，分析其有效性，并与上述明细表及账面数据进行核对。对于超过法定交纳期限的税费，取得主管税务机关的批准文件。确定相关税务调整是否恰当记录，确定重大罚款或其他涉税负债的会计处理是否正确。 </t>
        </is>
      </c>
      <c r="C21" s="551" t="inlineStr">
        <is>
          <t>常规★</t>
        </is>
      </c>
      <c r="D21" s="562" t="n"/>
      <c r="E21" s="561" t="inlineStr">
        <is>
          <t>√</t>
        </is>
      </c>
      <c r="F21" s="561" t="inlineStr">
        <is>
          <t>√</t>
        </is>
      </c>
      <c r="G21" s="561" t="inlineStr">
        <is>
          <t>√</t>
        </is>
      </c>
      <c r="H21" s="562" t="n"/>
      <c r="I21" s="563" t="inlineStr">
        <is>
          <t>N2-5</t>
        </is>
      </c>
    </row>
    <row r="22" ht="225.6" customHeight="1" s="526">
      <c r="A22" s="558" t="n">
        <v>6</v>
      </c>
      <c r="B22" s="550" t="inlineStr">
        <is>
          <t>检查应交增值税：
（1）获取或编制应交增值税测算表，复核加计正确，并与明细账核对相符。
（2）检查适用税率是否符合税法规定。
（3）将“应交增值税测算表”与被审计单位增值税纳税申报表进行核对，检查进项、销项的入账与申报期间是否一致，金额是否相符，增值税纳税申报表有无经税务机关认定。
(4)通过“原材料”等相关科目匡算增值税进项税是否合理。
(5)抽取一定期间的进项税抵扣汇总表，与应交增值税明细表相关数额合计数核对，如有差异，查明原因并作适当处理。
(6)检查重要的进项税发票、海关完税凭证、收购凭证或运费发票等支持性文件，与网上申报系统进行核对,并注意进口货物、购进的免税农产品或废旧物资、支付运费、接受投资或捐赠、接受应税劳务等应计的进项税额是否按规定进行了会计处理,检查某些特殊事项的进项税处理是否正确（如存货改变用途或发生非常损失应计的进项税转出数的计算），确定会计处理是否正确。
(7)根据与增值税销项税额相关的账户审定的有关数据，复核销项税额存货销售,或视同销售（例如，将存货用于投资、无偿馈赠他人、分配给股东（或投资者）应计的销项税额，以及将自产、委托加工的产品用于非应税项目）的计税依据确定是否正确，以及应计的销项税额的计算是否正确，确定会计处理是否正确。</t>
        </is>
      </c>
      <c r="C22" s="551" t="inlineStr">
        <is>
          <t>常规★</t>
        </is>
      </c>
      <c r="D22" s="561" t="inlineStr">
        <is>
          <t>√</t>
        </is>
      </c>
      <c r="E22" s="561" t="inlineStr">
        <is>
          <t>√</t>
        </is>
      </c>
      <c r="F22" s="562" t="n"/>
      <c r="G22" s="561" t="inlineStr">
        <is>
          <t>√</t>
        </is>
      </c>
      <c r="H22" s="562" t="n"/>
      <c r="I22" s="563" t="inlineStr">
        <is>
          <t>N2-6</t>
        </is>
      </c>
      <c r="J22" s="570" t="n"/>
    </row>
    <row r="23" ht="39" customHeight="1" s="526">
      <c r="A23" s="558" t="n">
        <v>7</v>
      </c>
      <c r="B23" s="550" t="inlineStr">
        <is>
          <t>根据普通发票或增值税发票申报表，估算全年的收入，与实际入账收入金额核对，并检查是否存在虚开发票或已销售但未开发票的情况。</t>
        </is>
      </c>
      <c r="C23" s="572" t="inlineStr">
        <is>
          <t>IPO/上市公司/新三板/舞弊应对</t>
        </is>
      </c>
      <c r="D23" s="561" t="n"/>
      <c r="E23" s="559" t="n"/>
      <c r="F23" s="562" t="n"/>
      <c r="G23" s="561" t="inlineStr">
        <is>
          <t>√</t>
        </is>
      </c>
      <c r="H23" s="562" t="n"/>
      <c r="I23" s="573" t="inlineStr">
        <is>
          <t>D4-23</t>
        </is>
      </c>
      <c r="J23" s="574" t="n"/>
    </row>
    <row r="24" ht="43.95" customHeight="1" s="526">
      <c r="A24" s="558" t="n">
        <v>8</v>
      </c>
      <c r="B24" s="550" t="inlineStr">
        <is>
          <t>对于采用差额纳税的交通运输业、物流辅助服务、融资租赁、代理行业等行业，应检查扣除的价款是否符合税务机关的规定，计算是否正确，会计处理是否适当。</t>
        </is>
      </c>
      <c r="C24" s="551" t="inlineStr">
        <is>
          <t>备选</t>
        </is>
      </c>
      <c r="D24" s="562" t="n"/>
      <c r="E24" s="562" t="n"/>
      <c r="F24" s="562" t="n"/>
      <c r="G24" s="561" t="inlineStr">
        <is>
          <t>√</t>
        </is>
      </c>
      <c r="H24" s="562" t="n"/>
      <c r="I24" s="563" t="n"/>
    </row>
    <row r="25" ht="36.45" customHeight="1" s="526">
      <c r="A25" s="558" t="n">
        <v>9</v>
      </c>
      <c r="B25" s="550" t="inlineStr">
        <is>
          <t>获取《出口货物退（免）税申报表》及办理出口退税有关凭证，复核出口货物退税的计算是否正确，是否按规定进行了会计处理。</t>
        </is>
      </c>
      <c r="C25" s="551" t="inlineStr">
        <is>
          <t>备选</t>
        </is>
      </c>
      <c r="D25" s="562" t="n"/>
      <c r="E25" s="562" t="n"/>
      <c r="F25" s="562" t="n"/>
      <c r="G25" s="561" t="inlineStr">
        <is>
          <t>√</t>
        </is>
      </c>
      <c r="H25" s="562" t="n"/>
      <c r="I25" s="563" t="inlineStr">
        <is>
          <t>N2-7</t>
        </is>
      </c>
    </row>
    <row r="26" ht="34.95" customHeight="1" s="526">
      <c r="A26" s="558" t="n">
        <v>10</v>
      </c>
      <c r="B26" s="550" t="inlineStr">
        <is>
          <t>对经主管税务机关批准实行核定征收率征收增值税的被审计单位，检查是否按照有关规定正确执行。</t>
        </is>
      </c>
      <c r="C26" s="551" t="inlineStr">
        <is>
          <t>常规★</t>
        </is>
      </c>
      <c r="D26" s="562" t="n"/>
      <c r="E26" s="562" t="n"/>
      <c r="F26" s="562" t="n"/>
      <c r="G26" s="561" t="inlineStr">
        <is>
          <t>√</t>
        </is>
      </c>
      <c r="H26" s="562" t="n"/>
      <c r="I26" s="563" t="n"/>
    </row>
    <row r="27" ht="30.45" customHeight="1" s="526">
      <c r="A27" s="558" t="n">
        <v>11</v>
      </c>
      <c r="B27" s="550" t="inlineStr">
        <is>
          <t>将资产负债表日的应交增值税或可抵扣额与支持性文件进行核对，关注期后的缴纳或支付情况。</t>
        </is>
      </c>
      <c r="C27" s="551" t="inlineStr">
        <is>
          <t>常规★</t>
        </is>
      </c>
      <c r="D27" s="561" t="inlineStr">
        <is>
          <t>√</t>
        </is>
      </c>
      <c r="E27" s="562" t="n"/>
      <c r="F27" s="562" t="n"/>
      <c r="G27" s="559" t="inlineStr">
        <is>
          <t>√</t>
        </is>
      </c>
      <c r="H27" s="562" t="n"/>
      <c r="I27" s="563" t="n"/>
    </row>
    <row r="28" ht="175.2" customHeight="1" s="526">
      <c r="A28" s="558" t="n">
        <v>12</v>
      </c>
      <c r="B28" s="550" t="inlineStr">
        <is>
          <t>对于应交和已交消费税、资源税、城建税、教育费附加、地方教育费附加、车船税、房产税、土地使用税等其他税项进行测算，核对计提金额是否正确，会计处理是否适当。
（1）结合税金及附加等项目的审计，根据审定的当期营业额、或其他计税基础等相关数据，检查各项税费的计税依据是否正确，适用税率是否符合税法规定，是否按规定进行了会计处理，并分项复核本期应交数。
（2）检查本期已交税款，确定已交税款的正确性。
（3）与纳税申报表核对，复核应交税费余额的合理性。
（4）对于车船使用税和房产税：
①获取被审计单位自有车船数量、吨位（或座位）及自有房屋建筑面积、用途、造价（购入原价）、购建年月等资料，并与固定资产（含融资租入固定资产）明细账复核一致；了解其使用、停用时间及其原因等情况；
②通过审核本期完税单，检查其是否如实申报和按期缴纳，是否按规定进行了会计处理。</t>
        </is>
      </c>
      <c r="C28" s="551" t="inlineStr">
        <is>
          <t>常规★</t>
        </is>
      </c>
      <c r="D28" s="559" t="inlineStr">
        <is>
          <t>√</t>
        </is>
      </c>
      <c r="E28" s="561" t="inlineStr">
        <is>
          <t>√</t>
        </is>
      </c>
      <c r="F28" s="562" t="n"/>
      <c r="G28" s="561" t="inlineStr">
        <is>
          <t>√</t>
        </is>
      </c>
      <c r="H28" s="562" t="n"/>
      <c r="I28" s="563" t="inlineStr">
        <is>
          <t xml:space="preserve">N2-8
/N2-9
</t>
        </is>
      </c>
    </row>
    <row r="29" ht="90" customHeight="1" s="526">
      <c r="A29" s="558" t="n"/>
      <c r="B29" s="550" t="inlineStr">
        <is>
          <t>对于土地增值税进行测算，核对计提金额是否正确，会计处理是否适当。
（1）根据审定的预售房地产的预收账款，复核预交税款是否准确。
（2）对符合项目清算条件的房地产开发项目，检查被审计单位是否按规定进行土地增值税清算；如果被审计单位已聘请中介机构办理土地增值税清算鉴证的，应检查、核对相关鉴证报告。
（3）如果被审计单位被主管税务机关核定征收土地增值税的，应检查、核对相关的手续。</t>
        </is>
      </c>
      <c r="C29" s="551" t="inlineStr">
        <is>
          <t>备选</t>
        </is>
      </c>
      <c r="D29" s="559" t="inlineStr">
        <is>
          <t>√</t>
        </is>
      </c>
      <c r="E29" s="561" t="inlineStr">
        <is>
          <t>√</t>
        </is>
      </c>
      <c r="F29" s="562" t="n"/>
      <c r="G29" s="561" t="inlineStr">
        <is>
          <t>√</t>
        </is>
      </c>
      <c r="H29" s="562" t="n"/>
      <c r="I29" s="563" t="inlineStr">
        <is>
          <t>N2-10</t>
        </is>
      </c>
    </row>
    <row r="30" ht="20.1" customHeight="1" s="526">
      <c r="A30" s="558" t="n">
        <v>13</v>
      </c>
      <c r="B30" s="550" t="inlineStr">
        <is>
          <t>检査矿产资源补偿费等的计算是否正确，是否按规定进行了会计处理</t>
        </is>
      </c>
      <c r="C30" s="551" t="inlineStr">
        <is>
          <t>备选</t>
        </is>
      </c>
      <c r="D30" s="551" t="n"/>
      <c r="E30" s="551" t="n"/>
      <c r="F30" s="551" t="n"/>
      <c r="G30" s="561" t="inlineStr">
        <is>
          <t>√</t>
        </is>
      </c>
      <c r="H30" s="551" t="n"/>
      <c r="I30" s="563" t="n"/>
    </row>
    <row r="31" ht="45.75" customHeight="1" s="526">
      <c r="A31" s="558" t="n">
        <v>14</v>
      </c>
      <c r="B31" s="550" t="inlineStr">
        <is>
          <t>结合所得税底稿，复核应交企业所得税的计算是否正确，是否按规定进行了会计处理；抽查本期已交所得税资料，确定已交数的正确性。汇总纳税企业所得税汇算清缴，并按税法规定追加相应的程序。</t>
        </is>
      </c>
      <c r="C31" s="551" t="inlineStr">
        <is>
          <t>常规★</t>
        </is>
      </c>
      <c r="D31" s="551" t="n"/>
      <c r="E31" s="551" t="n"/>
      <c r="F31" s="551" t="n"/>
      <c r="G31" s="561" t="inlineStr">
        <is>
          <t>√</t>
        </is>
      </c>
      <c r="H31" s="551" t="n"/>
      <c r="I31" s="563" t="n"/>
    </row>
    <row r="32" ht="22.2" customHeight="1" s="526">
      <c r="A32" s="558" t="n">
        <v>15</v>
      </c>
      <c r="B32" s="562" t="inlineStr">
        <is>
          <t>抽查应交税费相关的凭证，检查是否有合法依据，会计处理是否正确。</t>
        </is>
      </c>
      <c r="C32" s="551" t="inlineStr">
        <is>
          <t>常规★</t>
        </is>
      </c>
      <c r="D32" s="561" t="inlineStr">
        <is>
          <t>√</t>
        </is>
      </c>
      <c r="E32" s="559" t="n"/>
      <c r="F32" s="559" t="inlineStr">
        <is>
          <t>√</t>
        </is>
      </c>
      <c r="G32" s="559" t="inlineStr">
        <is>
          <t>√</t>
        </is>
      </c>
      <c r="H32" s="551" t="n"/>
      <c r="I32" s="563" t="inlineStr">
        <is>
          <t>N2-11</t>
        </is>
      </c>
    </row>
    <row r="33" ht="40.5" customHeight="1" s="526">
      <c r="A33" s="558" t="n">
        <v>16</v>
      </c>
      <c r="B33" s="562" t="inlineStr">
        <is>
          <t>确定当期企业的各项税费申报计缴情况是否被税务机关检查，如是，则对于已完成的检查，获取检查报告复印件及税务部门对额外金额的评估。对于正在进行的检查，确定是否需要额外的预提。</t>
        </is>
      </c>
      <c r="C33" s="551" t="inlineStr">
        <is>
          <t>常规★</t>
        </is>
      </c>
      <c r="D33" s="559" t="n"/>
      <c r="E33" s="561" t="inlineStr">
        <is>
          <t>√</t>
        </is>
      </c>
      <c r="F33" s="559" t="inlineStr">
        <is>
          <t>√</t>
        </is>
      </c>
      <c r="G33" s="559" t="inlineStr">
        <is>
          <t>√</t>
        </is>
      </c>
      <c r="H33" s="551" t="n"/>
      <c r="I33" s="563" t="n"/>
    </row>
    <row r="34" ht="46.5" customHeight="1" s="526">
      <c r="A34" s="558" t="n">
        <v>17</v>
      </c>
      <c r="B34" s="575" t="inlineStr">
        <is>
          <t>考虑取得税务机关出具的纳税证明文件的复印件，并与网上电子数据核对。检查发票等重要原始凭证时，关注销售客户有无异常的注册地、联系方式、银行账号等情况，必要时通过全国发票系统检查各项税费发票的真实性。</t>
        </is>
      </c>
      <c r="C34" s="572" t="inlineStr">
        <is>
          <t>IPO/上市公司/新三板/舞弊应对</t>
        </is>
      </c>
      <c r="D34" s="559" t="inlineStr">
        <is>
          <t>√</t>
        </is>
      </c>
      <c r="E34" s="561" t="inlineStr">
        <is>
          <t>√</t>
        </is>
      </c>
      <c r="F34" s="559" t="inlineStr">
        <is>
          <t>√</t>
        </is>
      </c>
      <c r="G34" s="559" t="inlineStr">
        <is>
          <t>√</t>
        </is>
      </c>
      <c r="H34" s="562" t="n"/>
      <c r="I34" s="563" t="n"/>
      <c r="J34" s="574" t="n"/>
    </row>
    <row r="35" ht="41.4" customHeight="1" s="526">
      <c r="A35" s="558" t="n">
        <v>18</v>
      </c>
      <c r="B35" s="550" t="inlineStr">
        <is>
          <t>根据评估的舞弊风险等因素增加的审计程序。</t>
        </is>
      </c>
      <c r="C35" s="572" t="inlineStr">
        <is>
          <t>IPO/上市公司/新三板/舞弊应对</t>
        </is>
      </c>
      <c r="D35" s="562" t="n"/>
      <c r="E35" s="562" t="n"/>
      <c r="F35" s="562" t="n"/>
      <c r="G35" s="562" t="n"/>
      <c r="H35" s="562" t="n"/>
      <c r="I35" s="563" t="n"/>
    </row>
    <row r="36" ht="31.2" customHeight="1" s="526">
      <c r="A36" s="558" t="n">
        <v>19</v>
      </c>
      <c r="B36" s="576" t="inlineStr">
        <is>
          <t>检查应交税费是否已按企业会计准则或其他适用的规定在财务报表中做出恰当列报和披露。</t>
        </is>
      </c>
      <c r="C36" s="551" t="inlineStr">
        <is>
          <t>常规★</t>
        </is>
      </c>
      <c r="D36" s="562" t="n"/>
      <c r="E36" s="562" t="n"/>
      <c r="F36" s="562" t="n"/>
      <c r="G36" s="562" t="n"/>
      <c r="H36" s="562" t="n"/>
      <c r="I36" s="577" t="inlineStr">
        <is>
          <t>A1-1/A1-15 /A1-16</t>
        </is>
      </c>
    </row>
  </sheetData>
  <mergeCells count="23">
    <mergeCell ref="G10:I10"/>
    <mergeCell ref="G13:I13"/>
    <mergeCell ref="A12:F12"/>
    <mergeCell ref="A2:I2"/>
    <mergeCell ref="A8:F8"/>
    <mergeCell ref="A3:B3"/>
    <mergeCell ref="B15:B16"/>
    <mergeCell ref="A10:F10"/>
    <mergeCell ref="A13:F13"/>
    <mergeCell ref="A9:F9"/>
    <mergeCell ref="A5:B5"/>
    <mergeCell ref="G9:I9"/>
    <mergeCell ref="A14:B14"/>
    <mergeCell ref="G12:I12"/>
    <mergeCell ref="G11:I11"/>
    <mergeCell ref="A4:B4"/>
    <mergeCell ref="A11:F11"/>
    <mergeCell ref="D15:H15"/>
    <mergeCell ref="A1:I1"/>
    <mergeCell ref="G8:I8"/>
    <mergeCell ref="A15:A16"/>
    <mergeCell ref="C15:C16"/>
    <mergeCell ref="I15:I16"/>
  </mergeCells>
  <hyperlinks>
    <hyperlink ref="I3" location="底稿目录!A1" display="D8A"/>
  </hyperlinks>
  <pageMargins left="0.708333333333333" right="0.708333333333333" top="0.747916666666667" bottom="0.747916666666667" header="0.314583333333333" footer="0.314583333333333"/>
  <pageSetup orientation="portrait" paperSize="9" scale="70" blackAndWhite="1" horizontalDpi="1200" verticalDpi="1200"/>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79"/>
  <sheetViews>
    <sheetView view="pageBreakPreview" topLeftCell="A49" zoomScaleNormal="100" workbookViewId="0">
      <selection activeCell="K66" sqref="K66"/>
    </sheetView>
  </sheetViews>
  <sheetFormatPr baseColWidth="8" defaultColWidth="9" defaultRowHeight="12.9" customHeight="1"/>
  <cols>
    <col width="11.59765625" customWidth="1" style="578" min="1" max="1"/>
    <col width="14.09765625" customWidth="1" style="578" min="2" max="2"/>
    <col width="53.5" customWidth="1" style="578" min="3" max="3"/>
    <col width="9" customWidth="1" style="578" min="4" max="6"/>
    <col width="8.69921875" customWidth="1" style="578" min="7" max="7"/>
    <col width="11.8984375" customWidth="1" style="578" min="8" max="8"/>
    <col width="9" customWidth="1" style="578" min="9" max="9"/>
    <col width="11.69921875" customWidth="1" style="578" min="10" max="10"/>
    <col width="9" customWidth="1" style="578" min="11" max="11"/>
    <col width="43.5" customWidth="1" style="579" min="12" max="12"/>
    <col width="9" customWidth="1" style="578" min="13" max="16384"/>
  </cols>
  <sheetData>
    <row r="1" ht="21.75" customHeight="1" s="526">
      <c r="A1" s="580" t="inlineStr">
        <is>
          <t>致同会计师事务所</t>
        </is>
      </c>
    </row>
    <row r="2" ht="24.75" customHeight="1" s="526">
      <c r="A2" s="581" t="inlineStr">
        <is>
          <t>应交税费实质性程序表</t>
        </is>
      </c>
    </row>
    <row r="3" ht="18" customHeight="1" s="526">
      <c r="A3" s="582">
        <f>底稿目录!A2</f>
        <v/>
      </c>
      <c r="B3" s="530" t="n"/>
      <c r="C3" s="530" t="n"/>
      <c r="D3" s="583">
        <f>底稿目录!A4</f>
        <v/>
      </c>
      <c r="E3" s="583" t="n"/>
      <c r="F3" s="583" t="n"/>
      <c r="G3" s="584">
        <f>底稿目录!A5</f>
        <v/>
      </c>
      <c r="H3" s="583" t="n"/>
      <c r="I3" s="585" t="n"/>
      <c r="J3" s="586" t="inlineStr">
        <is>
          <t>索引号：O1A</t>
        </is>
      </c>
    </row>
    <row r="4" ht="16.5" customHeight="1" s="526">
      <c r="A4" s="582">
        <f>底稿目录!A3</f>
        <v/>
      </c>
      <c r="B4" s="530" t="n"/>
      <c r="C4" s="530" t="n"/>
      <c r="D4" s="583">
        <f>底稿目录!A6</f>
        <v/>
      </c>
      <c r="E4" s="583" t="n"/>
      <c r="F4" s="583" t="n"/>
      <c r="G4" s="587">
        <f>底稿目录!A7</f>
        <v/>
      </c>
      <c r="H4" s="583" t="n"/>
      <c r="I4" s="585" t="n"/>
      <c r="J4" s="588" t="inlineStr">
        <is>
          <t>页  次：</t>
        </is>
      </c>
    </row>
    <row r="5" ht="12.9" customHeight="1" s="526">
      <c r="A5" s="588" t="inlineStr">
        <is>
          <t>一、本账户涉及的科目</t>
        </is>
      </c>
      <c r="B5" s="530" t="n"/>
      <c r="C5" s="530" t="n"/>
      <c r="D5" s="589" t="n"/>
      <c r="E5" s="589" t="n"/>
      <c r="F5" s="589" t="n"/>
      <c r="G5" s="590" t="n"/>
      <c r="H5" s="589" t="n"/>
      <c r="I5" s="591" t="n"/>
      <c r="J5" s="591" t="n"/>
    </row>
    <row r="6" ht="12.9" customHeight="1" s="526">
      <c r="A6" s="592" t="inlineStr">
        <is>
          <t>应交税费</t>
        </is>
      </c>
      <c r="B6" s="547" t="n"/>
      <c r="C6" s="547" t="n"/>
      <c r="D6" s="547" t="n"/>
      <c r="E6" s="547" t="n"/>
      <c r="F6" s="547" t="n"/>
      <c r="G6" s="547" t="n"/>
      <c r="H6" s="547" t="n"/>
      <c r="I6" s="547" t="n"/>
      <c r="J6" s="548" t="n"/>
    </row>
    <row r="7" ht="12.9" customHeight="1" s="526">
      <c r="A7" s="94" t="inlineStr">
        <is>
          <t>二、重大错报风险需从实质性程序获取的保证程度</t>
        </is>
      </c>
      <c r="B7" s="94" t="n"/>
      <c r="C7" s="588" t="n"/>
      <c r="D7" s="593" t="n"/>
      <c r="E7" s="583" t="n"/>
      <c r="F7" s="583" t="n"/>
      <c r="G7" s="584" t="n"/>
      <c r="H7" s="583" t="n"/>
      <c r="I7" s="586" t="n"/>
      <c r="J7" s="586" t="n"/>
    </row>
    <row r="8" ht="12.9" customHeight="1" s="526">
      <c r="A8" s="594" t="inlineStr">
        <is>
          <t>审计目标与认定对应关系</t>
        </is>
      </c>
      <c r="B8" s="595" t="n"/>
      <c r="C8" s="596" t="n"/>
      <c r="D8" s="597" t="inlineStr">
        <is>
          <t xml:space="preserve">财务报表的认定　</t>
        </is>
      </c>
      <c r="E8" s="547" t="n"/>
      <c r="F8" s="547" t="n"/>
      <c r="G8" s="547" t="n"/>
      <c r="H8" s="548" t="n"/>
      <c r="I8" s="598" t="inlineStr">
        <is>
          <t>信赖/不信赖/不适用</t>
        </is>
      </c>
      <c r="J8" s="599" t="inlineStr">
        <is>
          <t>索引号</t>
        </is>
      </c>
    </row>
    <row r="9" ht="12.9" customHeight="1" s="526">
      <c r="A9" s="600" t="n"/>
      <c r="B9" s="601" t="n"/>
      <c r="C9" s="602" t="n"/>
      <c r="D9" s="603" t="inlineStr">
        <is>
          <t>存在</t>
        </is>
      </c>
      <c r="E9" s="603" t="inlineStr">
        <is>
          <t>完整性</t>
        </is>
      </c>
      <c r="F9" s="603" t="inlineStr">
        <is>
          <t>权利和义务</t>
        </is>
      </c>
      <c r="G9" s="604" t="inlineStr">
        <is>
          <t>计价和分摊</t>
        </is>
      </c>
      <c r="H9" s="603" t="inlineStr">
        <is>
          <t>列报与披露</t>
        </is>
      </c>
      <c r="I9" s="556" t="n"/>
      <c r="J9" s="556" t="n"/>
    </row>
    <row r="10" ht="12.9" customHeight="1" s="526">
      <c r="A10" s="605" t="inlineStr">
        <is>
          <t>A.资产负债表中记录的应交税费是存在的。</t>
        </is>
      </c>
      <c r="B10" s="547" t="n"/>
      <c r="C10" s="548" t="n"/>
      <c r="D10" s="603" t="inlineStr">
        <is>
          <t>√</t>
        </is>
      </c>
      <c r="E10" s="603" t="n"/>
      <c r="F10" s="603" t="n"/>
      <c r="G10" s="604" t="n"/>
      <c r="H10" s="603" t="n"/>
      <c r="I10" s="599" t="n"/>
      <c r="J10" s="606" t="n"/>
    </row>
    <row r="11" ht="12.9" customHeight="1" s="526">
      <c r="A11" s="605" t="inlineStr">
        <is>
          <t xml:space="preserve">B.所有应当记录的应交税费均已记录。 </t>
        </is>
      </c>
      <c r="B11" s="547" t="n"/>
      <c r="C11" s="548" t="n"/>
      <c r="D11" s="607" t="n"/>
      <c r="E11" s="603" t="inlineStr">
        <is>
          <t>√</t>
        </is>
      </c>
      <c r="F11" s="603" t="n"/>
      <c r="G11" s="604" t="n"/>
      <c r="H11" s="603" t="n"/>
      <c r="I11" s="599" t="n"/>
      <c r="J11" s="606" t="n"/>
    </row>
    <row r="12" ht="12.9" customHeight="1" s="526">
      <c r="A12" s="605" t="inlineStr">
        <is>
          <t>C.记录的应交税费是被审计单位应当履行的现实义务。</t>
        </is>
      </c>
      <c r="B12" s="547" t="n"/>
      <c r="C12" s="548" t="n"/>
      <c r="D12" s="607" t="n"/>
      <c r="E12" s="603" t="n"/>
      <c r="F12" s="603" t="inlineStr">
        <is>
          <t>√</t>
        </is>
      </c>
      <c r="G12" s="604" t="n"/>
      <c r="H12" s="603" t="n"/>
      <c r="I12" s="599" t="n"/>
      <c r="J12" s="606" t="n"/>
    </row>
    <row r="13" ht="12.9" customHeight="1" s="526">
      <c r="A13" s="605" t="inlineStr">
        <is>
          <t>D.应交税费以恰当的金额包括在财务报表中，与之相关的计价调整已恰当记录。</t>
        </is>
      </c>
      <c r="B13" s="547" t="n"/>
      <c r="C13" s="548" t="n"/>
      <c r="D13" s="607" t="n"/>
      <c r="E13" s="603" t="n"/>
      <c r="F13" s="603" t="n"/>
      <c r="G13" s="604" t="inlineStr">
        <is>
          <t>√</t>
        </is>
      </c>
      <c r="H13" s="603" t="n"/>
      <c r="I13" s="599" t="n"/>
      <c r="J13" s="606" t="n"/>
    </row>
    <row r="14" ht="12.9" customHeight="1" s="526">
      <c r="A14" s="605" t="inlineStr">
        <is>
          <t>E.应交税费已按照企业会计准则的规定在财务报表中作出恰当列报。</t>
        </is>
      </c>
      <c r="B14" s="547" t="n"/>
      <c r="C14" s="548" t="n"/>
      <c r="D14" s="607" t="n"/>
      <c r="E14" s="603" t="n"/>
      <c r="F14" s="603" t="n"/>
      <c r="G14" s="604" t="n"/>
      <c r="H14" s="603" t="inlineStr">
        <is>
          <t>√</t>
        </is>
      </c>
      <c r="I14" s="599" t="n"/>
      <c r="J14" s="599" t="n"/>
    </row>
    <row r="15" ht="12.9" customHeight="1" s="526">
      <c r="A15" s="588" t="inlineStr">
        <is>
          <t>三、计划实施的实质性程序</t>
        </is>
      </c>
      <c r="B15" s="530" t="n"/>
      <c r="C15" s="530" t="n"/>
      <c r="D15" s="593" t="n"/>
      <c r="E15" s="583" t="n"/>
      <c r="F15" s="583" t="n"/>
      <c r="G15" s="584" t="n"/>
      <c r="H15" s="583" t="n"/>
      <c r="I15" s="586" t="n"/>
      <c r="J15" s="586" t="n"/>
    </row>
    <row r="16" ht="12.9" customHeight="1" s="526">
      <c r="A16" s="99" t="inlineStr">
        <is>
          <t>序号</t>
        </is>
      </c>
      <c r="B16" s="99" t="inlineStr">
        <is>
          <t>对应LEAP程序</t>
        </is>
      </c>
      <c r="C16" s="608" t="n"/>
      <c r="D16" s="608" t="inlineStr">
        <is>
          <t>程序分类</t>
        </is>
      </c>
      <c r="E16" s="609" t="inlineStr">
        <is>
          <t>审计目标</t>
        </is>
      </c>
      <c r="F16" s="547" t="n"/>
      <c r="G16" s="547" t="n"/>
      <c r="H16" s="548" t="n"/>
      <c r="I16" s="608" t="inlineStr">
        <is>
          <t>执行情况说明
（含底稿索引）</t>
        </is>
      </c>
      <c r="J16" s="548" t="n"/>
    </row>
    <row r="17" ht="12.9" customHeight="1" s="526">
      <c r="A17" s="610" t="inlineStr">
        <is>
          <t>（一）</t>
        </is>
      </c>
      <c r="B17" s="610" t="inlineStr">
        <is>
          <t>常规程序</t>
        </is>
      </c>
      <c r="C17" s="611" t="inlineStr">
        <is>
          <t>编制审定表</t>
        </is>
      </c>
      <c r="D17" s="612" t="inlineStr">
        <is>
          <t>常规★</t>
        </is>
      </c>
      <c r="E17" s="613" t="inlineStr">
        <is>
          <t>D</t>
        </is>
      </c>
      <c r="F17" s="547" t="n"/>
      <c r="G17" s="547" t="n"/>
      <c r="H17" s="547" t="n"/>
      <c r="I17" s="614" t="inlineStr">
        <is>
          <t>O1</t>
        </is>
      </c>
      <c r="J17" s="548" t="n"/>
      <c r="K17" s="578" t="inlineStr">
        <is>
          <t>整合</t>
        </is>
      </c>
    </row>
    <row r="18" ht="12.9" customHeight="1" s="526">
      <c r="A18" s="615" t="inlineStr">
        <is>
          <t>（二）</t>
        </is>
      </c>
      <c r="B18" s="610" t="inlineStr">
        <is>
          <t>常规程序</t>
        </is>
      </c>
      <c r="C18" s="616" t="inlineStr">
        <is>
          <t>获取应交税费明细表。</t>
        </is>
      </c>
      <c r="D18" s="612" t="inlineStr">
        <is>
          <t>常规★</t>
        </is>
      </c>
      <c r="E18" s="613" t="inlineStr">
        <is>
          <t>D</t>
        </is>
      </c>
      <c r="F18" s="547" t="n"/>
      <c r="G18" s="547" t="n"/>
      <c r="H18" s="547" t="n"/>
      <c r="I18" s="614" t="inlineStr">
        <is>
          <t>O1-2</t>
        </is>
      </c>
      <c r="J18" s="548" t="n"/>
      <c r="K18" s="578" t="inlineStr">
        <is>
          <t>整合</t>
        </is>
      </c>
      <c r="L18" s="617" t="inlineStr">
        <is>
          <t>获取应交税费明细表,编制审定表，并完成下面工作。
（1）复核加计正确 ，将总金额与总账核对。
（2）分析应交税费存在借方余额的项目，查明原因，判断是否由被审计单位预缴税款引起。
（3）注意印花税、耕地占用税以及其他不需要预计应缴数的税金有无误记入应交税费项目。
（4)如期初存在延期纳税的事项，检查是否经过税务机关批准。是否存在长期欠缴的应交税金，关注合理性。</t>
        </is>
      </c>
    </row>
    <row r="19" ht="15.6" customHeight="1" s="526">
      <c r="A19" s="618" t="n">
        <v>1</v>
      </c>
      <c r="B19" s="107" t="inlineStr">
        <is>
          <t>常规程序</t>
        </is>
      </c>
      <c r="C19" s="619" t="inlineStr">
        <is>
          <t xml:space="preserve">复核加计正确 </t>
        </is>
      </c>
      <c r="D19" s="620" t="inlineStr">
        <is>
          <t>常规★</t>
        </is>
      </c>
      <c r="E19" s="621" t="n"/>
      <c r="F19" s="547" t="n"/>
      <c r="G19" s="547" t="n"/>
      <c r="H19" s="547" t="n"/>
      <c r="I19" s="622" t="n"/>
      <c r="J19" s="548" t="n"/>
      <c r="L19" s="530" t="n"/>
    </row>
    <row r="20" ht="15.6" customHeight="1" s="526">
      <c r="A20" s="618" t="n">
        <v>2</v>
      </c>
      <c r="B20" s="107" t="inlineStr">
        <is>
          <t>常规程序</t>
        </is>
      </c>
      <c r="C20" s="623" t="inlineStr">
        <is>
          <t>将总金额与总账核对。</t>
        </is>
      </c>
      <c r="D20" s="620" t="inlineStr">
        <is>
          <t>常规★</t>
        </is>
      </c>
      <c r="E20" s="621" t="n"/>
      <c r="F20" s="547" t="n"/>
      <c r="G20" s="547" t="n"/>
      <c r="H20" s="547" t="n"/>
      <c r="I20" s="622" t="n"/>
      <c r="J20" s="548" t="n"/>
      <c r="L20" s="530" t="n"/>
    </row>
    <row r="21" ht="24" customHeight="1" s="526">
      <c r="A21" s="618" t="n">
        <v>3</v>
      </c>
      <c r="B21" s="107" t="inlineStr">
        <is>
          <t>常规程序</t>
        </is>
      </c>
      <c r="C21" s="624" t="inlineStr">
        <is>
          <t>分析应交税费存在借方余额的项目，查明原因，判断是否由被审计单位预缴税款引起。</t>
        </is>
      </c>
      <c r="D21" s="620" t="inlineStr">
        <is>
          <t>常规★</t>
        </is>
      </c>
      <c r="E21" s="621" t="n"/>
      <c r="F21" s="547" t="n"/>
      <c r="G21" s="547" t="n"/>
      <c r="H21" s="547" t="n"/>
      <c r="I21" s="622" t="n"/>
      <c r="J21" s="548" t="n"/>
      <c r="L21" s="530" t="n"/>
    </row>
    <row r="22" ht="24" customHeight="1" s="526">
      <c r="A22" s="618" t="n">
        <v>4</v>
      </c>
      <c r="B22" s="107" t="inlineStr">
        <is>
          <t>常规程序</t>
        </is>
      </c>
      <c r="C22" s="592" t="inlineStr">
        <is>
          <t>注意印花税、耕地占用税以及其他不需要预计应缴数的税金有无误记入应交税费项目。</t>
        </is>
      </c>
      <c r="D22" s="620" t="inlineStr">
        <is>
          <t>常规★</t>
        </is>
      </c>
      <c r="E22" s="621" t="n"/>
      <c r="F22" s="547" t="n"/>
      <c r="G22" s="547" t="n"/>
      <c r="H22" s="547" t="n"/>
      <c r="I22" s="622" t="n"/>
      <c r="J22" s="548" t="n"/>
      <c r="L22" s="530" t="n"/>
    </row>
    <row r="23" ht="24" customHeight="1" s="526">
      <c r="A23" s="618" t="n">
        <v>5</v>
      </c>
      <c r="B23" s="107" t="inlineStr">
        <is>
          <t>常规程序</t>
        </is>
      </c>
      <c r="C23" s="624" t="inlineStr">
        <is>
          <t>核对期初余额与上期审定期末余额、纳税申报表及税务机关的认定数是否相符。</t>
        </is>
      </c>
      <c r="D23" s="620" t="inlineStr">
        <is>
          <t>常规★</t>
        </is>
      </c>
      <c r="E23" s="621" t="n"/>
      <c r="F23" s="547" t="n"/>
      <c r="G23" s="547" t="n"/>
      <c r="H23" s="547" t="n"/>
      <c r="I23" s="622" t="n"/>
      <c r="J23" s="548" t="n"/>
      <c r="L23" s="530" t="n"/>
    </row>
    <row r="24" ht="24" customHeight="1" s="526">
      <c r="A24" s="618" t="n">
        <v>6</v>
      </c>
      <c r="B24" s="107" t="inlineStr">
        <is>
          <t>常规程序</t>
        </is>
      </c>
      <c r="C24" s="592" t="inlineStr">
        <is>
          <t>如期初存在延期纳税的事项，检查是否经过税务机关批准。是否存在长期欠缴的应交税金，关注合理性。</t>
        </is>
      </c>
      <c r="D24" s="620" t="inlineStr">
        <is>
          <t>常规</t>
        </is>
      </c>
      <c r="E24" s="621" t="n"/>
      <c r="F24" s="547" t="n"/>
      <c r="G24" s="547" t="n"/>
      <c r="H24" s="547" t="n"/>
      <c r="I24" s="622" t="n"/>
      <c r="J24" s="548" t="n"/>
      <c r="L24" s="530" t="n"/>
    </row>
    <row r="25" ht="37.2" customHeight="1" s="526">
      <c r="A25" s="610" t="inlineStr">
        <is>
          <t>（三）</t>
        </is>
      </c>
      <c r="B25" s="610" t="inlineStr">
        <is>
          <t>IPE程序</t>
        </is>
      </c>
      <c r="C25" s="625" t="inlineStr">
        <is>
          <t>在使用被审计单位生成的信息（IPE）时，应当评价该信息对实现审计目的是否足够可靠，包括根据具体情况在必要时实施下列程序：</t>
        </is>
      </c>
      <c r="D25" s="614" t="inlineStr">
        <is>
          <t>常规★</t>
        </is>
      </c>
      <c r="E25" s="613" t="inlineStr">
        <is>
          <t>B</t>
        </is>
      </c>
      <c r="F25" s="547" t="n"/>
      <c r="G25" s="547" t="n"/>
      <c r="H25" s="547" t="n"/>
      <c r="I25" s="614" t="inlineStr">
        <is>
          <t>T1</t>
        </is>
      </c>
      <c r="J25" s="548" t="n"/>
      <c r="K25" s="578" t="inlineStr">
        <is>
          <t>简化</t>
        </is>
      </c>
    </row>
    <row r="26" ht="15.6" customHeight="1" s="526">
      <c r="A26" s="618" t="n">
        <v>1</v>
      </c>
      <c r="B26" s="626" t="inlineStr">
        <is>
          <t>IPE程序</t>
        </is>
      </c>
      <c r="C26" s="627" t="inlineStr">
        <is>
          <t>获取有关信息准确性和完整性的审计证据。</t>
        </is>
      </c>
      <c r="D26" s="620" t="n"/>
      <c r="E26" s="628" t="n"/>
      <c r="F26" s="547" t="n"/>
      <c r="G26" s="547" t="n"/>
      <c r="H26" s="547" t="n"/>
      <c r="I26" s="622" t="n"/>
      <c r="J26" s="548" t="n"/>
    </row>
    <row r="27" ht="15.6" customHeight="1" s="526">
      <c r="A27" s="618" t="n">
        <v>2</v>
      </c>
      <c r="B27" s="626" t="inlineStr">
        <is>
          <t>IPE程序</t>
        </is>
      </c>
      <c r="C27" s="627" t="inlineStr">
        <is>
          <t>评价信息对实现审计目的是否足够准确和详细。</t>
        </is>
      </c>
      <c r="D27" s="620" t="n"/>
      <c r="E27" s="628" t="n"/>
      <c r="F27" s="547" t="n"/>
      <c r="G27" s="547" t="n"/>
      <c r="H27" s="547" t="n"/>
      <c r="I27" s="622" t="n"/>
      <c r="J27" s="548" t="n"/>
    </row>
    <row r="28" ht="37.2" customHeight="1" s="526">
      <c r="A28" s="610" t="inlineStr">
        <is>
          <t>（四）</t>
        </is>
      </c>
      <c r="B28" s="610" t="inlineStr">
        <is>
          <t>期初余额</t>
        </is>
      </c>
      <c r="C28" s="616" t="inlineStr">
        <is>
          <t>对于上期应交税费的期末余额和上期税金及附加发生额（适用于首次审计时对期初余额的审计）：</t>
        </is>
      </c>
      <c r="D28" s="614" t="inlineStr">
        <is>
          <t>备选</t>
        </is>
      </c>
      <c r="E28" s="613" t="inlineStr">
        <is>
          <t>ABD</t>
        </is>
      </c>
      <c r="F28" s="547" t="n"/>
      <c r="G28" s="547" t="n"/>
      <c r="H28" s="547" t="n"/>
      <c r="I28" s="614" t="inlineStr">
        <is>
          <t>O1-2、O1-3</t>
        </is>
      </c>
      <c r="J28" s="548" t="n"/>
      <c r="K28" s="578" t="inlineStr">
        <is>
          <t>简化</t>
        </is>
      </c>
      <c r="L28" s="629" t="inlineStr">
        <is>
          <t>获取前期纳税申报表和其他有持续影响的税收文件资料，确认应交税费余额与纳税申报表税务机关认定金额一致。如果发现税收申报等存在异常，考虑向税务专家咨询。</t>
        </is>
      </c>
    </row>
    <row r="29" ht="24" customHeight="1" s="526">
      <c r="A29" s="630" t="n">
        <v>1</v>
      </c>
      <c r="B29" s="120" t="inlineStr">
        <is>
          <t>期初余额</t>
        </is>
      </c>
      <c r="C29" s="592" t="inlineStr">
        <is>
          <t>获取前期纳税申报表和其他有持续影响的税收文件资料（适用于首次审计）。</t>
        </is>
      </c>
      <c r="D29" s="622" t="inlineStr">
        <is>
          <t>备选</t>
        </is>
      </c>
      <c r="E29" s="628" t="n"/>
      <c r="F29" s="547" t="n"/>
      <c r="G29" s="547" t="n"/>
      <c r="H29" s="547" t="n"/>
      <c r="I29" s="622" t="n"/>
      <c r="J29" s="548" t="n"/>
    </row>
    <row r="30" ht="15.6" customHeight="1" s="526">
      <c r="A30" s="630" t="n">
        <v>2</v>
      </c>
      <c r="B30" s="120" t="inlineStr">
        <is>
          <t>期初余额</t>
        </is>
      </c>
      <c r="C30" s="631" t="inlineStr">
        <is>
          <t>获得并查阅账户余额明细表。</t>
        </is>
      </c>
      <c r="D30" s="622" t="inlineStr">
        <is>
          <t>备选</t>
        </is>
      </c>
      <c r="E30" s="628" t="n"/>
      <c r="F30" s="547" t="n"/>
      <c r="G30" s="547" t="n"/>
      <c r="H30" s="547" t="n"/>
      <c r="I30" s="622" t="n"/>
      <c r="J30" s="548" t="n"/>
    </row>
    <row r="31" ht="15.6" customHeight="1" s="526">
      <c r="A31" s="630" t="n">
        <v>3</v>
      </c>
      <c r="B31" s="120" t="inlineStr">
        <is>
          <t>期初余额</t>
        </is>
      </c>
      <c r="C31" s="631" t="inlineStr">
        <is>
          <t>确定采用的会计政策和程序是适当的。</t>
        </is>
      </c>
      <c r="D31" s="622" t="inlineStr">
        <is>
          <t>备选</t>
        </is>
      </c>
      <c r="E31" s="628" t="n"/>
      <c r="F31" s="547" t="n"/>
      <c r="G31" s="547" t="n"/>
      <c r="H31" s="547" t="n"/>
      <c r="I31" s="622" t="n"/>
      <c r="J31" s="548" t="n"/>
    </row>
    <row r="32" ht="15.6" customHeight="1" s="526">
      <c r="A32" s="630" t="n">
        <v>4</v>
      </c>
      <c r="B32" s="120" t="inlineStr">
        <is>
          <t>期初余额</t>
        </is>
      </c>
      <c r="C32" s="631" t="inlineStr">
        <is>
          <t>获取前期应交税费纳税申报表和其他有持续影响的税收文件资料。</t>
        </is>
      </c>
      <c r="D32" s="622" t="inlineStr">
        <is>
          <t>备选</t>
        </is>
      </c>
      <c r="E32" s="628" t="n"/>
      <c r="F32" s="547" t="n"/>
      <c r="G32" s="547" t="n"/>
      <c r="H32" s="547" t="n"/>
      <c r="I32" s="622" t="n"/>
      <c r="J32" s="548" t="n"/>
    </row>
    <row r="33" ht="15.6" customHeight="1" s="526">
      <c r="A33" s="630" t="n">
        <v>5</v>
      </c>
      <c r="B33" s="120" t="inlineStr">
        <is>
          <t>期初余额</t>
        </is>
      </c>
      <c r="C33" s="632" t="inlineStr">
        <is>
          <t>确认应交税费余额与纳税申报表金额一致。</t>
        </is>
      </c>
      <c r="D33" s="622" t="inlineStr">
        <is>
          <t>备选</t>
        </is>
      </c>
      <c r="E33" s="628" t="n"/>
      <c r="F33" s="547" t="n"/>
      <c r="G33" s="547" t="n"/>
      <c r="H33" s="547" t="n"/>
      <c r="I33" s="622" t="n"/>
      <c r="J33" s="548" t="n"/>
    </row>
    <row r="34" ht="15.6" customHeight="1" s="526">
      <c r="A34" s="630" t="n">
        <v>6</v>
      </c>
      <c r="B34" s="120" t="inlineStr">
        <is>
          <t>期初余额</t>
        </is>
      </c>
      <c r="C34" s="631" t="inlineStr">
        <is>
          <t>就任何激进的或可疑的税务状况向税务专家咨询。</t>
        </is>
      </c>
      <c r="D34" s="622" t="inlineStr">
        <is>
          <t>备选</t>
        </is>
      </c>
      <c r="E34" s="628" t="n"/>
      <c r="F34" s="547" t="n"/>
      <c r="G34" s="547" t="n"/>
      <c r="H34" s="547" t="n"/>
      <c r="I34" s="622" t="n"/>
      <c r="J34" s="548" t="n"/>
    </row>
    <row r="35" ht="85.2" customHeight="1" s="526">
      <c r="A35" s="630" t="n"/>
      <c r="B35" s="120" t="n"/>
      <c r="C35" s="631" t="n"/>
      <c r="D35" s="622" t="n"/>
      <c r="E35" s="628" t="n"/>
      <c r="F35" s="633" t="n"/>
      <c r="G35" s="633" t="n"/>
      <c r="H35" s="633" t="n"/>
      <c r="I35" s="628" t="n"/>
      <c r="J35" s="634" t="n"/>
      <c r="K35" s="578" t="inlineStr">
        <is>
          <t>新增</t>
        </is>
      </c>
      <c r="L35" s="635" t="inlineStr">
        <is>
          <t>取得被审计单位的纳税鉴定、纳税通知、减免税批准文件等，了解被审计单位适用的税种、附加税费、计税（费）基础、税（费）率，以及征、免、减税（费）的范围与期限。如果被审计单位适用特定的税基式优惠或税额式优惠、或减低适用税率的，且该项税收优惠需办理规定的审批或备案手续的，应检查相关的手续是否完整、有效。连续接受委托时，关注其变化情况。</t>
        </is>
      </c>
    </row>
    <row r="36" ht="48" customHeight="1" s="526">
      <c r="A36" s="615" t="inlineStr">
        <is>
          <t>（五）</t>
        </is>
      </c>
      <c r="B36" s="615" t="inlineStr">
        <is>
          <t>应对措施-检查</t>
        </is>
      </c>
      <c r="C36" s="611" t="inlineStr">
        <is>
          <t>取得税务部门汇算清缴或其他确认文件、有关政府部门的专项检查报告、税务代理机构专业报告、被审计单位纳税申报资料等，分析其有效性，并与上述明细表及账面数据进行核对。对于超过法定交纳期限的税费，取得主管税务机关的批准文件。</t>
        </is>
      </c>
      <c r="D36" s="612" t="inlineStr">
        <is>
          <t>常规★</t>
        </is>
      </c>
      <c r="E36" s="613" t="inlineStr">
        <is>
          <t>BCD</t>
        </is>
      </c>
      <c r="F36" s="547" t="n"/>
      <c r="G36" s="547" t="n"/>
      <c r="H36" s="547" t="n"/>
      <c r="I36" s="614" t="inlineStr">
        <is>
          <t>O1-4</t>
        </is>
      </c>
      <c r="J36" s="548" t="n"/>
      <c r="K36" s="578" t="inlineStr">
        <is>
          <t>修改</t>
        </is>
      </c>
      <c r="L36" s="578" t="n"/>
    </row>
    <row r="37" ht="42.75" customHeight="1" s="526">
      <c r="A37" s="615" t="inlineStr">
        <is>
          <t>（六）</t>
        </is>
      </c>
      <c r="B37" s="615" t="inlineStr">
        <is>
          <t>应对措施-检查</t>
        </is>
      </c>
      <c r="C37" s="636" t="inlineStr">
        <is>
          <t>检查本期应交及已交增值税：</t>
        </is>
      </c>
      <c r="D37" s="612" t="inlineStr">
        <is>
          <t>常规★</t>
        </is>
      </c>
      <c r="E37" s="613" t="inlineStr">
        <is>
          <t>ABD</t>
        </is>
      </c>
      <c r="F37" s="547" t="n"/>
      <c r="G37" s="547" t="n"/>
      <c r="H37" s="547" t="n"/>
      <c r="I37" s="614" t="inlineStr">
        <is>
          <t>O1-4、O1-5</t>
        </is>
      </c>
      <c r="J37" s="548" t="n"/>
      <c r="K37" s="578" t="inlineStr">
        <is>
          <t>整合</t>
        </is>
      </c>
      <c r="L37" s="637" t="inlineStr">
        <is>
          <t>检查应交增值税：
（1）获取或编制应交增值税测算表，复核加计正确，并与明细账核对相符。
（2）检查适用税率是否符合税法规定。
（3）将“应交增值税测算表”与被审计单位增值税纳税申报表进行核对，检查进项、销项的入账与申报期间是否一致，金额是否相符，增值税纳税申报表有无经税务机关认定。
(4)通过“原材料”等相关科目匡算增值税进项税是否合理。
(5)抽取一定期间的进项税抵扣汇总表，与应交增值税明细表相关数额合计数核对，如有差异，查明原因并作适当处理。
(6)检查重要的进项税发票、海关完税凭证、收购凭证或运费发票等支持性文件，与网上申报系统进行核对,并注意进口货物、购进的免税农产品或废旧物资、支付运费、接受投资或捐赠、接受应税劳务等应计的进项税额是否按规定进行了会计处理,检查某些特殊事项的进项税处理是否正确（如存货改变用途或发生非常损失应计的进项税转出数的计算），确定会计处理是否正确。
(7)根据与增值税销项税额相关的账户审定的有关数据，复核销项税额存货销售,或视同销售（例如，将存货用于投资、无偿馈赠他人、分配给股东（或投资者）应计的销项税额，以及将自产、委托加工的产品用于非应税项目）的计税依据确定是否正确，以及应计的销项税额的计算是否正确，确定会计处理是否正确。</t>
        </is>
      </c>
    </row>
    <row r="38" ht="15.6" customHeight="1" s="526">
      <c r="A38" s="618" t="n">
        <v>1</v>
      </c>
      <c r="B38" s="638" t="inlineStr">
        <is>
          <t>应对措施-检查</t>
        </is>
      </c>
      <c r="C38" s="624" t="inlineStr">
        <is>
          <t>获取或编制应交增值税测算表，复核加计正确，并与明细账核对相符。</t>
        </is>
      </c>
      <c r="D38" s="620" t="inlineStr">
        <is>
          <t>常规★</t>
        </is>
      </c>
      <c r="E38" s="628" t="n"/>
      <c r="F38" s="547" t="n"/>
      <c r="G38" s="547" t="n"/>
      <c r="H38" s="547" t="n"/>
      <c r="I38" s="622" t="n"/>
      <c r="J38" s="548" t="n"/>
      <c r="L38" s="530" t="n"/>
    </row>
    <row r="39" ht="39" customHeight="1" s="526">
      <c r="A39" s="618" t="n">
        <v>2</v>
      </c>
      <c r="B39" s="638" t="inlineStr">
        <is>
          <t>应对措施-检查</t>
        </is>
      </c>
      <c r="C39" s="624" t="inlineStr">
        <is>
          <t>将“应交增值税测算表”与被审计单位增值税纳税申报表进行核对，检查进项、销项的入账与申报期间是否一致，金额是否相符，增值税纳税申报表有无经税务机关认定。</t>
        </is>
      </c>
      <c r="D39" s="620" t="inlineStr">
        <is>
          <t>常规★</t>
        </is>
      </c>
      <c r="E39" s="628" t="n"/>
      <c r="F39" s="547" t="n"/>
      <c r="G39" s="547" t="n"/>
      <c r="H39" s="547" t="n"/>
      <c r="I39" s="622" t="n"/>
      <c r="J39" s="548" t="n"/>
      <c r="L39" s="530" t="n"/>
    </row>
    <row r="40" ht="15.6" customHeight="1" s="526">
      <c r="A40" s="630" t="n">
        <v>3</v>
      </c>
      <c r="B40" s="638" t="inlineStr">
        <is>
          <t>应对措施-检查</t>
        </is>
      </c>
      <c r="C40" s="639" t="inlineStr">
        <is>
          <t>通过“原材料”等相关科目匡算增值税进项税是否合理。</t>
        </is>
      </c>
      <c r="D40" s="620" t="inlineStr">
        <is>
          <t>常规★</t>
        </is>
      </c>
      <c r="E40" s="628" t="n"/>
      <c r="F40" s="547" t="n"/>
      <c r="G40" s="547" t="n"/>
      <c r="H40" s="547" t="n"/>
      <c r="I40" s="622" t="n"/>
      <c r="J40" s="548" t="n"/>
      <c r="L40" s="530" t="n"/>
    </row>
    <row r="41" ht="24" customHeight="1" s="526">
      <c r="A41" s="640" t="n">
        <v>4</v>
      </c>
      <c r="B41" s="638" t="inlineStr">
        <is>
          <t>应对措施-检查</t>
        </is>
      </c>
      <c r="C41" s="624" t="inlineStr">
        <is>
          <t>根据普通发票或增值税发票申报表，估算全年的收入，与实际入账收入金额核对，并检查是否存在虚开发票或已销售但未开发票的情况。</t>
        </is>
      </c>
      <c r="D41" s="620" t="inlineStr">
        <is>
          <t>常规</t>
        </is>
      </c>
      <c r="E41" s="628" t="n"/>
      <c r="F41" s="547" t="n"/>
      <c r="G41" s="547" t="n"/>
      <c r="H41" s="547" t="n"/>
      <c r="I41" s="622" t="n"/>
      <c r="J41" s="548" t="n"/>
      <c r="L41" s="530" t="n"/>
    </row>
    <row r="42" ht="24" customHeight="1" s="526">
      <c r="A42" s="618" t="n">
        <v>5</v>
      </c>
      <c r="B42" s="638" t="inlineStr">
        <is>
          <t>应对措施-检查</t>
        </is>
      </c>
      <c r="C42" s="624" t="inlineStr">
        <is>
          <t>抽取一定期间的进项税抵扣汇总表，与应交增值税明细表相关数额合计数核对，如有差异，查明原因并作适当处理。</t>
        </is>
      </c>
      <c r="D42" s="620" t="inlineStr">
        <is>
          <t>常规★</t>
        </is>
      </c>
      <c r="E42" s="628" t="n"/>
      <c r="F42" s="547" t="n"/>
      <c r="G42" s="547" t="n"/>
      <c r="H42" s="547" t="n"/>
      <c r="I42" s="622" t="n"/>
      <c r="J42" s="548" t="n"/>
      <c r="L42" s="530" t="n"/>
    </row>
    <row r="43" ht="48" customHeight="1" s="526">
      <c r="A43" s="618" t="n">
        <v>6</v>
      </c>
      <c r="B43" s="638" t="inlineStr">
        <is>
          <t>应对措施-检查</t>
        </is>
      </c>
      <c r="C43" s="624" t="inlineStr">
        <is>
          <t>检查重要的进项税发票、海关完税凭证、收购凭证或运费发票等支持性文件，与网上申报系统进行核对；检查某些特殊事项的进项税处理是否正确（如存货改变用途或发生非常损失应计的进项税转出数的计算），确定会计处理是否正确。</t>
        </is>
      </c>
      <c r="D43" s="620" t="inlineStr">
        <is>
          <t>常规★</t>
        </is>
      </c>
      <c r="E43" s="628" t="n"/>
      <c r="F43" s="547" t="n"/>
      <c r="G43" s="547" t="n"/>
      <c r="H43" s="547" t="n"/>
      <c r="I43" s="622" t="n"/>
      <c r="J43" s="548" t="n"/>
      <c r="L43" s="530" t="n"/>
    </row>
    <row r="44" ht="37.8" customHeight="1" s="526">
      <c r="A44" s="618" t="n">
        <v>7</v>
      </c>
      <c r="B44" s="638" t="inlineStr">
        <is>
          <t>应对措施-检查</t>
        </is>
      </c>
      <c r="C44" s="624" t="inlineStr">
        <is>
          <t>对于“营改增”采用差额纳税的交通运输业、物流辅助服务、融资租赁、代理行业等行业，应检查扣除的价款是否符合税务机关的规定，计算是否正确，会计处理是否适当。</t>
        </is>
      </c>
      <c r="D44" s="620" t="inlineStr">
        <is>
          <t>常规</t>
        </is>
      </c>
      <c r="E44" s="628" t="n"/>
      <c r="F44" s="547" t="n"/>
      <c r="G44" s="547" t="n"/>
      <c r="H44" s="547" t="n"/>
      <c r="I44" s="622" t="n"/>
      <c r="J44" s="548" t="n"/>
      <c r="L44" s="530" t="n"/>
    </row>
    <row r="45" ht="24" customHeight="1" s="526">
      <c r="A45" s="618" t="n">
        <v>8</v>
      </c>
      <c r="B45" s="638" t="inlineStr">
        <is>
          <t>应对措施-检查</t>
        </is>
      </c>
      <c r="C45" s="624" t="inlineStr">
        <is>
          <t>根据与增值税销项税额相关的账户审定的有关数据，复核销项税额（存货销售及视同销售）的计算是否正确，确定会计处理是否正确。</t>
        </is>
      </c>
      <c r="D45" s="620" t="inlineStr">
        <is>
          <t>常规★</t>
        </is>
      </c>
      <c r="E45" s="628" t="n"/>
      <c r="F45" s="547" t="n"/>
      <c r="G45" s="547" t="n"/>
      <c r="H45" s="547" t="n"/>
      <c r="I45" s="622" t="n"/>
      <c r="J45" s="548" t="n"/>
      <c r="L45" s="530" t="n"/>
    </row>
    <row r="46" ht="15.6" customHeight="1" s="526">
      <c r="A46" s="618" t="n">
        <v>9</v>
      </c>
      <c r="B46" s="638" t="inlineStr">
        <is>
          <t>应对措施-检查</t>
        </is>
      </c>
      <c r="C46" s="624" t="inlineStr">
        <is>
          <t>检查适用税率是否符合税法规定。</t>
        </is>
      </c>
      <c r="D46" s="620" t="inlineStr">
        <is>
          <t>常规★</t>
        </is>
      </c>
      <c r="E46" s="628" t="n"/>
      <c r="F46" s="547" t="n"/>
      <c r="G46" s="547" t="n"/>
      <c r="H46" s="547" t="n"/>
      <c r="I46" s="622" t="n"/>
      <c r="J46" s="548" t="n"/>
      <c r="L46" s="530" t="n"/>
    </row>
    <row r="47" ht="15.6" customHeight="1" s="526">
      <c r="A47" s="618" t="n"/>
      <c r="B47" s="638" t="n"/>
      <c r="C47" s="624" t="n"/>
      <c r="D47" s="620" t="n"/>
      <c r="E47" s="628" t="n"/>
      <c r="F47" s="633" t="n"/>
      <c r="G47" s="633" t="n"/>
      <c r="H47" s="633" t="n"/>
      <c r="I47" s="628" t="n"/>
      <c r="J47" s="634" t="n"/>
      <c r="L47" s="641" t="inlineStr">
        <is>
          <t>增值税发票估算调整至收入舞弊应对</t>
        </is>
      </c>
    </row>
    <row r="48" ht="24" customHeight="1" s="526">
      <c r="A48" s="128" t="inlineStr">
        <is>
          <t>10</t>
        </is>
      </c>
      <c r="B48" s="638" t="inlineStr">
        <is>
          <t>应对措施-检查</t>
        </is>
      </c>
      <c r="C48" s="624" t="inlineStr">
        <is>
          <t>获取《出口货物退（免）税申报表》及办理出口退税有关凭证，复核出口货物退税的计算是否正确，是否按规定进行了会计处理。</t>
        </is>
      </c>
      <c r="D48" s="620" t="inlineStr">
        <is>
          <t>常规★</t>
        </is>
      </c>
      <c r="E48" s="628" t="n"/>
      <c r="F48" s="547" t="n"/>
      <c r="G48" s="547" t="n"/>
      <c r="H48" s="547" t="n"/>
      <c r="I48" s="622" t="n"/>
      <c r="J48" s="548" t="n"/>
      <c r="K48" s="578" t="inlineStr">
        <is>
          <t>拆分单独一条</t>
        </is>
      </c>
      <c r="L48" s="629" t="n"/>
    </row>
    <row r="49" ht="24" customHeight="1" s="526">
      <c r="A49" s="618" t="n">
        <v>11</v>
      </c>
      <c r="B49" s="638" t="inlineStr">
        <is>
          <t>应对措施-检查</t>
        </is>
      </c>
      <c r="C49" s="624" t="inlineStr">
        <is>
          <t>对经主管税务机关批准实行核定征收率征收增值税的被审计单位，检查是否按照有关规定正确执行。</t>
        </is>
      </c>
      <c r="D49" s="620" t="inlineStr">
        <is>
          <t>常规★</t>
        </is>
      </c>
      <c r="E49" s="628" t="n"/>
      <c r="F49" s="547" t="n"/>
      <c r="G49" s="547" t="n"/>
      <c r="H49" s="547" t="n"/>
      <c r="I49" s="622" t="n"/>
      <c r="J49" s="548" t="n"/>
      <c r="K49" s="578" t="inlineStr">
        <is>
          <t>拆分单独一条</t>
        </is>
      </c>
      <c r="L49" s="629" t="n"/>
    </row>
    <row r="50" ht="24" customHeight="1" s="526">
      <c r="A50" s="128" t="inlineStr">
        <is>
          <t>12</t>
        </is>
      </c>
      <c r="B50" s="638" t="inlineStr">
        <is>
          <t>应对措施-检查</t>
        </is>
      </c>
      <c r="C50" s="624" t="inlineStr">
        <is>
          <t>将资产负债表日的应交增值税或可抵扣额与支持性文件进行核对，关注期后的缴纳或支付情况。</t>
        </is>
      </c>
      <c r="D50" s="620" t="inlineStr">
        <is>
          <t>常规★</t>
        </is>
      </c>
      <c r="E50" s="628" t="n"/>
      <c r="F50" s="547" t="n"/>
      <c r="G50" s="547" t="n"/>
      <c r="H50" s="547" t="n"/>
      <c r="I50" s="622" t="n"/>
      <c r="J50" s="548" t="n"/>
      <c r="K50" s="578" t="inlineStr">
        <is>
          <t>拆分单独一条</t>
        </is>
      </c>
      <c r="L50" s="629" t="n"/>
    </row>
    <row r="51" ht="15.6" customHeight="1" s="526">
      <c r="A51" s="128" t="n"/>
      <c r="B51" s="638" t="n"/>
      <c r="C51" s="624" t="n"/>
      <c r="D51" s="620" t="n"/>
      <c r="E51" s="628" t="n"/>
      <c r="F51" s="633" t="n"/>
      <c r="G51" s="633" t="n"/>
      <c r="H51" s="633" t="n"/>
      <c r="I51" s="628" t="n"/>
      <c r="J51" s="634" t="n"/>
      <c r="L51" s="617" t="n"/>
    </row>
    <row r="52" ht="15.6" customHeight="1" s="526">
      <c r="A52" s="128" t="n"/>
      <c r="B52" s="638" t="n"/>
      <c r="C52" s="624" t="n"/>
      <c r="D52" s="620" t="n"/>
      <c r="E52" s="628" t="n"/>
      <c r="F52" s="633" t="n"/>
      <c r="G52" s="633" t="n"/>
      <c r="H52" s="633" t="n"/>
      <c r="I52" s="628" t="n"/>
      <c r="J52" s="634" t="n"/>
      <c r="L52" s="617" t="n"/>
    </row>
    <row r="53" ht="103.5" customHeight="1" s="526">
      <c r="A53" s="129" t="inlineStr">
        <is>
          <t>（七）</t>
        </is>
      </c>
      <c r="B53" s="615" t="inlineStr">
        <is>
          <t>应对措施-检查</t>
        </is>
      </c>
      <c r="C53" s="611" t="inlineStr">
        <is>
          <t>对于应交和已交消费税、资源税、城建税、教育费附加、地方教育费附加、车船税、房产税、土地使用税及土地增值税等其他税项进行测算，核对计提金额是否正确，会计处理是否适当。</t>
        </is>
      </c>
      <c r="D53" s="612" t="inlineStr">
        <is>
          <t>常规★</t>
        </is>
      </c>
      <c r="E53" s="613" t="inlineStr">
        <is>
          <t>ABD</t>
        </is>
      </c>
      <c r="F53" s="547" t="n"/>
      <c r="G53" s="547" t="n"/>
      <c r="H53" s="547" t="n"/>
      <c r="I53" s="614" t="inlineStr">
        <is>
          <t>O1-6、O1-7</t>
        </is>
      </c>
      <c r="J53" s="548" t="n"/>
      <c r="L53" s="617" t="inlineStr">
        <is>
          <t>对于应交和已交消费税、资源税、城建税、教育费附加、地方教育费附加、车船税、房产税、土地使用税等其他税项进行测算，核对计提金额是否正确，会计处理是否适当。
（1）结合税金及附加等项目的审计，根据审定的当期营业额、或其他计税基础等相关数据，检查各项税费的计税依据是否正确，适用税率是否符合税法规定，是否按规定进行了会计处理，并分项复核本期应交数。
（2）检查本期已交税款，确定已交税款的正确性。
（3）与纳税申报表核对，复核应交税费余额的合理性。
（4）对于土地增值税：
①根据审定的预售房地产的预收账款，复核预交税款是否准确。
②对符合项目清算条件的房地产开发项目，检查被审计单位是否按规定进行土地增值税清算；如果被审计单位已聘请中介机构办理土地增值税清算鉴证的，应检查、核对相关鉴证报告。
③如果被审计单位被主管税务机关核定征收土地增值税的，应检查、核对相关的手续。
（5）对于车船使用税和房产税：
①获取被审计单位自有车船数量、吨位（或座位）及自有房屋建筑面积、用途、造价（购入原价）、购建年月等资料，并与固定资产（含融资租入固定资产）明细账复核一致；了解其使用、停用时间及其原因等情况；
②通过审核本期完税单，检查其是否如实申报和按期缴纳，是否按规定进行了会计处</t>
        </is>
      </c>
    </row>
    <row r="54" ht="15.6" customHeight="1" s="526">
      <c r="A54" s="128" t="inlineStr">
        <is>
          <t>1</t>
        </is>
      </c>
      <c r="B54" s="638" t="inlineStr">
        <is>
          <t>应对措施-检查</t>
        </is>
      </c>
      <c r="C54" s="624" t="inlineStr">
        <is>
          <t>检查各应税项目的计算是否正确。</t>
        </is>
      </c>
      <c r="D54" s="622" t="inlineStr">
        <is>
          <t>常规</t>
        </is>
      </c>
      <c r="E54" s="628" t="n"/>
      <c r="F54" s="547" t="n"/>
      <c r="G54" s="547" t="n"/>
      <c r="H54" s="547" t="n"/>
      <c r="I54" s="622" t="n"/>
      <c r="J54" s="548" t="n"/>
      <c r="L54" s="530" t="n"/>
    </row>
    <row r="55" ht="36" customHeight="1" s="526">
      <c r="A55" s="128" t="inlineStr">
        <is>
          <t>2</t>
        </is>
      </c>
      <c r="B55" s="638" t="inlineStr">
        <is>
          <t>应对措施-检查</t>
        </is>
      </c>
      <c r="C55" s="592" t="inlineStr">
        <is>
          <t>结合税金及附加等项目的审计，根据审定的当期营业额、或其他计税基础等相关数据，检查各项税费的计税依据是否正确，适用税率是否符合税法规定，是否按规定进行了会计处理，并分项复核本期应交数。</t>
        </is>
      </c>
      <c r="D55" s="622" t="inlineStr">
        <is>
          <t>常规</t>
        </is>
      </c>
      <c r="E55" s="628" t="n"/>
      <c r="F55" s="547" t="n"/>
      <c r="G55" s="547" t="n"/>
      <c r="H55" s="547" t="n"/>
      <c r="I55" s="622" t="n"/>
      <c r="J55" s="548" t="n"/>
      <c r="L55" s="530" t="n"/>
    </row>
    <row r="56" ht="15.6" customHeight="1" s="526">
      <c r="A56" s="128" t="inlineStr">
        <is>
          <t>3</t>
        </is>
      </c>
      <c r="B56" s="638" t="inlineStr">
        <is>
          <t>应对措施-检查</t>
        </is>
      </c>
      <c r="C56" s="624" t="inlineStr">
        <is>
          <t>检查本期已交税款，确定已交税款的正确性。</t>
        </is>
      </c>
      <c r="D56" s="622" t="inlineStr">
        <is>
          <t>常规</t>
        </is>
      </c>
      <c r="E56" s="628" t="n"/>
      <c r="F56" s="547" t="n"/>
      <c r="G56" s="547" t="n"/>
      <c r="H56" s="547" t="n"/>
      <c r="I56" s="622" t="n"/>
      <c r="J56" s="548" t="n"/>
      <c r="L56" s="530" t="n"/>
    </row>
    <row r="57" ht="15.6" customHeight="1" s="526">
      <c r="A57" s="128" t="inlineStr">
        <is>
          <t>4</t>
        </is>
      </c>
      <c r="B57" s="638" t="inlineStr">
        <is>
          <t>应对措施-检查</t>
        </is>
      </c>
      <c r="C57" s="624" t="inlineStr">
        <is>
          <t>与纳税申报表核对，复核应交税费余额的合理性。</t>
        </is>
      </c>
      <c r="D57" s="622" t="inlineStr">
        <is>
          <t>常规</t>
        </is>
      </c>
      <c r="E57" s="628" t="n"/>
      <c r="F57" s="547" t="n"/>
      <c r="G57" s="547" t="n"/>
      <c r="H57" s="547" t="n"/>
      <c r="I57" s="622" t="n"/>
      <c r="J57" s="548" t="n"/>
      <c r="L57" s="530" t="n"/>
    </row>
    <row r="58" ht="15.6" customHeight="1" s="526">
      <c r="A58" s="128" t="inlineStr">
        <is>
          <t>5</t>
        </is>
      </c>
      <c r="B58" s="638" t="inlineStr">
        <is>
          <t>应对措施-检查</t>
        </is>
      </c>
      <c r="C58" s="624" t="inlineStr">
        <is>
          <t>检查期后缴纳的税费凭证，关注期末应交税费完整性、真实性。</t>
        </is>
      </c>
      <c r="D58" s="622" t="inlineStr">
        <is>
          <t>常规</t>
        </is>
      </c>
      <c r="E58" s="628" t="n"/>
      <c r="F58" s="547" t="n"/>
      <c r="G58" s="547" t="n"/>
      <c r="H58" s="547" t="n"/>
      <c r="I58" s="622" t="n"/>
      <c r="J58" s="548" t="n"/>
      <c r="L58" s="530" t="n"/>
    </row>
    <row r="59" ht="15.6" customHeight="1" s="526">
      <c r="A59" s="128" t="inlineStr">
        <is>
          <t>6</t>
        </is>
      </c>
      <c r="B59" s="638" t="inlineStr">
        <is>
          <t>应对措施-检查</t>
        </is>
      </c>
      <c r="C59" s="624" t="inlineStr">
        <is>
          <t>检查应交土地增值税的计算是否正确，是否按规定进行了会计处理：</t>
        </is>
      </c>
      <c r="D59" s="622" t="inlineStr">
        <is>
          <t>常规</t>
        </is>
      </c>
      <c r="E59" s="628" t="n"/>
      <c r="F59" s="547" t="n"/>
      <c r="G59" s="547" t="n"/>
      <c r="H59" s="547" t="n"/>
      <c r="I59" s="622" t="n"/>
      <c r="J59" s="548" t="n"/>
      <c r="L59" s="530" t="n"/>
    </row>
    <row r="60" ht="15.6" customHeight="1" s="526">
      <c r="A60" s="130" t="inlineStr">
        <is>
          <t>（1）</t>
        </is>
      </c>
      <c r="B60" s="638" t="inlineStr">
        <is>
          <t>应对措施-检查</t>
        </is>
      </c>
      <c r="C60" s="592" t="inlineStr">
        <is>
          <t>根据审定的预售房地产的预收账款，复核预交税款是否准确；</t>
        </is>
      </c>
      <c r="D60" s="622" t="inlineStr">
        <is>
          <t>常规</t>
        </is>
      </c>
      <c r="E60" s="628" t="n"/>
      <c r="F60" s="547" t="n"/>
      <c r="G60" s="547" t="n"/>
      <c r="H60" s="547" t="n"/>
      <c r="I60" s="622" t="n"/>
      <c r="J60" s="548" t="n"/>
      <c r="L60" s="530" t="n"/>
    </row>
    <row r="61" ht="36" customHeight="1" s="526">
      <c r="A61" s="130" t="inlineStr">
        <is>
          <t>（2）</t>
        </is>
      </c>
      <c r="B61" s="638" t="inlineStr">
        <is>
          <t>应对措施-检查</t>
        </is>
      </c>
      <c r="C61" s="592" t="inlineStr">
        <is>
          <t>对符合项目清算条件的房地产开发项目，检查被审计单位是否按规定进行土地增值税清算；如果被审计单位已聘请中介机构办理土地增值税清算鉴证的，应检查、核对相关鉴证报告；</t>
        </is>
      </c>
      <c r="D61" s="622" t="inlineStr">
        <is>
          <t>常规</t>
        </is>
      </c>
      <c r="E61" s="628" t="n"/>
      <c r="F61" s="547" t="n"/>
      <c r="G61" s="547" t="n"/>
      <c r="H61" s="547" t="n"/>
      <c r="I61" s="622" t="n"/>
      <c r="J61" s="548" t="n"/>
      <c r="L61" s="530" t="n"/>
    </row>
    <row r="62" ht="24" customHeight="1" s="526">
      <c r="A62" s="130" t="inlineStr">
        <is>
          <t>（3）</t>
        </is>
      </c>
      <c r="B62" s="638" t="inlineStr">
        <is>
          <t>应对措施-检查</t>
        </is>
      </c>
      <c r="C62" s="642" t="inlineStr">
        <is>
          <t>如果被审计单位被主管税务机关核定征收土地增值税的，应检查、核对相关的手续。</t>
        </is>
      </c>
      <c r="D62" s="622" t="inlineStr">
        <is>
          <t>常规</t>
        </is>
      </c>
      <c r="E62" s="628" t="n"/>
      <c r="F62" s="547" t="n"/>
      <c r="G62" s="547" t="n"/>
      <c r="H62" s="547" t="n"/>
      <c r="I62" s="622" t="n"/>
      <c r="J62" s="548" t="n"/>
      <c r="L62" s="530" t="n"/>
    </row>
    <row r="63" ht="15.6" customHeight="1" s="526">
      <c r="A63" s="615" t="inlineStr">
        <is>
          <t>（八）</t>
        </is>
      </c>
      <c r="B63" s="615" t="inlineStr">
        <is>
          <t>应对措施-检查</t>
        </is>
      </c>
      <c r="C63" s="643" t="inlineStr">
        <is>
          <t>针对税收优惠政策，应执行以下程序：</t>
        </is>
      </c>
      <c r="D63" s="614" t="inlineStr">
        <is>
          <t>备选</t>
        </is>
      </c>
      <c r="E63" s="613" t="inlineStr">
        <is>
          <t>D</t>
        </is>
      </c>
      <c r="F63" s="547" t="n"/>
      <c r="G63" s="547" t="n"/>
      <c r="H63" s="547" t="n"/>
      <c r="I63" s="614" t="inlineStr">
        <is>
          <t>N3-5</t>
        </is>
      </c>
      <c r="J63" s="548" t="n"/>
      <c r="K63" s="578" t="inlineStr">
        <is>
          <t>简化，整合</t>
        </is>
      </c>
      <c r="L63" s="579" t="inlineStr">
        <is>
          <t>调整至税收政策了解部分</t>
        </is>
      </c>
    </row>
    <row r="64" ht="24" customHeight="1" s="526">
      <c r="A64" s="618" t="n">
        <v>1</v>
      </c>
      <c r="B64" s="638" t="inlineStr">
        <is>
          <t>应对措施-检查</t>
        </is>
      </c>
      <c r="C64" s="624" t="inlineStr">
        <is>
          <t>对于涉及软件产品认定和其他税收优惠政策的，应检查批文和相关规定，确定采用的税率是否适当，计算是否正确；</t>
        </is>
      </c>
      <c r="D64" s="644" t="inlineStr">
        <is>
          <t>备选</t>
        </is>
      </c>
      <c r="E64" s="628" t="n"/>
      <c r="F64" s="547" t="n"/>
      <c r="G64" s="547" t="n"/>
      <c r="H64" s="547" t="n"/>
      <c r="I64" s="622" t="n"/>
      <c r="J64" s="548" t="n"/>
    </row>
    <row r="65" ht="24" customHeight="1" s="526">
      <c r="A65" s="618" t="n">
        <v>2</v>
      </c>
      <c r="B65" s="638" t="inlineStr">
        <is>
          <t>应对措施-检查</t>
        </is>
      </c>
      <c r="C65" s="624" t="inlineStr">
        <is>
          <t>报告期执行的税收优惠政策与国家法规政策不符的，应获得当地税务主管机关的意见和认定；同时由原股东出具承诺，承担相应的补缴风险。</t>
        </is>
      </c>
      <c r="D65" s="644" t="inlineStr">
        <is>
          <t>备选</t>
        </is>
      </c>
      <c r="E65" s="628" t="n"/>
      <c r="F65" s="547" t="n"/>
      <c r="G65" s="547" t="n"/>
      <c r="H65" s="547" t="n"/>
      <c r="I65" s="622" t="n"/>
      <c r="J65" s="548" t="n"/>
    </row>
    <row r="66" ht="36" customHeight="1" s="526">
      <c r="A66" s="618" t="n">
        <v>3</v>
      </c>
      <c r="B66" s="638" t="inlineStr">
        <is>
          <t>应对措施-检查</t>
        </is>
      </c>
      <c r="C66" s="624" t="inlineStr">
        <is>
          <t>对于申请减免税的企业，需要税务机关审批的，应检查准予减免税的书面决定；对于需要减免税备案的企业，应检查企业是否按照税务机关的要求备案。</t>
        </is>
      </c>
      <c r="D66" s="644" t="inlineStr">
        <is>
          <t>备选</t>
        </is>
      </c>
      <c r="E66" s="628" t="n"/>
      <c r="F66" s="547" t="n"/>
      <c r="G66" s="547" t="n"/>
      <c r="H66" s="547" t="n"/>
      <c r="I66" s="622" t="n"/>
      <c r="J66" s="548" t="n"/>
    </row>
    <row r="67" ht="24" customHeight="1" s="526">
      <c r="A67" s="615" t="inlineStr">
        <is>
          <t>（九）</t>
        </is>
      </c>
      <c r="B67" s="615" t="inlineStr">
        <is>
          <t>应对措施-检查</t>
        </is>
      </c>
      <c r="C67" s="645" t="inlineStr">
        <is>
          <t>确定当期企业的各项税费申报计缴情况是否被税务机关检查，如是，则：</t>
        </is>
      </c>
      <c r="D67" s="614" t="inlineStr">
        <is>
          <t>常规</t>
        </is>
      </c>
      <c r="E67" s="613" t="inlineStr">
        <is>
          <t>BCD</t>
        </is>
      </c>
      <c r="F67" s="547" t="n"/>
      <c r="G67" s="547" t="n"/>
      <c r="H67" s="547" t="n"/>
      <c r="I67" s="614" t="n"/>
      <c r="J67" s="548" t="n"/>
      <c r="K67" s="578" t="inlineStr">
        <is>
          <t>整合</t>
        </is>
      </c>
      <c r="L67" s="579" t="inlineStr">
        <is>
          <t>确定当期企业的各项税费申报计缴情况是否被税务机关检查，如是，则：对于已完成的检查，获取检查报告复印件及税务部门对额外金额的评估。对于正在进行的检查，确定是否需要额外的预提。</t>
        </is>
      </c>
    </row>
    <row r="68" ht="24" customHeight="1" s="526">
      <c r="A68" s="618" t="n">
        <v>1</v>
      </c>
      <c r="B68" s="638" t="inlineStr">
        <is>
          <t>应对措施-检查</t>
        </is>
      </c>
      <c r="C68" s="592" t="inlineStr">
        <is>
          <t>对于已完成的检查，获取检查报告复印件及税务部门对额外金额的评估。</t>
        </is>
      </c>
      <c r="D68" s="622" t="inlineStr">
        <is>
          <t>常规</t>
        </is>
      </c>
      <c r="E68" s="646" t="n"/>
      <c r="F68" s="547" t="n"/>
      <c r="G68" s="547" t="n"/>
      <c r="H68" s="547" t="n"/>
      <c r="I68" s="622" t="n"/>
      <c r="J68" s="548" t="n"/>
    </row>
    <row r="69" ht="15.6" customHeight="1" s="526">
      <c r="A69" s="618" t="n">
        <v>2</v>
      </c>
      <c r="B69" s="638" t="inlineStr">
        <is>
          <t>应对措施-检查</t>
        </is>
      </c>
      <c r="C69" s="592" t="inlineStr">
        <is>
          <t>对于正在进行的检查，确定是否需要额外的预提。</t>
        </is>
      </c>
      <c r="D69" s="622" t="inlineStr">
        <is>
          <t>常规</t>
        </is>
      </c>
      <c r="E69" s="646" t="n"/>
      <c r="F69" s="547" t="n"/>
      <c r="G69" s="547" t="n"/>
      <c r="H69" s="547" t="n"/>
      <c r="I69" s="622" t="n"/>
      <c r="J69" s="548" t="n"/>
    </row>
    <row r="70" ht="15.6" customHeight="1" s="526">
      <c r="A70" s="618" t="n">
        <v>3</v>
      </c>
      <c r="B70" s="638" t="inlineStr">
        <is>
          <t>应对措施-检查</t>
        </is>
      </c>
      <c r="C70" s="592" t="inlineStr">
        <is>
          <t>确定必要的税务调整是否已适当记录。</t>
        </is>
      </c>
      <c r="D70" s="622" t="inlineStr">
        <is>
          <t>常规</t>
        </is>
      </c>
      <c r="E70" s="646" t="n"/>
      <c r="F70" s="547" t="n"/>
      <c r="G70" s="547" t="n"/>
      <c r="H70" s="547" t="n"/>
      <c r="I70" s="622" t="n"/>
      <c r="J70" s="548" t="n"/>
    </row>
    <row r="71" ht="15.6" customHeight="1" s="526">
      <c r="A71" s="618" t="n">
        <v>4</v>
      </c>
      <c r="B71" s="638" t="inlineStr">
        <is>
          <t>应对措施-检查</t>
        </is>
      </c>
      <c r="C71" s="624" t="inlineStr">
        <is>
          <t xml:space="preserve">确定重大罚款或其他涉税负债的会计处理是否正确。 </t>
        </is>
      </c>
      <c r="D71" s="622" t="inlineStr">
        <is>
          <t>常规</t>
        </is>
      </c>
      <c r="E71" s="646" t="n"/>
      <c r="F71" s="547" t="n"/>
      <c r="G71" s="547" t="n"/>
      <c r="H71" s="547" t="n"/>
      <c r="I71" s="622" t="n"/>
      <c r="J71" s="548" t="n"/>
    </row>
    <row r="72" ht="51.6" customHeight="1" s="526">
      <c r="A72" s="615" t="inlineStr">
        <is>
          <t>（十）</t>
        </is>
      </c>
      <c r="B72" s="615" t="inlineStr">
        <is>
          <t>应对措施-检查</t>
        </is>
      </c>
      <c r="C72" s="647" t="inlineStr">
        <is>
          <t>获取报告期及以前一至两年主要税种纳税申报表和所得税汇算清缴表、纳税鉴证报告（如有），将其中的收入、利润、税项等相关数据与各年度财务报表核对，分析差异及变动趋势，并验证其合理性。&lt;CSRC551-12&gt;&lt;CSRC14-3&gt;</t>
        </is>
      </c>
      <c r="D72" s="648" t="inlineStr">
        <is>
          <t>IPO/上市公司</t>
        </is>
      </c>
      <c r="E72" s="649" t="inlineStr">
        <is>
          <t>ABD</t>
        </is>
      </c>
      <c r="F72" s="547" t="n"/>
      <c r="G72" s="547" t="n"/>
      <c r="H72" s="547" t="n"/>
      <c r="I72" s="614" t="inlineStr">
        <is>
          <t>O1-3</t>
        </is>
      </c>
      <c r="J72" s="548" t="n"/>
      <c r="K72" s="578" t="inlineStr">
        <is>
          <t>修改</t>
        </is>
      </c>
      <c r="L72" s="579" t="inlineStr">
        <is>
          <t>结合所得税底稿，复核应交企业所得税的计算是否正确，是否按规定进行了会计处理；抽查本期已交所得税资料，确定已交数的正确性。汇总纳税企业所得税汇算清缴，并按税法规定追加相应的程序。</t>
        </is>
      </c>
    </row>
    <row r="73" ht="25.8" customHeight="1" s="526">
      <c r="A73" s="615" t="inlineStr">
        <is>
          <t>（十一）</t>
        </is>
      </c>
      <c r="B73" s="615" t="inlineStr">
        <is>
          <t>应对措施-检查</t>
        </is>
      </c>
      <c r="C73" s="647" t="inlineStr">
        <is>
          <t>考虑取得税务机关出具的纳税证明文件的复印件，并与网上电子数据核对。</t>
        </is>
      </c>
      <c r="D73" s="614" t="inlineStr">
        <is>
          <t>IPO/上市公司</t>
        </is>
      </c>
      <c r="E73" s="613" t="inlineStr">
        <is>
          <t>ABD</t>
        </is>
      </c>
      <c r="F73" s="547" t="n"/>
      <c r="G73" s="547" t="n"/>
      <c r="H73" s="547" t="n"/>
      <c r="I73" s="614" t="inlineStr">
        <is>
          <t>O1-3</t>
        </is>
      </c>
      <c r="J73" s="548" t="n"/>
      <c r="K73" s="578" t="inlineStr">
        <is>
          <t>整合</t>
        </is>
      </c>
      <c r="L73" s="617" t="inlineStr">
        <is>
          <t>考虑取得税务机关出具的纳税证明文件的复印件，并与网上电子数据核对。登录被审计单位的纳税申报系统，将网上电子数据与纸质数据核对，确定是否一致。检查发票等重要原始凭证时，关注销售客户有无异常的注册地、联系方式、银行账号等情况，必要时通过全国发票系统检查各项税费发票的真实性。</t>
        </is>
      </c>
    </row>
    <row r="74" ht="25.8" customHeight="1" s="526">
      <c r="A74" s="618" t="n">
        <v>1</v>
      </c>
      <c r="B74" s="638" t="inlineStr">
        <is>
          <t>应对措施-检查</t>
        </is>
      </c>
      <c r="C74" s="624" t="inlineStr">
        <is>
          <t>登录被审计单位的纳税申报系统，将网上电子数据与纸质数据核对，确定是否一致。&lt;CSRC551-3、7/CSRC14-4、6&gt;</t>
        </is>
      </c>
      <c r="D74" s="622" t="inlineStr">
        <is>
          <t>IPO/上市公司</t>
        </is>
      </c>
      <c r="E74" s="628" t="n"/>
      <c r="F74" s="547" t="n"/>
      <c r="G74" s="547" t="n"/>
      <c r="H74" s="547" t="n"/>
      <c r="I74" s="622" t="n"/>
      <c r="J74" s="548" t="n"/>
      <c r="L74" s="530" t="n"/>
    </row>
    <row r="75" ht="37.8" customHeight="1" s="526">
      <c r="A75" s="618" t="n">
        <v>2</v>
      </c>
      <c r="B75" s="638" t="inlineStr">
        <is>
          <t>应对措施-检查</t>
        </is>
      </c>
      <c r="C75" s="624" t="inlineStr">
        <is>
          <t>检查发票等重要原始凭证时，关注销售客户有无异常的注册地、联系方式、银行账号等情况，必要时通过全国发票系统检查各项税费发票的真实性。&lt;CSRC14-5&gt;</t>
        </is>
      </c>
      <c r="D75" s="622" t="inlineStr">
        <is>
          <t>IPO/上市公司</t>
        </is>
      </c>
      <c r="E75" s="628" t="n"/>
      <c r="F75" s="547" t="n"/>
      <c r="G75" s="547" t="n"/>
      <c r="H75" s="547" t="n"/>
      <c r="I75" s="622" t="n"/>
      <c r="J75" s="548" t="n"/>
      <c r="L75" s="530" t="n"/>
    </row>
    <row r="76" ht="24" customHeight="1" s="526">
      <c r="A76" s="615" t="inlineStr">
        <is>
          <t>（十二）</t>
        </is>
      </c>
      <c r="B76" s="615" t="n"/>
      <c r="C76" s="636" t="inlineStr">
        <is>
          <t>根据评估的舞弊风险等因素增加的审计程序。</t>
        </is>
      </c>
      <c r="D76" s="614" t="inlineStr">
        <is>
          <t>常规</t>
        </is>
      </c>
      <c r="E76" s="613" t="inlineStr">
        <is>
          <t>ABD</t>
        </is>
      </c>
      <c r="F76" s="547" t="n"/>
      <c r="G76" s="547" t="n"/>
      <c r="H76" s="547" t="n"/>
      <c r="I76" s="614" t="n"/>
      <c r="J76" s="548" t="n"/>
      <c r="K76" s="578" t="inlineStr">
        <is>
          <t>新增</t>
        </is>
      </c>
      <c r="L76" s="650" t="inlineStr">
        <is>
          <t>抽查应交税费相关的凭证，检查是否有合法依据，会计处理是否正确。</t>
        </is>
      </c>
    </row>
    <row r="77" ht="24" customHeight="1" s="526">
      <c r="A77" s="615" t="inlineStr">
        <is>
          <t>（十三）</t>
        </is>
      </c>
      <c r="B77" s="615" t="inlineStr">
        <is>
          <t>常规程序</t>
        </is>
      </c>
      <c r="C77" s="636" t="inlineStr">
        <is>
          <t>根据适用的会计准则及相关规定，确定财务报表的列报与披露是否恰当。</t>
        </is>
      </c>
      <c r="D77" s="612" t="inlineStr">
        <is>
          <t>常规★</t>
        </is>
      </c>
      <c r="E77" s="613" t="inlineStr">
        <is>
          <t>E</t>
        </is>
      </c>
      <c r="F77" s="547" t="n"/>
      <c r="G77" s="547" t="n"/>
      <c r="H77" s="547" t="n"/>
      <c r="I77" s="614" t="inlineStr">
        <is>
          <t>O1-1</t>
        </is>
      </c>
      <c r="J77" s="548" t="n"/>
      <c r="K77" s="578" t="inlineStr">
        <is>
          <t>新增</t>
        </is>
      </c>
      <c r="L77" s="651" t="inlineStr">
        <is>
          <t>检査矿产资源补偿费等的计算是否正确，是否按规定进行了会计处理</t>
        </is>
      </c>
    </row>
    <row r="79" ht="12.9" customHeight="1" s="526">
      <c r="L79" s="651" t="n"/>
    </row>
  </sheetData>
  <mergeCells count="136">
    <mergeCell ref="E61:H61"/>
    <mergeCell ref="E32:H32"/>
    <mergeCell ref="I26:J26"/>
    <mergeCell ref="E37:H37"/>
    <mergeCell ref="I16:J16"/>
    <mergeCell ref="I76:J76"/>
    <mergeCell ref="I25:J25"/>
    <mergeCell ref="E62:H62"/>
    <mergeCell ref="I71:J71"/>
    <mergeCell ref="I66:J66"/>
    <mergeCell ref="E71:H71"/>
    <mergeCell ref="E24:H24"/>
    <mergeCell ref="I18:J18"/>
    <mergeCell ref="I58:J58"/>
    <mergeCell ref="A6:J6"/>
    <mergeCell ref="E64:H64"/>
    <mergeCell ref="I42:J42"/>
    <mergeCell ref="E73:H73"/>
    <mergeCell ref="E63:H63"/>
    <mergeCell ref="I44:J44"/>
    <mergeCell ref="I20:J20"/>
    <mergeCell ref="E65:H65"/>
    <mergeCell ref="J8:J9"/>
    <mergeCell ref="E34:H34"/>
    <mergeCell ref="E74:H74"/>
    <mergeCell ref="I69:J69"/>
    <mergeCell ref="E49:H49"/>
    <mergeCell ref="E27:H27"/>
    <mergeCell ref="E36:H36"/>
    <mergeCell ref="I30:J30"/>
    <mergeCell ref="E45:H45"/>
    <mergeCell ref="I77:J77"/>
    <mergeCell ref="I46:J46"/>
    <mergeCell ref="A3:C3"/>
    <mergeCell ref="A12:C12"/>
    <mergeCell ref="I61:J61"/>
    <mergeCell ref="I70:J70"/>
    <mergeCell ref="E75:H75"/>
    <mergeCell ref="E22:H22"/>
    <mergeCell ref="I57:J57"/>
    <mergeCell ref="A5:C5"/>
    <mergeCell ref="I54:J54"/>
    <mergeCell ref="I32:J32"/>
    <mergeCell ref="A14:C14"/>
    <mergeCell ref="I72:J72"/>
    <mergeCell ref="I41:J41"/>
    <mergeCell ref="E21:H21"/>
    <mergeCell ref="A4:C4"/>
    <mergeCell ref="E67:H67"/>
    <mergeCell ref="I56:J56"/>
    <mergeCell ref="I43:J43"/>
    <mergeCell ref="E48:H48"/>
    <mergeCell ref="A13:C13"/>
    <mergeCell ref="E23:H23"/>
    <mergeCell ref="I24:J24"/>
    <mergeCell ref="I33:J33"/>
    <mergeCell ref="E38:H38"/>
    <mergeCell ref="A15:C15"/>
    <mergeCell ref="I17:J17"/>
    <mergeCell ref="E40:H40"/>
    <mergeCell ref="I19:J19"/>
    <mergeCell ref="A8:C9"/>
    <mergeCell ref="I59:J59"/>
    <mergeCell ref="A2:J2"/>
    <mergeCell ref="I60:J60"/>
    <mergeCell ref="I74:J74"/>
    <mergeCell ref="E26:H26"/>
    <mergeCell ref="E16:H16"/>
    <mergeCell ref="I45:J45"/>
    <mergeCell ref="E76:H76"/>
    <mergeCell ref="E25:H25"/>
    <mergeCell ref="E66:H66"/>
    <mergeCell ref="E18:H18"/>
    <mergeCell ref="E53:H53"/>
    <mergeCell ref="E50:H50"/>
    <mergeCell ref="I37:J37"/>
    <mergeCell ref="E68:H68"/>
    <mergeCell ref="E55:H55"/>
    <mergeCell ref="L37:L46"/>
    <mergeCell ref="I21:J21"/>
    <mergeCell ref="E39:H39"/>
    <mergeCell ref="I8:I9"/>
    <mergeCell ref="I62:J62"/>
    <mergeCell ref="E20:H20"/>
    <mergeCell ref="E29:H29"/>
    <mergeCell ref="I23:J23"/>
    <mergeCell ref="I64:J64"/>
    <mergeCell ref="I73:J73"/>
    <mergeCell ref="D8:H8"/>
    <mergeCell ref="E31:H31"/>
    <mergeCell ref="I63:J63"/>
    <mergeCell ref="E46:H46"/>
    <mergeCell ref="I50:J50"/>
    <mergeCell ref="L18:L24"/>
    <mergeCell ref="I65:J65"/>
    <mergeCell ref="I34:J34"/>
    <mergeCell ref="E70:H70"/>
    <mergeCell ref="E57:H57"/>
    <mergeCell ref="I49:J49"/>
    <mergeCell ref="E54:H54"/>
    <mergeCell ref="I27:J27"/>
    <mergeCell ref="E72:H72"/>
    <mergeCell ref="I36:J36"/>
    <mergeCell ref="E41:H41"/>
    <mergeCell ref="E56:H56"/>
    <mergeCell ref="E43:H43"/>
    <mergeCell ref="E58:H58"/>
    <mergeCell ref="I75:J75"/>
    <mergeCell ref="I22:J22"/>
    <mergeCell ref="I28:J28"/>
    <mergeCell ref="E33:H33"/>
    <mergeCell ref="I53:J53"/>
    <mergeCell ref="E42:H42"/>
    <mergeCell ref="A10:C10"/>
    <mergeCell ref="L53:L62"/>
    <mergeCell ref="A1:J1"/>
    <mergeCell ref="E17:H17"/>
    <mergeCell ref="I68:J68"/>
    <mergeCell ref="I55:J55"/>
    <mergeCell ref="E44:H44"/>
    <mergeCell ref="I67:J67"/>
    <mergeCell ref="I39:J39"/>
    <mergeCell ref="E19:H19"/>
    <mergeCell ref="I48:J48"/>
    <mergeCell ref="E28:H28"/>
    <mergeCell ref="I29:J29"/>
    <mergeCell ref="E60:H60"/>
    <mergeCell ref="A11:C11"/>
    <mergeCell ref="I38:J38"/>
    <mergeCell ref="E69:H69"/>
    <mergeCell ref="E30:H30"/>
    <mergeCell ref="L73:L75"/>
    <mergeCell ref="E59:H59"/>
    <mergeCell ref="I31:J31"/>
    <mergeCell ref="E77:H77"/>
    <mergeCell ref="I40:J40"/>
  </mergeCells>
  <pageMargins left="0.7086614173228351" right="0.7086614173228351" top="0.748031496062992" bottom="0.748031496062992" header="0.31496062992126" footer="0.31496062992126"/>
  <pageSetup orientation="portrait" paperSize="9" scale="54" blackAndWhite="1" horizontalDpi="300" verticalDpi="300"/>
</worksheet>
</file>

<file path=xl/worksheets/sheet4.xml><?xml version="1.0" encoding="utf-8"?>
<worksheet xmlns="http://schemas.openxmlformats.org/spreadsheetml/2006/main">
  <sheetPr codeName="Sheet6">
    <outlinePr summaryBelow="1" summaryRight="1"/>
    <pageSetUpPr/>
  </sheetPr>
  <dimension ref="A1:N31"/>
  <sheetViews>
    <sheetView view="pageBreakPreview" zoomScaleNormal="100" workbookViewId="0">
      <selection activeCell="A1" sqref="A1:N1"/>
    </sheetView>
  </sheetViews>
  <sheetFormatPr baseColWidth="8" defaultColWidth="9" defaultRowHeight="20.1" customHeight="1"/>
  <cols>
    <col width="20.296875" customWidth="1" style="652" min="1" max="1"/>
    <col width="9" customWidth="1" style="652" min="2" max="3"/>
    <col width="10.09765625" customWidth="1" style="652" min="4" max="4"/>
    <col width="9" customWidth="1" style="652" min="5" max="7"/>
    <col width="10.3984375" customWidth="1" style="652" min="8" max="8"/>
    <col width="9" customWidth="1" style="652" min="9" max="16384"/>
  </cols>
  <sheetData>
    <row r="1" ht="20.1" customHeight="1" s="526">
      <c r="A1" s="653" t="inlineStr">
        <is>
          <t>致同会计师事务所</t>
        </is>
      </c>
    </row>
    <row r="2" ht="20.1" customHeight="1" s="526">
      <c r="A2" s="654" t="inlineStr">
        <is>
          <t>应交税费审定表</t>
        </is>
      </c>
    </row>
    <row r="3" ht="20.1" customHeight="1" s="526">
      <c r="A3" s="655">
        <f>底稿目录!A2</f>
        <v/>
      </c>
      <c r="B3" s="655" t="n"/>
      <c r="C3" s="656">
        <f>底稿目录!A4</f>
        <v/>
      </c>
      <c r="D3" s="655" t="n"/>
      <c r="F3" s="655" t="n"/>
      <c r="H3" s="655">
        <f>底稿目录!A5</f>
        <v/>
      </c>
      <c r="M3" s="657" t="inlineStr">
        <is>
          <t>索引号：</t>
        </is>
      </c>
      <c r="N3" s="525">
        <f>底稿目录!F4</f>
        <v/>
      </c>
    </row>
    <row r="4" ht="20.1" customHeight="1" s="526">
      <c r="A4" s="655">
        <f>底稿目录!A3</f>
        <v/>
      </c>
      <c r="B4" s="655" t="n"/>
      <c r="C4" s="656">
        <f>底稿目录!A6</f>
        <v/>
      </c>
      <c r="D4" s="655" t="n"/>
      <c r="F4" s="655" t="n"/>
      <c r="H4" s="655">
        <f>底稿目录!A7</f>
        <v/>
      </c>
      <c r="M4" s="657" t="inlineStr">
        <is>
          <t>页次：</t>
        </is>
      </c>
      <c r="N4" s="655" t="n"/>
    </row>
    <row r="5" ht="39" customHeight="1" s="526">
      <c r="A5" s="658" t="inlineStr">
        <is>
          <t>项目</t>
        </is>
      </c>
      <c r="B5" s="659" t="inlineStr">
        <is>
          <t>期初数</t>
        </is>
      </c>
      <c r="C5" s="547" t="n"/>
      <c r="D5" s="547" t="n"/>
      <c r="E5" s="548" t="n"/>
      <c r="F5" s="659" t="inlineStr">
        <is>
          <t>期末数</t>
        </is>
      </c>
      <c r="G5" s="547" t="n"/>
      <c r="H5" s="547" t="n"/>
      <c r="I5" s="548" t="n"/>
      <c r="J5" s="660" t="inlineStr">
        <is>
          <t>本期未审数与上期
未审数的比较</t>
        </is>
      </c>
      <c r="K5" s="548" t="n"/>
      <c r="L5" s="660" t="inlineStr">
        <is>
          <t>本期审定数与上期
审定数的比较</t>
        </is>
      </c>
      <c r="M5" s="548" t="n"/>
      <c r="N5" s="658" t="inlineStr">
        <is>
          <t>原因分析</t>
        </is>
      </c>
    </row>
    <row r="6" ht="20.1" customHeight="1" s="526">
      <c r="A6" s="661" t="n"/>
      <c r="B6" s="659" t="inlineStr">
        <is>
          <t>未审数</t>
        </is>
      </c>
      <c r="C6" s="659" t="inlineStr">
        <is>
          <t>账项调整</t>
        </is>
      </c>
      <c r="D6" s="659" t="inlineStr">
        <is>
          <t>重分类调整</t>
        </is>
      </c>
      <c r="E6" s="659" t="inlineStr">
        <is>
          <t>审定数</t>
        </is>
      </c>
      <c r="F6" s="659" t="inlineStr">
        <is>
          <t>未审数</t>
        </is>
      </c>
      <c r="G6" s="659" t="inlineStr">
        <is>
          <t>账项调整</t>
        </is>
      </c>
      <c r="H6" s="659" t="inlineStr">
        <is>
          <t>重分类调整</t>
        </is>
      </c>
      <c r="I6" s="659" t="inlineStr">
        <is>
          <t>审定数</t>
        </is>
      </c>
      <c r="J6" s="662" t="inlineStr">
        <is>
          <t>变动额</t>
        </is>
      </c>
      <c r="K6" s="662" t="inlineStr">
        <is>
          <t>变动率</t>
        </is>
      </c>
      <c r="L6" s="662" t="inlineStr">
        <is>
          <t>变动额</t>
        </is>
      </c>
      <c r="M6" s="660" t="inlineStr">
        <is>
          <t>变动率</t>
        </is>
      </c>
      <c r="N6" s="661" t="n"/>
    </row>
    <row r="7" ht="20.1" customHeight="1" s="526">
      <c r="A7" s="663">
        <f>'应交税费明细表N2-2'!A10</f>
        <v/>
      </c>
      <c r="B7" s="664">
        <f>'应交税费明细表N2-2'!C10</f>
        <v/>
      </c>
      <c r="C7" s="664">
        <f>'应交税费明细表N2-2'!G10</f>
        <v/>
      </c>
      <c r="D7" s="664">
        <f>'应交税费明细表N2-2'!H10</f>
        <v/>
      </c>
      <c r="E7" s="664">
        <f>B7+C7+D7</f>
        <v/>
      </c>
      <c r="F7" s="664">
        <f>'应交税费明细表N2-2'!F10</f>
        <v/>
      </c>
      <c r="G7" s="664">
        <f>'应交税费明细表N2-2'!G10+'应交税费明细表N2-2'!I10-'应交税费明细表N2-2'!J10</f>
        <v/>
      </c>
      <c r="H7" s="664">
        <f>'应交税费明细表N2-2'!H10+'应交税费明细表N2-2'!K10-'应交税费明细表N2-2'!L10</f>
        <v/>
      </c>
      <c r="I7" s="664">
        <f>F7+G7+H7</f>
        <v/>
      </c>
      <c r="J7" s="665">
        <f>F7-B7</f>
        <v/>
      </c>
      <c r="K7" s="666">
        <f>IF(AND(B7=0,J7=0),0,IF(AND(B7=0,J7&gt;0),1,J7/B7))</f>
        <v/>
      </c>
      <c r="L7" s="665">
        <f>I7-E7</f>
        <v/>
      </c>
      <c r="M7" s="666">
        <f>IF(AND(E7=0,L7=0),0,IF(AND(E7=0,L7&gt;0),1,L7/E7))</f>
        <v/>
      </c>
      <c r="N7" s="667" t="n"/>
    </row>
    <row r="8" ht="20.1" customHeight="1" s="526">
      <c r="A8" s="663">
        <f>'应交税费明细表N2-2'!A11</f>
        <v/>
      </c>
      <c r="B8" s="664">
        <f>'应交税费明细表N2-2'!C11</f>
        <v/>
      </c>
      <c r="C8" s="664">
        <f>'应交税费明细表N2-2'!G11</f>
        <v/>
      </c>
      <c r="D8" s="664">
        <f>'应交税费明细表N2-2'!H11</f>
        <v/>
      </c>
      <c r="E8" s="664">
        <f>B8+C8+D8</f>
        <v/>
      </c>
      <c r="F8" s="664">
        <f>'应交税费明细表N2-2'!F11</f>
        <v/>
      </c>
      <c r="G8" s="664">
        <f>'应交税费明细表N2-2'!G11+'应交税费明细表N2-2'!I11-'应交税费明细表N2-2'!J11</f>
        <v/>
      </c>
      <c r="H8" s="664">
        <f>'应交税费明细表N2-2'!H11+'应交税费明细表N2-2'!K11-'应交税费明细表N2-2'!L11</f>
        <v/>
      </c>
      <c r="I8" s="664">
        <f>F8+G8+H8</f>
        <v/>
      </c>
      <c r="J8" s="665">
        <f>F8-B8</f>
        <v/>
      </c>
      <c r="K8" s="666">
        <f>IF(AND(B8=0,J8=0),0,IF(AND(B8=0,J8&gt;0),1,J8/B8))</f>
        <v/>
      </c>
      <c r="L8" s="665">
        <f>I8-E8</f>
        <v/>
      </c>
      <c r="M8" s="666">
        <f>IF(AND(E8=0,L8=0),0,IF(AND(E8=0,L8&gt;0),1,L8/E8))</f>
        <v/>
      </c>
      <c r="N8" s="667" t="n"/>
    </row>
    <row r="9" ht="20.1" customHeight="1" s="526">
      <c r="A9" s="663">
        <f>'应交税费明细表N2-2'!A12</f>
        <v/>
      </c>
      <c r="B9" s="664">
        <f>'应交税费明细表N2-2'!C12</f>
        <v/>
      </c>
      <c r="C9" s="664">
        <f>'应交税费明细表N2-2'!G12</f>
        <v/>
      </c>
      <c r="D9" s="664">
        <f>'应交税费明细表N2-2'!H12</f>
        <v/>
      </c>
      <c r="E9" s="664">
        <f>B9+C9+D9</f>
        <v/>
      </c>
      <c r="F9" s="664">
        <f>'应交税费明细表N2-2'!F12</f>
        <v/>
      </c>
      <c r="G9" s="664">
        <f>'应交税费明细表N2-2'!G12+'应交税费明细表N2-2'!I12-'应交税费明细表N2-2'!J12</f>
        <v/>
      </c>
      <c r="H9" s="664">
        <f>'应交税费明细表N2-2'!H12+'应交税费明细表N2-2'!K12-'应交税费明细表N2-2'!L12</f>
        <v/>
      </c>
      <c r="I9" s="664">
        <f>F9+G9+H9</f>
        <v/>
      </c>
      <c r="J9" s="665">
        <f>F9-B9</f>
        <v/>
      </c>
      <c r="K9" s="666">
        <f>IF(AND(B9=0,J9=0),0,IF(AND(B9=0,J9&gt;0),1,J9/B9))</f>
        <v/>
      </c>
      <c r="L9" s="665">
        <f>I9-E9</f>
        <v/>
      </c>
      <c r="M9" s="666">
        <f>IF(AND(E9=0,L9=0),0,IF(AND(E9=0,L9&gt;0),1,L9/E9))</f>
        <v/>
      </c>
      <c r="N9" s="667" t="n"/>
    </row>
    <row r="10" ht="20.1" customHeight="1" s="526">
      <c r="A10" s="663">
        <f>'应交税费明细表N2-2'!A13</f>
        <v/>
      </c>
      <c r="B10" s="664">
        <f>'应交税费明细表N2-2'!C13</f>
        <v/>
      </c>
      <c r="C10" s="664">
        <f>'应交税费明细表N2-2'!G13</f>
        <v/>
      </c>
      <c r="D10" s="664">
        <f>'应交税费明细表N2-2'!H13</f>
        <v/>
      </c>
      <c r="E10" s="664">
        <f>B10+C10+D10</f>
        <v/>
      </c>
      <c r="F10" s="664">
        <f>'应交税费明细表N2-2'!F13</f>
        <v/>
      </c>
      <c r="G10" s="664">
        <f>'应交税费明细表N2-2'!G13+'应交税费明细表N2-2'!I13-'应交税费明细表N2-2'!J13</f>
        <v/>
      </c>
      <c r="H10" s="664">
        <f>'应交税费明细表N2-2'!H13+'应交税费明细表N2-2'!K13-'应交税费明细表N2-2'!L13</f>
        <v/>
      </c>
      <c r="I10" s="664">
        <f>F10+G10+H10</f>
        <v/>
      </c>
      <c r="J10" s="665">
        <f>F10-B10</f>
        <v/>
      </c>
      <c r="K10" s="666">
        <f>IF(AND(B10=0,J10=0),0,IF(AND(B10=0,J10&gt;0),1,J10/B10))</f>
        <v/>
      </c>
      <c r="L10" s="665">
        <f>I10-E10</f>
        <v/>
      </c>
      <c r="M10" s="666">
        <f>IF(AND(E10=0,L10=0),0,IF(AND(E10=0,L10&gt;0),1,L10/E10))</f>
        <v/>
      </c>
      <c r="N10" s="667" t="n"/>
    </row>
    <row r="11" ht="20.1" customHeight="1" s="526">
      <c r="A11" s="663">
        <f>'应交税费明细表N2-2'!A14</f>
        <v/>
      </c>
      <c r="B11" s="664">
        <f>'应交税费明细表N2-2'!C14</f>
        <v/>
      </c>
      <c r="C11" s="664">
        <f>'应交税费明细表N2-2'!G14</f>
        <v/>
      </c>
      <c r="D11" s="664">
        <f>'应交税费明细表N2-2'!H14</f>
        <v/>
      </c>
      <c r="E11" s="664">
        <f>B11+C11+D11</f>
        <v/>
      </c>
      <c r="F11" s="664">
        <f>'应交税费明细表N2-2'!F14</f>
        <v/>
      </c>
      <c r="G11" s="664">
        <f>'应交税费明细表N2-2'!G14+'应交税费明细表N2-2'!I14-'应交税费明细表N2-2'!J14</f>
        <v/>
      </c>
      <c r="H11" s="664">
        <f>'应交税费明细表N2-2'!H14+'应交税费明细表N2-2'!K14-'应交税费明细表N2-2'!L14</f>
        <v/>
      </c>
      <c r="I11" s="664">
        <f>F11+G11+H11</f>
        <v/>
      </c>
      <c r="J11" s="665">
        <f>F11-B11</f>
        <v/>
      </c>
      <c r="K11" s="666">
        <f>IF(AND(B11=0,J11=0),0,IF(AND(B11=0,J11&gt;0),1,J11/B11))</f>
        <v/>
      </c>
      <c r="L11" s="665">
        <f>I11-E11</f>
        <v/>
      </c>
      <c r="M11" s="666">
        <f>IF(AND(E11=0,L11=0),0,IF(AND(E11=0,L11&gt;0),1,L11/E11))</f>
        <v/>
      </c>
      <c r="N11" s="667" t="n"/>
    </row>
    <row r="12" ht="20.1" customHeight="1" s="526">
      <c r="A12" s="663">
        <f>'应交税费明细表N2-2'!A15</f>
        <v/>
      </c>
      <c r="B12" s="664">
        <f>'应交税费明细表N2-2'!C15</f>
        <v/>
      </c>
      <c r="C12" s="664">
        <f>'应交税费明细表N2-2'!G15</f>
        <v/>
      </c>
      <c r="D12" s="664">
        <f>'应交税费明细表N2-2'!H15</f>
        <v/>
      </c>
      <c r="E12" s="664">
        <f>B12+C12+D12</f>
        <v/>
      </c>
      <c r="F12" s="664">
        <f>'应交税费明细表N2-2'!F15</f>
        <v/>
      </c>
      <c r="G12" s="664">
        <f>'应交税费明细表N2-2'!G15+'应交税费明细表N2-2'!I15-'应交税费明细表N2-2'!J15</f>
        <v/>
      </c>
      <c r="H12" s="664">
        <f>'应交税费明细表N2-2'!H15+'应交税费明细表N2-2'!K15-'应交税费明细表N2-2'!L15</f>
        <v/>
      </c>
      <c r="I12" s="664">
        <f>F12+G12+H12</f>
        <v/>
      </c>
      <c r="J12" s="665">
        <f>F12-B12</f>
        <v/>
      </c>
      <c r="K12" s="666">
        <f>IF(AND(B12=0,J12=0),0,IF(AND(B12=0,J12&gt;0),1,J12/B12))</f>
        <v/>
      </c>
      <c r="L12" s="665">
        <f>I12-E12</f>
        <v/>
      </c>
      <c r="M12" s="666">
        <f>IF(AND(E12=0,L12=0),0,IF(AND(E12=0,L12&gt;0),1,L12/E12))</f>
        <v/>
      </c>
      <c r="N12" s="667" t="n"/>
    </row>
    <row r="13" ht="20.1" customHeight="1" s="526">
      <c r="A13" s="663">
        <f>'应交税费明细表N2-2'!A16</f>
        <v/>
      </c>
      <c r="B13" s="664">
        <f>'应交税费明细表N2-2'!C16</f>
        <v/>
      </c>
      <c r="C13" s="664">
        <f>'应交税费明细表N2-2'!G16</f>
        <v/>
      </c>
      <c r="D13" s="664">
        <f>'应交税费明细表N2-2'!H16</f>
        <v/>
      </c>
      <c r="E13" s="664">
        <f>B13+C13+D13</f>
        <v/>
      </c>
      <c r="F13" s="664">
        <f>'应交税费明细表N2-2'!F16</f>
        <v/>
      </c>
      <c r="G13" s="664">
        <f>'应交税费明细表N2-2'!G16+'应交税费明细表N2-2'!I16-'应交税费明细表N2-2'!J16</f>
        <v/>
      </c>
      <c r="H13" s="664">
        <f>'应交税费明细表N2-2'!H16+'应交税费明细表N2-2'!K16-'应交税费明细表N2-2'!L16</f>
        <v/>
      </c>
      <c r="I13" s="664">
        <f>F13+G13+H13</f>
        <v/>
      </c>
      <c r="J13" s="665">
        <f>F13-B13</f>
        <v/>
      </c>
      <c r="K13" s="666">
        <f>IF(AND(B13=0,J13=0),0,IF(AND(B13=0,J13&gt;0),1,J13/B13))</f>
        <v/>
      </c>
      <c r="L13" s="665">
        <f>I13-E13</f>
        <v/>
      </c>
      <c r="M13" s="666">
        <f>IF(AND(E13=0,L13=0),0,IF(AND(E13=0,L13&gt;0),1,L13/E13))</f>
        <v/>
      </c>
      <c r="N13" s="667" t="n"/>
    </row>
    <row r="14" ht="20.1" customHeight="1" s="526">
      <c r="A14" s="663">
        <f>'应交税费明细表N2-2'!A17</f>
        <v/>
      </c>
      <c r="B14" s="664">
        <f>'应交税费明细表N2-2'!C17</f>
        <v/>
      </c>
      <c r="C14" s="664">
        <f>'应交税费明细表N2-2'!G17</f>
        <v/>
      </c>
      <c r="D14" s="664">
        <f>'应交税费明细表N2-2'!H17</f>
        <v/>
      </c>
      <c r="E14" s="664">
        <f>B14+C14+D14</f>
        <v/>
      </c>
      <c r="F14" s="664">
        <f>'应交税费明细表N2-2'!F17</f>
        <v/>
      </c>
      <c r="G14" s="664">
        <f>'应交税费明细表N2-2'!G17+'应交税费明细表N2-2'!I17-'应交税费明细表N2-2'!J17</f>
        <v/>
      </c>
      <c r="H14" s="664">
        <f>'应交税费明细表N2-2'!H17+'应交税费明细表N2-2'!K17-'应交税费明细表N2-2'!L17</f>
        <v/>
      </c>
      <c r="I14" s="664">
        <f>F14+G14+H14</f>
        <v/>
      </c>
      <c r="J14" s="665">
        <f>F14-B14</f>
        <v/>
      </c>
      <c r="K14" s="666">
        <f>IF(AND(B14=0,J14=0),0,IF(AND(B14=0,J14&gt;0),1,J14/B14))</f>
        <v/>
      </c>
      <c r="L14" s="665">
        <f>I14-E14</f>
        <v/>
      </c>
      <c r="M14" s="666">
        <f>IF(AND(E14=0,L14=0),0,IF(AND(E14=0,L14&gt;0),1,L14/E14))</f>
        <v/>
      </c>
      <c r="N14" s="667" t="n"/>
    </row>
    <row r="15" ht="20.1" customHeight="1" s="526">
      <c r="A15" s="663">
        <f>'应交税费明细表N2-2'!A18</f>
        <v/>
      </c>
      <c r="B15" s="664">
        <f>'应交税费明细表N2-2'!C18</f>
        <v/>
      </c>
      <c r="C15" s="664">
        <f>'应交税费明细表N2-2'!G18</f>
        <v/>
      </c>
      <c r="D15" s="664">
        <f>'应交税费明细表N2-2'!H18</f>
        <v/>
      </c>
      <c r="E15" s="664">
        <f>B15+C15+D15</f>
        <v/>
      </c>
      <c r="F15" s="664">
        <f>'应交税费明细表N2-2'!F18</f>
        <v/>
      </c>
      <c r="G15" s="664">
        <f>'应交税费明细表N2-2'!G18+'应交税费明细表N2-2'!I18-'应交税费明细表N2-2'!J18</f>
        <v/>
      </c>
      <c r="H15" s="664">
        <f>'应交税费明细表N2-2'!H18+'应交税费明细表N2-2'!K18-'应交税费明细表N2-2'!L18</f>
        <v/>
      </c>
      <c r="I15" s="664">
        <f>F15+G15+H15</f>
        <v/>
      </c>
      <c r="J15" s="665">
        <f>F15-B15</f>
        <v/>
      </c>
      <c r="K15" s="666">
        <f>IF(AND(B15=0,J15=0),0,IF(AND(B15=0,J15&gt;0),1,J15/B15))</f>
        <v/>
      </c>
      <c r="L15" s="665">
        <f>I15-E15</f>
        <v/>
      </c>
      <c r="M15" s="666">
        <f>IF(AND(E15=0,L15=0),0,IF(AND(E15=0,L15&gt;0),1,L15/E15))</f>
        <v/>
      </c>
      <c r="N15" s="667" t="n"/>
    </row>
    <row r="16" ht="20.1" customHeight="1" s="526">
      <c r="A16" s="663">
        <f>'应交税费明细表N2-2'!A19</f>
        <v/>
      </c>
      <c r="B16" s="664">
        <f>'应交税费明细表N2-2'!C19</f>
        <v/>
      </c>
      <c r="C16" s="664">
        <f>'应交税费明细表N2-2'!G19</f>
        <v/>
      </c>
      <c r="D16" s="664">
        <f>'应交税费明细表N2-2'!H19</f>
        <v/>
      </c>
      <c r="E16" s="664">
        <f>B16+C16+D16</f>
        <v/>
      </c>
      <c r="F16" s="664">
        <f>'应交税费明细表N2-2'!F19</f>
        <v/>
      </c>
      <c r="G16" s="664">
        <f>'应交税费明细表N2-2'!G19+'应交税费明细表N2-2'!I19-'应交税费明细表N2-2'!J19</f>
        <v/>
      </c>
      <c r="H16" s="664">
        <f>'应交税费明细表N2-2'!H19+'应交税费明细表N2-2'!K19-'应交税费明细表N2-2'!L19</f>
        <v/>
      </c>
      <c r="I16" s="664">
        <f>F16+G16+H16</f>
        <v/>
      </c>
      <c r="J16" s="665">
        <f>F16-B16</f>
        <v/>
      </c>
      <c r="K16" s="666">
        <f>IF(AND(B16=0,J16=0),0,IF(AND(B16=0,J16&gt;0),1,J16/B16))</f>
        <v/>
      </c>
      <c r="L16" s="665">
        <f>I16-E16</f>
        <v/>
      </c>
      <c r="M16" s="666">
        <f>IF(AND(E16=0,L16=0),0,IF(AND(E16=0,L16&gt;0),1,L16/E16))</f>
        <v/>
      </c>
      <c r="N16" s="667" t="n"/>
    </row>
    <row r="17" ht="20.1" customHeight="1" s="526">
      <c r="A17" s="663">
        <f>'应交税费明细表N2-2'!A20</f>
        <v/>
      </c>
      <c r="B17" s="664">
        <f>'应交税费明细表N2-2'!C20</f>
        <v/>
      </c>
      <c r="C17" s="664">
        <f>'应交税费明细表N2-2'!G20</f>
        <v/>
      </c>
      <c r="D17" s="664">
        <f>'应交税费明细表N2-2'!H20</f>
        <v/>
      </c>
      <c r="E17" s="664">
        <f>B17+C17+D17</f>
        <v/>
      </c>
      <c r="F17" s="664">
        <f>'应交税费明细表N2-2'!F20</f>
        <v/>
      </c>
      <c r="G17" s="664">
        <f>'应交税费明细表N2-2'!G20+'应交税费明细表N2-2'!I20-'应交税费明细表N2-2'!J20</f>
        <v/>
      </c>
      <c r="H17" s="664">
        <f>'应交税费明细表N2-2'!H20+'应交税费明细表N2-2'!K20-'应交税费明细表N2-2'!L20</f>
        <v/>
      </c>
      <c r="I17" s="664">
        <f>F17+G17+H17</f>
        <v/>
      </c>
      <c r="J17" s="665">
        <f>F17-B17</f>
        <v/>
      </c>
      <c r="K17" s="666">
        <f>IF(AND(B17=0,J17=0),0,IF(AND(B17=0,J17&gt;0),1,J17/B17))</f>
        <v/>
      </c>
      <c r="L17" s="665">
        <f>I17-E17</f>
        <v/>
      </c>
      <c r="M17" s="666">
        <f>IF(AND(E17=0,L17=0),0,IF(AND(E17=0,L17&gt;0),1,L17/E17))</f>
        <v/>
      </c>
      <c r="N17" s="667" t="n"/>
    </row>
    <row r="18" ht="20.1" customHeight="1" s="526">
      <c r="A18" s="663">
        <f>'应交税费明细表N2-2'!A21</f>
        <v/>
      </c>
      <c r="B18" s="664">
        <f>'应交税费明细表N2-2'!C21</f>
        <v/>
      </c>
      <c r="C18" s="664">
        <f>'应交税费明细表N2-2'!G21</f>
        <v/>
      </c>
      <c r="D18" s="664">
        <f>'应交税费明细表N2-2'!H21</f>
        <v/>
      </c>
      <c r="E18" s="664">
        <f>B18+C18+D18</f>
        <v/>
      </c>
      <c r="F18" s="664">
        <f>'应交税费明细表N2-2'!F21</f>
        <v/>
      </c>
      <c r="G18" s="664">
        <f>'应交税费明细表N2-2'!G21+'应交税费明细表N2-2'!I21-'应交税费明细表N2-2'!J21</f>
        <v/>
      </c>
      <c r="H18" s="664">
        <f>'应交税费明细表N2-2'!H21+'应交税费明细表N2-2'!K21-'应交税费明细表N2-2'!L21</f>
        <v/>
      </c>
      <c r="I18" s="664">
        <f>F18+G18+H18</f>
        <v/>
      </c>
      <c r="J18" s="665">
        <f>F18-B18</f>
        <v/>
      </c>
      <c r="K18" s="666">
        <f>IF(AND(B18=0,J18=0),0,IF(AND(B18=0,J18&gt;0),1,J18/B18))</f>
        <v/>
      </c>
      <c r="L18" s="665">
        <f>I18-E18</f>
        <v/>
      </c>
      <c r="M18" s="666">
        <f>IF(AND(E18=0,L18=0),0,IF(AND(E18=0,L18&gt;0),1,L18/E18))</f>
        <v/>
      </c>
      <c r="N18" s="667" t="n"/>
    </row>
    <row r="19" ht="20.1" customHeight="1" s="526">
      <c r="A19" s="663">
        <f>'应交税费明细表N2-2'!A22</f>
        <v/>
      </c>
      <c r="B19" s="664">
        <f>'应交税费明细表N2-2'!C22</f>
        <v/>
      </c>
      <c r="C19" s="664">
        <f>'应交税费明细表N2-2'!G22</f>
        <v/>
      </c>
      <c r="D19" s="664">
        <f>'应交税费明细表N2-2'!H22</f>
        <v/>
      </c>
      <c r="E19" s="664">
        <f>B19+C19+D19</f>
        <v/>
      </c>
      <c r="F19" s="664">
        <f>'应交税费明细表N2-2'!F22</f>
        <v/>
      </c>
      <c r="G19" s="664">
        <f>'应交税费明细表N2-2'!G22+'应交税费明细表N2-2'!I22-'应交税费明细表N2-2'!J22</f>
        <v/>
      </c>
      <c r="H19" s="664">
        <f>'应交税费明细表N2-2'!H22+'应交税费明细表N2-2'!K22-'应交税费明细表N2-2'!L22</f>
        <v/>
      </c>
      <c r="I19" s="664">
        <f>F19+G19+H19</f>
        <v/>
      </c>
      <c r="J19" s="665">
        <f>F19-B19</f>
        <v/>
      </c>
      <c r="K19" s="666">
        <f>IF(AND(B19=0,J19=0),0,IF(AND(B19=0,J19&gt;0),1,J19/B19))</f>
        <v/>
      </c>
      <c r="L19" s="665">
        <f>I19-E19</f>
        <v/>
      </c>
      <c r="M19" s="666">
        <f>IF(AND(E19=0,L19=0),0,IF(AND(E19=0,L19&gt;0),1,L19/E19))</f>
        <v/>
      </c>
      <c r="N19" s="667" t="n"/>
    </row>
    <row r="20" ht="20.1" customHeight="1" s="526">
      <c r="A20" s="668" t="n"/>
      <c r="B20" s="664" t="n"/>
      <c r="C20" s="664" t="n"/>
      <c r="D20" s="664" t="n"/>
      <c r="E20" s="664" t="n"/>
      <c r="F20" s="664" t="n"/>
      <c r="G20" s="664" t="n"/>
      <c r="H20" s="664" t="n"/>
      <c r="I20" s="664" t="n"/>
      <c r="J20" s="665">
        <f>F20-B20</f>
        <v/>
      </c>
      <c r="K20" s="666">
        <f>IF(AND(B20=0,J20=0),0,IF(AND(B20=0,J20&gt;0),1,J20/B20))</f>
        <v/>
      </c>
      <c r="L20" s="665">
        <f>I20-E20</f>
        <v/>
      </c>
      <c r="M20" s="666">
        <f>IF(AND(E20=0,L20=0),0,IF(AND(E20=0,L20&gt;0),1,L20/E20))</f>
        <v/>
      </c>
      <c r="N20" s="667" t="n"/>
    </row>
    <row r="21" ht="20.1" customHeight="1" s="526">
      <c r="A21" s="663" t="n"/>
      <c r="B21" s="664" t="n"/>
      <c r="C21" s="664" t="n"/>
      <c r="D21" s="664" t="n"/>
      <c r="E21" s="664" t="n"/>
      <c r="F21" s="664" t="n"/>
      <c r="G21" s="664" t="n"/>
      <c r="H21" s="664" t="n"/>
      <c r="I21" s="664" t="n"/>
      <c r="J21" s="665">
        <f>F21-B21</f>
        <v/>
      </c>
      <c r="K21" s="666">
        <f>IF(AND(B21=0,J21=0),0,IF(AND(B21=0,J21&gt;0),1,J21/B21))</f>
        <v/>
      </c>
      <c r="L21" s="665">
        <f>I21-E21</f>
        <v/>
      </c>
      <c r="M21" s="666">
        <f>IF(AND(E21=0,L21=0),0,IF(AND(E21=0,L21&gt;0),1,L21/E21))</f>
        <v/>
      </c>
      <c r="N21" s="667" t="n"/>
    </row>
    <row r="22" ht="20.1" customHeight="1" s="526">
      <c r="A22" s="669" t="inlineStr">
        <is>
          <t>合计</t>
        </is>
      </c>
      <c r="B22" s="664">
        <f>SUM(B7:B21)</f>
        <v/>
      </c>
      <c r="C22" s="664">
        <f>SUM(C7:C21)</f>
        <v/>
      </c>
      <c r="D22" s="664">
        <f>SUM(D7:D21)</f>
        <v/>
      </c>
      <c r="E22" s="664">
        <f>SUM(E7:E21)</f>
        <v/>
      </c>
      <c r="F22" s="664">
        <f>SUM(F7:F21)</f>
        <v/>
      </c>
      <c r="G22" s="664">
        <f>SUM(G7:G21)</f>
        <v/>
      </c>
      <c r="H22" s="664">
        <f>SUM(H7:H21)</f>
        <v/>
      </c>
      <c r="I22" s="664">
        <f>SUM(I7:I21)</f>
        <v/>
      </c>
      <c r="J22" s="664">
        <f>SUM(J7:J21)</f>
        <v/>
      </c>
      <c r="K22" s="666">
        <f>IF(AND(B22=0,J22=0),0,IF(AND(B22=0,J22&gt;0),1,J22/B22))</f>
        <v/>
      </c>
      <c r="L22" s="665">
        <f>I22-E22</f>
        <v/>
      </c>
      <c r="M22" s="666">
        <f>IF(AND(E22=0,L22=0),0,IF(AND(E22=0,L22&gt;0),1,L22/E22))</f>
        <v/>
      </c>
      <c r="N22" s="667" t="n"/>
    </row>
    <row r="23" ht="20.1" customHeight="1" s="526">
      <c r="A23" s="670" t="inlineStr">
        <is>
          <t>试算平衡表数</t>
        </is>
      </c>
      <c r="B23" s="671" t="n"/>
      <c r="C23" s="671" t="n"/>
      <c r="D23" s="671" t="n"/>
      <c r="E23" s="671" t="n"/>
      <c r="F23" s="671" t="n"/>
      <c r="G23" s="671" t="n"/>
      <c r="H23" s="671" t="n"/>
      <c r="I23" s="671" t="n"/>
      <c r="J23" s="672" t="n"/>
      <c r="K23" s="673" t="n"/>
      <c r="L23" s="672" t="n"/>
      <c r="M23" s="673" t="n"/>
      <c r="N23" s="672" t="n"/>
    </row>
    <row r="24" ht="20.1" customHeight="1" s="526">
      <c r="A24" s="670" t="inlineStr">
        <is>
          <t>差异数</t>
        </is>
      </c>
      <c r="B24" s="671" t="n"/>
      <c r="C24" s="671" t="n"/>
      <c r="D24" s="671" t="n"/>
      <c r="E24" s="674">
        <f>E22-E23</f>
        <v/>
      </c>
      <c r="F24" s="675" t="n"/>
      <c r="G24" s="675" t="n"/>
      <c r="H24" s="675" t="n"/>
      <c r="I24" s="674">
        <f>I22-I23</f>
        <v/>
      </c>
      <c r="J24" s="672" t="n"/>
      <c r="K24" s="673" t="n"/>
      <c r="L24" s="672" t="n"/>
      <c r="M24" s="673" t="n"/>
      <c r="N24" s="672" t="n"/>
    </row>
    <row r="25" ht="20.1" customHeight="1" s="526">
      <c r="A25" s="676" t="inlineStr">
        <is>
          <t>1.审计说明:</t>
        </is>
      </c>
    </row>
    <row r="26" ht="20.1" customHeight="1" s="526">
      <c r="A26" s="676" t="n"/>
    </row>
    <row r="27" ht="20.1" customHeight="1" s="526">
      <c r="A27" s="676" t="n"/>
    </row>
    <row r="29" ht="20.1" customHeight="1" s="526">
      <c r="A29" s="676" t="inlineStr">
        <is>
          <t>2.审计结论：</t>
        </is>
      </c>
    </row>
    <row r="30" ht="20.1" customHeight="1" s="526">
      <c r="A30" s="676" t="n"/>
    </row>
    <row r="31" ht="20.1" customHeight="1" s="526">
      <c r="A31" s="676" t="n"/>
    </row>
  </sheetData>
  <mergeCells count="8">
    <mergeCell ref="A5:A6"/>
    <mergeCell ref="N5:N6"/>
    <mergeCell ref="J5:K5"/>
    <mergeCell ref="A2:N2"/>
    <mergeCell ref="L5:M5"/>
    <mergeCell ref="B5:E5"/>
    <mergeCell ref="F5:I5"/>
    <mergeCell ref="A1:N1"/>
  </mergeCells>
  <hyperlinks>
    <hyperlink ref="N3" location="底稿目录!A1" display="D8-1"/>
  </hyperlinks>
  <pageMargins left="0.708333333333333" right="0.708333333333333" top="0.747916666666667" bottom="0.747916666666667" header="0.314583333333333" footer="0.314583333333333"/>
  <pageSetup orientation="portrait" paperSize="9" scale="58" blackAndWhite="1" horizontalDpi="1200" verticalDpi="1200"/>
  <headerFooter alignWithMargins="0">
    <oddHeader/>
    <oddFooter>&amp;C&amp;P/&amp;N</oddFooter>
    <evenHeader/>
    <evenFooter/>
    <firstHeader/>
    <firstFooter/>
  </headerFooter>
</worksheet>
</file>

<file path=xl/worksheets/sheet5.xml><?xml version="1.0" encoding="utf-8"?>
<worksheet xmlns="http://schemas.openxmlformats.org/spreadsheetml/2006/main">
  <sheetPr codeName="Sheet3">
    <outlinePr summaryBelow="1" summaryRight="1"/>
    <pageSetUpPr/>
  </sheetPr>
  <dimension ref="A1:K27"/>
  <sheetViews>
    <sheetView view="pageBreakPreview" zoomScaleNormal="100" workbookViewId="0">
      <selection activeCell="A1" sqref="A1:D1"/>
    </sheetView>
  </sheetViews>
  <sheetFormatPr baseColWidth="8" defaultColWidth="9" defaultRowHeight="15.6"/>
  <cols>
    <col width="22.3984375" customWidth="1" style="677" min="1" max="1"/>
    <col width="14.59765625" customWidth="1" style="677" min="2" max="2"/>
    <col width="17.59765625" customWidth="1" style="677" min="3" max="4"/>
    <col width="9" customWidth="1" style="677" min="5" max="16384"/>
  </cols>
  <sheetData>
    <row r="1" ht="20.1" customFormat="1" customHeight="1" s="678">
      <c r="A1" s="679" t="inlineStr">
        <is>
          <t>致同会计师事务所</t>
        </is>
      </c>
      <c r="E1" s="680" t="n"/>
      <c r="F1" s="680" t="n"/>
      <c r="G1" s="680" t="n"/>
      <c r="H1" s="680" t="n"/>
      <c r="I1" s="680" t="n"/>
      <c r="J1" s="680" t="n"/>
      <c r="K1" s="680" t="n"/>
    </row>
    <row r="2" ht="24.9" customFormat="1" customHeight="1" s="678">
      <c r="A2" s="681" t="inlineStr">
        <is>
          <t>附注披露信息（上市公司）</t>
        </is>
      </c>
      <c r="E2" s="682" t="n"/>
      <c r="F2" s="682" t="n"/>
      <c r="G2" s="682" t="n"/>
      <c r="H2" s="682" t="n"/>
      <c r="I2" s="682" t="n"/>
      <c r="J2" s="682" t="n"/>
      <c r="K2" s="682" t="n"/>
    </row>
    <row r="3" ht="20.1" customFormat="1" customHeight="1" s="678">
      <c r="A3" s="678">
        <f>底稿目录!A2</f>
        <v/>
      </c>
      <c r="B3" s="269">
        <f>底稿目录!$A$4</f>
        <v/>
      </c>
      <c r="C3" s="678">
        <f>底稿目录!A5</f>
        <v/>
      </c>
      <c r="D3" s="683" t="inlineStr">
        <is>
          <t>索引：</t>
        </is>
      </c>
    </row>
    <row r="4" ht="20.1" customFormat="1" customHeight="1" s="678">
      <c r="A4" s="678">
        <f>底稿目录!A3</f>
        <v/>
      </c>
      <c r="B4" s="269">
        <f>底稿目录!$A$6</f>
        <v/>
      </c>
      <c r="C4" s="678">
        <f>底稿目录!A7</f>
        <v/>
      </c>
      <c r="D4" s="678" t="inlineStr">
        <is>
          <t>页次：1</t>
        </is>
      </c>
      <c r="K4" s="47" t="n"/>
    </row>
    <row r="5" ht="20.1" customHeight="1" s="526">
      <c r="A5" s="684" t="inlineStr">
        <is>
          <t>附注披露信息：</t>
        </is>
      </c>
    </row>
    <row r="6" ht="20.1" customFormat="1" customHeight="1" s="685">
      <c r="A6" s="686" t="inlineStr">
        <is>
          <t>应交税费</t>
        </is>
      </c>
      <c r="B6" s="686" t="n"/>
      <c r="E6" s="687" t="n"/>
      <c r="F6" s="687" t="n"/>
    </row>
    <row r="7" ht="20.1" customFormat="1" customHeight="1" s="685">
      <c r="A7" s="688" t="inlineStr">
        <is>
          <t>税  项</t>
        </is>
      </c>
      <c r="B7" s="689" t="inlineStr">
        <is>
          <t>期末余额</t>
        </is>
      </c>
      <c r="C7" s="689" t="inlineStr">
        <is>
          <t>上年年末余额</t>
        </is>
      </c>
      <c r="D7" s="687" t="n"/>
      <c r="E7" s="687" t="n"/>
    </row>
    <row r="8" ht="20.1" customFormat="1" customHeight="1" s="685">
      <c r="A8" s="684">
        <f>'应交税费审定表N2-1'!A7</f>
        <v/>
      </c>
      <c r="B8" s="690">
        <f>'应交税费审定表N2-1'!I7</f>
        <v/>
      </c>
      <c r="C8" s="690">
        <f>'应交税费审定表N2-1'!E7</f>
        <v/>
      </c>
      <c r="D8" s="687" t="n"/>
      <c r="E8" s="687" t="n"/>
    </row>
    <row r="9" ht="20.1" customFormat="1" customHeight="1" s="685">
      <c r="A9" s="684">
        <f>'应交税费审定表N2-1'!A8</f>
        <v/>
      </c>
      <c r="B9" s="690">
        <f>'应交税费审定表N2-1'!I8</f>
        <v/>
      </c>
      <c r="C9" s="690">
        <f>'应交税费审定表N2-1'!E8</f>
        <v/>
      </c>
      <c r="D9" s="687" t="n"/>
      <c r="E9" s="687" t="n"/>
    </row>
    <row r="10" ht="20.1" customFormat="1" customHeight="1" s="685">
      <c r="A10" s="684">
        <f>'应交税费审定表N2-1'!A9</f>
        <v/>
      </c>
      <c r="B10" s="690">
        <f>'应交税费审定表N2-1'!I9</f>
        <v/>
      </c>
      <c r="C10" s="690">
        <f>'应交税费审定表N2-1'!E9</f>
        <v/>
      </c>
      <c r="D10" s="687" t="n"/>
    </row>
    <row r="11" ht="20.1" customFormat="1" customHeight="1" s="685">
      <c r="A11" s="684">
        <f>'应交税费审定表N2-1'!A10</f>
        <v/>
      </c>
      <c r="B11" s="690">
        <f>'应交税费审定表N2-1'!I10</f>
        <v/>
      </c>
      <c r="C11" s="690">
        <f>'应交税费审定表N2-1'!E10</f>
        <v/>
      </c>
      <c r="D11" s="687" t="n"/>
    </row>
    <row r="12" ht="20.1" customFormat="1" customHeight="1" s="685">
      <c r="A12" s="684">
        <f>'应交税费审定表N2-1'!A11</f>
        <v/>
      </c>
      <c r="B12" s="690">
        <f>'应交税费审定表N2-1'!I11</f>
        <v/>
      </c>
      <c r="C12" s="690">
        <f>'应交税费审定表N2-1'!E11</f>
        <v/>
      </c>
      <c r="D12" s="687" t="n"/>
    </row>
    <row r="13" ht="20.1" customFormat="1" customHeight="1" s="685">
      <c r="A13" s="684">
        <f>'应交税费审定表N2-1'!A12</f>
        <v/>
      </c>
      <c r="B13" s="690">
        <f>'应交税费审定表N2-1'!I12</f>
        <v/>
      </c>
      <c r="C13" s="690">
        <f>'应交税费审定表N2-1'!E12</f>
        <v/>
      </c>
      <c r="D13" s="687" t="n"/>
    </row>
    <row r="14" ht="20.1" customFormat="1" customHeight="1" s="685">
      <c r="A14" s="684">
        <f>'应交税费审定表N2-1'!A13</f>
        <v/>
      </c>
      <c r="B14" s="690">
        <f>'应交税费审定表N2-1'!I13</f>
        <v/>
      </c>
      <c r="C14" s="690">
        <f>'应交税费审定表N2-1'!E13</f>
        <v/>
      </c>
      <c r="D14" s="687" t="n"/>
    </row>
    <row r="15" ht="20.1" customFormat="1" customHeight="1" s="685">
      <c r="A15" s="684">
        <f>'应交税费审定表N2-1'!A14</f>
        <v/>
      </c>
      <c r="B15" s="690">
        <f>'应交税费审定表N2-1'!I14</f>
        <v/>
      </c>
      <c r="C15" s="690">
        <f>'应交税费审定表N2-1'!E14</f>
        <v/>
      </c>
      <c r="D15" s="687" t="n"/>
    </row>
    <row r="16" ht="20.1" customFormat="1" customHeight="1" s="685">
      <c r="A16" s="684">
        <f>'应交税费审定表N2-1'!A15</f>
        <v/>
      </c>
      <c r="B16" s="690">
        <f>'应交税费审定表N2-1'!I15</f>
        <v/>
      </c>
      <c r="C16" s="690">
        <f>'应交税费审定表N2-1'!E15</f>
        <v/>
      </c>
      <c r="D16" s="687" t="n"/>
    </row>
    <row r="17" ht="20.1" customFormat="1" customHeight="1" s="685">
      <c r="A17" s="684">
        <f>'应交税费审定表N2-1'!A16</f>
        <v/>
      </c>
      <c r="B17" s="690">
        <f>'应交税费审定表N2-1'!I16</f>
        <v/>
      </c>
      <c r="C17" s="690">
        <f>'应交税费审定表N2-1'!E16</f>
        <v/>
      </c>
      <c r="D17" s="687" t="n"/>
    </row>
    <row r="18" ht="20.1" customFormat="1" customHeight="1" s="685">
      <c r="A18" s="684">
        <f>'应交税费审定表N2-1'!A17</f>
        <v/>
      </c>
      <c r="B18" s="690">
        <f>'应交税费审定表N2-1'!I17</f>
        <v/>
      </c>
      <c r="C18" s="690">
        <f>'应交税费审定表N2-1'!E17</f>
        <v/>
      </c>
      <c r="D18" s="687" t="n"/>
    </row>
    <row r="19" ht="20.1" customFormat="1" customHeight="1" s="685">
      <c r="A19" s="691">
        <f>'应交税费审定表N2-1'!A18</f>
        <v/>
      </c>
      <c r="B19" s="690">
        <f>'应交税费审定表N2-1'!I18</f>
        <v/>
      </c>
      <c r="C19" s="690">
        <f>'应交税费审定表N2-1'!E18</f>
        <v/>
      </c>
      <c r="D19" s="687" t="n"/>
    </row>
    <row r="20" ht="20.1" customFormat="1" customHeight="1" s="685">
      <c r="A20" s="684">
        <f>'应交税费审定表N2-1'!A19</f>
        <v/>
      </c>
      <c r="B20" s="690">
        <f>'应交税费审定表N2-1'!I19</f>
        <v/>
      </c>
      <c r="C20" s="690">
        <f>'应交税费审定表N2-1'!E19</f>
        <v/>
      </c>
      <c r="D20" s="687" t="n"/>
    </row>
    <row r="21" ht="20.1" customFormat="1" customHeight="1" s="685">
      <c r="A21" s="684" t="n"/>
      <c r="B21" s="692" t="n"/>
      <c r="C21" s="692" t="n"/>
      <c r="D21" s="687" t="n"/>
    </row>
    <row r="22" ht="20.1" customFormat="1" customHeight="1" s="685">
      <c r="A22" s="693" t="n"/>
      <c r="B22" s="694" t="n"/>
      <c r="C22" s="694" t="n"/>
    </row>
    <row r="23" ht="20.1" customFormat="1" customHeight="1" s="685">
      <c r="A23" s="695" t="inlineStr">
        <is>
          <t>合  计</t>
        </is>
      </c>
      <c r="B23" s="696">
        <f>SUM(B8:B22)</f>
        <v/>
      </c>
      <c r="C23" s="696">
        <f>SUM(C8:C22)</f>
        <v/>
      </c>
    </row>
    <row r="24" ht="20.1" customHeight="1" s="526">
      <c r="A24" s="697" t="inlineStr">
        <is>
          <t xml:space="preserve">说明： </t>
        </is>
      </c>
      <c r="B24" s="697" t="n"/>
    </row>
    <row r="25" ht="20.1" customHeight="1" s="526">
      <c r="A25" s="698" t="inlineStr">
        <is>
          <t>（小税（费）种可合并反映。）</t>
        </is>
      </c>
      <c r="B25" s="530" t="n"/>
      <c r="C25" s="530" t="n"/>
      <c r="D25" s="530" t="n"/>
    </row>
    <row r="26" ht="79.5" customHeight="1" s="526">
      <c r="A26" s="698" t="inlineStr">
        <is>
          <t>（对于满足条件将当期所得税资产及当期所得税负债以抵销后的净额列示的情况，当企业实际交纳的所得税税款大于按照税法规定计算的应交税时，超过部分在资产负债表中应当列示为“其他流动资产”；当企业实际交纳的所得税税款小于按照税法规定计算的应交税时，差额部分应当作为资产负债表中的“应交税费”项目列示。）</t>
        </is>
      </c>
      <c r="B26" s="530" t="n"/>
      <c r="C26" s="530" t="n"/>
      <c r="D26" s="530" t="n"/>
    </row>
    <row r="27" ht="34.2" customHeight="1" s="526">
      <c r="A27" s="698" t="inlineStr">
        <is>
          <t>【提示：增值税，根据“应交税费-为交增值税、简易计税、转让金融商品应交增值税、代扣代缴增值税”科目贷方余额计算填列；】</t>
        </is>
      </c>
      <c r="B27" s="530" t="n"/>
      <c r="C27" s="530" t="n"/>
      <c r="D27" s="530" t="n"/>
    </row>
  </sheetData>
  <mergeCells count="5">
    <mergeCell ref="A1:D1"/>
    <mergeCell ref="A27:D27"/>
    <mergeCell ref="A26:D26"/>
    <mergeCell ref="A25:D25"/>
    <mergeCell ref="A2:D2"/>
  </mergeCells>
  <pageMargins left="0.708333333333333" right="0.708333333333333" top="0.747916666666667" bottom="0.747916666666667" header="0.314583333333333" footer="0.314583333333333"/>
  <pageSetup orientation="portrait" paperSize="9" blackAndWhite="1" horizontalDpi="1200" verticalDpi="1200"/>
  <headerFooter alignWithMargins="0">
    <oddHeader/>
    <oddFooter>&amp;C&amp;P/&amp;N</oddFooter>
    <evenHeader/>
    <evenFooter/>
    <firstHeader/>
    <firstFooter/>
  </headerFooter>
</worksheet>
</file>

<file path=xl/worksheets/sheet6.xml><?xml version="1.0" encoding="utf-8"?>
<worksheet xmlns="http://schemas.openxmlformats.org/spreadsheetml/2006/main">
  <sheetPr codeName="Sheet4">
    <outlinePr summaryBelow="1" summaryRight="1"/>
    <pageSetUpPr/>
  </sheetPr>
  <dimension ref="A1:K24"/>
  <sheetViews>
    <sheetView view="pageBreakPreview" zoomScaleNormal="100" workbookViewId="0">
      <selection activeCell="A1" sqref="A1:E1"/>
    </sheetView>
  </sheetViews>
  <sheetFormatPr baseColWidth="8" defaultColWidth="9" defaultRowHeight="15.6"/>
  <cols>
    <col width="19.3984375" customWidth="1" style="699" min="1" max="1"/>
    <col width="14.59765625" customWidth="1" style="699" min="2" max="5"/>
    <col width="9" customWidth="1" style="699" min="6" max="16384"/>
  </cols>
  <sheetData>
    <row r="1" ht="20.1" customFormat="1" customHeight="1" s="678">
      <c r="A1" s="679" t="inlineStr">
        <is>
          <t>致同会计师事务所</t>
        </is>
      </c>
      <c r="F1" s="680" t="n"/>
      <c r="G1" s="680" t="n"/>
      <c r="H1" s="680" t="n"/>
      <c r="I1" s="680" t="n"/>
      <c r="J1" s="680" t="n"/>
      <c r="K1" s="680" t="n"/>
    </row>
    <row r="2" ht="24.9" customFormat="1" customHeight="1" s="678">
      <c r="A2" s="681" t="inlineStr">
        <is>
          <t>附注披露信息（国企）</t>
        </is>
      </c>
      <c r="F2" s="682" t="n"/>
      <c r="G2" s="682" t="n"/>
      <c r="H2" s="682" t="n"/>
      <c r="I2" s="682" t="n"/>
      <c r="J2" s="682" t="n"/>
      <c r="K2" s="682" t="n"/>
    </row>
    <row r="3" ht="20.1" customFormat="1" customHeight="1" s="678">
      <c r="A3" s="678">
        <f>底稿目录!A2</f>
        <v/>
      </c>
      <c r="C3" s="269">
        <f>底稿目录!$A$4</f>
        <v/>
      </c>
      <c r="D3" s="678">
        <f>底稿目录!A5</f>
        <v/>
      </c>
      <c r="E3" s="700" t="inlineStr">
        <is>
          <t>索引：</t>
        </is>
      </c>
    </row>
    <row r="4" ht="20.1" customFormat="1" customHeight="1" s="678">
      <c r="A4" s="678">
        <f>底稿目录!A3</f>
        <v/>
      </c>
      <c r="B4" s="47" t="n"/>
      <c r="C4" s="269">
        <f>底稿目录!$A$6</f>
        <v/>
      </c>
      <c r="D4" s="678">
        <f>底稿目录!A7</f>
        <v/>
      </c>
      <c r="E4" s="701" t="inlineStr">
        <is>
          <t>页次：1</t>
        </is>
      </c>
      <c r="K4" s="47" t="n"/>
    </row>
    <row r="5" ht="20.1" customFormat="1" customHeight="1" s="677">
      <c r="A5" s="691" t="inlineStr">
        <is>
          <t>附注披露信息：</t>
        </is>
      </c>
    </row>
    <row r="6" ht="20.1" customFormat="1" customHeight="1" s="677">
      <c r="A6" s="702" t="inlineStr">
        <is>
          <t>应交税费</t>
        </is>
      </c>
      <c r="F6" s="703" t="n"/>
      <c r="G6" s="703" t="n"/>
    </row>
    <row r="7" ht="20.1" customFormat="1" customHeight="1" s="677">
      <c r="A7" s="688" t="inlineStr">
        <is>
          <t>项  目</t>
        </is>
      </c>
      <c r="B7" s="689" t="inlineStr">
        <is>
          <t>期初余额</t>
        </is>
      </c>
      <c r="C7" s="704" t="inlineStr">
        <is>
          <t>本期应交</t>
        </is>
      </c>
      <c r="D7" s="704" t="inlineStr">
        <is>
          <t>本期已交</t>
        </is>
      </c>
      <c r="E7" s="704" t="inlineStr">
        <is>
          <t>期末余额</t>
        </is>
      </c>
    </row>
    <row r="8" ht="20.1" customFormat="1" customHeight="1" s="677">
      <c r="A8" s="684">
        <f>'应交税费明细表N2-2'!A10</f>
        <v/>
      </c>
      <c r="B8" s="690">
        <f>'应交税费明细表N2-2'!M10</f>
        <v/>
      </c>
      <c r="C8" s="690">
        <f>'应交税费明细表N2-2'!N10</f>
        <v/>
      </c>
      <c r="D8" s="690">
        <f>'应交税费明细表N2-2'!O10</f>
        <v/>
      </c>
      <c r="E8" s="690">
        <f>B8+C8-D8</f>
        <v/>
      </c>
    </row>
    <row r="9" ht="20.1" customFormat="1" customHeight="1" s="677">
      <c r="A9" s="684">
        <f>'应交税费明细表N2-2'!A11</f>
        <v/>
      </c>
      <c r="B9" s="690">
        <f>'应交税费明细表N2-2'!M11</f>
        <v/>
      </c>
      <c r="C9" s="690">
        <f>'应交税费明细表N2-2'!N11</f>
        <v/>
      </c>
      <c r="D9" s="690">
        <f>'应交税费明细表N2-2'!O11</f>
        <v/>
      </c>
      <c r="E9" s="690">
        <f>B9+C9-D9</f>
        <v/>
      </c>
    </row>
    <row r="10" ht="20.1" customFormat="1" customHeight="1" s="677">
      <c r="A10" s="684">
        <f>'应交税费明细表N2-2'!A12</f>
        <v/>
      </c>
      <c r="B10" s="690">
        <f>'应交税费明细表N2-2'!M12</f>
        <v/>
      </c>
      <c r="C10" s="690">
        <f>'应交税费明细表N2-2'!N12</f>
        <v/>
      </c>
      <c r="D10" s="690">
        <f>'应交税费明细表N2-2'!O12</f>
        <v/>
      </c>
      <c r="E10" s="690">
        <f>B10+C10-D10</f>
        <v/>
      </c>
    </row>
    <row r="11" ht="20.1" customFormat="1" customHeight="1" s="677">
      <c r="A11" s="684">
        <f>'应交税费明细表N2-2'!A13</f>
        <v/>
      </c>
      <c r="B11" s="690">
        <f>'应交税费明细表N2-2'!M13</f>
        <v/>
      </c>
      <c r="C11" s="690">
        <f>'应交税费明细表N2-2'!N13</f>
        <v/>
      </c>
      <c r="D11" s="690">
        <f>'应交税费明细表N2-2'!O13</f>
        <v/>
      </c>
      <c r="E11" s="690">
        <f>B11+C11-D11</f>
        <v/>
      </c>
    </row>
    <row r="12" ht="20.1" customFormat="1" customHeight="1" s="677">
      <c r="A12" s="684">
        <f>'应交税费明细表N2-2'!A14</f>
        <v/>
      </c>
      <c r="B12" s="690">
        <f>'应交税费明细表N2-2'!M14</f>
        <v/>
      </c>
      <c r="C12" s="690">
        <f>'应交税费明细表N2-2'!N14</f>
        <v/>
      </c>
      <c r="D12" s="690">
        <f>'应交税费明细表N2-2'!O14</f>
        <v/>
      </c>
      <c r="E12" s="690">
        <f>B12+C12-D12</f>
        <v/>
      </c>
    </row>
    <row r="13" ht="20.1" customFormat="1" customHeight="1" s="677">
      <c r="A13" s="684">
        <f>'应交税费明细表N2-2'!A15</f>
        <v/>
      </c>
      <c r="B13" s="690">
        <f>'应交税费明细表N2-2'!M15</f>
        <v/>
      </c>
      <c r="C13" s="690">
        <f>'应交税费明细表N2-2'!N15</f>
        <v/>
      </c>
      <c r="D13" s="690">
        <f>'应交税费明细表N2-2'!O15</f>
        <v/>
      </c>
      <c r="E13" s="690">
        <f>B13+C13-D13</f>
        <v/>
      </c>
    </row>
    <row r="14" ht="20.1" customFormat="1" customHeight="1" s="677">
      <c r="A14" s="684">
        <f>'应交税费明细表N2-2'!A16</f>
        <v/>
      </c>
      <c r="B14" s="690">
        <f>'应交税费明细表N2-2'!M16</f>
        <v/>
      </c>
      <c r="C14" s="690">
        <f>'应交税费明细表N2-2'!N16</f>
        <v/>
      </c>
      <c r="D14" s="690">
        <f>'应交税费明细表N2-2'!O16</f>
        <v/>
      </c>
      <c r="E14" s="690">
        <f>B14+C14-D14</f>
        <v/>
      </c>
    </row>
    <row r="15" ht="20.1" customFormat="1" customHeight="1" s="677">
      <c r="A15" s="684">
        <f>'应交税费明细表N2-2'!A17</f>
        <v/>
      </c>
      <c r="B15" s="690">
        <f>'应交税费明细表N2-2'!M17</f>
        <v/>
      </c>
      <c r="C15" s="690">
        <f>'应交税费明细表N2-2'!N17</f>
        <v/>
      </c>
      <c r="D15" s="690">
        <f>'应交税费明细表N2-2'!O17</f>
        <v/>
      </c>
      <c r="E15" s="690">
        <f>B15+C15-D15</f>
        <v/>
      </c>
    </row>
    <row r="16" ht="20.1" customFormat="1" customHeight="1" s="677">
      <c r="A16" s="684">
        <f>'应交税费明细表N2-2'!A18</f>
        <v/>
      </c>
      <c r="B16" s="690">
        <f>'应交税费明细表N2-2'!M18</f>
        <v/>
      </c>
      <c r="C16" s="690">
        <f>'应交税费明细表N2-2'!N18</f>
        <v/>
      </c>
      <c r="D16" s="690">
        <f>'应交税费明细表N2-2'!O18</f>
        <v/>
      </c>
      <c r="E16" s="690">
        <f>B16+C16-D16</f>
        <v/>
      </c>
    </row>
    <row r="17" ht="20.1" customFormat="1" customHeight="1" s="677">
      <c r="A17" s="684">
        <f>'应交税费明细表N2-2'!A19</f>
        <v/>
      </c>
      <c r="B17" s="690">
        <f>'应交税费明细表N2-2'!M19</f>
        <v/>
      </c>
      <c r="C17" s="690">
        <f>'应交税费明细表N2-2'!N19</f>
        <v/>
      </c>
      <c r="D17" s="690">
        <f>'应交税费明细表N2-2'!O19</f>
        <v/>
      </c>
      <c r="E17" s="690">
        <f>B17+C17-D17</f>
        <v/>
      </c>
    </row>
    <row r="18" ht="20.1" customFormat="1" customHeight="1" s="677">
      <c r="A18" s="684">
        <f>'应交税费明细表N2-2'!A20</f>
        <v/>
      </c>
      <c r="B18" s="690">
        <f>'应交税费明细表N2-2'!M20</f>
        <v/>
      </c>
      <c r="C18" s="690">
        <f>'应交税费明细表N2-2'!N20</f>
        <v/>
      </c>
      <c r="D18" s="690">
        <f>'应交税费明细表N2-2'!O20</f>
        <v/>
      </c>
      <c r="E18" s="690">
        <f>B18+C18-D18</f>
        <v/>
      </c>
    </row>
    <row r="19" ht="20.1" customFormat="1" customHeight="1" s="677">
      <c r="A19" s="691">
        <f>'应交税费明细表N2-2'!A21</f>
        <v/>
      </c>
      <c r="B19" s="690">
        <f>'应交税费明细表N2-2'!M21</f>
        <v/>
      </c>
      <c r="C19" s="690">
        <f>'应交税费明细表N2-2'!N21</f>
        <v/>
      </c>
      <c r="D19" s="690">
        <f>'应交税费明细表N2-2'!O21</f>
        <v/>
      </c>
      <c r="E19" s="690">
        <f>B19+C19-D19</f>
        <v/>
      </c>
    </row>
    <row r="20" ht="20.1" customFormat="1" customHeight="1" s="677">
      <c r="A20" s="684">
        <f>'应交税费明细表N2-2'!A22</f>
        <v/>
      </c>
      <c r="B20" s="690">
        <f>'应交税费明细表N2-2'!M22</f>
        <v/>
      </c>
      <c r="C20" s="690">
        <f>'应交税费明细表N2-2'!N22</f>
        <v/>
      </c>
      <c r="D20" s="690">
        <f>'应交税费明细表N2-2'!O22</f>
        <v/>
      </c>
      <c r="E20" s="690">
        <f>B20+C20-D20</f>
        <v/>
      </c>
    </row>
    <row r="21" ht="20.1" customFormat="1" customHeight="1" s="677">
      <c r="A21" s="684" t="n"/>
      <c r="B21" s="705" t="n"/>
      <c r="C21" s="705" t="n"/>
      <c r="D21" s="705" t="n"/>
      <c r="E21" s="690">
        <f>B21+C21-D21</f>
        <v/>
      </c>
    </row>
    <row r="22" ht="20.1" customFormat="1" customHeight="1" s="677">
      <c r="A22" s="684" t="n"/>
      <c r="B22" s="705" t="n"/>
      <c r="C22" s="705" t="n"/>
      <c r="D22" s="705" t="n"/>
      <c r="E22" s="692">
        <f>B22+C22-D22</f>
        <v/>
      </c>
    </row>
    <row r="23" ht="20.1" customFormat="1" customHeight="1" s="677">
      <c r="A23" s="688" t="inlineStr">
        <is>
          <t>合  计</t>
        </is>
      </c>
      <c r="B23" s="706">
        <f>SUM(B8:B22)</f>
        <v/>
      </c>
      <c r="C23" s="706">
        <f>SUM(C8:C22)</f>
        <v/>
      </c>
      <c r="D23" s="706">
        <f>SUM(D8:D22)</f>
        <v/>
      </c>
      <c r="E23" s="706">
        <f>SUM(E8:E22)</f>
        <v/>
      </c>
    </row>
    <row r="24" ht="34.5" customFormat="1" customHeight="1" s="707">
      <c r="A24" s="708" t="inlineStr">
        <is>
          <t>【提示：增值税，根据“应交税费-未交增值税、简易计税、转让金融商品应交增值税、代扣代缴增值税”科目贷方余额计算填列。】</t>
        </is>
      </c>
      <c r="B24" s="709" t="n"/>
      <c r="C24" s="709" t="n"/>
      <c r="D24" s="709" t="n"/>
      <c r="E24" s="709" t="n"/>
    </row>
  </sheetData>
  <mergeCells count="3">
    <mergeCell ref="A2:E2"/>
    <mergeCell ref="A1:E1"/>
    <mergeCell ref="A24:E24"/>
  </mergeCells>
  <pageMargins left="0.708333333333333" right="0.708333333333333" top="0.747916666666667" bottom="0.747916666666667" header="0.314583333333333" footer="0.314583333333333"/>
  <pageSetup orientation="portrait" paperSize="9" blackAndWhite="1" horizontalDpi="1200" verticalDpi="1200"/>
  <headerFooter alignWithMargins="0">
    <oddHeader/>
    <oddFooter>&amp;C&amp;P/&amp;N</oddFooter>
    <evenHeader/>
    <evenFooter/>
    <firstHeader/>
    <firstFooter/>
  </headerFooter>
</worksheet>
</file>

<file path=xl/worksheets/sheet7.xml><?xml version="1.0" encoding="utf-8"?>
<worksheet xmlns="http://schemas.openxmlformats.org/spreadsheetml/2006/main">
  <sheetPr codeName="Sheet5">
    <outlinePr summaryBelow="1" summaryRight="1"/>
    <pageSetUpPr/>
  </sheetPr>
  <dimension ref="A1:W42"/>
  <sheetViews>
    <sheetView view="pageBreakPreview" zoomScaleNormal="100" workbookViewId="0">
      <selection activeCell="A1" sqref="A1:Q1"/>
    </sheetView>
  </sheetViews>
  <sheetFormatPr baseColWidth="8" defaultColWidth="9" defaultRowHeight="20.1" customHeight="1"/>
  <cols>
    <col width="23.69921875" customWidth="1" style="710" min="1" max="1"/>
    <col width="8.09765625" customWidth="1" style="710" min="2" max="2"/>
    <col width="11.3984375" customWidth="1" style="710" min="3" max="5"/>
    <col width="12.19921875" customWidth="1" style="710" min="6" max="6"/>
    <col width="11.09765625" customWidth="1" style="710" min="7" max="12"/>
    <col width="11.3984375" customWidth="1" style="710" min="13" max="16"/>
    <col width="10.09765625" customWidth="1" style="710" min="17" max="17"/>
    <col width="9.09765625" customWidth="1" style="710" min="18" max="18"/>
    <col width="9.5" customWidth="1" style="710" min="19" max="19"/>
    <col width="10" customWidth="1" style="710" min="20" max="20"/>
    <col width="9" customWidth="1" style="710" min="21" max="16384"/>
  </cols>
  <sheetData>
    <row r="1" ht="20.1" customFormat="1" customHeight="1" s="711">
      <c r="A1" s="533" t="inlineStr">
        <is>
          <t>致同会计师事务所</t>
        </is>
      </c>
      <c r="R1" s="712" t="n"/>
      <c r="S1" s="712" t="n"/>
      <c r="T1" s="712" t="n"/>
      <c r="U1" s="712" t="n"/>
      <c r="V1" s="712" t="n"/>
      <c r="W1" s="712" t="n"/>
    </row>
    <row r="2" ht="20.1" customFormat="1" customHeight="1" s="711">
      <c r="A2" s="534" t="inlineStr">
        <is>
          <t>应交税费明细表</t>
        </is>
      </c>
      <c r="R2" s="712" t="n"/>
      <c r="S2" s="712" t="n"/>
      <c r="T2" s="712" t="n"/>
      <c r="U2" s="712" t="n"/>
      <c r="V2" s="712" t="n"/>
      <c r="W2" s="712" t="n"/>
    </row>
    <row r="3" ht="20.1" customFormat="1" customHeight="1" s="536">
      <c r="A3" s="536">
        <f>底稿目录!A2</f>
        <v/>
      </c>
      <c r="F3" s="269">
        <f>底稿目录!$A$4</f>
        <v/>
      </c>
      <c r="L3" s="536">
        <f>底稿目录!A5</f>
        <v/>
      </c>
      <c r="P3" s="538" t="inlineStr">
        <is>
          <t>索引号：</t>
        </is>
      </c>
      <c r="Q3" s="525">
        <f>底稿目录!F7</f>
        <v/>
      </c>
    </row>
    <row r="4" ht="20.1" customFormat="1" customHeight="1" s="536">
      <c r="A4" s="536">
        <f>底稿目录!A3</f>
        <v/>
      </c>
      <c r="F4" s="269">
        <f>底稿目录!$A$6</f>
        <v/>
      </c>
      <c r="L4" s="536">
        <f>底稿目录!A7</f>
        <v/>
      </c>
      <c r="P4" s="538" t="inlineStr">
        <is>
          <t>页次：</t>
        </is>
      </c>
    </row>
    <row r="5" ht="20.1" customFormat="1" customHeight="1" s="536">
      <c r="A5" s="713" t="inlineStr">
        <is>
          <t>一、审计目标</t>
        </is>
      </c>
      <c r="L5" s="538" t="n"/>
      <c r="P5" s="538" t="n"/>
    </row>
    <row r="6" ht="20.1" customFormat="1" customHeight="1" s="536">
      <c r="A6" s="535" t="inlineStr">
        <is>
          <t xml:space="preserve">应交税费以恰当的金额包括在财务报表中，与之相关的计价或分摊调整已恰当记录，相关披露已得到恰当计量和描述 </t>
        </is>
      </c>
      <c r="L6" s="538" t="n"/>
      <c r="P6" s="538" t="n"/>
    </row>
    <row r="7" ht="20.1" customFormat="1" customHeight="1" s="536">
      <c r="A7" s="714" t="inlineStr">
        <is>
          <t>二、审计过程</t>
        </is>
      </c>
      <c r="L7" s="538" t="n"/>
      <c r="P7" s="538" t="n"/>
    </row>
    <row r="8" ht="20.1" customFormat="1" customHeight="1" s="536">
      <c r="A8" s="546" t="inlineStr">
        <is>
          <t>项目</t>
        </is>
      </c>
      <c r="B8" s="546" t="inlineStr">
        <is>
          <t>税率或税收优惠</t>
        </is>
      </c>
      <c r="C8" s="546" t="inlineStr">
        <is>
          <t>未审数</t>
        </is>
      </c>
      <c r="D8" s="547" t="n"/>
      <c r="E8" s="547" t="n"/>
      <c r="F8" s="548" t="n"/>
      <c r="G8" s="546" t="inlineStr">
        <is>
          <t>期初调整</t>
        </is>
      </c>
      <c r="H8" s="548" t="n"/>
      <c r="I8" s="546" t="inlineStr">
        <is>
          <t>账项调整</t>
        </is>
      </c>
      <c r="J8" s="548" t="n"/>
      <c r="K8" s="546" t="inlineStr">
        <is>
          <t>重分类调整</t>
        </is>
      </c>
      <c r="L8" s="548" t="n"/>
      <c r="M8" s="546" t="inlineStr">
        <is>
          <t>审定数</t>
        </is>
      </c>
      <c r="N8" s="547" t="n"/>
      <c r="O8" s="547" t="n"/>
      <c r="P8" s="548" t="n"/>
      <c r="Q8" s="546" t="inlineStr">
        <is>
          <t>备注</t>
        </is>
      </c>
    </row>
    <row r="9" ht="20.1" customFormat="1" customHeight="1" s="536">
      <c r="A9" s="556" t="n"/>
      <c r="B9" s="556" t="n"/>
      <c r="C9" s="546" t="inlineStr">
        <is>
          <t>期初数</t>
        </is>
      </c>
      <c r="D9" s="546" t="inlineStr">
        <is>
          <t>本期应交数</t>
        </is>
      </c>
      <c r="E9" s="546" t="inlineStr">
        <is>
          <t>本期已交数</t>
        </is>
      </c>
      <c r="F9" s="546" t="inlineStr">
        <is>
          <t>期末数</t>
        </is>
      </c>
      <c r="G9" s="546" t="inlineStr">
        <is>
          <t>账项调整</t>
        </is>
      </c>
      <c r="H9" s="546" t="inlineStr">
        <is>
          <t>重分类调整</t>
        </is>
      </c>
      <c r="I9" s="546" t="inlineStr">
        <is>
          <t>本期应交</t>
        </is>
      </c>
      <c r="J9" s="546" t="inlineStr">
        <is>
          <t>本期已交</t>
        </is>
      </c>
      <c r="K9" s="546" t="inlineStr">
        <is>
          <t>本期应交</t>
        </is>
      </c>
      <c r="L9" s="546" t="inlineStr">
        <is>
          <t>本期已交</t>
        </is>
      </c>
      <c r="M9" s="546" t="inlineStr">
        <is>
          <t>期初数</t>
        </is>
      </c>
      <c r="N9" s="546" t="inlineStr">
        <is>
          <t>本期应交数</t>
        </is>
      </c>
      <c r="O9" s="546" t="inlineStr">
        <is>
          <t>本期已交数</t>
        </is>
      </c>
      <c r="P9" s="546" t="inlineStr">
        <is>
          <t>期末数</t>
        </is>
      </c>
      <c r="Q9" s="546" t="n"/>
    </row>
    <row r="10" ht="20.1" customFormat="1" customHeight="1" s="536">
      <c r="A10" s="715" t="inlineStr">
        <is>
          <t>企业所得税</t>
        </is>
      </c>
      <c r="B10" s="716" t="n"/>
      <c r="C10" s="717" t="n"/>
      <c r="D10" s="717" t="n"/>
      <c r="E10" s="717" t="n"/>
      <c r="F10" s="718">
        <f>C10+D10-E10</f>
        <v/>
      </c>
      <c r="G10" s="717" t="n"/>
      <c r="H10" s="717" t="n"/>
      <c r="I10" s="717" t="n"/>
      <c r="J10" s="717" t="n"/>
      <c r="K10" s="717" t="n"/>
      <c r="L10" s="717" t="n"/>
      <c r="M10" s="718">
        <f>C10+G10+H10</f>
        <v/>
      </c>
      <c r="N10" s="718">
        <f>D10+I10+K10</f>
        <v/>
      </c>
      <c r="O10" s="718">
        <f>E10+J10+L10</f>
        <v/>
      </c>
      <c r="P10" s="718">
        <f>M10+N10-O10</f>
        <v/>
      </c>
      <c r="Q10" s="715" t="n"/>
    </row>
    <row r="11" ht="20.1" customFormat="1" customHeight="1" s="536">
      <c r="A11" s="715" t="inlineStr">
        <is>
          <t>增值税</t>
        </is>
      </c>
      <c r="B11" s="716" t="n"/>
      <c r="C11" s="717" t="n"/>
      <c r="D11" s="717" t="n"/>
      <c r="E11" s="717" t="n"/>
      <c r="F11" s="718">
        <f>C11+D11-E11</f>
        <v/>
      </c>
      <c r="G11" s="717" t="n"/>
      <c r="H11" s="717" t="n"/>
      <c r="I11" s="717" t="n"/>
      <c r="J11" s="717" t="n"/>
      <c r="K11" s="717" t="n"/>
      <c r="L11" s="717" t="n"/>
      <c r="M11" s="718">
        <f>C11+G11+H11</f>
        <v/>
      </c>
      <c r="N11" s="718">
        <f>D11+I11+K11</f>
        <v/>
      </c>
      <c r="O11" s="718">
        <f>E11+J11+L11</f>
        <v/>
      </c>
      <c r="P11" s="718">
        <f>M11+N11-O11</f>
        <v/>
      </c>
      <c r="Q11" s="715" t="n"/>
    </row>
    <row r="12" ht="20.1" customFormat="1" customHeight="1" s="536">
      <c r="A12" s="715" t="inlineStr">
        <is>
          <t>消费税</t>
        </is>
      </c>
      <c r="B12" s="716" t="n"/>
      <c r="C12" s="717" t="n"/>
      <c r="D12" s="717" t="n"/>
      <c r="E12" s="717" t="n"/>
      <c r="F12" s="718">
        <f>C12+D12-E12</f>
        <v/>
      </c>
      <c r="G12" s="717" t="n"/>
      <c r="H12" s="717" t="n"/>
      <c r="I12" s="717" t="n"/>
      <c r="J12" s="717" t="n"/>
      <c r="K12" s="717" t="n"/>
      <c r="L12" s="717" t="n"/>
      <c r="M12" s="718">
        <f>C12+G12+H12</f>
        <v/>
      </c>
      <c r="N12" s="718">
        <f>D12+I12+K12</f>
        <v/>
      </c>
      <c r="O12" s="718">
        <f>E12+J12+L12</f>
        <v/>
      </c>
      <c r="P12" s="718">
        <f>M12+N12-O12</f>
        <v/>
      </c>
      <c r="Q12" s="715" t="n"/>
    </row>
    <row r="13" ht="20.1" customFormat="1" customHeight="1" s="536">
      <c r="A13" s="715" t="inlineStr">
        <is>
          <t>资源税</t>
        </is>
      </c>
      <c r="B13" s="716" t="n"/>
      <c r="C13" s="717" t="n"/>
      <c r="D13" s="717" t="n"/>
      <c r="E13" s="717" t="n"/>
      <c r="F13" s="718">
        <f>C13+D13-E13</f>
        <v/>
      </c>
      <c r="G13" s="717" t="n"/>
      <c r="H13" s="717" t="n"/>
      <c r="I13" s="717" t="n"/>
      <c r="J13" s="717" t="n"/>
      <c r="K13" s="717" t="n"/>
      <c r="L13" s="717" t="n"/>
      <c r="M13" s="718">
        <f>C13+G13+H13</f>
        <v/>
      </c>
      <c r="N13" s="718">
        <f>D13+I13+K13</f>
        <v/>
      </c>
      <c r="O13" s="718">
        <f>E13+J13+L13</f>
        <v/>
      </c>
      <c r="P13" s="718">
        <f>M13+N13-O13</f>
        <v/>
      </c>
      <c r="Q13" s="715" t="n"/>
    </row>
    <row r="14" ht="20.1" customFormat="1" customHeight="1" s="536">
      <c r="A14" s="715" t="inlineStr">
        <is>
          <t>土地增值税</t>
        </is>
      </c>
      <c r="B14" s="716" t="n"/>
      <c r="C14" s="717" t="n"/>
      <c r="D14" s="717" t="n"/>
      <c r="E14" s="717" t="n"/>
      <c r="F14" s="718">
        <f>C14+D14-E14</f>
        <v/>
      </c>
      <c r="G14" s="717" t="n"/>
      <c r="H14" s="717" t="n"/>
      <c r="I14" s="717" t="n"/>
      <c r="J14" s="717" t="n"/>
      <c r="K14" s="717" t="n"/>
      <c r="L14" s="717" t="n"/>
      <c r="M14" s="718">
        <f>C14+G14+H14</f>
        <v/>
      </c>
      <c r="N14" s="718">
        <f>D14+I14+K14</f>
        <v/>
      </c>
      <c r="O14" s="718">
        <f>E14+J14+L14</f>
        <v/>
      </c>
      <c r="P14" s="718">
        <f>M14+N14-O14</f>
        <v/>
      </c>
      <c r="Q14" s="715" t="n"/>
    </row>
    <row r="15" ht="20.1" customFormat="1" customHeight="1" s="536">
      <c r="A15" s="715" t="inlineStr">
        <is>
          <t>城市维护建设税</t>
        </is>
      </c>
      <c r="B15" s="716" t="n"/>
      <c r="C15" s="717" t="n"/>
      <c r="D15" s="717" t="n"/>
      <c r="E15" s="717" t="n"/>
      <c r="F15" s="718">
        <f>C15+D15-E15</f>
        <v/>
      </c>
      <c r="G15" s="717" t="n"/>
      <c r="H15" s="717" t="n"/>
      <c r="I15" s="717" t="n"/>
      <c r="J15" s="717" t="n"/>
      <c r="K15" s="717" t="n"/>
      <c r="L15" s="717" t="n"/>
      <c r="M15" s="718">
        <f>C15+G15+H15</f>
        <v/>
      </c>
      <c r="N15" s="718">
        <f>D15+I15+K15</f>
        <v/>
      </c>
      <c r="O15" s="718">
        <f>E15+J15+L15</f>
        <v/>
      </c>
      <c r="P15" s="718">
        <f>M15+N15-O15</f>
        <v/>
      </c>
      <c r="Q15" s="715" t="n"/>
    </row>
    <row r="16" ht="20.1" customFormat="1" customHeight="1" s="536">
      <c r="A16" s="715" t="inlineStr">
        <is>
          <t>车船牌照税</t>
        </is>
      </c>
      <c r="B16" s="716" t="n"/>
      <c r="C16" s="717" t="n"/>
      <c r="D16" s="717" t="n"/>
      <c r="E16" s="717" t="n"/>
      <c r="F16" s="718">
        <f>C16+D16-E16</f>
        <v/>
      </c>
      <c r="G16" s="717" t="n"/>
      <c r="H16" s="717" t="n"/>
      <c r="I16" s="717" t="n"/>
      <c r="J16" s="717" t="n"/>
      <c r="K16" s="717" t="n"/>
      <c r="L16" s="717" t="n"/>
      <c r="M16" s="718">
        <f>C16+G16+H16</f>
        <v/>
      </c>
      <c r="N16" s="718">
        <f>D16+I16+K16</f>
        <v/>
      </c>
      <c r="O16" s="718">
        <f>E16+J16+L16</f>
        <v/>
      </c>
      <c r="P16" s="718">
        <f>M16+N16-O16</f>
        <v/>
      </c>
      <c r="Q16" s="715" t="n"/>
    </row>
    <row r="17" ht="20.1" customFormat="1" customHeight="1" s="536">
      <c r="A17" s="715" t="inlineStr">
        <is>
          <t>房产税</t>
        </is>
      </c>
      <c r="B17" s="716" t="n"/>
      <c r="C17" s="717" t="n"/>
      <c r="D17" s="717" t="n"/>
      <c r="E17" s="717" t="n"/>
      <c r="F17" s="718">
        <f>C17+D17-E17</f>
        <v/>
      </c>
      <c r="G17" s="717" t="n"/>
      <c r="H17" s="717" t="n"/>
      <c r="I17" s="717" t="n"/>
      <c r="J17" s="717" t="n"/>
      <c r="K17" s="717" t="n"/>
      <c r="L17" s="717" t="n"/>
      <c r="M17" s="718">
        <f>C17+G17+H17</f>
        <v/>
      </c>
      <c r="N17" s="718">
        <f>D17+I17+K17</f>
        <v/>
      </c>
      <c r="O17" s="718">
        <f>E17+J17+L17</f>
        <v/>
      </c>
      <c r="P17" s="718">
        <f>M17+N17-O17</f>
        <v/>
      </c>
      <c r="Q17" s="715" t="n"/>
    </row>
    <row r="18" ht="20.1" customFormat="1" customHeight="1" s="536">
      <c r="A18" s="715" t="inlineStr">
        <is>
          <t>土地使用税</t>
        </is>
      </c>
      <c r="B18" s="716" t="n"/>
      <c r="C18" s="717" t="n"/>
      <c r="D18" s="717" t="n"/>
      <c r="E18" s="717" t="n"/>
      <c r="F18" s="718">
        <f>C18+D18-E18</f>
        <v/>
      </c>
      <c r="G18" s="717" t="n"/>
      <c r="H18" s="717" t="n"/>
      <c r="I18" s="717" t="n"/>
      <c r="J18" s="717" t="n"/>
      <c r="K18" s="717" t="n"/>
      <c r="L18" s="717" t="n"/>
      <c r="M18" s="718">
        <f>C18+G18+H18</f>
        <v/>
      </c>
      <c r="N18" s="718">
        <f>D18+I18+K18</f>
        <v/>
      </c>
      <c r="O18" s="718">
        <f>E18+J18+L18</f>
        <v/>
      </c>
      <c r="P18" s="718">
        <f>M18+N18-O18</f>
        <v/>
      </c>
      <c r="Q18" s="715" t="n"/>
    </row>
    <row r="19" ht="20.1" customFormat="1" customHeight="1" s="536">
      <c r="A19" s="715" t="inlineStr">
        <is>
          <t>教育费附加</t>
        </is>
      </c>
      <c r="B19" s="716" t="n"/>
      <c r="C19" s="717" t="n"/>
      <c r="D19" s="717" t="n"/>
      <c r="E19" s="717" t="n"/>
      <c r="F19" s="718">
        <f>C19+D19-E19</f>
        <v/>
      </c>
      <c r="G19" s="717" t="n"/>
      <c r="H19" s="717" t="n"/>
      <c r="I19" s="717" t="n"/>
      <c r="J19" s="717" t="n"/>
      <c r="K19" s="717" t="n"/>
      <c r="L19" s="717" t="n"/>
      <c r="M19" s="718">
        <f>C19+G19+H19</f>
        <v/>
      </c>
      <c r="N19" s="718">
        <f>D19+I19+K19</f>
        <v/>
      </c>
      <c r="O19" s="718">
        <f>E19+J19+L19</f>
        <v/>
      </c>
      <c r="P19" s="718">
        <f>M19+N19-O19</f>
        <v/>
      </c>
      <c r="Q19" s="715" t="n"/>
    </row>
    <row r="20" ht="20.1" customFormat="1" customHeight="1" s="536">
      <c r="A20" s="715" t="inlineStr">
        <is>
          <t>矿产资源补偿费</t>
        </is>
      </c>
      <c r="B20" s="716" t="n"/>
      <c r="C20" s="717" t="n"/>
      <c r="D20" s="717" t="n"/>
      <c r="E20" s="717" t="n"/>
      <c r="F20" s="718">
        <f>C20+D20-E20</f>
        <v/>
      </c>
      <c r="G20" s="717" t="n"/>
      <c r="H20" s="717" t="n"/>
      <c r="I20" s="717" t="n"/>
      <c r="J20" s="717" t="n"/>
      <c r="K20" s="717" t="n"/>
      <c r="L20" s="717" t="n"/>
      <c r="M20" s="718">
        <f>C20+G20+H20</f>
        <v/>
      </c>
      <c r="N20" s="718">
        <f>D20+I20+K20</f>
        <v/>
      </c>
      <c r="O20" s="718">
        <f>E20+J20+L20</f>
        <v/>
      </c>
      <c r="P20" s="718">
        <f>M20+N20-O20</f>
        <v/>
      </c>
      <c r="Q20" s="715" t="n"/>
    </row>
    <row r="21" ht="20.1" customFormat="1" customHeight="1" s="536">
      <c r="A21" s="715" t="inlineStr">
        <is>
          <t>代扣代缴外国企业所得税</t>
        </is>
      </c>
      <c r="B21" s="716" t="n"/>
      <c r="C21" s="717" t="n"/>
      <c r="D21" s="717" t="n"/>
      <c r="E21" s="717" t="n"/>
      <c r="F21" s="718">
        <f>C21+D21-E21</f>
        <v/>
      </c>
      <c r="G21" s="717" t="n"/>
      <c r="H21" s="717" t="n"/>
      <c r="I21" s="717" t="n"/>
      <c r="J21" s="717" t="n"/>
      <c r="K21" s="717" t="n"/>
      <c r="L21" s="717" t="n"/>
      <c r="M21" s="718">
        <f>C21+G21+H21</f>
        <v/>
      </c>
      <c r="N21" s="718">
        <f>D21+I21+K21</f>
        <v/>
      </c>
      <c r="O21" s="718">
        <f>E21+J21+L21</f>
        <v/>
      </c>
      <c r="P21" s="718">
        <f>M21+N21-O21</f>
        <v/>
      </c>
      <c r="Q21" s="715" t="n"/>
    </row>
    <row r="22" ht="20.1" customFormat="1" customHeight="1" s="536">
      <c r="A22" s="715" t="inlineStr">
        <is>
          <t>代扣代缴个人所得税</t>
        </is>
      </c>
      <c r="B22" s="716" t="n"/>
      <c r="C22" s="717" t="n"/>
      <c r="D22" s="717" t="n"/>
      <c r="E22" s="717" t="n"/>
      <c r="F22" s="718">
        <f>C22+D22-E22</f>
        <v/>
      </c>
      <c r="G22" s="717" t="n"/>
      <c r="H22" s="717" t="n"/>
      <c r="I22" s="717" t="n"/>
      <c r="J22" s="717" t="n"/>
      <c r="K22" s="717" t="n"/>
      <c r="L22" s="717" t="n"/>
      <c r="M22" s="718">
        <f>C22+G22+H22</f>
        <v/>
      </c>
      <c r="N22" s="718">
        <f>D22+I22+K22</f>
        <v/>
      </c>
      <c r="O22" s="718">
        <f>E22+J22+L22</f>
        <v/>
      </c>
      <c r="P22" s="718">
        <f>M22+N22-O22</f>
        <v/>
      </c>
      <c r="Q22" s="715" t="n"/>
    </row>
    <row r="23" ht="20.1" customFormat="1" customHeight="1" s="536">
      <c r="A23" s="715" t="inlineStr">
        <is>
          <t xml:space="preserve"> </t>
        </is>
      </c>
      <c r="B23" s="716" t="n"/>
      <c r="C23" s="717" t="n"/>
      <c r="D23" s="717" t="n"/>
      <c r="E23" s="717" t="n"/>
      <c r="F23" s="718">
        <f>C23+D23-E23</f>
        <v/>
      </c>
      <c r="G23" s="717" t="n"/>
      <c r="H23" s="717" t="n"/>
      <c r="I23" s="717" t="n"/>
      <c r="J23" s="717" t="n"/>
      <c r="K23" s="717" t="n"/>
      <c r="L23" s="717" t="n"/>
      <c r="M23" s="718">
        <f>C23+G23+H23</f>
        <v/>
      </c>
      <c r="N23" s="718">
        <f>D23+I23+K23</f>
        <v/>
      </c>
      <c r="O23" s="718">
        <f>E23+J23+L23</f>
        <v/>
      </c>
      <c r="P23" s="718">
        <f>M23+N23-O23</f>
        <v/>
      </c>
      <c r="Q23" s="715" t="n"/>
    </row>
    <row r="24" ht="20.1" customFormat="1" customHeight="1" s="536">
      <c r="A24" s="715" t="inlineStr">
        <is>
          <t xml:space="preserve"> </t>
        </is>
      </c>
      <c r="B24" s="716" t="n"/>
      <c r="C24" s="717" t="n"/>
      <c r="D24" s="717" t="n"/>
      <c r="E24" s="717" t="n"/>
      <c r="F24" s="718">
        <f>C24+D24-E24</f>
        <v/>
      </c>
      <c r="G24" s="717" t="n"/>
      <c r="H24" s="717" t="n"/>
      <c r="I24" s="717" t="n"/>
      <c r="J24" s="717" t="n"/>
      <c r="K24" s="717" t="n"/>
      <c r="L24" s="717" t="n"/>
      <c r="M24" s="718">
        <f>C24+G24+H24</f>
        <v/>
      </c>
      <c r="N24" s="718">
        <f>D24+I24+K24</f>
        <v/>
      </c>
      <c r="O24" s="718">
        <f>E24+J24+L24</f>
        <v/>
      </c>
      <c r="P24" s="718">
        <f>M24+N24-O24</f>
        <v/>
      </c>
      <c r="Q24" s="715" t="n"/>
    </row>
    <row r="25" ht="20.1" customFormat="1" customHeight="1" s="536">
      <c r="A25" s="719" t="inlineStr">
        <is>
          <t>合计</t>
        </is>
      </c>
      <c r="B25" s="720" t="n"/>
      <c r="C25" s="721">
        <f>SUM(C10:C24)</f>
        <v/>
      </c>
      <c r="D25" s="721">
        <f>SUM(D10:D24)</f>
        <v/>
      </c>
      <c r="E25" s="721">
        <f>SUM(E10:E24)</f>
        <v/>
      </c>
      <c r="F25" s="721">
        <f>SUM(F10:F24)</f>
        <v/>
      </c>
      <c r="G25" s="721">
        <f>SUM(G10:G24)</f>
        <v/>
      </c>
      <c r="H25" s="721">
        <f>SUM(H10:H24)</f>
        <v/>
      </c>
      <c r="I25" s="721">
        <f>SUM(I10:I24)</f>
        <v/>
      </c>
      <c r="J25" s="721">
        <f>SUM(J10:J24)</f>
        <v/>
      </c>
      <c r="K25" s="721">
        <f>SUM(K10:K24)</f>
        <v/>
      </c>
      <c r="L25" s="721">
        <f>SUM(L10:L24)</f>
        <v/>
      </c>
      <c r="M25" s="721">
        <f>SUM(M10:M24)</f>
        <v/>
      </c>
      <c r="N25" s="721">
        <f>SUM(N10:N24)</f>
        <v/>
      </c>
      <c r="O25" s="721">
        <f>SUM(O10:O24)</f>
        <v/>
      </c>
      <c r="P25" s="721">
        <f>SUM(P10:P24)</f>
        <v/>
      </c>
      <c r="Q25" s="722" t="n"/>
    </row>
    <row r="26" ht="20.1" customFormat="1" customHeight="1" s="536">
      <c r="A26" s="545" t="inlineStr">
        <is>
          <t>三、审计说明：</t>
        </is>
      </c>
    </row>
    <row r="27" ht="20.1" customFormat="1" customHeight="1" s="536">
      <c r="A27" s="545" t="n"/>
    </row>
    <row r="28" ht="20.1" customFormat="1" customHeight="1" s="536">
      <c r="A28" s="545" t="n"/>
    </row>
    <row r="29" ht="20.1" customFormat="1" customHeight="1" s="536"/>
    <row r="30" ht="20.1" customFormat="1" customHeight="1" s="536">
      <c r="A30" s="545" t="inlineStr">
        <is>
          <t>四、审计结论：</t>
        </is>
      </c>
    </row>
    <row r="31" ht="20.1" customFormat="1" customHeight="1" s="536">
      <c r="A31" s="545" t="n"/>
    </row>
    <row r="32" ht="20.1" customFormat="1" customHeight="1" s="536">
      <c r="A32" s="723" t="inlineStr">
        <is>
          <t>提示：</t>
        </is>
      </c>
    </row>
    <row r="33" ht="20.1" customHeight="1" s="526">
      <c r="A33" s="724" t="inlineStr">
        <is>
          <t>1.本科目核算企业按照税法等规定计算应交纳的各种税费，包括增值税、消费税、营业税、所得税、资源税、土地增值税、城市维护建设税、房产税、土地使用税、</t>
        </is>
      </c>
    </row>
    <row r="34" ht="20.1" customHeight="1" s="526">
      <c r="A34" s="724" t="inlineStr">
        <is>
          <t>车船使用税、教育费附加、矿产资源补偿费等。企业代扣代交的个人所得税等，也通过本科目核算。</t>
        </is>
      </c>
    </row>
    <row r="35" ht="20.1" customHeight="1" s="526">
      <c r="A35" s="724" t="inlineStr">
        <is>
          <t>2.财政部会计司：我部、税务总局和海关总署印发了《关于深化增值税改革有关政策的公告》（财政部税务总局 海关总署公告2019年第39号，以下简称“第39号公告”），规定“自2019年4月1日至2021年12月31日，允许生产、生活性服务业纳税人按照当期可抵扣进项税额加计10%，抵减应纳税额”。现就该规定适用《增值税会计处理规定》（财会〔2016〕22号）的有关问题解读如下：
　　生产、生活性服务业纳税人取得资产或接受劳务时，应当按照《增值税会计处理规定》的相关规定对增值税相关业务进行会计处理；实际缴纳增值税时，按应纳税额借记“应交税费——未交增值税”等科目，按实际纳税金额贷记“银行存款”科目，按加计抵减的金额贷记“其他收益”科目。</t>
        </is>
      </c>
    </row>
    <row r="36" ht="20.1" customHeight="1" s="526">
      <c r="A36" s="724" t="inlineStr">
        <is>
          <t>3.应交税费的借方余额应重分类到其他流动资产等项目。</t>
        </is>
      </c>
    </row>
    <row r="37" ht="20.1" customHeight="1" s="526">
      <c r="A37" s="724" t="inlineStr">
        <is>
          <t>4.IPO、特殊行业、首次承接、重大资产重组业务，需要利用税务专家工作。</t>
        </is>
      </c>
    </row>
    <row r="40" ht="20.1" customHeight="1" s="526">
      <c r="A40" s="724" t="n"/>
    </row>
    <row r="41" ht="20.1" customHeight="1" s="526">
      <c r="A41" s="724" t="n"/>
    </row>
    <row r="42" ht="20.1" customHeight="1" s="526">
      <c r="A42" s="724" t="n"/>
    </row>
  </sheetData>
  <mergeCells count="9">
    <mergeCell ref="A8:A9"/>
    <mergeCell ref="M8:P8"/>
    <mergeCell ref="C8:F8"/>
    <mergeCell ref="K8:L8"/>
    <mergeCell ref="A2:Q2"/>
    <mergeCell ref="B8:B9"/>
    <mergeCell ref="I8:J8"/>
    <mergeCell ref="G8:H8"/>
    <mergeCell ref="A1:Q1"/>
  </mergeCells>
  <hyperlinks>
    <hyperlink ref="Q3" location="底稿目录!A1" display="D8-2"/>
  </hyperlinks>
  <pageMargins left="0.708333333333333" right="0.708333333333333" top="0.747916666666667" bottom="0.747916666666667" header="0.314583333333333" footer="0.314583333333333"/>
  <pageSetup orientation="landscape" paperSize="9" scale="61" blackAndWhite="1" horizontalDpi="1200" verticalDpi="1200"/>
  <headerFooter alignWithMargins="0">
    <oddHeader/>
    <oddFooter>&amp;C&amp;P/&amp;N</oddFooter>
    <evenHeader/>
    <evenFooter/>
    <firstHeader/>
    <firstFooter/>
  </headerFooter>
</worksheet>
</file>

<file path=xl/worksheets/sheet8.xml><?xml version="1.0" encoding="utf-8"?>
<worksheet xmlns="http://schemas.openxmlformats.org/spreadsheetml/2006/main">
  <sheetPr codeName="Sheet7">
    <outlinePr summaryBelow="1" summaryRight="1"/>
    <pageSetUpPr/>
  </sheetPr>
  <dimension ref="A1:J37"/>
  <sheetViews>
    <sheetView view="pageBreakPreview" zoomScaleNormal="100" workbookViewId="0">
      <selection activeCell="A1" sqref="A1:J1"/>
    </sheetView>
  </sheetViews>
  <sheetFormatPr baseColWidth="8" defaultColWidth="9" defaultRowHeight="20.1" customHeight="1"/>
  <cols>
    <col width="15.19921875" customWidth="1" style="725" min="1" max="2"/>
    <col width="13" customWidth="1" style="725" min="3" max="3"/>
    <col width="11.8984375" customWidth="1" style="725" min="4" max="4"/>
    <col width="15.19921875" customWidth="1" style="725" min="5" max="5"/>
    <col width="9" customWidth="1" style="725" min="6" max="6"/>
    <col width="9.19921875" customWidth="1" style="725" min="7" max="7"/>
    <col width="9" customWidth="1" style="725" min="8" max="16384"/>
  </cols>
  <sheetData>
    <row r="1" ht="20.1" customHeight="1" s="526">
      <c r="A1" s="653" t="inlineStr">
        <is>
          <t>致同会计师事务所</t>
        </is>
      </c>
    </row>
    <row r="2" ht="20.1" customHeight="1" s="526">
      <c r="A2" s="654" t="inlineStr">
        <is>
          <t>应交税费调整分录汇总表</t>
        </is>
      </c>
    </row>
    <row r="3" ht="20.1" customHeight="1" s="526">
      <c r="A3" s="655">
        <f>底稿目录!A2</f>
        <v/>
      </c>
      <c r="B3" s="655" t="n"/>
      <c r="C3" s="655" t="n"/>
      <c r="D3" s="269">
        <f>底稿目录!$A$4</f>
        <v/>
      </c>
      <c r="E3" s="655" t="n"/>
      <c r="F3" s="656" t="n"/>
      <c r="G3" s="269">
        <f>底稿目录!$A$5</f>
        <v/>
      </c>
      <c r="H3" s="655" t="n"/>
      <c r="I3" s="726" t="inlineStr">
        <is>
          <t>索引号：</t>
        </is>
      </c>
      <c r="J3" s="525">
        <f>底稿目录!F8</f>
        <v/>
      </c>
    </row>
    <row r="4" ht="20.1" customHeight="1" s="526">
      <c r="A4" s="655">
        <f>底稿目录!A3</f>
        <v/>
      </c>
      <c r="B4" s="655" t="n"/>
      <c r="C4" s="655" t="n"/>
      <c r="D4" s="269">
        <f>底稿目录!$A$6</f>
        <v/>
      </c>
      <c r="E4" s="655" t="n"/>
      <c r="F4" s="656" t="n"/>
      <c r="G4" s="269">
        <f>底稿目录!$A$7</f>
        <v/>
      </c>
      <c r="H4" s="655" t="n"/>
      <c r="I4" s="726" t="inlineStr">
        <is>
          <t>页次：</t>
        </is>
      </c>
      <c r="J4" s="656" t="n"/>
    </row>
    <row r="5" ht="31.5" customHeight="1" s="526">
      <c r="A5" s="727" t="inlineStr">
        <is>
          <t>调整事项说明</t>
        </is>
      </c>
      <c r="B5" s="728" t="inlineStr">
        <is>
          <t>类别（报表调整/账项调整/其他）</t>
        </is>
      </c>
      <c r="C5" s="728" t="inlineStr">
        <is>
          <t>报表项目</t>
        </is>
      </c>
      <c r="D5" s="729" t="inlineStr">
        <is>
          <t>科目名称</t>
        </is>
      </c>
      <c r="E5" s="729" t="inlineStr">
        <is>
          <t>附注项目</t>
        </is>
      </c>
      <c r="F5" s="730" t="inlineStr">
        <is>
          <t>……</t>
        </is>
      </c>
      <c r="G5" s="729" t="inlineStr">
        <is>
          <t>借方调整金额</t>
        </is>
      </c>
      <c r="H5" s="729" t="inlineStr">
        <is>
          <t>贷方调整金额</t>
        </is>
      </c>
      <c r="I5" s="729" t="inlineStr">
        <is>
          <t>索引</t>
        </is>
      </c>
      <c r="J5" s="729" t="inlineStr">
        <is>
          <t>备注</t>
        </is>
      </c>
    </row>
    <row r="6" ht="20.1" customHeight="1" s="526">
      <c r="A6" s="731" t="n"/>
      <c r="B6" s="731" t="n"/>
      <c r="C6" s="731" t="n"/>
      <c r="D6" s="731" t="n"/>
      <c r="E6" s="731" t="n"/>
      <c r="F6" s="731" t="n"/>
      <c r="G6" s="731" t="n"/>
      <c r="H6" s="731" t="n"/>
      <c r="I6" s="731" t="n"/>
      <c r="J6" s="731" t="n"/>
    </row>
    <row r="7" ht="20.1" customHeight="1" s="526">
      <c r="A7" s="732" t="n"/>
      <c r="B7" s="731" t="n"/>
      <c r="C7" s="731" t="n"/>
      <c r="D7" s="731" t="n"/>
      <c r="E7" s="731" t="n"/>
      <c r="F7" s="731" t="n"/>
      <c r="G7" s="731" t="n"/>
      <c r="H7" s="731" t="n"/>
      <c r="I7" s="731" t="n"/>
      <c r="J7" s="731" t="n"/>
    </row>
    <row r="8" ht="20.1" customHeight="1" s="526">
      <c r="A8" s="733" t="n"/>
      <c r="B8" s="731" t="n"/>
      <c r="C8" s="731" t="n"/>
      <c r="D8" s="731" t="n"/>
      <c r="E8" s="731" t="n"/>
      <c r="F8" s="731" t="n"/>
      <c r="G8" s="731" t="n"/>
      <c r="H8" s="731" t="n"/>
      <c r="I8" s="731" t="n"/>
      <c r="J8" s="731" t="n"/>
    </row>
    <row r="9" ht="20.1" customHeight="1" s="526">
      <c r="A9" s="733" t="n"/>
      <c r="B9" s="731" t="n"/>
      <c r="C9" s="731" t="n"/>
      <c r="D9" s="731" t="n"/>
      <c r="E9" s="731" t="n"/>
      <c r="F9" s="731" t="n"/>
      <c r="G9" s="731" t="n"/>
      <c r="H9" s="731" t="n"/>
      <c r="I9" s="731" t="n"/>
      <c r="J9" s="731" t="n"/>
    </row>
    <row r="10" ht="20.1" customHeight="1" s="526">
      <c r="A10" s="733" t="n"/>
      <c r="B10" s="731" t="n"/>
      <c r="C10" s="731" t="n"/>
      <c r="D10" s="731" t="n"/>
      <c r="E10" s="731" t="n"/>
      <c r="F10" s="731" t="n"/>
      <c r="G10" s="731" t="n"/>
      <c r="H10" s="731" t="n"/>
      <c r="I10" s="731" t="n"/>
      <c r="J10" s="731" t="n"/>
    </row>
    <row r="11" ht="20.1" customHeight="1" s="526">
      <c r="A11" s="734" t="n"/>
      <c r="B11" s="731" t="n"/>
      <c r="C11" s="731" t="n"/>
      <c r="D11" s="731" t="n"/>
      <c r="E11" s="731" t="n"/>
      <c r="F11" s="731" t="n"/>
      <c r="G11" s="731" t="n"/>
      <c r="H11" s="731" t="n"/>
      <c r="I11" s="731" t="n"/>
      <c r="J11" s="731" t="n"/>
    </row>
    <row r="12" ht="20.1" customHeight="1" s="526">
      <c r="A12" s="733" t="n"/>
      <c r="B12" s="731" t="n"/>
      <c r="C12" s="731" t="n"/>
      <c r="D12" s="731" t="n"/>
      <c r="E12" s="731" t="n"/>
      <c r="F12" s="731" t="n"/>
      <c r="G12" s="731" t="n"/>
      <c r="H12" s="731" t="n"/>
      <c r="I12" s="731" t="n"/>
      <c r="J12" s="731" t="n"/>
    </row>
    <row r="13" ht="20.1" customHeight="1" s="526">
      <c r="A13" s="733" t="n"/>
      <c r="B13" s="731" t="n"/>
      <c r="C13" s="731" t="n"/>
      <c r="D13" s="731" t="n"/>
      <c r="E13" s="731" t="n"/>
      <c r="F13" s="731" t="n"/>
      <c r="G13" s="731" t="n"/>
      <c r="H13" s="731" t="n"/>
      <c r="I13" s="731" t="n"/>
      <c r="J13" s="731" t="n"/>
    </row>
    <row r="14" ht="20.1" customHeight="1" s="526">
      <c r="A14" s="733" t="n"/>
      <c r="B14" s="731" t="n"/>
      <c r="C14" s="731" t="n"/>
      <c r="D14" s="731" t="n"/>
      <c r="E14" s="731" t="n"/>
      <c r="F14" s="731" t="n"/>
      <c r="G14" s="731" t="n"/>
      <c r="H14" s="731" t="n"/>
      <c r="I14" s="731" t="n"/>
      <c r="J14" s="731" t="n"/>
    </row>
    <row r="15" ht="20.1" customHeight="1" s="526">
      <c r="A15" s="733" t="n"/>
      <c r="B15" s="731" t="n"/>
      <c r="C15" s="731" t="n"/>
      <c r="D15" s="731" t="n"/>
      <c r="E15" s="731" t="n"/>
      <c r="F15" s="731" t="n"/>
      <c r="G15" s="731" t="n"/>
      <c r="H15" s="731" t="n"/>
      <c r="I15" s="731" t="n"/>
      <c r="J15" s="731" t="n"/>
    </row>
    <row r="16" ht="20.1" customHeight="1" s="526">
      <c r="A16" s="733" t="n"/>
      <c r="B16" s="731" t="n"/>
      <c r="C16" s="731" t="n"/>
      <c r="D16" s="731" t="n"/>
      <c r="E16" s="731" t="n"/>
      <c r="F16" s="731" t="n"/>
      <c r="G16" s="731" t="n"/>
      <c r="H16" s="731" t="n"/>
      <c r="I16" s="731" t="n"/>
      <c r="J16" s="731" t="n"/>
    </row>
    <row r="17" ht="20.1" customHeight="1" s="526">
      <c r="A17" s="733" t="n"/>
      <c r="B17" s="731" t="n"/>
      <c r="C17" s="731" t="n"/>
      <c r="D17" s="731" t="n"/>
      <c r="E17" s="731" t="n"/>
      <c r="F17" s="731" t="n"/>
      <c r="G17" s="731" t="n"/>
      <c r="H17" s="731" t="n"/>
      <c r="I17" s="731" t="n"/>
      <c r="J17" s="731" t="n"/>
    </row>
    <row r="18" ht="20.1" customHeight="1" s="526">
      <c r="A18" s="733" t="n"/>
      <c r="B18" s="731" t="n"/>
      <c r="C18" s="731" t="n"/>
      <c r="D18" s="731" t="n"/>
      <c r="E18" s="731" t="n"/>
      <c r="F18" s="731" t="n"/>
      <c r="G18" s="731" t="n"/>
      <c r="H18" s="731" t="n"/>
      <c r="I18" s="731" t="n"/>
      <c r="J18" s="731" t="n"/>
    </row>
    <row r="19" ht="20.1" customHeight="1" s="526">
      <c r="A19" s="733" t="n"/>
      <c r="B19" s="731" t="n"/>
      <c r="C19" s="731" t="n"/>
      <c r="D19" s="731" t="n"/>
      <c r="E19" s="731" t="n"/>
      <c r="F19" s="731" t="n"/>
      <c r="G19" s="731" t="n"/>
      <c r="H19" s="731" t="n"/>
      <c r="I19" s="731" t="n"/>
      <c r="J19" s="731" t="n"/>
    </row>
    <row r="20" ht="20.1" customHeight="1" s="526">
      <c r="A20" s="733" t="n"/>
      <c r="B20" s="731" t="n"/>
      <c r="C20" s="731" t="n"/>
      <c r="D20" s="731" t="n"/>
      <c r="E20" s="731" t="n"/>
      <c r="F20" s="731" t="n"/>
      <c r="G20" s="731" t="n"/>
      <c r="H20" s="731" t="n"/>
      <c r="I20" s="731" t="n"/>
      <c r="J20" s="731" t="n"/>
    </row>
    <row r="21" ht="20.1" customHeight="1" s="526">
      <c r="A21" s="735" t="inlineStr">
        <is>
          <t>1.审计说明</t>
        </is>
      </c>
      <c r="B21" s="736" t="n"/>
      <c r="C21" s="736" t="n"/>
      <c r="D21" s="736" t="n"/>
      <c r="E21" s="736" t="n"/>
      <c r="F21" s="736" t="n"/>
      <c r="G21" s="736" t="n"/>
      <c r="H21" s="736" t="n"/>
      <c r="I21" s="736" t="n"/>
      <c r="J21" s="736" t="n"/>
    </row>
    <row r="22" ht="20.1" customHeight="1" s="526">
      <c r="A22" s="736" t="n"/>
      <c r="B22" s="736" t="n"/>
      <c r="C22" s="736" t="n"/>
      <c r="D22" s="736" t="n"/>
      <c r="E22" s="736" t="n"/>
      <c r="F22" s="736" t="n"/>
      <c r="G22" s="736" t="n"/>
      <c r="H22" s="736" t="n"/>
      <c r="I22" s="736" t="n"/>
      <c r="J22" s="736" t="n"/>
    </row>
    <row r="23" ht="20.1" customHeight="1" s="526">
      <c r="A23" s="737" t="n"/>
      <c r="B23" s="737" t="n"/>
      <c r="C23" s="737" t="n"/>
      <c r="D23" s="736" t="n"/>
      <c r="E23" s="736" t="n"/>
      <c r="F23" s="736" t="n"/>
      <c r="G23" s="736" t="n"/>
      <c r="H23" s="736" t="n"/>
      <c r="I23" s="736" t="n"/>
      <c r="J23" s="736" t="n"/>
    </row>
    <row r="24" ht="20.1" customHeight="1" s="526">
      <c r="A24" s="655" t="n"/>
      <c r="B24" s="655" t="n"/>
      <c r="C24" s="655" t="n"/>
      <c r="D24" s="737" t="n"/>
      <c r="E24" s="737" t="n"/>
      <c r="F24" s="737" t="n"/>
      <c r="G24" s="737" t="n"/>
      <c r="H24" s="737" t="n"/>
      <c r="I24" s="737" t="n"/>
      <c r="J24" s="737" t="n"/>
    </row>
    <row r="25" ht="20.1" customHeight="1" s="526">
      <c r="A25" s="738" t="inlineStr">
        <is>
          <t>2.审计结论</t>
        </is>
      </c>
      <c r="B25" s="738" t="n"/>
      <c r="C25" s="738" t="n"/>
      <c r="D25" s="737" t="n"/>
      <c r="E25" s="737" t="n"/>
      <c r="F25" s="737" t="n"/>
      <c r="G25" s="737" t="n"/>
      <c r="H25" s="737" t="n"/>
      <c r="I25" s="737" t="n"/>
      <c r="J25" s="737" t="n"/>
    </row>
    <row r="26" ht="20.1" customHeight="1" s="526">
      <c r="A26" s="738" t="n"/>
      <c r="B26" s="738" t="n"/>
      <c r="C26" s="738" t="n"/>
      <c r="D26" s="736" t="n"/>
      <c r="E26" s="736" t="n"/>
      <c r="F26" s="736" t="n"/>
      <c r="G26" s="736" t="n"/>
      <c r="H26" s="736" t="n"/>
      <c r="I26" s="736" t="n"/>
      <c r="J26" s="736" t="n"/>
    </row>
    <row r="27" ht="20.1" customHeight="1" s="526">
      <c r="A27" s="739" t="inlineStr">
        <is>
          <t>提示：本底稿适用于调整分录较多、较复杂的项目，且仅列示与本报表项目相关的审计调整。项目组可根据项目实际情况选择是否使用该底稿。</t>
        </is>
      </c>
      <c r="B27" s="530" t="n"/>
      <c r="C27" s="530" t="n"/>
      <c r="D27" s="530" t="n"/>
      <c r="E27" s="530" t="n"/>
      <c r="F27" s="530" t="n"/>
      <c r="G27" s="530" t="n"/>
      <c r="H27" s="530" t="n"/>
      <c r="I27" s="530" t="n"/>
      <c r="J27" s="530" t="n"/>
    </row>
    <row r="28" ht="20.1" customHeight="1" s="526">
      <c r="A28" s="740" t="n"/>
      <c r="B28" s="740" t="n"/>
      <c r="C28" s="740" t="n"/>
      <c r="D28" s="740" t="n"/>
      <c r="E28" s="740" t="n"/>
      <c r="F28" s="740" t="n"/>
      <c r="G28" s="740" t="n"/>
      <c r="H28" s="740" t="n"/>
      <c r="I28" s="740" t="n"/>
      <c r="J28" s="740" t="n"/>
    </row>
    <row r="29" ht="20.1" customHeight="1" s="526">
      <c r="A29" s="740" t="n"/>
      <c r="B29" s="740" t="n"/>
      <c r="C29" s="740" t="n"/>
      <c r="D29" s="740" t="n"/>
      <c r="E29" s="740" t="n"/>
      <c r="F29" s="740" t="n"/>
      <c r="G29" s="740" t="n"/>
      <c r="H29" s="740" t="n"/>
      <c r="I29" s="740" t="n"/>
      <c r="J29" s="740" t="n"/>
    </row>
    <row r="30" ht="20.1" customHeight="1" s="526">
      <c r="A30" s="740" t="n"/>
      <c r="B30" s="740" t="n"/>
      <c r="C30" s="740" t="n"/>
      <c r="D30" s="740" t="n"/>
      <c r="E30" s="740" t="n"/>
      <c r="F30" s="740" t="n"/>
      <c r="G30" s="740" t="n"/>
      <c r="H30" s="740" t="n"/>
      <c r="I30" s="740" t="n"/>
      <c r="J30" s="740" t="n"/>
    </row>
    <row r="31" ht="20.1" customHeight="1" s="526">
      <c r="A31" s="740" t="n"/>
      <c r="B31" s="740" t="n"/>
      <c r="C31" s="740" t="n"/>
      <c r="D31" s="740" t="n"/>
      <c r="E31" s="740" t="n"/>
      <c r="F31" s="740" t="n"/>
      <c r="G31" s="740" t="n"/>
      <c r="H31" s="740" t="n"/>
      <c r="I31" s="740" t="n"/>
      <c r="J31" s="740" t="n"/>
    </row>
    <row r="32" ht="20.1" customHeight="1" s="526">
      <c r="A32" s="740" t="n"/>
      <c r="B32" s="740" t="n"/>
      <c r="C32" s="740" t="n"/>
      <c r="D32" s="740" t="n"/>
      <c r="E32" s="740" t="n"/>
      <c r="F32" s="740" t="n"/>
      <c r="G32" s="740" t="n"/>
      <c r="H32" s="740" t="n"/>
      <c r="I32" s="740" t="n"/>
      <c r="J32" s="740" t="n"/>
    </row>
    <row r="33" ht="20.1" customHeight="1" s="526">
      <c r="A33" s="740" t="n"/>
      <c r="B33" s="740" t="n"/>
      <c r="C33" s="740" t="n"/>
      <c r="D33" s="740" t="n"/>
      <c r="E33" s="740" t="n"/>
      <c r="F33" s="740" t="n"/>
      <c r="G33" s="740" t="n"/>
      <c r="H33" s="740" t="n"/>
      <c r="I33" s="740" t="n"/>
      <c r="J33" s="740" t="n"/>
    </row>
    <row r="34" ht="20.1" customHeight="1" s="526">
      <c r="A34" s="740" t="n"/>
      <c r="B34" s="740" t="n"/>
      <c r="C34" s="740" t="n"/>
      <c r="D34" s="740" t="n"/>
      <c r="E34" s="740" t="n"/>
      <c r="F34" s="740" t="n"/>
      <c r="G34" s="740" t="n"/>
      <c r="H34" s="740" t="n"/>
      <c r="I34" s="740" t="n"/>
      <c r="J34" s="740" t="n"/>
    </row>
    <row r="35" ht="20.1" customHeight="1" s="526">
      <c r="A35" s="740" t="n"/>
      <c r="B35" s="740" t="n"/>
      <c r="C35" s="740" t="n"/>
      <c r="D35" s="740" t="n"/>
      <c r="E35" s="740" t="n"/>
      <c r="F35" s="740" t="n"/>
      <c r="G35" s="740" t="n"/>
      <c r="H35" s="740" t="n"/>
      <c r="I35" s="740" t="n"/>
      <c r="J35" s="740" t="n"/>
    </row>
    <row r="36" ht="20.1" customHeight="1" s="526">
      <c r="A36" s="740" t="n"/>
      <c r="B36" s="740" t="n"/>
      <c r="C36" s="740" t="n"/>
      <c r="D36" s="740" t="n"/>
      <c r="E36" s="740" t="n"/>
      <c r="F36" s="740" t="n"/>
      <c r="G36" s="740" t="n"/>
      <c r="H36" s="740" t="n"/>
      <c r="I36" s="740" t="n"/>
      <c r="J36" s="740" t="n"/>
    </row>
    <row r="37" ht="20.1" customHeight="1" s="526">
      <c r="A37" s="740" t="n"/>
      <c r="B37" s="740" t="n"/>
      <c r="C37" s="740" t="n"/>
      <c r="D37" s="740" t="n"/>
      <c r="E37" s="740" t="n"/>
      <c r="F37" s="740" t="n"/>
      <c r="G37" s="740" t="n"/>
      <c r="H37" s="740" t="n"/>
      <c r="I37" s="740" t="n"/>
      <c r="J37" s="740" t="n"/>
    </row>
  </sheetData>
  <mergeCells count="3">
    <mergeCell ref="A1:J1"/>
    <mergeCell ref="A27:J27"/>
    <mergeCell ref="A2:J2"/>
  </mergeCells>
  <dataValidations count="1">
    <dataValidation sqref="B6:B20" showDropDown="0" showInputMessage="1" showErrorMessage="1" allowBlank="1" type="list">
      <formula1>"账项调整,报表调整,其他"</formula1>
    </dataValidation>
  </dataValidations>
  <hyperlinks>
    <hyperlink ref="J3" location="底稿目录!A1" display="D8-3"/>
  </hyperlinks>
  <pageMargins left="0.708333333333333" right="0.708333333333333" top="0.747916666666667" bottom="0.747916666666667" header="0.314583333333333" footer="0.314583333333333"/>
  <pageSetup orientation="portrait" paperSize="9" scale="70" blackAndWhite="1" horizontalDpi="1200" verticalDpi="1200"/>
  <headerFooter alignWithMargins="0">
    <oddHeader/>
    <oddFooter>&amp;C&amp;P/&amp;N</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H35"/>
  <sheetViews>
    <sheetView view="pageBreakPreview" zoomScaleNormal="100" workbookViewId="0">
      <selection activeCell="A1" sqref="A1:H1"/>
    </sheetView>
  </sheetViews>
  <sheetFormatPr baseColWidth="8" defaultColWidth="9" defaultRowHeight="20.1" customHeight="1"/>
  <cols>
    <col width="19.69921875" customWidth="1" style="198" min="1" max="1"/>
    <col width="11.8984375" customWidth="1" style="198" min="2" max="2"/>
    <col width="9.69921875" customWidth="1" style="198" min="3" max="3"/>
    <col width="11.69921875" customWidth="1" style="198" min="4" max="4"/>
    <col width="12.59765625" customWidth="1" style="198" min="5" max="5"/>
    <col width="11.69921875" customWidth="1" style="198" min="6" max="6"/>
    <col width="11" customWidth="1" style="198" min="7" max="7"/>
    <col width="11.09765625" customWidth="1" style="198" min="8" max="8"/>
    <col width="9" customWidth="1" style="198" min="9" max="16384"/>
  </cols>
  <sheetData>
    <row r="1" ht="20.1" customHeight="1" s="526">
      <c r="A1" s="497" t="inlineStr">
        <is>
          <t>致同会计师事务所</t>
        </is>
      </c>
    </row>
    <row r="2" ht="20.1" customHeight="1" s="526">
      <c r="A2" s="471" t="inlineStr">
        <is>
          <t>税收政策检查表</t>
        </is>
      </c>
    </row>
    <row r="3" ht="20.1" customHeight="1" s="526">
      <c r="A3" s="655">
        <f>底稿目录!A2</f>
        <v/>
      </c>
      <c r="B3" s="269" t="n"/>
      <c r="C3" s="269">
        <f>底稿目录!$A$4</f>
        <v/>
      </c>
      <c r="E3" s="269">
        <f>底稿目录!$A$5</f>
        <v/>
      </c>
      <c r="G3" s="328" t="inlineStr">
        <is>
          <t>索引号：</t>
        </is>
      </c>
      <c r="H3" s="525">
        <f>底稿目录!F9</f>
        <v/>
      </c>
    </row>
    <row r="4" ht="20.1" customHeight="1" s="526">
      <c r="A4" s="655">
        <f>底稿目录!A3</f>
        <v/>
      </c>
      <c r="B4" s="269" t="n"/>
      <c r="C4" s="269">
        <f>底稿目录!$A$6</f>
        <v/>
      </c>
      <c r="E4" s="269">
        <f>底稿目录!$A$7</f>
        <v/>
      </c>
      <c r="G4" s="328" t="inlineStr">
        <is>
          <t>页次：</t>
        </is>
      </c>
    </row>
    <row r="5" ht="20.1" customHeight="1" s="526">
      <c r="A5" s="201" t="inlineStr">
        <is>
          <t>一、审计目标：</t>
        </is>
      </c>
    </row>
    <row r="6" ht="20.1" customHeight="1" s="526">
      <c r="A6" s="218" t="inlineStr">
        <is>
          <t xml:space="preserve">应交税费以恰当的金额包括在财务报表中，与之相关的计价或分摊调整已恰当记录，相关披露已得到恰当计量和描述 </t>
        </is>
      </c>
    </row>
    <row r="7" ht="20.1" customHeight="1" s="526">
      <c r="A7" s="203" t="inlineStr">
        <is>
          <t>二、审计过程：</t>
        </is>
      </c>
    </row>
    <row r="8" ht="20.1" customHeight="1" s="526">
      <c r="A8" s="204" t="inlineStr">
        <is>
          <t>1.……</t>
        </is>
      </c>
    </row>
    <row r="9" ht="20.1" customHeight="1" s="526">
      <c r="A9" s="472" t="inlineStr">
        <is>
          <t>税费项目及适用税率</t>
        </is>
      </c>
      <c r="B9" s="741" t="n"/>
      <c r="C9" s="741" t="n"/>
      <c r="D9" s="741" t="n"/>
      <c r="E9" s="742" t="n"/>
      <c r="F9" s="472" t="inlineStr">
        <is>
          <t>文件名称</t>
        </is>
      </c>
      <c r="G9" s="472" t="inlineStr">
        <is>
          <t>文号</t>
        </is>
      </c>
      <c r="H9" s="472" t="inlineStr">
        <is>
          <t>索引号</t>
        </is>
      </c>
    </row>
    <row r="10" ht="40.2" customHeight="1" s="526">
      <c r="A10" s="472" t="inlineStr">
        <is>
          <t>税种</t>
        </is>
      </c>
      <c r="B10" s="472" t="inlineStr">
        <is>
          <t>计税(费)基础</t>
        </is>
      </c>
      <c r="C10" s="472" t="inlineStr">
        <is>
          <t>税(费)率</t>
        </is>
      </c>
      <c r="D10" s="472" t="inlineStr">
        <is>
          <t>征、免、减税(费)的范围</t>
        </is>
      </c>
      <c r="E10" s="472" t="inlineStr">
        <is>
          <t>征、免、减税(费)的期限</t>
        </is>
      </c>
      <c r="F10" s="661" t="n"/>
      <c r="G10" s="661" t="n"/>
      <c r="H10" s="661" t="n"/>
    </row>
    <row r="11" ht="20.1" customHeight="1" s="526">
      <c r="A11" s="206" t="inlineStr">
        <is>
          <t>增值税</t>
        </is>
      </c>
      <c r="B11" s="207" t="n"/>
      <c r="C11" s="208" t="n"/>
      <c r="D11" s="209" t="n"/>
      <c r="E11" s="210" t="n"/>
      <c r="F11" s="207" t="n"/>
      <c r="G11" s="211" t="n"/>
      <c r="H11" s="211" t="n"/>
    </row>
    <row r="12" ht="20.1" customHeight="1" s="526">
      <c r="A12" s="206" t="inlineStr">
        <is>
          <t>消费税</t>
        </is>
      </c>
      <c r="B12" s="207" t="n"/>
      <c r="C12" s="208" t="n"/>
      <c r="D12" s="209" t="n"/>
      <c r="E12" s="210" t="n"/>
      <c r="F12" s="207" t="n"/>
      <c r="G12" s="211" t="n"/>
      <c r="H12" s="211" t="n"/>
    </row>
    <row r="13" ht="20.1" customHeight="1" s="526">
      <c r="A13" s="206" t="inlineStr">
        <is>
          <t>资源税</t>
        </is>
      </c>
      <c r="B13" s="207" t="n"/>
      <c r="C13" s="208" t="n"/>
      <c r="D13" s="209" t="n"/>
      <c r="E13" s="210" t="n"/>
      <c r="F13" s="207" t="n"/>
      <c r="G13" s="211" t="n"/>
      <c r="H13" s="211" t="n"/>
    </row>
    <row r="14" ht="20.1" customHeight="1" s="526">
      <c r="A14" s="206" t="inlineStr">
        <is>
          <t>企业所得税</t>
        </is>
      </c>
      <c r="B14" s="207" t="n"/>
      <c r="C14" s="208" t="n"/>
      <c r="D14" s="209" t="n"/>
      <c r="E14" s="210" t="n"/>
      <c r="F14" s="207" t="n"/>
      <c r="G14" s="209" t="n"/>
      <c r="H14" s="209" t="n"/>
    </row>
    <row r="15" ht="20.1" customHeight="1" s="526">
      <c r="A15" s="206" t="inlineStr">
        <is>
          <t>城市维护建设税</t>
        </is>
      </c>
      <c r="B15" s="207" t="n"/>
      <c r="C15" s="208" t="n"/>
      <c r="D15" s="209" t="n"/>
      <c r="E15" s="210" t="n"/>
      <c r="F15" s="207" t="n"/>
      <c r="G15" s="209" t="n"/>
      <c r="H15" s="209" t="n"/>
    </row>
    <row r="16" ht="20.1" customHeight="1" s="526">
      <c r="A16" s="206" t="inlineStr">
        <is>
          <t>房产税</t>
        </is>
      </c>
      <c r="B16" s="207" t="n"/>
      <c r="C16" s="208" t="n"/>
      <c r="D16" s="209" t="n"/>
      <c r="E16" s="210" t="n"/>
      <c r="F16" s="207" t="n"/>
      <c r="G16" s="209" t="n"/>
      <c r="H16" s="209" t="n"/>
    </row>
    <row r="17" ht="20.1" customHeight="1" s="526">
      <c r="A17" s="206" t="inlineStr">
        <is>
          <t>土地使用税</t>
        </is>
      </c>
      <c r="B17" s="207" t="n"/>
      <c r="C17" s="208" t="n"/>
      <c r="D17" s="209" t="n"/>
      <c r="E17" s="210" t="n"/>
      <c r="F17" s="207" t="n"/>
      <c r="G17" s="209" t="n"/>
      <c r="H17" s="209" t="n"/>
    </row>
    <row r="18" ht="20.1" customHeight="1" s="526">
      <c r="A18" s="206" t="inlineStr">
        <is>
          <t>个人所得税</t>
        </is>
      </c>
      <c r="B18" s="207" t="n"/>
      <c r="C18" s="208" t="n"/>
      <c r="D18" s="209" t="n"/>
      <c r="E18" s="210" t="n"/>
      <c r="F18" s="207" t="n"/>
      <c r="G18" s="209" t="n"/>
      <c r="H18" s="209" t="n"/>
    </row>
    <row r="19" ht="20.1" customHeight="1" s="526">
      <c r="A19" s="206" t="inlineStr">
        <is>
          <t>教育费附加</t>
        </is>
      </c>
      <c r="B19" s="207" t="n"/>
      <c r="C19" s="208" t="n"/>
      <c r="D19" s="209" t="n"/>
      <c r="E19" s="210" t="n"/>
      <c r="F19" s="207" t="n"/>
      <c r="G19" s="209" t="n"/>
      <c r="H19" s="209" t="n"/>
    </row>
    <row r="20" ht="20.1" customHeight="1" s="526">
      <c r="A20" s="206" t="inlineStr">
        <is>
          <t>地方教育费附加</t>
        </is>
      </c>
      <c r="B20" s="207" t="n"/>
      <c r="C20" s="208" t="n"/>
      <c r="D20" s="209" t="n"/>
      <c r="E20" s="210" t="n"/>
      <c r="F20" s="207" t="n"/>
      <c r="G20" s="209" t="n"/>
      <c r="H20" s="209" t="n"/>
    </row>
    <row r="21" ht="20.1" customHeight="1" s="526">
      <c r="A21" s="206" t="inlineStr">
        <is>
          <t>土地增值税</t>
        </is>
      </c>
      <c r="B21" s="207" t="n"/>
      <c r="C21" s="208" t="n"/>
      <c r="D21" s="209" t="n"/>
      <c r="E21" s="210" t="n"/>
      <c r="F21" s="207" t="n"/>
      <c r="G21" s="209" t="n"/>
      <c r="H21" s="209" t="n"/>
    </row>
    <row r="22" ht="20.1" customHeight="1" s="526">
      <c r="A22" s="206" t="inlineStr">
        <is>
          <t>堤防费</t>
        </is>
      </c>
      <c r="B22" s="207" t="n"/>
      <c r="C22" s="208" t="n"/>
      <c r="D22" s="209" t="n"/>
      <c r="E22" s="210" t="n"/>
      <c r="F22" s="207" t="n"/>
      <c r="G22" s="209" t="n"/>
      <c r="H22" s="209" t="n"/>
    </row>
    <row r="23" ht="20.1" customHeight="1" s="526">
      <c r="A23" s="206" t="inlineStr">
        <is>
          <t>河道管理费</t>
        </is>
      </c>
      <c r="B23" s="207" t="n"/>
      <c r="C23" s="208" t="n"/>
      <c r="D23" s="209" t="n"/>
      <c r="E23" s="210" t="n"/>
      <c r="F23" s="207" t="n"/>
      <c r="G23" s="209" t="n"/>
      <c r="H23" s="209" t="n"/>
    </row>
    <row r="24" ht="20.1" customHeight="1" s="526">
      <c r="A24" s="206" t="inlineStr">
        <is>
          <t>水利基金</t>
        </is>
      </c>
      <c r="B24" s="207" t="n"/>
      <c r="C24" s="208" t="n"/>
      <c r="D24" s="209" t="n"/>
      <c r="E24" s="210" t="n"/>
      <c r="F24" s="207" t="n"/>
      <c r="G24" s="209" t="n"/>
      <c r="H24" s="209" t="n"/>
    </row>
    <row r="25" ht="20.1" customHeight="1" s="526">
      <c r="A25" s="206" t="inlineStr">
        <is>
          <t>车船使用税</t>
        </is>
      </c>
      <c r="B25" s="207" t="n"/>
      <c r="C25" s="208" t="n"/>
      <c r="D25" s="209" t="n"/>
      <c r="E25" s="210" t="n"/>
      <c r="F25" s="207" t="n"/>
      <c r="G25" s="209" t="n"/>
      <c r="H25" s="209" t="n"/>
    </row>
    <row r="26" ht="20.1" customHeight="1" s="526">
      <c r="A26" s="206" t="inlineStr">
        <is>
          <t>矿产资源补偿费</t>
        </is>
      </c>
      <c r="B26" s="207" t="n"/>
      <c r="C26" s="208" t="n"/>
      <c r="D26" s="209" t="n"/>
      <c r="E26" s="210" t="n"/>
      <c r="F26" s="207" t="n"/>
      <c r="G26" s="209" t="n"/>
      <c r="H26" s="209" t="n"/>
    </row>
    <row r="27" ht="20.1" customHeight="1" s="526">
      <c r="A27" s="206" t="n"/>
      <c r="B27" s="207" t="n"/>
      <c r="C27" s="208" t="n"/>
      <c r="D27" s="209" t="n"/>
      <c r="E27" s="210" t="n"/>
      <c r="F27" s="207" t="n"/>
      <c r="G27" s="209" t="n"/>
      <c r="H27" s="209" t="n"/>
    </row>
    <row r="28" ht="20.1" customHeight="1" s="526">
      <c r="A28" s="206" t="n"/>
      <c r="B28" s="207" t="n"/>
      <c r="C28" s="208" t="n"/>
      <c r="D28" s="209" t="n"/>
      <c r="E28" s="210" t="n"/>
      <c r="F28" s="207" t="n"/>
      <c r="G28" s="209" t="n"/>
      <c r="H28" s="209" t="n"/>
    </row>
    <row r="29" ht="20.1" customHeight="1" s="526">
      <c r="A29" s="206" t="n"/>
      <c r="B29" s="207" t="n"/>
      <c r="C29" s="208" t="n"/>
      <c r="D29" s="209" t="n"/>
      <c r="E29" s="210" t="n"/>
      <c r="F29" s="207" t="n"/>
      <c r="G29" s="209" t="n"/>
      <c r="H29" s="209" t="n"/>
    </row>
    <row r="30" ht="20.1" customHeight="1" s="526">
      <c r="A30" s="206" t="inlineStr">
        <is>
          <t>……</t>
        </is>
      </c>
      <c r="B30" s="207" t="n"/>
      <c r="C30" s="208" t="n"/>
      <c r="D30" s="209" t="n"/>
      <c r="E30" s="210" t="n"/>
      <c r="F30" s="207" t="n"/>
      <c r="G30" s="209" t="n"/>
      <c r="H30" s="209" t="n"/>
    </row>
    <row r="31" ht="20.1" customHeight="1" s="526">
      <c r="A31" s="212" t="inlineStr">
        <is>
          <t>三、审计说明</t>
        </is>
      </c>
      <c r="B31" s="364" t="n"/>
      <c r="C31" s="364" t="n"/>
      <c r="D31" s="364" t="n"/>
      <c r="E31" s="364" t="n"/>
      <c r="F31" s="364" t="n"/>
      <c r="G31" s="364" t="n"/>
      <c r="H31" s="364" t="n"/>
    </row>
    <row r="35" ht="20.1" customHeight="1" s="526">
      <c r="A35" s="214" t="inlineStr">
        <is>
          <t>四、审计结论</t>
        </is>
      </c>
    </row>
  </sheetData>
  <mergeCells count="6">
    <mergeCell ref="G9:G10"/>
    <mergeCell ref="H9:H10"/>
    <mergeCell ref="F9:F10"/>
    <mergeCell ref="A2:H2"/>
    <mergeCell ref="A1:H1"/>
    <mergeCell ref="A9:E9"/>
  </mergeCells>
  <hyperlinks>
    <hyperlink ref="H3" location="底稿目录!A1" display="D8-4"/>
  </hyperlinks>
  <pageMargins left="0.708333333333333" right="0.708333333333333" top="0.747916666666667" bottom="0.747916666666667" header="0.314583333333333" footer="0.314583333333333"/>
  <pageSetup orientation="portrait" paperSize="9" scale="82" blackAndWhite="1"/>
  <headerFooter>
    <oddHeader/>
    <oddFooter>&amp;C&amp;P/&amp;N</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O54"/>
  <sheetViews>
    <sheetView view="pageBreakPreview" zoomScaleNormal="100" workbookViewId="0">
      <selection activeCell="A1" sqref="A1:J1"/>
    </sheetView>
  </sheetViews>
  <sheetFormatPr baseColWidth="8" defaultColWidth="10" defaultRowHeight="12"/>
  <cols>
    <col width="23" customWidth="1" style="269" min="1" max="1"/>
    <col width="10" customWidth="1" style="269" min="2" max="2"/>
    <col width="12.19921875" customWidth="1" style="269" min="3" max="3"/>
    <col width="12.69921875" customWidth="1" style="269" min="4" max="4"/>
    <col width="10.69921875" customWidth="1" style="269" min="5" max="5"/>
    <col width="13.19921875" customWidth="1" style="269" min="6" max="6"/>
    <col width="13.296875" customWidth="1" style="269" min="7" max="7"/>
    <col width="12.09765625" customWidth="1" style="269" min="8" max="8"/>
    <col width="10" customWidth="1" style="269" min="9" max="9"/>
    <col width="15.3984375" customWidth="1" style="269" min="10" max="10"/>
    <col width="10" customWidth="1" style="269" min="11" max="16384"/>
  </cols>
  <sheetData>
    <row r="1" ht="20.1" customFormat="1" customHeight="1" s="216">
      <c r="A1" s="497" t="inlineStr">
        <is>
          <t>致同会计师事务所</t>
        </is>
      </c>
      <c r="K1" s="215" t="n"/>
      <c r="L1" s="215" t="n"/>
      <c r="M1" s="215" t="n"/>
      <c r="N1" s="215" t="n"/>
      <c r="O1" s="215" t="n"/>
    </row>
    <row r="2" ht="24.9" customFormat="1" customHeight="1" s="216">
      <c r="A2" s="471" t="inlineStr">
        <is>
          <t>应交税费认定表</t>
        </is>
      </c>
      <c r="K2" s="215" t="n"/>
      <c r="L2" s="215" t="n"/>
      <c r="M2" s="215" t="n"/>
      <c r="N2" s="215" t="n"/>
      <c r="O2" s="215" t="n"/>
    </row>
    <row r="3" ht="20.1" customHeight="1" s="526">
      <c r="A3" s="655">
        <f>底稿目录!A2</f>
        <v/>
      </c>
      <c r="D3" s="269">
        <f>底稿目录!$A$4</f>
        <v/>
      </c>
      <c r="G3" s="269">
        <f>底稿目录!$A$5</f>
        <v/>
      </c>
      <c r="I3" s="328" t="inlineStr">
        <is>
          <t>索引号：</t>
        </is>
      </c>
      <c r="J3" s="525">
        <f>底稿目录!F10</f>
        <v/>
      </c>
    </row>
    <row r="4" ht="20.1" customHeight="1" s="526">
      <c r="A4" s="655">
        <f>底稿目录!A3</f>
        <v/>
      </c>
      <c r="D4" s="269">
        <f>底稿目录!$A$6</f>
        <v/>
      </c>
      <c r="G4" s="269">
        <f>底稿目录!$A$7</f>
        <v/>
      </c>
      <c r="I4" s="328" t="inlineStr">
        <is>
          <t>页次：</t>
        </is>
      </c>
    </row>
    <row r="5" ht="20.1" customHeight="1" s="526">
      <c r="A5" s="370" t="inlineStr">
        <is>
          <t>一、审计目标：</t>
        </is>
      </c>
    </row>
    <row r="6" ht="20.1" customHeight="1" s="526">
      <c r="A6" s="218" t="inlineStr">
        <is>
          <t>1.所有应当记录的货币应交税费均已记录，所有应当包括在财务报表中的相关披露均已包括。2.记录的应交税费是被审计单位应当履行的现时义务。</t>
        </is>
      </c>
    </row>
    <row r="7" ht="20.1" customHeight="1" s="526">
      <c r="A7" s="218" t="inlineStr">
        <is>
          <t>3.应交税费以恰当的金额包括在财务报表中，与之相关的计价或分摊调整已恰当记录，相关披露已得到恰当计量和描述 .</t>
        </is>
      </c>
    </row>
    <row r="8" ht="20.1" customHeight="1" s="526">
      <c r="A8" s="275" t="inlineStr">
        <is>
          <t>二、审计过程：</t>
        </is>
      </c>
    </row>
    <row r="9" ht="20.1" customHeight="1" s="526">
      <c r="A9" s="220" t="inlineStr">
        <is>
          <t>1.……</t>
        </is>
      </c>
    </row>
    <row r="10" ht="20.1" customHeight="1" s="526">
      <c r="A10" s="218" t="n"/>
    </row>
    <row r="11" ht="20.1" customHeight="1" s="526">
      <c r="A11" s="475" t="inlineStr">
        <is>
          <t>税种</t>
        </is>
      </c>
      <c r="B11" s="473" t="inlineStr">
        <is>
          <t>期末法定税率</t>
        </is>
      </c>
      <c r="C11" s="474" t="inlineStr">
        <is>
          <t>期末未交数（账面）</t>
        </is>
      </c>
      <c r="D11" s="474" t="inlineStr">
        <is>
          <t>税务机构期末认定数</t>
        </is>
      </c>
      <c r="E11" s="473" t="inlineStr">
        <is>
          <t>差异</t>
        </is>
      </c>
      <c r="F11" s="474" t="inlineStr">
        <is>
          <t>本年度已纳金额（账面）</t>
        </is>
      </c>
      <c r="G11" s="474" t="inlineStr">
        <is>
          <t>完税证明金额</t>
        </is>
      </c>
      <c r="H11" s="473" t="inlineStr">
        <is>
          <t>差异</t>
        </is>
      </c>
      <c r="I11" s="473" t="inlineStr">
        <is>
          <t>差异原因</t>
        </is>
      </c>
      <c r="J11" s="474" t="inlineStr">
        <is>
          <t>税务机构认定相关文件依据说明</t>
        </is>
      </c>
    </row>
    <row r="12" ht="20.1" customHeight="1" s="526">
      <c r="A12" s="661" t="n"/>
      <c r="B12" s="661" t="n"/>
      <c r="C12" s="661" t="n"/>
      <c r="D12" s="661" t="n"/>
      <c r="E12" s="661" t="n"/>
      <c r="F12" s="661" t="n"/>
      <c r="G12" s="661" t="n"/>
      <c r="H12" s="661" t="n"/>
      <c r="I12" s="661" t="n"/>
      <c r="J12" s="661" t="n"/>
    </row>
    <row r="13" ht="20.1" customHeight="1" s="526">
      <c r="A13" s="302">
        <f>'应交税费明细表N2-2'!A10</f>
        <v/>
      </c>
      <c r="B13" s="743" t="n"/>
      <c r="C13" s="744" t="n"/>
      <c r="D13" s="744" t="n"/>
      <c r="E13" s="745">
        <f>C13-D13</f>
        <v/>
      </c>
      <c r="F13" s="744" t="n"/>
      <c r="G13" s="744" t="n"/>
      <c r="H13" s="745">
        <f>F13-G13</f>
        <v/>
      </c>
      <c r="I13" s="744" t="n"/>
      <c r="J13" s="744" t="n"/>
    </row>
    <row r="14" ht="20.1" customHeight="1" s="526">
      <c r="A14" s="302">
        <f>'应交税费明细表N2-2'!A11</f>
        <v/>
      </c>
      <c r="B14" s="743" t="n"/>
      <c r="C14" s="744" t="n"/>
      <c r="D14" s="744" t="n"/>
      <c r="E14" s="745">
        <f>C14-D14</f>
        <v/>
      </c>
      <c r="F14" s="744" t="n"/>
      <c r="G14" s="744" t="n"/>
      <c r="H14" s="745">
        <f>F14-G14</f>
        <v/>
      </c>
      <c r="I14" s="744" t="n"/>
      <c r="J14" s="744" t="n"/>
    </row>
    <row r="15" ht="20.1" customHeight="1" s="526">
      <c r="A15" s="302">
        <f>'应交税费明细表N2-2'!A12</f>
        <v/>
      </c>
      <c r="B15" s="743" t="n"/>
      <c r="C15" s="744" t="n"/>
      <c r="D15" s="744" t="n"/>
      <c r="E15" s="745">
        <f>C15-D15</f>
        <v/>
      </c>
      <c r="F15" s="744" t="n"/>
      <c r="G15" s="744" t="n"/>
      <c r="H15" s="745">
        <f>F15-G15</f>
        <v/>
      </c>
      <c r="I15" s="744" t="n"/>
      <c r="J15" s="744" t="n"/>
    </row>
    <row r="16" ht="20.1" customHeight="1" s="526">
      <c r="A16" s="302">
        <f>'应交税费明细表N2-2'!A13</f>
        <v/>
      </c>
      <c r="B16" s="743" t="n"/>
      <c r="C16" s="744" t="n"/>
      <c r="D16" s="744" t="n"/>
      <c r="E16" s="745">
        <f>C16-D16</f>
        <v/>
      </c>
      <c r="F16" s="744" t="n"/>
      <c r="G16" s="744" t="n"/>
      <c r="H16" s="745">
        <f>F16-G16</f>
        <v/>
      </c>
      <c r="I16" s="744" t="n"/>
      <c r="J16" s="744" t="n"/>
    </row>
    <row r="17" ht="20.1" customHeight="1" s="526">
      <c r="A17" s="302">
        <f>'应交税费明细表N2-2'!A14</f>
        <v/>
      </c>
      <c r="B17" s="743" t="n"/>
      <c r="C17" s="744" t="n"/>
      <c r="D17" s="744" t="n"/>
      <c r="E17" s="745">
        <f>C17-D17</f>
        <v/>
      </c>
      <c r="F17" s="744" t="n"/>
      <c r="G17" s="744" t="n"/>
      <c r="H17" s="745">
        <f>F17-G17</f>
        <v/>
      </c>
      <c r="I17" s="744" t="n"/>
      <c r="J17" s="744" t="n"/>
    </row>
    <row r="18" ht="20.1" customHeight="1" s="526">
      <c r="A18" s="302">
        <f>'应交税费明细表N2-2'!A15</f>
        <v/>
      </c>
      <c r="B18" s="743" t="n"/>
      <c r="C18" s="744" t="n"/>
      <c r="D18" s="744" t="n"/>
      <c r="E18" s="745">
        <f>C18-D18</f>
        <v/>
      </c>
      <c r="F18" s="744" t="n"/>
      <c r="G18" s="744" t="n"/>
      <c r="H18" s="745">
        <f>F18-G18</f>
        <v/>
      </c>
      <c r="I18" s="744" t="n"/>
      <c r="J18" s="744" t="n"/>
    </row>
    <row r="19" ht="20.1" customHeight="1" s="526">
      <c r="A19" s="302">
        <f>'应交税费明细表N2-2'!A16</f>
        <v/>
      </c>
      <c r="B19" s="743" t="n"/>
      <c r="C19" s="744" t="n"/>
      <c r="D19" s="744" t="n"/>
      <c r="E19" s="745">
        <f>C19-D19</f>
        <v/>
      </c>
      <c r="F19" s="744" t="n"/>
      <c r="G19" s="744" t="n"/>
      <c r="H19" s="745">
        <f>F19-G19</f>
        <v/>
      </c>
      <c r="I19" s="744" t="n"/>
      <c r="J19" s="744" t="n"/>
    </row>
    <row r="20" ht="20.1" customHeight="1" s="526">
      <c r="A20" s="302">
        <f>'应交税费明细表N2-2'!A17</f>
        <v/>
      </c>
      <c r="B20" s="743" t="n"/>
      <c r="C20" s="744" t="n"/>
      <c r="D20" s="744" t="n"/>
      <c r="E20" s="745">
        <f>C20-D20</f>
        <v/>
      </c>
      <c r="F20" s="744" t="n"/>
      <c r="G20" s="744" t="n"/>
      <c r="H20" s="745">
        <f>F20-G20</f>
        <v/>
      </c>
      <c r="I20" s="744" t="n"/>
      <c r="J20" s="744" t="n"/>
    </row>
    <row r="21" ht="20.1" customHeight="1" s="526">
      <c r="A21" s="302">
        <f>'应交税费明细表N2-2'!A18</f>
        <v/>
      </c>
      <c r="B21" s="743" t="n"/>
      <c r="C21" s="744" t="n"/>
      <c r="D21" s="744" t="n"/>
      <c r="E21" s="745">
        <f>C21-D21</f>
        <v/>
      </c>
      <c r="F21" s="744" t="n"/>
      <c r="G21" s="744" t="n"/>
      <c r="H21" s="745">
        <f>F21-G21</f>
        <v/>
      </c>
      <c r="I21" s="744" t="n"/>
      <c r="J21" s="744" t="n"/>
    </row>
    <row r="22" ht="20.1" customHeight="1" s="526">
      <c r="A22" s="302">
        <f>'应交税费明细表N2-2'!A19</f>
        <v/>
      </c>
      <c r="B22" s="743" t="n"/>
      <c r="C22" s="744" t="n"/>
      <c r="D22" s="744" t="n"/>
      <c r="E22" s="745">
        <f>C22-D22</f>
        <v/>
      </c>
      <c r="F22" s="744" t="n"/>
      <c r="G22" s="744" t="n"/>
      <c r="H22" s="745">
        <f>F22-G22</f>
        <v/>
      </c>
      <c r="I22" s="744" t="n"/>
      <c r="J22" s="744" t="n"/>
    </row>
    <row r="23" ht="20.1" customHeight="1" s="526">
      <c r="A23" s="302">
        <f>'应交税费明细表N2-2'!A20</f>
        <v/>
      </c>
      <c r="B23" s="743" t="n"/>
      <c r="C23" s="744" t="n"/>
      <c r="D23" s="744" t="n"/>
      <c r="E23" s="745">
        <f>C23-D23</f>
        <v/>
      </c>
      <c r="F23" s="744" t="n"/>
      <c r="G23" s="744" t="n"/>
      <c r="H23" s="745">
        <f>F23-G23</f>
        <v/>
      </c>
      <c r="I23" s="744" t="n"/>
      <c r="J23" s="744" t="n"/>
    </row>
    <row r="24" ht="20.1" customHeight="1" s="526">
      <c r="A24" s="302">
        <f>'应交税费明细表N2-2'!A21</f>
        <v/>
      </c>
      <c r="B24" s="743" t="n"/>
      <c r="C24" s="744" t="n"/>
      <c r="D24" s="744" t="n"/>
      <c r="E24" s="745">
        <f>C24-D24</f>
        <v/>
      </c>
      <c r="F24" s="744" t="n"/>
      <c r="G24" s="744" t="n"/>
      <c r="H24" s="745">
        <f>F24-G24</f>
        <v/>
      </c>
      <c r="I24" s="744" t="n"/>
      <c r="J24" s="744" t="n"/>
    </row>
    <row r="25" ht="20.1" customHeight="1" s="526">
      <c r="A25" s="302">
        <f>'应交税费明细表N2-2'!A22</f>
        <v/>
      </c>
      <c r="B25" s="743" t="n"/>
      <c r="C25" s="744" t="n"/>
      <c r="D25" s="744" t="n"/>
      <c r="E25" s="745">
        <f>C25-D25</f>
        <v/>
      </c>
      <c r="F25" s="744" t="n"/>
      <c r="G25" s="744" t="n"/>
      <c r="H25" s="745">
        <f>F25-G25</f>
        <v/>
      </c>
      <c r="I25" s="744" t="n"/>
      <c r="J25" s="744" t="n"/>
    </row>
    <row r="26" ht="20.1" customHeight="1" s="526">
      <c r="A26" s="302" t="inlineStr"/>
      <c r="B26" s="743" t="n"/>
      <c r="C26" s="744" t="n"/>
      <c r="D26" s="744" t="n"/>
      <c r="E26" s="745">
        <f>C26-D26</f>
        <v/>
      </c>
      <c r="F26" s="744" t="n"/>
      <c r="G26" s="744" t="n"/>
      <c r="H26" s="745">
        <f>F26-G26</f>
        <v/>
      </c>
      <c r="I26" s="744" t="n"/>
      <c r="J26" s="744" t="n"/>
    </row>
    <row r="27" ht="20.1" customHeight="1" s="526">
      <c r="A27" s="302" t="inlineStr"/>
      <c r="B27" s="743" t="n"/>
      <c r="C27" s="744" t="n"/>
      <c r="D27" s="744" t="n"/>
      <c r="E27" s="745">
        <f>C27-D27</f>
        <v/>
      </c>
      <c r="F27" s="744" t="n"/>
      <c r="G27" s="744" t="n"/>
      <c r="H27" s="745">
        <f>F27-G27</f>
        <v/>
      </c>
      <c r="I27" s="744" t="n"/>
      <c r="J27" s="744" t="n"/>
    </row>
    <row r="28" ht="20.1" customHeight="1" s="526">
      <c r="A28" s="225" t="inlineStr">
        <is>
          <t>合  计</t>
        </is>
      </c>
      <c r="B28" s="746" t="n"/>
      <c r="C28" s="747">
        <f>SUM(C13:C27)</f>
        <v/>
      </c>
      <c r="D28" s="747">
        <f>SUM(D13:D27)</f>
        <v/>
      </c>
      <c r="E28" s="747">
        <f>SUM(E13:E27)</f>
        <v/>
      </c>
      <c r="F28" s="747">
        <f>SUM(F13:F27)</f>
        <v/>
      </c>
      <c r="G28" s="747">
        <f>SUM(G13:G27)</f>
        <v/>
      </c>
      <c r="H28" s="747">
        <f>SUM(H13:H27)</f>
        <v/>
      </c>
      <c r="I28" s="745" t="n"/>
      <c r="J28" s="745" t="n"/>
    </row>
    <row r="29" ht="20.1" customHeight="1" s="526">
      <c r="A29" s="275" t="n"/>
    </row>
    <row r="30" ht="20.1" customHeight="1" s="526">
      <c r="A30" s="275" t="n"/>
    </row>
    <row r="31" ht="20.1" customHeight="1" s="526">
      <c r="A31" s="475" t="inlineStr">
        <is>
          <t>税种</t>
        </is>
      </c>
      <c r="B31" s="473" t="inlineStr">
        <is>
          <t>期初法定税率</t>
        </is>
      </c>
      <c r="C31" s="474" t="inlineStr">
        <is>
          <t>期初未交数（账面）</t>
        </is>
      </c>
      <c r="D31" s="474" t="inlineStr">
        <is>
          <t>税务机构期初认定数</t>
        </is>
      </c>
      <c r="E31" s="473" t="inlineStr">
        <is>
          <t>差异</t>
        </is>
      </c>
      <c r="F31" s="474" t="inlineStr">
        <is>
          <t>上年度已纳金额（账面）</t>
        </is>
      </c>
      <c r="G31" s="474" t="inlineStr">
        <is>
          <t>完税证明金额</t>
        </is>
      </c>
      <c r="H31" s="473" t="inlineStr">
        <is>
          <t>差异</t>
        </is>
      </c>
      <c r="I31" s="473" t="inlineStr">
        <is>
          <t>差异原因</t>
        </is>
      </c>
      <c r="J31" s="474" t="inlineStr">
        <is>
          <t>税务机构认定相关文件依据说明</t>
        </is>
      </c>
    </row>
    <row r="32" ht="20.1" customHeight="1" s="526">
      <c r="A32" s="661" t="n"/>
      <c r="B32" s="661" t="n"/>
      <c r="C32" s="661" t="n"/>
      <c r="D32" s="661" t="n"/>
      <c r="E32" s="661" t="n"/>
      <c r="F32" s="661" t="n"/>
      <c r="G32" s="661" t="n"/>
      <c r="H32" s="661" t="n"/>
      <c r="I32" s="661" t="n"/>
      <c r="J32" s="661" t="n"/>
    </row>
    <row r="33" ht="20.1" customHeight="1" s="526">
      <c r="A33" s="302">
        <f>'应交税费明细表N2-2'!A10</f>
        <v/>
      </c>
      <c r="B33" s="743" t="n"/>
      <c r="C33" s="744" t="n"/>
      <c r="D33" s="744" t="n"/>
      <c r="E33" s="745">
        <f>C33-D33</f>
        <v/>
      </c>
      <c r="F33" s="744" t="n"/>
      <c r="G33" s="744" t="n"/>
      <c r="H33" s="745">
        <f>F33-G33</f>
        <v/>
      </c>
      <c r="I33" s="311" t="n"/>
      <c r="J33" s="311" t="n"/>
    </row>
    <row r="34" ht="20.1" customHeight="1" s="526">
      <c r="A34" s="302">
        <f>'应交税费明细表N2-2'!A11</f>
        <v/>
      </c>
      <c r="B34" s="743" t="n"/>
      <c r="C34" s="744" t="n"/>
      <c r="D34" s="744" t="n"/>
      <c r="E34" s="745">
        <f>C34-D34</f>
        <v/>
      </c>
      <c r="F34" s="744" t="n"/>
      <c r="G34" s="744" t="n"/>
      <c r="H34" s="745">
        <f>F34-G34</f>
        <v/>
      </c>
      <c r="I34" s="311" t="n"/>
      <c r="J34" s="311" t="n"/>
    </row>
    <row r="35" ht="20.1" customHeight="1" s="526">
      <c r="A35" s="302">
        <f>'应交税费明细表N2-2'!A12</f>
        <v/>
      </c>
      <c r="B35" s="743" t="n"/>
      <c r="C35" s="744" t="n"/>
      <c r="D35" s="744" t="n"/>
      <c r="E35" s="745">
        <f>C35-D35</f>
        <v/>
      </c>
      <c r="F35" s="744" t="n"/>
      <c r="G35" s="744" t="n"/>
      <c r="H35" s="745">
        <f>F35-G35</f>
        <v/>
      </c>
      <c r="I35" s="311" t="n"/>
      <c r="J35" s="311" t="n"/>
    </row>
    <row r="36" ht="20.1" customHeight="1" s="526">
      <c r="A36" s="302">
        <f>'应交税费明细表N2-2'!A13</f>
        <v/>
      </c>
      <c r="B36" s="743" t="n"/>
      <c r="C36" s="744" t="n"/>
      <c r="D36" s="744" t="n"/>
      <c r="E36" s="745">
        <f>C36-D36</f>
        <v/>
      </c>
      <c r="F36" s="744" t="n"/>
      <c r="G36" s="744" t="n"/>
      <c r="H36" s="745">
        <f>F36-G36</f>
        <v/>
      </c>
      <c r="I36" s="311" t="n"/>
      <c r="J36" s="311" t="n"/>
    </row>
    <row r="37" ht="20.1" customHeight="1" s="526">
      <c r="A37" s="302">
        <f>'应交税费明细表N2-2'!A14</f>
        <v/>
      </c>
      <c r="B37" s="743" t="n"/>
      <c r="C37" s="744" t="n"/>
      <c r="D37" s="744" t="n"/>
      <c r="E37" s="745">
        <f>C37-D37</f>
        <v/>
      </c>
      <c r="F37" s="744" t="n"/>
      <c r="G37" s="744" t="n"/>
      <c r="H37" s="745">
        <f>F37-G37</f>
        <v/>
      </c>
      <c r="I37" s="311" t="n"/>
      <c r="J37" s="311" t="n"/>
    </row>
    <row r="38" ht="20.1" customHeight="1" s="526">
      <c r="A38" s="302">
        <f>'应交税费明细表N2-2'!A15</f>
        <v/>
      </c>
      <c r="B38" s="743" t="n"/>
      <c r="C38" s="744" t="n"/>
      <c r="D38" s="744" t="n"/>
      <c r="E38" s="745">
        <f>C38-D38</f>
        <v/>
      </c>
      <c r="F38" s="744" t="n"/>
      <c r="G38" s="744" t="n"/>
      <c r="H38" s="745">
        <f>F38-G38</f>
        <v/>
      </c>
      <c r="I38" s="311" t="n"/>
      <c r="J38" s="311" t="n"/>
    </row>
    <row r="39" ht="20.1" customHeight="1" s="526">
      <c r="A39" s="302">
        <f>'应交税费明细表N2-2'!A16</f>
        <v/>
      </c>
      <c r="B39" s="743" t="n"/>
      <c r="C39" s="744" t="n"/>
      <c r="D39" s="744" t="n"/>
      <c r="E39" s="745">
        <f>C39-D39</f>
        <v/>
      </c>
      <c r="F39" s="744" t="n"/>
      <c r="G39" s="744" t="n"/>
      <c r="H39" s="745">
        <f>F39-G39</f>
        <v/>
      </c>
      <c r="I39" s="311" t="n"/>
      <c r="J39" s="311" t="n"/>
    </row>
    <row r="40" ht="20.1" customHeight="1" s="526">
      <c r="A40" s="302">
        <f>'应交税费明细表N2-2'!A17</f>
        <v/>
      </c>
      <c r="B40" s="743" t="n"/>
      <c r="C40" s="744" t="n"/>
      <c r="D40" s="744" t="n"/>
      <c r="E40" s="745">
        <f>C40-D40</f>
        <v/>
      </c>
      <c r="F40" s="744" t="n"/>
      <c r="G40" s="744" t="n"/>
      <c r="H40" s="745">
        <f>F40-G40</f>
        <v/>
      </c>
      <c r="I40" s="311" t="n"/>
      <c r="J40" s="311" t="n"/>
    </row>
    <row r="41" ht="20.1" customHeight="1" s="526">
      <c r="A41" s="302">
        <f>'应交税费明细表N2-2'!A18</f>
        <v/>
      </c>
      <c r="B41" s="743" t="n"/>
      <c r="C41" s="744" t="n"/>
      <c r="D41" s="744" t="n"/>
      <c r="E41" s="745">
        <f>C41-D41</f>
        <v/>
      </c>
      <c r="F41" s="744" t="n"/>
      <c r="G41" s="744" t="n"/>
      <c r="H41" s="745">
        <f>F41-G41</f>
        <v/>
      </c>
      <c r="I41" s="311" t="n"/>
      <c r="J41" s="311" t="n"/>
    </row>
    <row r="42" ht="20.1" customHeight="1" s="526">
      <c r="A42" s="302">
        <f>'应交税费明细表N2-2'!A19</f>
        <v/>
      </c>
      <c r="B42" s="743" t="n"/>
      <c r="C42" s="744" t="n"/>
      <c r="D42" s="744" t="n"/>
      <c r="E42" s="745">
        <f>C42-D42</f>
        <v/>
      </c>
      <c r="F42" s="744" t="n"/>
      <c r="G42" s="744" t="n"/>
      <c r="H42" s="745">
        <f>F42-G42</f>
        <v/>
      </c>
      <c r="I42" s="311" t="n"/>
      <c r="J42" s="311" t="n"/>
    </row>
    <row r="43" ht="20.1" customHeight="1" s="526">
      <c r="A43" s="302">
        <f>'应交税费明细表N2-2'!A20</f>
        <v/>
      </c>
      <c r="B43" s="743" t="n"/>
      <c r="C43" s="744" t="n"/>
      <c r="D43" s="744" t="n"/>
      <c r="E43" s="745">
        <f>C43-D43</f>
        <v/>
      </c>
      <c r="F43" s="744" t="n"/>
      <c r="G43" s="744" t="n"/>
      <c r="H43" s="745">
        <f>F43-G43</f>
        <v/>
      </c>
      <c r="I43" s="311" t="n"/>
      <c r="J43" s="311" t="n"/>
    </row>
    <row r="44" ht="20.1" customHeight="1" s="526">
      <c r="A44" s="302">
        <f>'应交税费明细表N2-2'!A21</f>
        <v/>
      </c>
      <c r="B44" s="743" t="n"/>
      <c r="C44" s="744" t="n"/>
      <c r="D44" s="744" t="n"/>
      <c r="E44" s="745">
        <f>C44-D44</f>
        <v/>
      </c>
      <c r="F44" s="744" t="n"/>
      <c r="G44" s="744" t="n"/>
      <c r="H44" s="745">
        <f>F44-G44</f>
        <v/>
      </c>
      <c r="I44" s="311" t="n"/>
      <c r="J44" s="311" t="n"/>
    </row>
    <row r="45" ht="20.1" customHeight="1" s="526">
      <c r="A45" s="302">
        <f>'应交税费明细表N2-2'!A22</f>
        <v/>
      </c>
      <c r="B45" s="743" t="n"/>
      <c r="C45" s="744" t="n"/>
      <c r="D45" s="744" t="n"/>
      <c r="E45" s="745">
        <f>C45-D45</f>
        <v/>
      </c>
      <c r="F45" s="744" t="n"/>
      <c r="G45" s="744" t="n"/>
      <c r="H45" s="745">
        <f>F45-G45</f>
        <v/>
      </c>
      <c r="I45" s="311" t="n"/>
      <c r="J45" s="311" t="n"/>
    </row>
    <row r="46" ht="20.1" customHeight="1" s="526">
      <c r="A46" s="302" t="inlineStr"/>
      <c r="B46" s="743" t="n"/>
      <c r="C46" s="744" t="n"/>
      <c r="D46" s="744" t="n"/>
      <c r="E46" s="745">
        <f>C46-D46</f>
        <v/>
      </c>
      <c r="F46" s="744" t="n"/>
      <c r="G46" s="744" t="n"/>
      <c r="H46" s="745">
        <f>F46-G46</f>
        <v/>
      </c>
      <c r="I46" s="311" t="n"/>
      <c r="J46" s="311" t="n"/>
    </row>
    <row r="47" ht="20.1" customHeight="1" s="526">
      <c r="A47" s="302" t="inlineStr"/>
      <c r="B47" s="743" t="n"/>
      <c r="C47" s="744" t="n"/>
      <c r="D47" s="744" t="n"/>
      <c r="E47" s="745">
        <f>C47-D47</f>
        <v/>
      </c>
      <c r="F47" s="744" t="n"/>
      <c r="G47" s="744" t="n"/>
      <c r="H47" s="745">
        <f>F47-G47</f>
        <v/>
      </c>
      <c r="I47" s="311" t="n"/>
      <c r="J47" s="311" t="n"/>
    </row>
    <row r="48" ht="20.1" customHeight="1" s="526">
      <c r="A48" s="225" t="inlineStr">
        <is>
          <t>合  计</t>
        </is>
      </c>
      <c r="B48" s="746" t="n"/>
      <c r="C48" s="747">
        <f>SUM(C33:C47)</f>
        <v/>
      </c>
      <c r="D48" s="747">
        <f>SUM(D33:D47)</f>
        <v/>
      </c>
      <c r="E48" s="747">
        <f>SUM(E33:E47)</f>
        <v/>
      </c>
      <c r="F48" s="747">
        <f>SUM(F33:F47)</f>
        <v/>
      </c>
      <c r="G48" s="747">
        <f>SUM(G33:G47)</f>
        <v/>
      </c>
      <c r="H48" s="747">
        <f>SUM(H33:H47)</f>
        <v/>
      </c>
      <c r="I48" s="229" t="n"/>
      <c r="J48" s="229" t="n"/>
    </row>
    <row r="49" ht="20.1" customHeight="1" s="526">
      <c r="A49" s="356" t="inlineStr">
        <is>
          <t>三、审计说明：</t>
        </is>
      </c>
      <c r="B49" s="231" t="n"/>
      <c r="C49" s="231" t="n"/>
      <c r="D49" s="231" t="n"/>
      <c r="E49" s="231" t="n"/>
      <c r="F49" s="231" t="n"/>
      <c r="G49" s="231" t="n"/>
      <c r="H49" s="231" t="n"/>
      <c r="I49" s="231" t="n"/>
      <c r="J49" s="231" t="n"/>
    </row>
    <row r="50" ht="20.1" customHeight="1" s="526">
      <c r="A50" s="357" t="n"/>
      <c r="B50" s="269" t="n"/>
      <c r="C50" s="269" t="n"/>
      <c r="D50" s="269" t="n"/>
      <c r="E50" s="269" t="n"/>
      <c r="F50" s="269" t="n"/>
      <c r="G50" s="269" t="n"/>
      <c r="H50" s="269" t="n"/>
      <c r="I50" s="269" t="n"/>
      <c r="J50" s="269" t="n"/>
    </row>
    <row r="51" ht="20.1" customHeight="1" s="526"/>
    <row r="52" ht="20.1" customHeight="1" s="526"/>
    <row r="53" ht="20.1" customHeight="1" s="526">
      <c r="A53" s="357" t="inlineStr">
        <is>
          <t>四、审计结论：</t>
        </is>
      </c>
    </row>
    <row r="54" ht="20.1" customHeight="1" s="526">
      <c r="A54" s="357" t="n"/>
    </row>
    <row r="55" ht="20.1" customHeight="1" s="526"/>
    <row r="56" ht="20.1" customHeight="1" s="526"/>
  </sheetData>
  <mergeCells count="22">
    <mergeCell ref="B11:B12"/>
    <mergeCell ref="D11:D12"/>
    <mergeCell ref="H31:H32"/>
    <mergeCell ref="H11:H12"/>
    <mergeCell ref="J11:J12"/>
    <mergeCell ref="C31:C32"/>
    <mergeCell ref="C11:C12"/>
    <mergeCell ref="E31:E32"/>
    <mergeCell ref="E11:E12"/>
    <mergeCell ref="F31:F32"/>
    <mergeCell ref="A1:J1"/>
    <mergeCell ref="J31:J32"/>
    <mergeCell ref="F11:F12"/>
    <mergeCell ref="I31:I32"/>
    <mergeCell ref="D31:D32"/>
    <mergeCell ref="A31:A32"/>
    <mergeCell ref="G31:G32"/>
    <mergeCell ref="A2:J2"/>
    <mergeCell ref="I11:I12"/>
    <mergeCell ref="G11:G12"/>
    <mergeCell ref="A11:A12"/>
    <mergeCell ref="B31:B32"/>
  </mergeCells>
  <hyperlinks>
    <hyperlink ref="J3" location="底稿目录!A1" display="D8-5"/>
  </hyperlinks>
  <pageMargins left="0.708333333333333" right="0.708333333333333" top="0.747916666666667" bottom="0.747916666666667" header="0.314583333333333" footer="0.314583333333333"/>
  <pageSetup orientation="portrait" paperSize="9" scale="61" blackAndWhite="1"/>
  <headerFooter>
    <oddHeader/>
    <oddFooter>&amp;C&amp;P/&amp;N</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H48"/>
  <sheetViews>
    <sheetView view="pageBreakPreview" zoomScaleNormal="100" workbookViewId="0">
      <selection activeCell="A1" sqref="A1:F1"/>
    </sheetView>
  </sheetViews>
  <sheetFormatPr baseColWidth="8" defaultColWidth="10" defaultRowHeight="20.1" customHeight="1"/>
  <cols>
    <col width="26.3984375" customWidth="1" style="269" min="1" max="1"/>
    <col width="14" customWidth="1" style="269" min="2" max="2"/>
    <col width="17.09765625" customWidth="1" style="269" min="3" max="3"/>
    <col width="14.69921875" customWidth="1" style="269" min="4" max="4"/>
    <col width="14.3984375" customWidth="1" style="269" min="5" max="5"/>
    <col width="13.296875" customWidth="1" style="269" min="6" max="6"/>
    <col width="10" customWidth="1" style="269" min="7" max="16384"/>
  </cols>
  <sheetData>
    <row r="1" ht="20.1" customHeight="1" s="526">
      <c r="A1" s="497" t="inlineStr">
        <is>
          <t>致同会计师事务所</t>
        </is>
      </c>
    </row>
    <row r="2" ht="20.1" customHeight="1" s="526">
      <c r="A2" s="494" t="inlineStr">
        <is>
          <t>应交增值税测算表</t>
        </is>
      </c>
    </row>
    <row r="3" ht="20.1" customHeight="1" s="526">
      <c r="A3" s="655">
        <f>底稿目录!A2</f>
        <v/>
      </c>
      <c r="B3" s="269">
        <f>底稿目录!$A$4</f>
        <v/>
      </c>
      <c r="D3" s="269">
        <f>底稿目录!$A$5</f>
        <v/>
      </c>
      <c r="E3" s="273" t="inlineStr">
        <is>
          <t>索引号：</t>
        </is>
      </c>
      <c r="F3" s="525">
        <f>底稿目录!F11</f>
        <v/>
      </c>
    </row>
    <row r="4" ht="20.1" customHeight="1" s="526">
      <c r="A4" s="655">
        <f>底稿目录!A3</f>
        <v/>
      </c>
      <c r="B4" s="269">
        <f>底稿目录!$A$6</f>
        <v/>
      </c>
      <c r="D4" s="269">
        <f>底稿目录!$A$7</f>
        <v/>
      </c>
      <c r="E4" s="273" t="inlineStr">
        <is>
          <t>页次：</t>
        </is>
      </c>
    </row>
    <row r="5" ht="20.1" customHeight="1" s="526">
      <c r="A5" s="370" t="inlineStr">
        <is>
          <t>一、审计目标：</t>
        </is>
      </c>
      <c r="B5" s="236" t="n"/>
      <c r="C5" s="236" t="n"/>
      <c r="D5" s="237" t="n"/>
      <c r="E5" s="237" t="n"/>
      <c r="F5" s="237" t="n"/>
    </row>
    <row r="6" ht="20.1" customHeight="1" s="526">
      <c r="A6" s="218" t="inlineStr">
        <is>
          <t>1.资产负债表中记录的应交税费是存在的，且已记录于恰当的账户。</t>
        </is>
      </c>
      <c r="B6" s="236" t="n"/>
      <c r="C6" s="236" t="n"/>
      <c r="D6" s="237" t="n"/>
      <c r="E6" s="237" t="n"/>
      <c r="F6" s="237" t="n"/>
    </row>
    <row r="7" ht="20.1" customHeight="1" s="526">
      <c r="A7" s="218" t="inlineStr">
        <is>
          <t xml:space="preserve">2.所有应当记录的货币应交税费均已记录，所有应当包括在财务报表中的相关披露均已包括。 </t>
        </is>
      </c>
      <c r="B7" s="236" t="n"/>
      <c r="C7" s="236" t="n"/>
      <c r="D7" s="237" t="n"/>
      <c r="E7" s="237" t="n"/>
      <c r="F7" s="237" t="n"/>
    </row>
    <row r="8" ht="20.1" customHeight="1" s="526">
      <c r="A8" s="218" t="inlineStr">
        <is>
          <t xml:space="preserve">3.应交税费以恰当的金额包括在财务报表中，与之相关的计价或分摊调整已恰当记录，相关披露已得到恰当计量和描述 </t>
        </is>
      </c>
      <c r="B8" s="236" t="n"/>
      <c r="C8" s="236" t="n"/>
      <c r="D8" s="237" t="n"/>
      <c r="E8" s="237" t="n"/>
      <c r="F8" s="237" t="n"/>
    </row>
    <row r="9" ht="20.1" customHeight="1" s="526">
      <c r="A9" s="275" t="inlineStr">
        <is>
          <t>二、审计过程：</t>
        </is>
      </c>
      <c r="B9" s="236" t="n"/>
      <c r="C9" s="236" t="n"/>
      <c r="D9" s="237" t="n"/>
      <c r="E9" s="237" t="n"/>
      <c r="F9" s="237" t="n"/>
    </row>
    <row r="10" ht="20.1" customHeight="1" s="526">
      <c r="A10" s="238" t="inlineStr">
        <is>
          <t>（一）增值税纳税申报表核对</t>
        </is>
      </c>
      <c r="B10" s="239" t="n"/>
      <c r="C10" s="239" t="n"/>
      <c r="D10" s="239" t="n"/>
      <c r="E10" s="239" t="n"/>
      <c r="F10" s="239" t="n"/>
    </row>
    <row r="11" ht="20.1" customHeight="1" s="526">
      <c r="A11" s="495" t="inlineStr">
        <is>
          <t>项目</t>
        </is>
      </c>
      <c r="B11" s="742" t="n"/>
      <c r="C11" s="240" t="inlineStr">
        <is>
          <t>账面数据</t>
        </is>
      </c>
      <c r="D11" s="240" t="inlineStr">
        <is>
          <t>纳税申报表数据</t>
        </is>
      </c>
      <c r="E11" s="240" t="inlineStr">
        <is>
          <t>差异</t>
        </is>
      </c>
      <c r="F11" s="240" t="inlineStr">
        <is>
          <t>原因</t>
        </is>
      </c>
    </row>
    <row r="12" ht="20.1" customHeight="1" s="526">
      <c r="A12" s="496" t="inlineStr">
        <is>
          <t>1.按适用税率征税销售额</t>
        </is>
      </c>
      <c r="B12" s="742" t="n"/>
      <c r="C12" s="241" t="n"/>
      <c r="D12" s="241" t="n"/>
      <c r="E12" s="241" t="n"/>
      <c r="F12" s="241" t="n"/>
      <c r="G12" s="242" t="n"/>
      <c r="H12" s="242" t="n"/>
    </row>
    <row r="13" ht="20.1" customHeight="1" s="526">
      <c r="A13" s="496" t="inlineStr">
        <is>
          <t>2.视同销售</t>
        </is>
      </c>
      <c r="B13" s="742" t="n"/>
      <c r="C13" s="241" t="n"/>
      <c r="D13" s="241" t="n"/>
      <c r="E13" s="241" t="n"/>
      <c r="F13" s="241" t="n"/>
      <c r="G13" s="242" t="n"/>
      <c r="H13" s="242" t="n"/>
    </row>
    <row r="14" ht="20.1" customHeight="1" s="526">
      <c r="A14" s="496" t="inlineStr">
        <is>
          <t>3.按简易征收办法征税货物</t>
        </is>
      </c>
      <c r="B14" s="742" t="n"/>
      <c r="C14" s="241" t="n"/>
      <c r="D14" s="241" t="n"/>
      <c r="E14" s="241" t="n"/>
      <c r="F14" s="241" t="n"/>
      <c r="G14" s="242" t="n"/>
      <c r="H14" s="242" t="n"/>
    </row>
    <row r="15" ht="20.1" customHeight="1" s="526">
      <c r="A15" s="496" t="inlineStr">
        <is>
          <t>4.免、抵、退办法出口销售额</t>
        </is>
      </c>
      <c r="B15" s="742" t="n"/>
      <c r="C15" s="241" t="n"/>
      <c r="D15" s="241" t="n"/>
      <c r="E15" s="241" t="n"/>
      <c r="F15" s="241" t="n"/>
      <c r="G15" s="242" t="n"/>
      <c r="H15" s="242" t="n"/>
    </row>
    <row r="16" ht="20.1" customHeight="1" s="526">
      <c r="A16" s="496" t="inlineStr">
        <is>
          <t>5.免税销售额</t>
        </is>
      </c>
      <c r="B16" s="742" t="n"/>
      <c r="C16" s="243" t="n"/>
      <c r="D16" s="243" t="n"/>
      <c r="E16" s="243" t="n"/>
      <c r="F16" s="241" t="n"/>
      <c r="G16" s="242" t="n"/>
      <c r="H16" s="242" t="n"/>
    </row>
    <row r="17" ht="20.1" customHeight="1" s="526">
      <c r="A17" s="483" t="inlineStr">
        <is>
          <t>6.销项税额</t>
        </is>
      </c>
      <c r="B17" s="742" t="n"/>
      <c r="C17" s="244" t="n"/>
      <c r="D17" s="244" t="n"/>
      <c r="E17" s="244" t="n"/>
      <c r="F17" s="241" t="n"/>
      <c r="G17" s="242" t="n"/>
      <c r="H17" s="242" t="n"/>
    </row>
    <row r="18" ht="20.1" customHeight="1" s="526">
      <c r="A18" s="483" t="inlineStr">
        <is>
          <t>7.进项税额</t>
        </is>
      </c>
      <c r="B18" s="742" t="n"/>
      <c r="C18" s="244" t="n"/>
      <c r="D18" s="244" t="n"/>
      <c r="E18" s="244" t="n"/>
      <c r="F18" s="241" t="n"/>
      <c r="G18" s="242" t="n"/>
      <c r="H18" s="242" t="n"/>
    </row>
    <row r="19" ht="20.1" customHeight="1" s="526">
      <c r="A19" s="483" t="inlineStr">
        <is>
          <t>8.进项税额转出</t>
        </is>
      </c>
      <c r="B19" s="742" t="n"/>
      <c r="C19" s="244" t="n"/>
      <c r="D19" s="244" t="n"/>
      <c r="E19" s="244" t="n"/>
      <c r="F19" s="241" t="n"/>
      <c r="G19" s="242" t="n"/>
      <c r="H19" s="242" t="n"/>
    </row>
    <row r="20" ht="20.1" customHeight="1" s="526">
      <c r="A20" s="492" t="inlineStr">
        <is>
          <t>9.免、抵、退应退税额</t>
        </is>
      </c>
      <c r="B20" s="548" t="n"/>
      <c r="C20" s="244" t="n"/>
      <c r="D20" s="244" t="n"/>
      <c r="E20" s="244" t="n"/>
      <c r="F20" s="241" t="n"/>
      <c r="G20" s="242" t="n"/>
      <c r="H20" s="242" t="n"/>
    </row>
    <row r="21" ht="20.1" customHeight="1" s="526">
      <c r="A21" s="483" t="inlineStr">
        <is>
          <t>10.其他</t>
        </is>
      </c>
      <c r="B21" s="742" t="n"/>
      <c r="C21" s="244" t="n"/>
      <c r="D21" s="244" t="n"/>
      <c r="E21" s="244" t="n"/>
      <c r="F21" s="241" t="n"/>
      <c r="G21" s="242" t="n"/>
      <c r="H21" s="242" t="n"/>
    </row>
    <row r="22" ht="20.1" customHeight="1" s="526">
      <c r="A22" s="245" t="inlineStr">
        <is>
          <t>（二）增值税销项税金测算</t>
        </is>
      </c>
      <c r="B22" s="246" t="n"/>
      <c r="C22" s="246" t="n"/>
      <c r="D22" s="246" t="n"/>
      <c r="E22" s="246" t="n"/>
      <c r="F22" s="246" t="n"/>
    </row>
    <row r="23" ht="20.1" customHeight="1" s="526">
      <c r="A23" s="247" t="inlineStr">
        <is>
          <t>品种</t>
        </is>
      </c>
      <c r="B23" s="247" t="inlineStr">
        <is>
          <t>销售额</t>
        </is>
      </c>
      <c r="C23" s="247" t="inlineStr">
        <is>
          <t>免税/扣除销售额</t>
        </is>
      </c>
      <c r="D23" s="247" t="inlineStr">
        <is>
          <t>计税收入</t>
        </is>
      </c>
      <c r="E23" s="247" t="inlineStr">
        <is>
          <t>税率</t>
        </is>
      </c>
      <c r="F23" s="247" t="inlineStr">
        <is>
          <t>应计销项税</t>
        </is>
      </c>
    </row>
    <row r="24" ht="20.1" customHeight="1" s="526">
      <c r="A24" s="248" t="n"/>
      <c r="B24" s="748" t="n"/>
      <c r="C24" s="749" t="n"/>
      <c r="D24" s="750">
        <f>B24-C24</f>
        <v/>
      </c>
      <c r="E24" s="751" t="n"/>
      <c r="F24" s="752">
        <f>D24*E24</f>
        <v/>
      </c>
    </row>
    <row r="25" ht="20.1" customHeight="1" s="526">
      <c r="A25" s="254" t="n"/>
      <c r="B25" s="748" t="n"/>
      <c r="C25" s="749" t="n"/>
      <c r="D25" s="750">
        <f>B25-C25</f>
        <v/>
      </c>
      <c r="E25" s="753" t="n"/>
      <c r="F25" s="752">
        <f>D25*E25</f>
        <v/>
      </c>
    </row>
    <row r="26" ht="20.1" customHeight="1" s="526">
      <c r="A26" s="248" t="n"/>
      <c r="B26" s="748" t="n"/>
      <c r="C26" s="749" t="n"/>
      <c r="D26" s="750">
        <f>B26-C26</f>
        <v/>
      </c>
      <c r="E26" s="751" t="n"/>
      <c r="F26" s="752">
        <f>D26*E26</f>
        <v/>
      </c>
    </row>
    <row r="27" ht="20.1" customHeight="1" s="526">
      <c r="A27" s="254" t="n"/>
      <c r="B27" s="748" t="n"/>
      <c r="C27" s="749" t="n"/>
      <c r="D27" s="750">
        <f>B27-C27</f>
        <v/>
      </c>
      <c r="E27" s="754" t="n"/>
      <c r="F27" s="752">
        <f>D27*E27</f>
        <v/>
      </c>
    </row>
    <row r="28" ht="20.1" customHeight="1" s="526">
      <c r="A28" s="247" t="inlineStr">
        <is>
          <t>合计</t>
        </is>
      </c>
      <c r="B28" s="755">
        <f>SUM(B24:B27)</f>
        <v/>
      </c>
      <c r="C28" s="755">
        <f>SUM(C24:C27)</f>
        <v/>
      </c>
      <c r="D28" s="755">
        <f>SUM(D24:D27)</f>
        <v/>
      </c>
      <c r="E28" s="755" t="n"/>
      <c r="F28" s="755">
        <f>SUM(F24:F27)</f>
        <v/>
      </c>
    </row>
    <row r="29" ht="20.1" customHeight="1" s="526">
      <c r="A29" s="484" t="inlineStr">
        <is>
          <t>待转销项税额期末减期初金额</t>
        </is>
      </c>
      <c r="B29" s="741" t="n"/>
      <c r="C29" s="741" t="n"/>
      <c r="D29" s="741" t="n"/>
      <c r="E29" s="742" t="n"/>
      <c r="F29" s="748" t="n"/>
    </row>
    <row r="30" ht="20.1" customHeight="1" s="526">
      <c r="A30" s="484" t="inlineStr">
        <is>
          <t>差异</t>
        </is>
      </c>
      <c r="B30" s="741" t="n"/>
      <c r="C30" s="741" t="n"/>
      <c r="D30" s="741" t="n"/>
      <c r="E30" s="742" t="n"/>
      <c r="F30" s="750">
        <f>C17-F28-F29</f>
        <v/>
      </c>
    </row>
    <row r="31" ht="20.1" customHeight="1" s="526">
      <c r="A31" s="357" t="inlineStr">
        <is>
          <t>（三）增值税进项税测算</t>
        </is>
      </c>
      <c r="B31" s="357" t="n"/>
      <c r="C31" s="357" t="n"/>
      <c r="D31" s="357" t="n"/>
      <c r="E31" s="357" t="n"/>
      <c r="F31" s="357" t="n"/>
    </row>
    <row r="32" ht="33.75" customHeight="1" s="526">
      <c r="A32" s="481" t="inlineStr">
        <is>
          <t>项目</t>
        </is>
      </c>
      <c r="B32" s="741" t="n"/>
      <c r="C32" s="742" t="n"/>
      <c r="D32" s="259" t="inlineStr">
        <is>
          <t>购进货物/固定资产及接受劳务发生额</t>
        </is>
      </c>
      <c r="E32" s="481" t="inlineStr">
        <is>
          <t>税率</t>
        </is>
      </c>
      <c r="F32" s="481" t="inlineStr">
        <is>
          <t>测算数</t>
        </is>
      </c>
    </row>
    <row r="33" ht="20.1" customHeight="1" s="526">
      <c r="A33" s="485" t="n"/>
      <c r="B33" s="741" t="n"/>
      <c r="C33" s="742" t="n"/>
      <c r="D33" s="756" t="n"/>
      <c r="E33" s="757" t="n"/>
      <c r="F33" s="758">
        <f>D33*E33</f>
        <v/>
      </c>
    </row>
    <row r="34" ht="20.1" customHeight="1" s="526">
      <c r="A34" s="485" t="n"/>
      <c r="B34" s="741" t="n"/>
      <c r="C34" s="742" t="n"/>
      <c r="D34" s="756" t="n"/>
      <c r="E34" s="757" t="n"/>
      <c r="F34" s="758">
        <f>D34*E34</f>
        <v/>
      </c>
    </row>
    <row r="35" ht="20.1" customHeight="1" s="526">
      <c r="A35" s="481" t="inlineStr">
        <is>
          <t>合计</t>
        </is>
      </c>
      <c r="B35" s="741" t="n"/>
      <c r="C35" s="742" t="n"/>
      <c r="D35" s="759">
        <f>SUM(D33:D34)</f>
        <v/>
      </c>
      <c r="E35" s="759" t="n"/>
      <c r="F35" s="759">
        <f>SUM(F33:F34)</f>
        <v/>
      </c>
    </row>
    <row r="36" ht="20.1" customHeight="1" s="526">
      <c r="A36" s="760" t="inlineStr">
        <is>
          <t>待抵扣进项税额期末减期初金额</t>
        </is>
      </c>
      <c r="B36" s="741" t="n"/>
      <c r="C36" s="741" t="n"/>
      <c r="D36" s="741" t="n"/>
      <c r="E36" s="742" t="n"/>
      <c r="F36" s="761" t="n"/>
    </row>
    <row r="37" ht="20.1" customHeight="1" s="526">
      <c r="A37" s="760" t="inlineStr">
        <is>
          <t>待认证进项税额期末减期初金额</t>
        </is>
      </c>
      <c r="B37" s="741" t="n"/>
      <c r="C37" s="741" t="n"/>
      <c r="D37" s="741" t="n"/>
      <c r="E37" s="742" t="n"/>
      <c r="F37" s="761" t="n"/>
    </row>
    <row r="38" ht="20.1" customHeight="1" s="526">
      <c r="A38" s="760" t="inlineStr">
        <is>
          <t>增值税留抵税额期末减期初金额</t>
        </is>
      </c>
      <c r="B38" s="741" t="n"/>
      <c r="C38" s="741" t="n"/>
      <c r="D38" s="741" t="n"/>
      <c r="E38" s="742" t="n"/>
      <c r="F38" s="761" t="n"/>
    </row>
    <row r="39" ht="20.1" customHeight="1" s="526">
      <c r="A39" s="762" t="inlineStr">
        <is>
          <t>差异</t>
        </is>
      </c>
      <c r="B39" s="741" t="n"/>
      <c r="C39" s="741" t="n"/>
      <c r="D39" s="741" t="n"/>
      <c r="E39" s="742" t="n"/>
      <c r="F39" s="758">
        <f>F35-F36-F37-F38-C18</f>
        <v/>
      </c>
    </row>
    <row r="40" ht="20.1" customFormat="1" customHeight="1" s="269">
      <c r="A40" s="266" t="inlineStr">
        <is>
          <t>（四）特殊情况检查</t>
        </is>
      </c>
      <c r="B40" s="266" t="n"/>
      <c r="C40" s="267" t="n"/>
      <c r="D40" s="267" t="n"/>
      <c r="E40" s="267" t="n"/>
      <c r="F40" s="267" t="n"/>
    </row>
    <row r="41" ht="20.1" customHeight="1" s="526">
      <c r="A41" s="481" t="inlineStr">
        <is>
          <t>项目</t>
        </is>
      </c>
      <c r="B41" s="741" t="n"/>
      <c r="C41" s="742" t="n"/>
      <c r="D41" s="482" t="inlineStr">
        <is>
          <t>金额</t>
        </is>
      </c>
      <c r="E41" s="741" t="n"/>
      <c r="F41" s="742" t="n"/>
    </row>
    <row r="42" ht="20.1" customHeight="1" s="526">
      <c r="A42" s="479" t="inlineStr">
        <is>
          <t>视同销售</t>
        </is>
      </c>
      <c r="B42" s="741" t="n"/>
      <c r="C42" s="742" t="n"/>
      <c r="D42" s="763" t="n"/>
      <c r="E42" s="741" t="n"/>
      <c r="F42" s="742" t="n"/>
    </row>
    <row r="43" ht="20.1" customHeight="1" s="526">
      <c r="A43" s="479" t="inlineStr">
        <is>
          <t>大额进项税转出</t>
        </is>
      </c>
      <c r="B43" s="741" t="n"/>
      <c r="C43" s="742" t="n"/>
      <c r="D43" s="763" t="n"/>
      <c r="E43" s="741" t="n"/>
      <c r="F43" s="742" t="n"/>
    </row>
    <row r="44" ht="20.1" customHeight="1" s="526">
      <c r="A44" s="479" t="inlineStr">
        <is>
          <t>转让金融商品应交增值税额</t>
        </is>
      </c>
      <c r="B44" s="741" t="n"/>
      <c r="C44" s="742" t="n"/>
      <c r="D44" s="763" t="n"/>
      <c r="E44" s="741" t="n"/>
      <c r="F44" s="742" t="n"/>
    </row>
    <row r="45" ht="20.1" customHeight="1" s="526">
      <c r="A45" s="479" t="inlineStr">
        <is>
          <t>代扣代缴增值税额</t>
        </is>
      </c>
      <c r="B45" s="741" t="n"/>
      <c r="C45" s="742" t="n"/>
      <c r="D45" s="763" t="n"/>
      <c r="E45" s="741" t="n"/>
      <c r="F45" s="742" t="n"/>
    </row>
    <row r="46" ht="20.1" customHeight="1" s="526">
      <c r="A46" s="357" t="inlineStr">
        <is>
          <t>三、审计说明</t>
        </is>
      </c>
    </row>
    <row r="48" ht="20.1" customHeight="1" s="526">
      <c r="A48" s="357" t="inlineStr">
        <is>
          <t>四、审计结论</t>
        </is>
      </c>
    </row>
  </sheetData>
  <mergeCells count="33">
    <mergeCell ref="A30:E30"/>
    <mergeCell ref="A39:E39"/>
    <mergeCell ref="A41:C41"/>
    <mergeCell ref="A15:B15"/>
    <mergeCell ref="D41:F41"/>
    <mergeCell ref="A11:B11"/>
    <mergeCell ref="A36:E36"/>
    <mergeCell ref="D43:F43"/>
    <mergeCell ref="A2:F2"/>
    <mergeCell ref="A42:C42"/>
    <mergeCell ref="A16:B16"/>
    <mergeCell ref="A33:C33"/>
    <mergeCell ref="A32:C32"/>
    <mergeCell ref="A37:E37"/>
    <mergeCell ref="A35:C35"/>
    <mergeCell ref="A18:B18"/>
    <mergeCell ref="A43:C43"/>
    <mergeCell ref="A12:B12"/>
    <mergeCell ref="D42:F42"/>
    <mergeCell ref="A21:B21"/>
    <mergeCell ref="A44:C44"/>
    <mergeCell ref="A14:B14"/>
    <mergeCell ref="D44:F44"/>
    <mergeCell ref="A17:B17"/>
    <mergeCell ref="A34:C34"/>
    <mergeCell ref="A20:B20"/>
    <mergeCell ref="A29:E29"/>
    <mergeCell ref="A38:E38"/>
    <mergeCell ref="A45:C45"/>
    <mergeCell ref="A19:B19"/>
    <mergeCell ref="A1:F1"/>
    <mergeCell ref="A13:B13"/>
    <mergeCell ref="D45:F45"/>
  </mergeCells>
  <hyperlinks>
    <hyperlink ref="F3" location="底稿目录!A1" display="D8-6"/>
  </hyperlinks>
  <pageMargins left="0.708333333333333" right="0.708333333333333" top="0.747916666666667" bottom="0.747916666666667" header="0.314583333333333" footer="0.314583333333333"/>
  <pageSetup orientation="portrait" paperSize="9" scale="74" blackAndWhite="1"/>
  <headerFooter>
    <oddHeader/>
    <oddFooter>&amp;C&amp;P/&amp;N</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H56"/>
  <sheetViews>
    <sheetView view="pageBreakPreview" zoomScaleNormal="100" workbookViewId="0">
      <selection activeCell="A1" sqref="A1:F1"/>
    </sheetView>
  </sheetViews>
  <sheetFormatPr baseColWidth="8" defaultColWidth="8.8984375" defaultRowHeight="20.1" customHeight="1"/>
  <cols>
    <col width="36.19921875" customWidth="1" style="269" min="1" max="1"/>
    <col width="31.8984375" customWidth="1" style="269" min="2" max="2"/>
    <col width="19.69921875" customWidth="1" style="269" min="3" max="3"/>
    <col width="15.69921875" customWidth="1" style="269" min="4" max="4"/>
    <col width="12" customWidth="1" style="269" min="5" max="5"/>
    <col width="18.3984375" customWidth="1" style="269" min="6" max="6"/>
    <col width="8.8984375" customWidth="1" style="269" min="7" max="16384"/>
  </cols>
  <sheetData>
    <row r="1" ht="20.1" customHeight="1" s="526">
      <c r="A1" s="497" t="inlineStr">
        <is>
          <t>致同会计师事务所</t>
        </is>
      </c>
    </row>
    <row r="2" ht="20.1" customHeight="1" s="526">
      <c r="A2" s="498" t="inlineStr">
        <is>
          <t>出口退税核对表</t>
        </is>
      </c>
    </row>
    <row r="3" ht="20.1" customHeight="1" s="526">
      <c r="A3" s="655">
        <f>底稿目录!A2</f>
        <v/>
      </c>
      <c r="B3" s="269">
        <f>底稿目录!$A$4</f>
        <v/>
      </c>
      <c r="C3" s="269">
        <f>底稿目录!$A$5</f>
        <v/>
      </c>
      <c r="E3" s="328" t="inlineStr">
        <is>
          <t>索引号：</t>
        </is>
      </c>
      <c r="F3" s="525">
        <f>底稿目录!F12</f>
        <v/>
      </c>
    </row>
    <row r="4" ht="20.1" customHeight="1" s="526">
      <c r="A4" s="655">
        <f>底稿目录!A3</f>
        <v/>
      </c>
      <c r="B4" s="269">
        <f>底稿目录!$A$6</f>
        <v/>
      </c>
      <c r="C4" s="269">
        <f>底稿目录!$A$7</f>
        <v/>
      </c>
      <c r="E4" s="273" t="inlineStr">
        <is>
          <t>页次：</t>
        </is>
      </c>
    </row>
    <row r="5" ht="20.1" customHeight="1" s="526">
      <c r="A5" s="370" t="inlineStr">
        <is>
          <t>一、审计目标：</t>
        </is>
      </c>
      <c r="H5" s="218" t="n"/>
    </row>
    <row r="6" ht="20.1" customHeight="1" s="526">
      <c r="A6" s="218" t="inlineStr">
        <is>
          <t>1.资产负债表中记录的应交税费是存在的，且已记录于恰当的账户。</t>
        </is>
      </c>
      <c r="H6" s="218" t="n"/>
    </row>
    <row r="7" ht="20.1" customHeight="1" s="526">
      <c r="A7" s="218" t="inlineStr">
        <is>
          <t xml:space="preserve">2.所有应当记录的货币应交税费均已记录，所有应当包括在财务报表中的相关披露均已包括。 </t>
        </is>
      </c>
      <c r="H7" s="218" t="n"/>
    </row>
    <row r="8" ht="20.1" customHeight="1" s="526">
      <c r="A8" s="218" t="inlineStr">
        <is>
          <t xml:space="preserve">3.应交税费以恰当的金额包括在财务报表中，与之相关的计价或分摊调整已恰当记录，相关披露已得到恰当计量和描述 </t>
        </is>
      </c>
      <c r="H8" s="218" t="n"/>
    </row>
    <row r="9" ht="20.1" customHeight="1" s="526">
      <c r="A9" s="275" t="inlineStr">
        <is>
          <t>二、审计过程：</t>
        </is>
      </c>
    </row>
    <row r="10" ht="20.1" customHeight="1" s="526">
      <c r="A10" s="276" t="inlineStr">
        <is>
          <t>1.取得《出口货物退（免）税申报表》及办理出口退税有关凭证，复核出口货物退税的计算是否正确，是否按规定进行了会计处理；</t>
        </is>
      </c>
    </row>
    <row r="11" ht="20.1" customHeight="1" s="526">
      <c r="A11" s="276" t="inlineStr">
        <is>
          <t>2.……</t>
        </is>
      </c>
    </row>
    <row r="13" ht="20.1" customHeight="1" s="526">
      <c r="A13" s="277" t="inlineStr">
        <is>
          <t>项  目</t>
        </is>
      </c>
      <c r="B13" s="277" t="inlineStr">
        <is>
          <t>栏次</t>
        </is>
      </c>
      <c r="C13" s="278" t="inlineStr">
        <is>
          <t>出口退税申报表金额</t>
        </is>
      </c>
      <c r="D13" s="278" t="inlineStr">
        <is>
          <t>账面金额</t>
        </is>
      </c>
      <c r="E13" s="278" t="inlineStr">
        <is>
          <t>差异</t>
        </is>
      </c>
      <c r="F13" s="279" t="inlineStr">
        <is>
          <t>差异原因</t>
        </is>
      </c>
    </row>
    <row r="14" ht="20.1" customHeight="1" s="526">
      <c r="A14" s="280" t="inlineStr">
        <is>
          <t>免抵退出口货物销售额(美元)</t>
        </is>
      </c>
      <c r="B14" s="280" t="n">
        <v>1</v>
      </c>
      <c r="C14" s="764" t="n"/>
      <c r="D14" s="764" t="n"/>
      <c r="E14" s="765">
        <f>D14-C14</f>
        <v/>
      </c>
      <c r="F14" s="766" t="n"/>
    </row>
    <row r="15" ht="20.1" customHeight="1" s="526">
      <c r="A15" s="280" t="inlineStr">
        <is>
          <t>免抵退出口货物销售额</t>
        </is>
      </c>
      <c r="B15" s="280" t="inlineStr">
        <is>
          <t>2=3+4</t>
        </is>
      </c>
      <c r="C15" s="765">
        <f>C16+C17</f>
        <v/>
      </c>
      <c r="D15" s="765">
        <f>D16+D17</f>
        <v/>
      </c>
      <c r="E15" s="765">
        <f>D15-C15</f>
        <v/>
      </c>
      <c r="F15" s="766" t="n"/>
    </row>
    <row r="16" ht="20.1" customHeight="1" s="526">
      <c r="A16" s="280" t="inlineStr">
        <is>
          <t>其中：单证不齐销售额</t>
        </is>
      </c>
      <c r="B16" s="280" t="n">
        <v>3</v>
      </c>
      <c r="C16" s="764" t="n"/>
      <c r="D16" s="764" t="n"/>
      <c r="E16" s="765">
        <f>D16-C16</f>
        <v/>
      </c>
      <c r="F16" s="766" t="n"/>
    </row>
    <row r="17" ht="20.1" customHeight="1" s="526">
      <c r="A17" s="280" t="inlineStr">
        <is>
          <t xml:space="preserve">      单证齐全销售额</t>
        </is>
      </c>
      <c r="B17" s="280" t="n">
        <v>4</v>
      </c>
      <c r="C17" s="764" t="n"/>
      <c r="D17" s="764" t="n"/>
      <c r="E17" s="765">
        <f>D17-C17</f>
        <v/>
      </c>
      <c r="F17" s="766" t="n"/>
    </row>
    <row r="18" ht="20.1" customHeight="1" s="526">
      <c r="A18" s="280" t="inlineStr">
        <is>
          <t>前期出口货物当期收齐单证销售额</t>
        </is>
      </c>
      <c r="B18" s="280" t="n">
        <v>5</v>
      </c>
      <c r="C18" s="764" t="n"/>
      <c r="D18" s="764" t="n"/>
      <c r="E18" s="765">
        <f>D18-C18</f>
        <v/>
      </c>
      <c r="F18" s="766" t="n"/>
    </row>
    <row r="19" ht="20.1" customHeight="1" s="526">
      <c r="A19" s="280" t="inlineStr">
        <is>
          <t>单证齐全出口货物销售额</t>
        </is>
      </c>
      <c r="B19" s="280" t="inlineStr">
        <is>
          <t>6=4+5</t>
        </is>
      </c>
      <c r="C19" s="765">
        <f>C17+C18</f>
        <v/>
      </c>
      <c r="D19" s="765">
        <f>D17+D18</f>
        <v/>
      </c>
      <c r="E19" s="765">
        <f>D19-C19</f>
        <v/>
      </c>
      <c r="F19" s="766" t="n"/>
    </row>
    <row r="20" ht="20.1" customHeight="1" s="526">
      <c r="A20" s="280" t="inlineStr">
        <is>
          <t>不予免抵退出口货物销售额</t>
        </is>
      </c>
      <c r="B20" s="280" t="n">
        <v>7</v>
      </c>
      <c r="C20" s="764" t="n"/>
      <c r="D20" s="764" t="n"/>
      <c r="E20" s="765">
        <f>D20-C20</f>
        <v/>
      </c>
      <c r="F20" s="766" t="n"/>
    </row>
    <row r="21" ht="20.1" customHeight="1" s="526">
      <c r="A21" s="280" t="inlineStr">
        <is>
          <t>出口销售额乘征退税率之差</t>
        </is>
      </c>
      <c r="B21" s="280" t="inlineStr">
        <is>
          <t>8[6×(出口货物征税率-出口货物退税率)]</t>
        </is>
      </c>
      <c r="C21" s="764" t="n"/>
      <c r="D21" s="764" t="n"/>
      <c r="E21" s="765">
        <f>D21-C21</f>
        <v/>
      </c>
      <c r="F21" s="766" t="n"/>
    </row>
    <row r="22" ht="20.1" customHeight="1" s="526">
      <c r="A22" s="280" t="inlineStr">
        <is>
          <t>上期结转免抵退税不得免征和抵扣税额抵减额</t>
        </is>
      </c>
      <c r="B22" s="280" t="n">
        <v>9</v>
      </c>
      <c r="C22" s="764" t="n"/>
      <c r="D22" s="764" t="n"/>
      <c r="E22" s="765">
        <f>D22-C22</f>
        <v/>
      </c>
      <c r="F22" s="766" t="n"/>
    </row>
    <row r="23" ht="27.45" customHeight="1" s="526">
      <c r="A23" s="280" t="inlineStr">
        <is>
          <t>免抵退税不得免征和抵扣税额抵减额</t>
        </is>
      </c>
      <c r="B23" s="280" t="inlineStr">
        <is>
          <t>10[免税购进原材料价格×(出口货物征税率-出口货物退税率)]</t>
        </is>
      </c>
      <c r="C23" s="764" t="n"/>
      <c r="D23" s="764" t="n"/>
      <c r="E23" s="765">
        <f>D23-C23</f>
        <v/>
      </c>
      <c r="F23" s="766" t="n"/>
    </row>
    <row r="24" ht="20.1" customHeight="1" s="526">
      <c r="A24" s="280" t="inlineStr">
        <is>
          <t>免抵退税不得免征和抵扣税额</t>
        </is>
      </c>
      <c r="B24" s="280" t="inlineStr">
        <is>
          <t>11(如8&gt;9+10则为8-9-10,否则为0)</t>
        </is>
      </c>
      <c r="C24" s="765">
        <f>IF(C21&gt;C22+C23,C21-C22-C23,0)</f>
        <v/>
      </c>
      <c r="D24" s="765">
        <f>IF(D21&gt;D22+D23,D21-D22-D23,0)</f>
        <v/>
      </c>
      <c r="E24" s="765">
        <f>D24-C24</f>
        <v/>
      </c>
      <c r="F24" s="766" t="n"/>
    </row>
    <row r="25" ht="20.1" customHeight="1" s="526">
      <c r="A25" s="280" t="inlineStr">
        <is>
          <t>结转下期免抵退税不得免征和抵扣税额抵减额</t>
        </is>
      </c>
      <c r="B25" s="280" t="inlineStr">
        <is>
          <t>12(如9+10&gt;8则为9+10-8,否则为0)</t>
        </is>
      </c>
      <c r="C25" s="765">
        <f>IF(C21&lt;C22+C23,C22+C23-C21,0)</f>
        <v/>
      </c>
      <c r="D25" s="765">
        <f>IF(D21&lt;D22+D23,D22+D23-D21,0)</f>
        <v/>
      </c>
      <c r="E25" s="765">
        <f>D25-C25</f>
        <v/>
      </c>
      <c r="F25" s="766" t="n"/>
    </row>
    <row r="26" ht="20.1" customHeight="1" s="526">
      <c r="A26" s="280" t="inlineStr">
        <is>
          <t>出口销售额乘退税率</t>
        </is>
      </c>
      <c r="B26" s="280" t="inlineStr">
        <is>
          <t>13(6×出口货物退税率)</t>
        </is>
      </c>
      <c r="C26" s="764" t="n"/>
      <c r="D26" s="764" t="n"/>
      <c r="E26" s="765">
        <f>D26-C26</f>
        <v/>
      </c>
      <c r="F26" s="766" t="n"/>
    </row>
    <row r="27" ht="20.1" customHeight="1" s="526">
      <c r="A27" s="280" t="inlineStr">
        <is>
          <t>上期结转免抵退税额抵减额</t>
        </is>
      </c>
      <c r="B27" s="280" t="n">
        <v>14</v>
      </c>
      <c r="C27" s="764" t="n"/>
      <c r="D27" s="764" t="n"/>
      <c r="E27" s="765">
        <f>D27-C27</f>
        <v/>
      </c>
      <c r="F27" s="766" t="n"/>
    </row>
    <row r="28" ht="27.45" customHeight="1" s="526">
      <c r="A28" s="280" t="inlineStr">
        <is>
          <t>免抵退税额抵减额</t>
        </is>
      </c>
      <c r="B28" s="280" t="inlineStr">
        <is>
          <t>15(免税购进原材料价格×出口货物退税率)</t>
        </is>
      </c>
      <c r="C28" s="764" t="n"/>
      <c r="D28" s="764" t="n"/>
      <c r="E28" s="765">
        <f>D28-C28</f>
        <v/>
      </c>
      <c r="F28" s="766" t="n"/>
    </row>
    <row r="29" ht="22.5" customHeight="1" s="526">
      <c r="A29" s="280" t="inlineStr">
        <is>
          <t>免抵退税额</t>
        </is>
      </c>
      <c r="B29" s="280" t="inlineStr">
        <is>
          <t>16(如13&gt;14+15则为13-14-15,否则为0)</t>
        </is>
      </c>
      <c r="C29" s="765">
        <f>IF(C26&gt;C27+C28,C26-C27-C28,0)</f>
        <v/>
      </c>
      <c r="D29" s="765">
        <f>IF(D26&gt;D27+D28,D26-D27-D28,0)</f>
        <v/>
      </c>
      <c r="E29" s="765">
        <f>D29-C29</f>
        <v/>
      </c>
      <c r="F29" s="766" t="n"/>
    </row>
    <row r="30" ht="20.1" customHeight="1" s="526">
      <c r="A30" s="280" t="inlineStr">
        <is>
          <t>结转下期免抵退税额抵减额</t>
        </is>
      </c>
      <c r="B30" s="280" t="inlineStr">
        <is>
          <t>17(如14+15&gt;13则为14+15-13,否则为0)</t>
        </is>
      </c>
      <c r="C30" s="765">
        <f>IF(C26&lt;C27+C28,C27+C28-C26,0)</f>
        <v/>
      </c>
      <c r="D30" s="765">
        <f>IF(D26&lt;D27+D28,D27+D28-D26,0)</f>
        <v/>
      </c>
      <c r="E30" s="765">
        <f>D30-C30</f>
        <v/>
      </c>
      <c r="F30" s="766" t="n"/>
    </row>
    <row r="31" ht="20.1" customHeight="1" s="526">
      <c r="A31" s="280" t="inlineStr">
        <is>
          <t>增值税纳税申报表期末留抵税额</t>
        </is>
      </c>
      <c r="B31" s="280" t="n">
        <v>18</v>
      </c>
      <c r="C31" s="764" t="n"/>
      <c r="D31" s="764" t="n"/>
      <c r="E31" s="765">
        <f>D31-C31</f>
        <v/>
      </c>
      <c r="F31" s="766" t="n"/>
    </row>
    <row r="32" ht="20.1" customHeight="1" s="526">
      <c r="A32" s="280" t="inlineStr">
        <is>
          <t>免抵退税不得免征和抵扣税额调整数</t>
        </is>
      </c>
      <c r="B32" s="280" t="n">
        <v>19</v>
      </c>
      <c r="C32" s="764" t="n"/>
      <c r="D32" s="764" t="n"/>
      <c r="E32" s="765">
        <f>D32-C32</f>
        <v/>
      </c>
      <c r="F32" s="766" t="n"/>
    </row>
    <row r="33" ht="20.1" customHeight="1" s="526">
      <c r="A33" s="280" t="inlineStr">
        <is>
          <t>计算退税的期末留抵税额</t>
        </is>
      </c>
      <c r="B33" s="280" t="inlineStr">
        <is>
          <t>20=18-19</t>
        </is>
      </c>
      <c r="C33" s="764" t="n"/>
      <c r="D33" s="764" t="n"/>
      <c r="E33" s="765">
        <f>D33-C33</f>
        <v/>
      </c>
      <c r="F33" s="766" t="n"/>
    </row>
    <row r="34" ht="20.1" customHeight="1" s="526">
      <c r="A34" s="280" t="inlineStr">
        <is>
          <t>当期应退税额</t>
        </is>
      </c>
      <c r="B34" s="280" t="inlineStr">
        <is>
          <t>21(如16&gt;20则为20,否则为16)</t>
        </is>
      </c>
      <c r="C34" s="765">
        <f>IF(C29&gt;C33,C33,C29)</f>
        <v/>
      </c>
      <c r="D34" s="765">
        <f>IF(D29&gt;D33,D33,D29)</f>
        <v/>
      </c>
      <c r="E34" s="765">
        <f>D34-C34</f>
        <v/>
      </c>
      <c r="F34" s="766" t="n"/>
    </row>
    <row r="35" ht="20.1" customHeight="1" s="526">
      <c r="A35" s="280" t="inlineStr">
        <is>
          <t>当期免抵税额</t>
        </is>
      </c>
      <c r="B35" s="280" t="inlineStr">
        <is>
          <t>22=16-21</t>
        </is>
      </c>
      <c r="C35" s="767">
        <f>C29-C34</f>
        <v/>
      </c>
      <c r="D35" s="767">
        <f>D29-D34</f>
        <v/>
      </c>
      <c r="E35" s="767">
        <f>D35-C35</f>
        <v/>
      </c>
      <c r="F35" s="766" t="n"/>
    </row>
    <row r="36" ht="20.1" customHeight="1" s="526">
      <c r="A36" s="285" t="inlineStr">
        <is>
          <t>三、审计说明</t>
        </is>
      </c>
      <c r="B36" s="286" t="n"/>
      <c r="C36" s="286" t="n"/>
      <c r="D36" s="286" t="n"/>
      <c r="E36" s="286" t="n"/>
      <c r="F36" s="286" t="n"/>
    </row>
    <row r="37" ht="20.1" customHeight="1" s="526">
      <c r="A37" s="286" t="n"/>
      <c r="B37" s="286" t="n"/>
      <c r="C37" s="286" t="n"/>
      <c r="D37" s="286" t="n"/>
      <c r="E37" s="286" t="n"/>
      <c r="F37" s="286" t="n"/>
    </row>
    <row r="38" ht="20.1" customHeight="1" s="526">
      <c r="A38" s="286" t="n"/>
      <c r="B38" s="286" t="n"/>
      <c r="C38" s="286" t="n"/>
      <c r="D38" s="286" t="n"/>
      <c r="E38" s="286" t="n"/>
      <c r="F38" s="286" t="n"/>
    </row>
    <row r="39" ht="20.1" customHeight="1" s="526">
      <c r="A39" s="285" t="inlineStr">
        <is>
          <t>四、审计结论</t>
        </is>
      </c>
      <c r="B39" s="286" t="n"/>
      <c r="C39" s="286" t="n"/>
      <c r="D39" s="286" t="n"/>
      <c r="E39" s="286" t="n"/>
      <c r="F39" s="286" t="n"/>
    </row>
    <row r="40" ht="20.1" customHeight="1" s="526">
      <c r="A40" s="286" t="n"/>
      <c r="B40" s="286" t="n"/>
      <c r="C40" s="286" t="n"/>
      <c r="D40" s="286" t="n"/>
      <c r="E40" s="286" t="n"/>
      <c r="F40" s="286" t="n"/>
    </row>
    <row r="41" ht="20.1" customHeight="1" s="526">
      <c r="A41" s="287" t="inlineStr">
        <is>
          <t>提示：</t>
        </is>
      </c>
      <c r="B41" s="288" t="n"/>
      <c r="C41" s="288" t="n"/>
      <c r="D41" s="288" t="n"/>
      <c r="E41" s="288" t="n"/>
      <c r="F41" s="289" t="n"/>
    </row>
    <row r="42" ht="19.95" customHeight="1" s="526">
      <c r="A42" s="290" t="inlineStr">
        <is>
          <t>1. 本测算表适用于执行“免、抵、退”办法的生产企业。一般的商贸企业出口退税程序较为简单，即：免征最后环节增值部分应纳税款，按购进金额计算退还应退税款，应退税额＝购进货物的购进金额×退税率</t>
        </is>
      </c>
      <c r="B42" s="291" t="n"/>
      <c r="C42" s="291" t="n"/>
      <c r="D42" s="291" t="n"/>
      <c r="E42" s="291" t="n"/>
      <c r="F42" s="291" t="n"/>
    </row>
    <row r="43" ht="19.95" customHeight="1" s="526">
      <c r="A43" s="290" t="inlineStr">
        <is>
          <t>2. 表中第19栏“免抵退税不得免征和抵扣税额调整数”产生原因：当出现企业的增值税纳税申报和出口退税申报两者存在时间差等特殊情况时，“免抵退税不得免征和抵扣税额”可能会有差异，根据相关规定，企业应对该项差异进行相应的账务调整，并且在下期增值税纳税申报时对《增值税纳税申报表》相应项目做出调整。</t>
        </is>
      </c>
      <c r="B43" s="291" t="n"/>
      <c r="C43" s="291" t="n"/>
      <c r="D43" s="291" t="n"/>
      <c r="E43" s="291" t="n"/>
      <c r="F43" s="291" t="n"/>
    </row>
    <row r="44" ht="19.95" customHeight="1" s="526">
      <c r="A44" s="292" t="inlineStr">
        <is>
          <t>3.对于生产出口企业，因采用“免、抵、退”政策，建议</t>
        </is>
      </c>
      <c r="B44" s="293" t="n"/>
      <c r="C44" s="293" t="n"/>
      <c r="D44" s="293" t="n"/>
      <c r="E44" s="293" t="n"/>
      <c r="F44" s="293" t="n"/>
    </row>
    <row r="45" ht="19.95" customHeight="1" s="526">
      <c r="A45" s="292" t="inlineStr">
        <is>
          <t>（1）取得被审计单位的生产企业出口货物免抵退税申报汇总表并与账面数进行核对（重点核对免抵退税不得免征和抵扣税额）。</t>
        </is>
      </c>
      <c r="B45" s="293" t="n"/>
      <c r="C45" s="293" t="n"/>
      <c r="D45" s="293" t="n"/>
      <c r="E45" s="293" t="n"/>
      <c r="F45" s="293" t="n"/>
    </row>
    <row r="46" ht="19.95" customHeight="1" s="526">
      <c r="A46" s="292" t="inlineStr">
        <is>
          <t>（2）取证税务部门出具的出口免税证明。</t>
        </is>
      </c>
      <c r="B46" s="293" t="n"/>
      <c r="C46" s="293" t="n"/>
      <c r="D46" s="293" t="n"/>
      <c r="E46" s="293" t="n"/>
      <c r="F46" s="293" t="n"/>
    </row>
    <row r="47" ht="19.95" customHeight="1" s="526">
      <c r="A47" s="292" t="inlineStr">
        <is>
          <t>（3）复核免抵退税额的计算是否正确，会计处理是否恰当，应结转销售成本或存货的金额是否正确。关注财务账面外销收入采用的核算汇率与出口货物离岸（报关）时的汇率差异对免抵退税额计算的影响，是否及时进行了调整。</t>
        </is>
      </c>
      <c r="B47" s="293" t="n"/>
      <c r="C47" s="293" t="n"/>
      <c r="D47" s="293" t="n"/>
      <c r="E47" s="293" t="n"/>
      <c r="F47" s="293" t="n"/>
    </row>
    <row r="48" ht="19.95" customHeight="1" s="526">
      <c r="A48" s="294" t="inlineStr">
        <is>
          <t>（4）关注期末应退税额期后是否已收到退税款。</t>
        </is>
      </c>
      <c r="B48" s="295" t="n"/>
      <c r="C48" s="295" t="n"/>
      <c r="D48" s="295" t="n"/>
      <c r="E48" s="295" t="n"/>
      <c r="F48" s="295" t="n"/>
    </row>
    <row r="49" ht="19.95" customHeight="1" s="526">
      <c r="A49" s="292" t="inlineStr">
        <is>
          <t>（5）对于出口业务较少的生产企业，可逐笔进行核对；对于出口业务较多的生产企业，可按月进行分析、审核。</t>
        </is>
      </c>
      <c r="B49" s="293" t="n"/>
      <c r="C49" s="293" t="n"/>
      <c r="D49" s="293" t="n"/>
      <c r="E49" s="293" t="n"/>
      <c r="F49" s="293" t="n"/>
    </row>
    <row r="50" ht="19.95" customHeight="1" s="526">
      <c r="A50" s="292" t="inlineStr">
        <is>
          <t>4.对于外贸出口企业，因采用“先征后退”政策，建议</t>
        </is>
      </c>
      <c r="B50" s="293" t="n"/>
      <c r="C50" s="293" t="n"/>
      <c r="D50" s="293" t="n"/>
      <c r="E50" s="293" t="n"/>
      <c r="F50" s="293" t="n"/>
    </row>
    <row r="51" ht="19.95" customHeight="1" s="526">
      <c r="A51" s="292" t="inlineStr">
        <is>
          <t>（1）与外贸出口退税总申报表等资料核对（重点核对进项税转出-出口产品不予抵扣的进项税）。</t>
        </is>
      </c>
      <c r="B51" s="293" t="n"/>
      <c r="C51" s="293" t="n"/>
      <c r="D51" s="293" t="n"/>
      <c r="E51" s="293" t="n"/>
      <c r="F51" s="293" t="n"/>
    </row>
    <row r="52" ht="19.95" customHeight="1" s="526">
      <c r="A52" s="292" t="inlineStr">
        <is>
          <t>（2）根据当期应结转的出口商品成本与相应退税率匡算应退税额，检查征、退税之差是否已计入当期销售成本。</t>
        </is>
      </c>
      <c r="B52" s="293" t="n"/>
      <c r="C52" s="293" t="n"/>
      <c r="D52" s="293" t="n"/>
      <c r="E52" s="293" t="n"/>
      <c r="F52" s="293" t="n"/>
    </row>
    <row r="53" ht="19.95" customHeight="1" s="526">
      <c r="A53" s="292" t="inlineStr">
        <is>
          <t>（3）关注期末应退税额期后是否已收到退税款。对于期后未收到退税款的，检查期末应收出口退税款是否均在正常退税期内，并针对期末大额出口收入复核单证是否齐全，是否符合退税要求。</t>
        </is>
      </c>
      <c r="B53" s="293" t="n"/>
      <c r="C53" s="293" t="n"/>
      <c r="D53" s="293" t="n"/>
      <c r="E53" s="293" t="n"/>
      <c r="F53" s="293" t="n"/>
    </row>
    <row r="54" ht="19.95" customHeight="1" s="526">
      <c r="A54" s="294" t="inlineStr">
        <is>
          <t>（4）检查出口退税收款情况，判断出口退税收款周期（一般实现销售后多少时间内可以申报并收到退税款），根据退税周期和报告期末外销情况判断期末应收出口退税款是否合理。</t>
        </is>
      </c>
      <c r="B54" s="295" t="n"/>
      <c r="C54" s="295" t="n"/>
      <c r="D54" s="295" t="n"/>
      <c r="E54" s="295" t="n"/>
      <c r="F54" s="295" t="n"/>
    </row>
    <row r="55" ht="19.95" customHeight="1" s="526">
      <c r="A55" s="296" t="inlineStr">
        <is>
          <t>（5）关注超过申报有效期、单证不齐全或退税率发生变化等原因使得财务核算的应退税额与税务部门实际核定的退税额存在差异的，被审计单位是否已及时调整应收出口退税和相应期间销售成本。</t>
        </is>
      </c>
      <c r="B55" s="297" t="n"/>
      <c r="C55" s="297" t="n"/>
      <c r="D55" s="297" t="n"/>
      <c r="E55" s="297" t="n"/>
      <c r="F55" s="297" t="n"/>
    </row>
    <row r="56" ht="19.95" customHeight="1" s="526">
      <c r="A56" s="296" t="inlineStr">
        <is>
          <t>（6）关注期末留抵进项税额是否大于按期末存货余额与相应增值税率匡算的进项税额，如是，分析形成原因，判断是否合理。</t>
        </is>
      </c>
      <c r="B56" s="297" t="n"/>
      <c r="C56" s="297" t="n"/>
      <c r="D56" s="297" t="n"/>
      <c r="E56" s="297" t="n"/>
      <c r="F56" s="297" t="n"/>
    </row>
  </sheetData>
  <mergeCells count="2">
    <mergeCell ref="A2:F2"/>
    <mergeCell ref="A1:F1"/>
  </mergeCells>
  <hyperlinks>
    <hyperlink ref="F3" location="底稿目录!A1" display="D8-11"/>
  </hyperlinks>
  <pageMargins left="0.708333333333333" right="0.708333333333333" top="0.747916666666667" bottom="0.747916666666667" header="0.314583333333333" footer="0.314583333333333"/>
  <pageSetup orientation="portrait" paperSize="9" scale="61" blackAndWhite="1"/>
  <headerFooter>
    <oddHeader/>
    <oddFooter>&amp;C&amp;P/&amp;N</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I26"/>
  <sheetViews>
    <sheetView view="pageBreakPreview" zoomScale="93" zoomScaleNormal="100" workbookViewId="0">
      <selection activeCell="A1" sqref="A1:I1"/>
    </sheetView>
  </sheetViews>
  <sheetFormatPr baseColWidth="8" defaultColWidth="10" defaultRowHeight="20.1" customHeight="1"/>
  <cols>
    <col width="18" customWidth="1" style="313" min="1" max="1"/>
    <col width="13.69921875" customWidth="1" style="313" min="2" max="2"/>
    <col width="19.296875" customWidth="1" style="313" min="3" max="3"/>
    <col width="14.8984375" customWidth="1" style="313" min="4" max="4"/>
    <col width="12.59765625" customWidth="1" style="313" min="5" max="5"/>
    <col width="15.3984375" customWidth="1" style="313" min="6" max="6"/>
    <col width="15.69921875" customWidth="1" style="313" min="7" max="7"/>
    <col width="13.09765625" customWidth="1" style="313" min="8" max="8"/>
    <col width="13.8984375" customWidth="1" style="313" min="9" max="9"/>
    <col width="10" customWidth="1" style="313" min="10" max="16384"/>
  </cols>
  <sheetData>
    <row r="1" ht="20.1" customFormat="1" customHeight="1" s="298">
      <c r="A1" s="499" t="inlineStr">
        <is>
          <t>致同会计师事务所</t>
        </is>
      </c>
      <c r="B1" s="530" t="n"/>
      <c r="C1" s="530" t="n"/>
      <c r="D1" s="530" t="n"/>
      <c r="E1" s="530" t="n"/>
      <c r="F1" s="530" t="n"/>
      <c r="G1" s="530" t="n"/>
      <c r="H1" s="530" t="n"/>
      <c r="I1" s="530" t="n"/>
    </row>
    <row r="2" ht="20.1" customFormat="1" customHeight="1" s="298">
      <c r="A2" s="500" t="inlineStr">
        <is>
          <t>应交其他税费测算表</t>
        </is>
      </c>
      <c r="B2" s="530" t="n"/>
      <c r="C2" s="530" t="n"/>
      <c r="D2" s="530" t="n"/>
      <c r="E2" s="530" t="n"/>
      <c r="F2" s="530" t="n"/>
      <c r="G2" s="530" t="n"/>
      <c r="H2" s="530" t="n"/>
      <c r="I2" s="530" t="n"/>
    </row>
    <row r="3" ht="20.1" customFormat="1" customHeight="1" s="269">
      <c r="A3" s="655">
        <f>底稿目录!A2</f>
        <v/>
      </c>
      <c r="D3" s="269">
        <f>底稿目录!$A$4</f>
        <v/>
      </c>
      <c r="G3" s="269">
        <f>底稿目录!$A$5</f>
        <v/>
      </c>
      <c r="H3" s="328" t="inlineStr">
        <is>
          <t>索引号：</t>
        </is>
      </c>
      <c r="I3" s="525">
        <f>底稿目录!F13</f>
        <v/>
      </c>
    </row>
    <row r="4" ht="20.1" customFormat="1" customHeight="1" s="269">
      <c r="A4" s="655">
        <f>底稿目录!A3</f>
        <v/>
      </c>
      <c r="D4" s="269">
        <f>底稿目录!$A$6</f>
        <v/>
      </c>
      <c r="G4" s="269">
        <f>底稿目录!$A$7</f>
        <v/>
      </c>
      <c r="H4" s="328" t="inlineStr">
        <is>
          <t>页次：</t>
        </is>
      </c>
    </row>
    <row r="5" ht="20.1" customFormat="1" customHeight="1" s="269">
      <c r="A5" s="370" t="inlineStr">
        <is>
          <t>一、审计目标：</t>
        </is>
      </c>
    </row>
    <row r="6" ht="20.1" customFormat="1" customHeight="1" s="269">
      <c r="A6" s="218" t="inlineStr">
        <is>
          <t>1.资产负债表中记录的应交税费是存在的，且已记录于恰当的账户。</t>
        </is>
      </c>
    </row>
    <row r="7" ht="20.1" customFormat="1" customHeight="1" s="269">
      <c r="A7" s="218" t="inlineStr">
        <is>
          <t xml:space="preserve">2.所有应当记录的货币应交税费均已记录，所有应当包括在财务报表中的相关披露均已包括。 </t>
        </is>
      </c>
    </row>
    <row r="8" ht="20.1" customFormat="1" customHeight="1" s="269">
      <c r="A8" s="218" t="inlineStr">
        <is>
          <t xml:space="preserve">3.应交税费以恰当的金额包括在财务报表中，与之相关的计价或分摊调整已恰当记录，相关披露已得到恰当计量和描述 </t>
        </is>
      </c>
    </row>
    <row r="9" ht="20.1" customFormat="1" customHeight="1" s="269">
      <c r="A9" s="275" t="inlineStr">
        <is>
          <t>二、审计过程：</t>
        </is>
      </c>
    </row>
    <row r="10" ht="20.1" customFormat="1" customHeight="1" s="269">
      <c r="A10" s="299" t="inlineStr">
        <is>
          <t>税种</t>
        </is>
      </c>
      <c r="B10" s="299" t="inlineStr">
        <is>
          <t>应税项目</t>
        </is>
      </c>
      <c r="C10" s="299" t="inlineStr">
        <is>
          <t>计税依据</t>
        </is>
      </c>
      <c r="D10" s="299" t="inlineStr">
        <is>
          <t>计税金额</t>
        </is>
      </c>
      <c r="E10" s="299" t="inlineStr">
        <is>
          <t>税率/税额</t>
        </is>
      </c>
      <c r="F10" s="299" t="inlineStr">
        <is>
          <t>应计税额</t>
        </is>
      </c>
      <c r="G10" s="299" t="inlineStr">
        <is>
          <t>账面计提税额</t>
        </is>
      </c>
      <c r="H10" s="299" t="inlineStr">
        <is>
          <t>差额</t>
        </is>
      </c>
      <c r="I10" s="299" t="inlineStr">
        <is>
          <t>备注</t>
        </is>
      </c>
    </row>
    <row r="11" ht="20.1" customFormat="1" customHeight="1" s="269">
      <c r="A11" s="300" t="inlineStr">
        <is>
          <t>消费税</t>
        </is>
      </c>
      <c r="B11" s="301" t="n"/>
      <c r="C11" s="302" t="inlineStr">
        <is>
          <t>销售额/销售数量</t>
        </is>
      </c>
      <c r="D11" s="768" t="n"/>
      <c r="E11" s="304" t="n"/>
      <c r="F11" s="745">
        <f>D11*E11</f>
        <v/>
      </c>
      <c r="G11" s="744" t="n"/>
      <c r="H11" s="745">
        <f>F11-G11</f>
        <v/>
      </c>
      <c r="I11" s="244" t="n"/>
    </row>
    <row r="12" ht="20.1" customFormat="1" customHeight="1" s="269">
      <c r="A12" s="492" t="inlineStr">
        <is>
          <t>资源税</t>
        </is>
      </c>
      <c r="B12" s="244" t="n"/>
      <c r="C12" s="302" t="inlineStr">
        <is>
          <t>销售额/销售数量</t>
        </is>
      </c>
      <c r="D12" s="744" t="n"/>
      <c r="E12" s="743" t="n"/>
      <c r="F12" s="745">
        <f>D12*E12</f>
        <v/>
      </c>
      <c r="G12" s="744" t="n"/>
      <c r="H12" s="745">
        <f>F12-G12</f>
        <v/>
      </c>
      <c r="I12" s="244" t="n"/>
    </row>
    <row r="13" ht="20.1" customFormat="1" customHeight="1" s="269">
      <c r="A13" s="492" t="inlineStr">
        <is>
          <t>城建税</t>
        </is>
      </c>
      <c r="B13" s="244" t="n"/>
      <c r="C13" s="302" t="inlineStr">
        <is>
          <t>应交增值税/消费税</t>
        </is>
      </c>
      <c r="D13" s="744" t="n"/>
      <c r="E13" s="743" t="n"/>
      <c r="F13" s="745">
        <f>D13*E13</f>
        <v/>
      </c>
      <c r="G13" s="744" t="n"/>
      <c r="H13" s="745">
        <f>F13-G13</f>
        <v/>
      </c>
      <c r="I13" s="244" t="n"/>
    </row>
    <row r="14" ht="20.1" customFormat="1" customHeight="1" s="269">
      <c r="A14" s="492" t="inlineStr">
        <is>
          <t>教育费附加</t>
        </is>
      </c>
      <c r="B14" s="244" t="n"/>
      <c r="C14" s="302" t="inlineStr">
        <is>
          <t>应交增值税/消费税</t>
        </is>
      </c>
      <c r="D14" s="744" t="n"/>
      <c r="E14" s="743" t="n"/>
      <c r="F14" s="745">
        <f>D14*E14</f>
        <v/>
      </c>
      <c r="G14" s="744" t="n"/>
      <c r="H14" s="745">
        <f>F14-G14</f>
        <v/>
      </c>
      <c r="I14" s="244" t="n"/>
    </row>
    <row r="15" ht="20.1" customFormat="1" customHeight="1" s="269">
      <c r="A15" s="492" t="inlineStr">
        <is>
          <t>地方教育费附加</t>
        </is>
      </c>
      <c r="B15" s="244" t="n"/>
      <c r="C15" s="302" t="inlineStr">
        <is>
          <t>应交增值税/消费税</t>
        </is>
      </c>
      <c r="D15" s="744" t="n"/>
      <c r="E15" s="743" t="n"/>
      <c r="F15" s="745">
        <f>D15*E15</f>
        <v/>
      </c>
      <c r="G15" s="744" t="n"/>
      <c r="H15" s="745">
        <f>F15-G15</f>
        <v/>
      </c>
      <c r="I15" s="244" t="n"/>
    </row>
    <row r="16" ht="20.1" customFormat="1" customHeight="1" s="269">
      <c r="A16" s="492" t="inlineStr">
        <is>
          <t>土地使用税</t>
        </is>
      </c>
      <c r="B16" s="244" t="n"/>
      <c r="C16" s="302" t="inlineStr">
        <is>
          <t>土地面积</t>
        </is>
      </c>
      <c r="D16" s="744" t="n"/>
      <c r="E16" s="743" t="n"/>
      <c r="F16" s="745">
        <f>D16*E16</f>
        <v/>
      </c>
      <c r="G16" s="744" t="n"/>
      <c r="H16" s="745">
        <f>F16-G16</f>
        <v/>
      </c>
      <c r="I16" s="244" t="n"/>
    </row>
    <row r="17" ht="34.8" customFormat="1" customHeight="1" s="269">
      <c r="A17" s="492" t="inlineStr">
        <is>
          <t>车船税</t>
        </is>
      </c>
      <c r="B17" s="244" t="n"/>
      <c r="C17" s="302" t="n"/>
      <c r="D17" s="744" t="n"/>
      <c r="E17" s="743" t="n"/>
      <c r="F17" s="745">
        <f>D17*E17</f>
        <v/>
      </c>
      <c r="G17" s="744" t="n"/>
      <c r="H17" s="745">
        <f>F17-G17</f>
        <v/>
      </c>
      <c r="I17" s="308" t="inlineStr">
        <is>
          <t>计税单位（每辆）/每吨/……</t>
        </is>
      </c>
    </row>
    <row r="18" ht="20.1" customFormat="1" customHeight="1" s="269">
      <c r="A18" s="309" t="inlineStr">
        <is>
          <t>……</t>
        </is>
      </c>
      <c r="B18" s="310" t="n"/>
      <c r="C18" s="311" t="n"/>
      <c r="D18" s="744" t="n"/>
      <c r="E18" s="749" t="n"/>
      <c r="F18" s="745">
        <f>D18*E18</f>
        <v/>
      </c>
      <c r="G18" s="749" t="n"/>
      <c r="H18" s="745">
        <f>F18-G18</f>
        <v/>
      </c>
      <c r="I18" s="244" t="n"/>
    </row>
    <row r="19" ht="20.1" customFormat="1" customHeight="1" s="269">
      <c r="A19" s="357" t="inlineStr">
        <is>
          <t>三、审计说明：</t>
        </is>
      </c>
      <c r="H19" s="329" t="n"/>
    </row>
    <row r="20" ht="20.1" customFormat="1" customHeight="1" s="269">
      <c r="H20" s="329" t="n"/>
    </row>
    <row r="21" ht="20.1" customFormat="1" customHeight="1" s="269">
      <c r="H21" s="329" t="n"/>
    </row>
    <row r="22" ht="20.1" customFormat="1" customHeight="1" s="269"/>
    <row r="23" ht="20.1" customFormat="1" customHeight="1" s="269">
      <c r="A23" s="357" t="inlineStr">
        <is>
          <t>四、审计结论：</t>
        </is>
      </c>
    </row>
    <row r="24" ht="20.1" customFormat="1" customHeight="1" s="269">
      <c r="A24" s="357" t="n"/>
    </row>
    <row r="25" ht="20.1" customFormat="1" customHeight="1" s="269">
      <c r="A25" s="357" t="n"/>
    </row>
    <row r="26" ht="20.1" customFormat="1" customHeight="1" s="269">
      <c r="A26" s="357" t="n"/>
    </row>
  </sheetData>
  <mergeCells count="2">
    <mergeCell ref="A1:I1"/>
    <mergeCell ref="A2:I2"/>
  </mergeCells>
  <hyperlinks>
    <hyperlink ref="I3" location="底稿目录!A1" display="D8-7"/>
  </hyperlinks>
  <pageMargins left="0.708333333333333" right="0.708333333333333" top="0.747916666666667" bottom="0.747916666666667" header="0.314583333333333" footer="0.314583333333333"/>
  <pageSetup orientation="portrait" paperSize="9" scale="60" blackAndWhite="1"/>
  <headerFooter>
    <oddHeader/>
    <oddFooter>&amp;C&amp;P/&amp;N</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G30"/>
  <sheetViews>
    <sheetView view="pageBreakPreview" zoomScaleNormal="100" workbookViewId="0">
      <selection activeCell="A1" sqref="A1:G1"/>
    </sheetView>
  </sheetViews>
  <sheetFormatPr baseColWidth="8" defaultColWidth="9.09765625" defaultRowHeight="20.1" customHeight="1"/>
  <cols>
    <col width="17.296875" customWidth="1" style="317" min="1" max="1"/>
    <col width="15.59765625" customWidth="1" style="317" min="2" max="2"/>
    <col width="14.69921875" customWidth="1" style="317" min="3" max="3"/>
    <col width="13.69921875" customWidth="1" style="317" min="4" max="4"/>
    <col width="10.8984375" customWidth="1" style="317" min="5" max="5"/>
    <col width="13.296875" customWidth="1" style="317" min="6" max="6"/>
    <col width="17.8984375" customWidth="1" style="317" min="7" max="7"/>
    <col width="9.09765625" customWidth="1" style="317" min="8" max="16384"/>
  </cols>
  <sheetData>
    <row r="1" ht="20.1" customFormat="1" customHeight="1" s="298">
      <c r="A1" s="499" t="inlineStr">
        <is>
          <t>致同会计师事务所</t>
        </is>
      </c>
      <c r="B1" s="530" t="n"/>
      <c r="C1" s="530" t="n"/>
      <c r="D1" s="530" t="n"/>
      <c r="E1" s="530" t="n"/>
      <c r="F1" s="530" t="n"/>
      <c r="G1" s="530" t="n"/>
    </row>
    <row r="2" ht="20.1" customFormat="1" customHeight="1" s="298">
      <c r="A2" s="500" t="inlineStr">
        <is>
          <t>应交房产税测算表</t>
        </is>
      </c>
      <c r="B2" s="530" t="n"/>
      <c r="C2" s="530" t="n"/>
      <c r="D2" s="530" t="n"/>
      <c r="E2" s="530" t="n"/>
      <c r="F2" s="530" t="n"/>
      <c r="G2" s="530" t="n"/>
    </row>
    <row r="3" ht="20.1" customFormat="1" customHeight="1" s="269">
      <c r="A3" s="655">
        <f>底稿目录!A2</f>
        <v/>
      </c>
      <c r="C3" s="269">
        <f>底稿目录!$A$4</f>
        <v/>
      </c>
      <c r="E3" s="269">
        <f>底稿目录!$A$5</f>
        <v/>
      </c>
      <c r="F3" s="328" t="inlineStr">
        <is>
          <t>索引号：</t>
        </is>
      </c>
      <c r="G3" s="525">
        <f>底稿目录!F14</f>
        <v/>
      </c>
    </row>
    <row r="4" ht="20.1" customFormat="1" customHeight="1" s="269">
      <c r="A4" s="655">
        <f>底稿目录!A3</f>
        <v/>
      </c>
      <c r="C4" s="269">
        <f>底稿目录!$A$6</f>
        <v/>
      </c>
      <c r="E4" s="269">
        <f>底稿目录!$A$7</f>
        <v/>
      </c>
      <c r="F4" s="328" t="inlineStr">
        <is>
          <t>页次：</t>
        </is>
      </c>
    </row>
    <row r="5" ht="20.1" customFormat="1" customHeight="1" s="269">
      <c r="A5" s="370" t="inlineStr">
        <is>
          <t>一、审计目标：</t>
        </is>
      </c>
    </row>
    <row r="6" ht="20.1" customFormat="1" customHeight="1" s="269">
      <c r="A6" s="218" t="inlineStr">
        <is>
          <t>1.资产负债表中记录的应交税费是存在的，且已记录于恰当的账户。</t>
        </is>
      </c>
    </row>
    <row r="7" ht="20.1" customFormat="1" customHeight="1" s="269">
      <c r="A7" s="218" t="inlineStr">
        <is>
          <t xml:space="preserve">2.所有应当记录的货币应交税费均已记录，所有应当包括在财务报表中的相关披露均已包括。 </t>
        </is>
      </c>
    </row>
    <row r="8" ht="20.1" customFormat="1" customHeight="1" s="269">
      <c r="A8" s="218" t="inlineStr">
        <is>
          <t>3.应交税费以恰当的金额包括在财务报表中，与之相关的计价或分摊调整已恰当记录，相关披露已得到恰当计量和描述。</t>
        </is>
      </c>
    </row>
    <row r="9" ht="20.1" customFormat="1" customHeight="1" s="269">
      <c r="A9" s="275" t="inlineStr">
        <is>
          <t>二、审计过程：</t>
        </is>
      </c>
    </row>
    <row r="10" ht="20.1" customHeight="1" s="526">
      <c r="A10" s="314" t="inlineStr">
        <is>
          <t>1.从价计征（法定年税率为1.2%）</t>
        </is>
      </c>
      <c r="B10" s="314" t="n"/>
      <c r="C10" s="314" t="n"/>
      <c r="D10" s="314" t="n"/>
      <c r="E10" s="314" t="n"/>
      <c r="F10" s="315" t="n"/>
      <c r="G10" s="316" t="n"/>
    </row>
    <row r="11" ht="20.1" customHeight="1" s="526">
      <c r="A11" s="769" t="inlineStr">
        <is>
          <t>房产名称</t>
        </is>
      </c>
      <c r="B11" s="318" t="inlineStr">
        <is>
          <t>房产原值</t>
        </is>
      </c>
      <c r="C11" s="318" t="inlineStr">
        <is>
          <t>不计税原值</t>
        </is>
      </c>
      <c r="D11" s="318" t="inlineStr">
        <is>
          <t>计税原值</t>
        </is>
      </c>
      <c r="E11" s="318" t="inlineStr">
        <is>
          <t>扣除比率</t>
        </is>
      </c>
      <c r="F11" s="318" t="inlineStr">
        <is>
          <t>当年使用月份</t>
        </is>
      </c>
      <c r="G11" s="318" t="inlineStr">
        <is>
          <t>应缴税额</t>
        </is>
      </c>
    </row>
    <row r="12" ht="51.6" customHeight="1" s="526">
      <c r="A12" s="661" t="n"/>
      <c r="B12" s="318" t="inlineStr">
        <is>
          <t>①</t>
        </is>
      </c>
      <c r="C12" s="318" t="inlineStr">
        <is>
          <t>②</t>
        </is>
      </c>
      <c r="D12" s="318" t="inlineStr">
        <is>
          <t>③=①-②</t>
        </is>
      </c>
      <c r="E12" s="318" t="inlineStr">
        <is>
          <t>④</t>
        </is>
      </c>
      <c r="F12" s="318" t="inlineStr">
        <is>
          <t>⑤</t>
        </is>
      </c>
      <c r="G12" s="318" t="inlineStr">
        <is>
          <t>⑥=③×（100%-④）×1.2%×⑤÷12个月</t>
        </is>
      </c>
    </row>
    <row r="13" ht="20.1" customHeight="1" s="526">
      <c r="A13" s="319" t="n"/>
      <c r="B13" s="770" t="n"/>
      <c r="C13" s="770" t="n"/>
      <c r="D13" s="771">
        <f>B13-C13</f>
        <v/>
      </c>
      <c r="E13" s="772" t="n"/>
      <c r="F13" s="770" t="n"/>
      <c r="G13" s="771">
        <f>D13*(1-E13)*1.2%*F13/12</f>
        <v/>
      </c>
    </row>
    <row r="14" ht="20.1" customHeight="1" s="526">
      <c r="A14" s="319" t="n"/>
      <c r="B14" s="770" t="n"/>
      <c r="C14" s="770" t="n"/>
      <c r="D14" s="771">
        <f>B14-C14</f>
        <v/>
      </c>
      <c r="E14" s="772" t="n"/>
      <c r="F14" s="770" t="n"/>
      <c r="G14" s="771">
        <f>D14*(1-E14)*1.2%*F14/12</f>
        <v/>
      </c>
    </row>
    <row r="15" ht="20.1" customHeight="1" s="526">
      <c r="A15" s="319" t="n"/>
      <c r="B15" s="770" t="n"/>
      <c r="C15" s="770" t="n"/>
      <c r="D15" s="771">
        <f>B15-C15</f>
        <v/>
      </c>
      <c r="E15" s="772" t="n"/>
      <c r="F15" s="770" t="n"/>
      <c r="G15" s="771">
        <f>D15*(1-E15)*1.2%*F15/12</f>
        <v/>
      </c>
    </row>
    <row r="16" ht="20.1" customHeight="1" s="526">
      <c r="A16" s="319" t="n"/>
      <c r="B16" s="770" t="n"/>
      <c r="C16" s="770" t="n"/>
      <c r="D16" s="771">
        <f>B16-C16</f>
        <v/>
      </c>
      <c r="E16" s="772" t="n"/>
      <c r="F16" s="770" t="n"/>
      <c r="G16" s="771">
        <f>D16*(1-E16)*1.2%*F16/12</f>
        <v/>
      </c>
    </row>
    <row r="17" ht="20.1" customHeight="1" s="526">
      <c r="A17" s="323" t="inlineStr">
        <is>
          <t>合计</t>
        </is>
      </c>
      <c r="B17" s="773">
        <f>SUM(B13:B16)</f>
        <v/>
      </c>
      <c r="C17" s="773">
        <f>SUM(C13:C16)</f>
        <v/>
      </c>
      <c r="D17" s="773">
        <f>SUM(D13:D16)</f>
        <v/>
      </c>
      <c r="E17" s="773" t="n"/>
      <c r="F17" s="773" t="n"/>
      <c r="G17" s="773">
        <f>SUM(G13:G16)</f>
        <v/>
      </c>
    </row>
    <row r="18" ht="20.1" customHeight="1" s="526">
      <c r="A18" s="314" t="inlineStr">
        <is>
          <t>2.从租计征（法定年税率为12%）</t>
        </is>
      </c>
      <c r="B18" s="314" t="n"/>
      <c r="C18" s="314" t="n"/>
      <c r="D18" s="314" t="n"/>
      <c r="E18" s="314" t="n"/>
      <c r="F18" s="315" t="n"/>
      <c r="G18" s="316" t="n"/>
    </row>
    <row r="19" ht="20.1" customHeight="1" s="526">
      <c r="A19" s="769" t="inlineStr">
        <is>
          <t>房产名称</t>
        </is>
      </c>
      <c r="B19" s="318" t="inlineStr">
        <is>
          <t>出租开始日</t>
        </is>
      </c>
      <c r="C19" s="318" t="inlineStr">
        <is>
          <t>出租结束日</t>
        </is>
      </c>
      <c r="D19" s="318" t="inlineStr">
        <is>
          <t>年租金收入</t>
        </is>
      </c>
      <c r="E19" s="318" t="inlineStr">
        <is>
          <t>税率</t>
        </is>
      </c>
      <c r="F19" s="318" t="inlineStr">
        <is>
          <t>当年出租月份</t>
        </is>
      </c>
      <c r="G19" s="318" t="inlineStr">
        <is>
          <t>应缴税额</t>
        </is>
      </c>
    </row>
    <row r="20" ht="27" customHeight="1" s="526">
      <c r="A20" s="661" t="n"/>
      <c r="B20" s="318" t="inlineStr">
        <is>
          <t>①</t>
        </is>
      </c>
      <c r="C20" s="318" t="inlineStr">
        <is>
          <t>②</t>
        </is>
      </c>
      <c r="D20" s="318" t="inlineStr">
        <is>
          <t>③</t>
        </is>
      </c>
      <c r="E20" s="318" t="inlineStr">
        <is>
          <t>④</t>
        </is>
      </c>
      <c r="F20" s="318" t="inlineStr">
        <is>
          <t>⑤</t>
        </is>
      </c>
      <c r="G20" s="318" t="inlineStr">
        <is>
          <t>⑥=③×④×⑤÷12个月</t>
        </is>
      </c>
    </row>
    <row r="21" ht="20.1" customHeight="1" s="526">
      <c r="A21" s="319" t="n"/>
      <c r="B21" s="325" t="n"/>
      <c r="C21" s="325" t="n"/>
      <c r="D21" s="770" t="n"/>
      <c r="E21" s="772" t="n"/>
      <c r="F21" s="770" t="n"/>
      <c r="G21" s="771">
        <f>D21*E21*F21/12</f>
        <v/>
      </c>
    </row>
    <row r="22" ht="20.1" customHeight="1" s="526">
      <c r="A22" s="319" t="n"/>
      <c r="B22" s="325" t="n"/>
      <c r="C22" s="325" t="n"/>
      <c r="D22" s="770" t="n"/>
      <c r="E22" s="772" t="n"/>
      <c r="F22" s="770" t="n"/>
      <c r="G22" s="771">
        <f>D22*E22*F22/12</f>
        <v/>
      </c>
    </row>
    <row r="23" ht="20.1" customHeight="1" s="526">
      <c r="A23" s="319" t="n"/>
      <c r="B23" s="325" t="n"/>
      <c r="C23" s="325" t="n"/>
      <c r="D23" s="770" t="n"/>
      <c r="E23" s="772" t="n"/>
      <c r="F23" s="770" t="n"/>
      <c r="G23" s="771">
        <f>D23*E23*F23/12</f>
        <v/>
      </c>
    </row>
    <row r="24" ht="20.1" customHeight="1" s="526">
      <c r="A24" s="319" t="n"/>
      <c r="B24" s="325" t="n"/>
      <c r="C24" s="325" t="n"/>
      <c r="D24" s="770" t="n"/>
      <c r="E24" s="772" t="n"/>
      <c r="F24" s="770" t="n"/>
      <c r="G24" s="771">
        <f>D24*E24*F24/12</f>
        <v/>
      </c>
    </row>
    <row r="25" ht="20.1" customHeight="1" s="526">
      <c r="A25" s="323" t="inlineStr">
        <is>
          <t>合计</t>
        </is>
      </c>
      <c r="B25" s="774" t="n"/>
      <c r="C25" s="774" t="n"/>
      <c r="D25" s="773">
        <f>SUM(D21:D24)</f>
        <v/>
      </c>
      <c r="E25" s="773" t="n"/>
      <c r="F25" s="773" t="n"/>
      <c r="G25" s="773">
        <f>SUM(G21:G24)</f>
        <v/>
      </c>
    </row>
    <row r="26" ht="20.1" customHeight="1" s="526">
      <c r="A26" s="357" t="inlineStr">
        <is>
          <t>三、审计说明：</t>
        </is>
      </c>
    </row>
    <row r="27" ht="20.1" customHeight="1" s="526">
      <c r="A27" s="357" t="n"/>
    </row>
    <row r="28" ht="20.1" customHeight="1" s="526">
      <c r="A28" s="269" t="n"/>
    </row>
    <row r="29" ht="20.1" customHeight="1" s="526">
      <c r="A29" s="269" t="n"/>
    </row>
    <row r="30" ht="20.1" customHeight="1" s="526">
      <c r="A30" s="357" t="inlineStr">
        <is>
          <t>四、审计结论：</t>
        </is>
      </c>
    </row>
  </sheetData>
  <mergeCells count="4">
    <mergeCell ref="A1:G1"/>
    <mergeCell ref="A2:G2"/>
    <mergeCell ref="A19:A20"/>
    <mergeCell ref="A11:A12"/>
  </mergeCells>
  <hyperlinks>
    <hyperlink ref="G3" location="底稿目录!A1" display="D8-8"/>
  </hyperlinks>
  <pageMargins left="0.708333333333333" right="0.708333333333333" top="0.747916666666667" bottom="0.747916666666667" header="0.314583333333333" footer="0.314583333333333"/>
  <pageSetup orientation="portrait" paperSize="9" scale="79" blackAndWhite="1"/>
  <headerFooter>
    <oddHeader/>
    <oddFooter>&amp;C&amp;P/&amp;N</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G51"/>
  <sheetViews>
    <sheetView view="pageBreakPreview" zoomScaleNormal="100" workbookViewId="0">
      <selection activeCell="A1" sqref="A1:E1"/>
    </sheetView>
  </sheetViews>
  <sheetFormatPr baseColWidth="8" defaultColWidth="10" defaultRowHeight="20.1" customHeight="1"/>
  <cols>
    <col width="38.8984375" customWidth="1" style="327" min="1" max="1"/>
    <col width="16" customWidth="1" style="327" min="2" max="2"/>
    <col width="15" customWidth="1" style="327" min="3" max="3"/>
    <col width="17" customWidth="1" style="327" min="4" max="4"/>
    <col width="12.09765625" customWidth="1" style="327" min="5" max="5"/>
    <col width="10" customWidth="1" style="327" min="6" max="16384"/>
  </cols>
  <sheetData>
    <row r="1" ht="20.1" customHeight="1" s="526">
      <c r="A1" s="503" t="inlineStr">
        <is>
          <t>致同会计师事务所</t>
        </is>
      </c>
      <c r="B1" s="530" t="n"/>
      <c r="C1" s="530" t="n"/>
      <c r="D1" s="530" t="n"/>
      <c r="E1" s="530" t="n"/>
    </row>
    <row r="2" ht="20.1" customHeight="1" s="526">
      <c r="A2" s="504" t="inlineStr">
        <is>
          <t>土地增值税测算表</t>
        </is>
      </c>
      <c r="B2" s="530" t="n"/>
      <c r="C2" s="530" t="n"/>
      <c r="D2" s="530" t="n"/>
      <c r="E2" s="530" t="n"/>
    </row>
    <row r="3" ht="20.1" customFormat="1" customHeight="1" s="329">
      <c r="A3" s="655">
        <f>底稿目录!A2</f>
        <v/>
      </c>
      <c r="B3" s="269">
        <f>底稿目录!$A$4</f>
        <v/>
      </c>
      <c r="C3" s="269">
        <f>底稿目录!$A$5</f>
        <v/>
      </c>
      <c r="D3" s="328" t="inlineStr">
        <is>
          <t>索引号：</t>
        </is>
      </c>
      <c r="E3" s="525">
        <f>底稿目录!F15</f>
        <v/>
      </c>
    </row>
    <row r="4" ht="20.1" customFormat="1" customHeight="1" s="329">
      <c r="A4" s="655">
        <f>底稿目录!A3</f>
        <v/>
      </c>
      <c r="B4" s="269">
        <f>底稿目录!$A$6</f>
        <v/>
      </c>
      <c r="C4" s="269">
        <f>底稿目录!$A$7</f>
        <v/>
      </c>
      <c r="D4" s="328" t="inlineStr">
        <is>
          <t>页次：</t>
        </is>
      </c>
      <c r="G4" s="269" t="n"/>
    </row>
    <row r="5" ht="20.1" customFormat="1" customHeight="1" s="329">
      <c r="A5" s="370" t="inlineStr">
        <is>
          <t>一、审计目标：</t>
        </is>
      </c>
      <c r="B5" s="269" t="n"/>
      <c r="C5" s="269" t="n"/>
      <c r="D5" s="269" t="n"/>
      <c r="E5" s="218" t="n"/>
      <c r="G5" s="269" t="n"/>
    </row>
    <row r="6" ht="20.1" customFormat="1" customHeight="1" s="269">
      <c r="A6" s="218" t="inlineStr">
        <is>
          <t>1.资产负债表中记录的应交税费是存在的，且已记录于恰当的账户。</t>
        </is>
      </c>
    </row>
    <row r="7" ht="20.1" customFormat="1" customHeight="1" s="269">
      <c r="A7" s="218" t="inlineStr">
        <is>
          <t xml:space="preserve">2.所有应当记录的货币应交税费均已记录，所有应当包括在财务报表中的相关披露均已包括。 </t>
        </is>
      </c>
    </row>
    <row r="8" ht="20.1" customFormat="1" customHeight="1" s="269">
      <c r="A8" s="218" t="inlineStr">
        <is>
          <t xml:space="preserve">3.应交税费以恰当的金额包括在财务报表中，与之相关的计价或分摊调整已恰当记录，相关披露已得到恰当计量和描述 </t>
        </is>
      </c>
    </row>
    <row r="9" ht="20.1" customFormat="1" customHeight="1" s="329">
      <c r="A9" s="275" t="inlineStr">
        <is>
          <t>二、审计过程：</t>
        </is>
      </c>
      <c r="B9" s="269" t="n"/>
      <c r="C9" s="269" t="n"/>
      <c r="D9" s="269" t="n"/>
      <c r="E9" s="218" t="n"/>
      <c r="G9" s="269" t="n"/>
    </row>
    <row r="10" ht="20.1" customFormat="1" customHeight="1" s="329">
      <c r="A10" s="276" t="inlineStr">
        <is>
          <t>1.根据审定的预售房地产的预收账款，复核预交税款是否准确。</t>
        </is>
      </c>
      <c r="B10" s="330" t="n"/>
      <c r="C10" s="330" t="n"/>
      <c r="D10" s="330" t="n"/>
      <c r="E10" s="330" t="n"/>
      <c r="G10" s="269" t="n"/>
    </row>
    <row r="11" ht="20.1" customFormat="1" customHeight="1" s="329">
      <c r="A11" s="276" t="inlineStr">
        <is>
          <t>2.对符合项目清算条件的房地产开发项目，检查被审计单位是否按规定进行土地增值税清算；</t>
        </is>
      </c>
      <c r="B11" s="331" t="n"/>
      <c r="C11" s="331" t="n"/>
      <c r="D11" s="331" t="n"/>
      <c r="E11" s="331" t="n"/>
      <c r="G11" s="269" t="n"/>
    </row>
    <row r="12" ht="20.1" customFormat="1" customHeight="1" s="329">
      <c r="A12" s="276" t="inlineStr">
        <is>
          <t>被审计单位已聘请中介机构办理土地增值税清算鉴证的，检查、核对相关鉴证报告。</t>
        </is>
      </c>
      <c r="B12" s="331" t="n"/>
      <c r="C12" s="331" t="n"/>
      <c r="D12" s="331" t="n"/>
      <c r="E12" s="331" t="n"/>
      <c r="G12" s="269" t="n"/>
    </row>
    <row r="13" ht="20.1" customFormat="1" customHeight="1" s="329">
      <c r="A13" s="276" t="inlineStr">
        <is>
          <t>3.被审计单位被主管税务机关核定征收土地增值税的，检查、核对相关的手续。</t>
        </is>
      </c>
      <c r="B13" s="330" t="n"/>
      <c r="C13" s="330" t="n"/>
      <c r="D13" s="330" t="n"/>
      <c r="E13" s="330" t="n"/>
      <c r="G13" s="269" t="n"/>
    </row>
    <row r="14" ht="20.1" customFormat="1" customHeight="1" s="329">
      <c r="A14" s="276" t="inlineStr">
        <is>
          <t>4.……</t>
        </is>
      </c>
      <c r="G14" s="269" t="n"/>
    </row>
    <row r="15" ht="20.1" customFormat="1" customHeight="1" s="329">
      <c r="A15" s="332" t="inlineStr">
        <is>
          <t>项目</t>
        </is>
      </c>
      <c r="B15" s="332" t="inlineStr">
        <is>
          <t>可销售面积</t>
        </is>
      </c>
      <c r="C15" s="332" t="inlineStr">
        <is>
          <t>已销售面积</t>
        </is>
      </c>
      <c r="D15" s="332" t="inlineStr">
        <is>
          <t>未销售面积</t>
        </is>
      </c>
      <c r="E15" s="332" t="inlineStr">
        <is>
          <t>索引号</t>
        </is>
      </c>
      <c r="G15" s="269" t="n"/>
    </row>
    <row r="16" ht="20.1" customFormat="1" customHeight="1" s="329">
      <c r="A16" s="333" t="inlineStr">
        <is>
          <t>数量（平方米）</t>
        </is>
      </c>
      <c r="B16" s="775" t="n"/>
      <c r="C16" s="775" t="n"/>
      <c r="D16" s="776">
        <f>B16-C16</f>
        <v/>
      </c>
      <c r="E16" s="336" t="n"/>
      <c r="G16" s="269" t="n"/>
    </row>
    <row r="17" ht="20.1" customFormat="1" customHeight="1" s="329">
      <c r="A17" s="333" t="inlineStr">
        <is>
          <t>收入（元）</t>
        </is>
      </c>
      <c r="B17" s="776">
        <f>C17+D17</f>
        <v/>
      </c>
      <c r="C17" s="775" t="n"/>
      <c r="D17" s="775" t="n"/>
      <c r="E17" s="336" t="n"/>
      <c r="G17" s="269" t="n"/>
    </row>
    <row r="18" ht="20.1" customFormat="1" customHeight="1" s="329">
      <c r="A18" s="333" t="inlineStr">
        <is>
          <t>单价（元）</t>
        </is>
      </c>
      <c r="B18" s="776">
        <f>IF(B16&lt;&gt;0,ROUND(B17/B16,2),0)</f>
        <v/>
      </c>
      <c r="C18" s="776">
        <f>IF(C16&lt;&gt;0,ROUND(C17/C16,2),0)</f>
        <v/>
      </c>
      <c r="D18" s="776">
        <f>IF(D16&lt;&gt;0,ROUND(D17/D16,2),0)</f>
        <v/>
      </c>
      <c r="E18" s="336" t="n"/>
      <c r="G18" s="269" t="n"/>
    </row>
    <row r="19" ht="20.1" customFormat="1" customHeight="1" s="329">
      <c r="A19" s="333" t="inlineStr">
        <is>
          <t>成本（元）</t>
        </is>
      </c>
      <c r="B19" s="775" t="n"/>
      <c r="C19" s="775" t="n"/>
      <c r="D19" s="776">
        <f>B19-C19</f>
        <v/>
      </c>
      <c r="E19" s="336" t="n"/>
      <c r="G19" s="269" t="n"/>
    </row>
    <row r="20" ht="20.1" customFormat="1" customHeight="1" s="329">
      <c r="A20" s="333" t="inlineStr">
        <is>
          <t>单位成本（元）</t>
        </is>
      </c>
      <c r="B20" s="776">
        <f>IF(B16&lt;&gt;0,ROUND(B19/B16,2),0)</f>
        <v/>
      </c>
      <c r="C20" s="776">
        <f>IF(C16&lt;&gt;0,ROUND(C19/C16,2),0)</f>
        <v/>
      </c>
      <c r="D20" s="776">
        <f>IF(D16&lt;&gt;0,ROUND(D19/D16,2),0)</f>
        <v/>
      </c>
      <c r="E20" s="336" t="n"/>
      <c r="G20" s="269" t="n"/>
    </row>
    <row r="21" ht="20.1" customFormat="1" customHeight="1" s="329">
      <c r="G21" s="269" t="n"/>
    </row>
    <row r="22" ht="20.1" customFormat="1" customHeight="1" s="329">
      <c r="A22" s="337" t="inlineStr">
        <is>
          <t>项目</t>
        </is>
      </c>
      <c r="B22" s="777" t="inlineStr">
        <is>
          <t>行次</t>
        </is>
      </c>
      <c r="C22" s="777" t="inlineStr">
        <is>
          <t>公式说明</t>
        </is>
      </c>
      <c r="D22" s="777" t="inlineStr">
        <is>
          <t>测算金额</t>
        </is>
      </c>
      <c r="E22" s="337" t="inlineStr">
        <is>
          <t>索引号</t>
        </is>
      </c>
      <c r="G22" s="269" t="n"/>
    </row>
    <row r="23" ht="20.1" customHeight="1" s="526">
      <c r="A23" s="351" t="inlineStr">
        <is>
          <t>一、转让房地产收入总额</t>
        </is>
      </c>
      <c r="B23" s="340" t="n">
        <v>1</v>
      </c>
      <c r="C23" s="341" t="n"/>
      <c r="D23" s="778" t="n"/>
      <c r="E23" s="779" t="n"/>
    </row>
    <row r="24" ht="20.1" customHeight="1" s="526">
      <c r="A24" s="344" t="inlineStr">
        <is>
          <t>转让土地收入</t>
        </is>
      </c>
      <c r="B24" s="340" t="n">
        <v>2</v>
      </c>
      <c r="C24" s="341" t="n"/>
      <c r="D24" s="778" t="n"/>
      <c r="E24" s="779" t="n"/>
    </row>
    <row r="25" ht="20.1" customHeight="1" s="526">
      <c r="A25" s="344" t="inlineStr">
        <is>
          <t>转让地上建筑物及附着物收入</t>
        </is>
      </c>
      <c r="B25" s="340" t="n">
        <v>3</v>
      </c>
      <c r="C25" s="341" t="n"/>
      <c r="D25" s="778" t="n"/>
      <c r="E25" s="779" t="n"/>
    </row>
    <row r="26" ht="20.1" customHeight="1" s="526">
      <c r="A26" s="351" t="inlineStr">
        <is>
          <t>二、扣除项目金额合计</t>
        </is>
      </c>
      <c r="B26" s="340" t="n">
        <v>4</v>
      </c>
      <c r="C26" s="341" t="n"/>
      <c r="D26" s="780">
        <f>SUM(D27,D28,D29,D32,D33,D34)</f>
        <v/>
      </c>
      <c r="E26" s="781" t="n"/>
    </row>
    <row r="27" ht="20.1" customHeight="1" s="526">
      <c r="A27" s="351" t="inlineStr">
        <is>
          <t>1.取得土地使用权所支付的金额</t>
        </is>
      </c>
      <c r="B27" s="340" t="n">
        <v>5</v>
      </c>
      <c r="C27" s="341" t="n"/>
      <c r="D27" s="778" t="n"/>
      <c r="E27" s="779" t="n"/>
    </row>
    <row r="28" ht="20.1" customHeight="1" s="526">
      <c r="A28" s="351" t="inlineStr">
        <is>
          <t>2.房地产开发成本</t>
        </is>
      </c>
      <c r="B28" s="340" t="n">
        <v>6</v>
      </c>
      <c r="C28" s="341" t="n"/>
      <c r="D28" s="778" t="n"/>
      <c r="E28" s="779" t="n"/>
    </row>
    <row r="29" ht="20.1" customHeight="1" s="526">
      <c r="A29" s="351" t="inlineStr">
        <is>
          <t>3.房地产开发费用</t>
        </is>
      </c>
      <c r="B29" s="340" t="n">
        <v>13</v>
      </c>
      <c r="C29" s="341" t="n"/>
      <c r="D29" s="780">
        <f>SUM(D30:D31)</f>
        <v/>
      </c>
      <c r="E29" s="782" t="n"/>
    </row>
    <row r="30" ht="20.1" customHeight="1" s="526">
      <c r="A30" s="348" t="inlineStr">
        <is>
          <t>利息支出</t>
        </is>
      </c>
      <c r="B30" s="340" t="n">
        <v>14</v>
      </c>
      <c r="C30" s="341" t="n"/>
      <c r="D30" s="783" t="n"/>
      <c r="E30" s="782" t="n"/>
    </row>
    <row r="31" ht="20.1" customHeight="1" s="526">
      <c r="A31" s="348" t="inlineStr">
        <is>
          <t>其他房地产开发费用</t>
        </is>
      </c>
      <c r="B31" s="340" t="n">
        <v>15</v>
      </c>
      <c r="C31" s="341" t="n"/>
      <c r="D31" s="783" t="n"/>
      <c r="E31" s="782" t="n"/>
    </row>
    <row r="32" ht="20.1" customHeight="1" s="526">
      <c r="A32" s="348" t="inlineStr">
        <is>
          <t>4.与转让房地产有关的税金（实缴）</t>
        </is>
      </c>
      <c r="B32" s="340" t="n">
        <v>16</v>
      </c>
      <c r="C32" s="341" t="n"/>
      <c r="D32" s="780" t="n"/>
      <c r="E32" s="782" t="n"/>
    </row>
    <row r="33" ht="20.1" customHeight="1" s="526">
      <c r="A33" s="351" t="inlineStr">
        <is>
          <t>5.财政部规定的加计20%扣除数</t>
        </is>
      </c>
      <c r="B33" s="340" t="n">
        <v>20</v>
      </c>
      <c r="C33" s="341" t="n"/>
      <c r="D33" s="783" t="n"/>
      <c r="E33" s="782" t="n"/>
    </row>
    <row r="34" ht="20.1" customHeight="1" s="526">
      <c r="A34" s="351" t="inlineStr">
        <is>
          <t>6.财政部规定的其他扣除项目金额</t>
        </is>
      </c>
      <c r="B34" s="340" t="n">
        <v>21</v>
      </c>
      <c r="C34" s="341" t="n"/>
      <c r="D34" s="783" t="n"/>
      <c r="E34" s="782" t="n"/>
    </row>
    <row r="35" ht="20.1" customHeight="1" s="526">
      <c r="A35" s="351" t="inlineStr">
        <is>
          <t>三、增值额</t>
        </is>
      </c>
      <c r="B35" s="340" t="n">
        <v>22</v>
      </c>
      <c r="C35" s="341" t="n"/>
      <c r="D35" s="780">
        <f>D23-D26</f>
        <v/>
      </c>
      <c r="E35" s="782" t="n"/>
    </row>
    <row r="36" ht="20.1" customHeight="1" s="526">
      <c r="A36" s="351" t="inlineStr">
        <is>
          <t>四、增值额与扣除项目金额之比（％）</t>
        </is>
      </c>
      <c r="B36" s="340" t="n">
        <v>23</v>
      </c>
      <c r="C36" s="341" t="n"/>
      <c r="D36" s="350">
        <f>IF(D26=0,0,D35/D26)</f>
        <v/>
      </c>
      <c r="E36" s="782" t="n"/>
    </row>
    <row r="37" ht="20.1" customHeight="1" s="526">
      <c r="A37" s="351" t="inlineStr">
        <is>
          <t>五、适用税率（％）</t>
        </is>
      </c>
      <c r="B37" s="340" t="n">
        <v>24</v>
      </c>
      <c r="C37" s="341" t="n"/>
      <c r="D37" s="350">
        <f>IF(D35=0,0,IF(D36&lt;=50%,30%,IF(D36&lt;=100%,40%,IF(D36&lt;=200%,50%,60%))))</f>
        <v/>
      </c>
      <c r="E37" s="782" t="n"/>
    </row>
    <row r="38" ht="20.1" customHeight="1" s="526">
      <c r="A38" s="351" t="inlineStr">
        <is>
          <t>六、速算扣除系数（％）</t>
        </is>
      </c>
      <c r="B38" s="340" t="n">
        <v>25</v>
      </c>
      <c r="C38" s="341" t="n"/>
      <c r="D38" s="350">
        <f>IF(D37=30%,0,IF(D37=40%,5%,IF(D37=50%,15%,IF(D37=60%,35%,0))))</f>
        <v/>
      </c>
      <c r="E38" s="782" t="n"/>
    </row>
    <row r="39" ht="20.1" customHeight="1" s="526">
      <c r="A39" s="351" t="inlineStr">
        <is>
          <t>七、预征比例（％）</t>
        </is>
      </c>
      <c r="B39" s="340" t="n">
        <v>26</v>
      </c>
      <c r="C39" s="341" t="n"/>
      <c r="D39" s="352" t="n"/>
      <c r="E39" s="782" t="n"/>
    </row>
    <row r="40" ht="20.1" customHeight="1" s="526">
      <c r="A40" s="353" t="inlineStr">
        <is>
          <t>八、应缴土地增值税税款</t>
        </is>
      </c>
      <c r="B40" s="340" t="n">
        <v>27</v>
      </c>
      <c r="C40" s="341" t="n"/>
      <c r="D40" s="784">
        <f>D35*D37-D26*D38</f>
        <v/>
      </c>
      <c r="E40" s="785" t="n"/>
    </row>
    <row r="41" ht="20.1" customHeight="1" s="526">
      <c r="A41" s="351" t="inlineStr">
        <is>
          <t>九、免缴土地增值税税款</t>
        </is>
      </c>
      <c r="B41" s="340" t="n">
        <v>28</v>
      </c>
      <c r="C41" s="341" t="n"/>
      <c r="D41" s="783" t="n"/>
      <c r="E41" s="782" t="n"/>
    </row>
    <row r="42" ht="20.1" customHeight="1" s="526">
      <c r="A42" s="351" t="inlineStr">
        <is>
          <t>十、已缴土地增值税税款</t>
        </is>
      </c>
      <c r="B42" s="340" t="n">
        <v>29</v>
      </c>
      <c r="C42" s="341" t="n"/>
      <c r="D42" s="340" t="n"/>
      <c r="E42" s="782" t="n"/>
    </row>
    <row r="43" ht="20.1" customHeight="1" s="526">
      <c r="A43" s="351" t="inlineStr">
        <is>
          <t>应补提增值税</t>
        </is>
      </c>
      <c r="B43" s="340" t="n"/>
      <c r="C43" s="341" t="n"/>
      <c r="D43" s="780" t="n"/>
      <c r="E43" s="782" t="n"/>
    </row>
    <row r="44" ht="20.1" customHeight="1" s="526">
      <c r="A44" s="351" t="inlineStr">
        <is>
          <t>十一、项目竣工清算应补土地增值税税款</t>
        </is>
      </c>
      <c r="B44" s="340" t="n">
        <v>30</v>
      </c>
      <c r="C44" s="341" t="n"/>
      <c r="D44" s="783" t="n"/>
      <c r="E44" s="782" t="n"/>
    </row>
    <row r="45" ht="20.1" customHeight="1" s="526">
      <c r="A45" s="351" t="inlineStr">
        <is>
          <t>十二、项目竣工清算应退土地增值税税款</t>
        </is>
      </c>
      <c r="B45" s="340" t="n">
        <v>31</v>
      </c>
      <c r="C45" s="341" t="n"/>
      <c r="D45" s="783" t="n"/>
      <c r="E45" s="782" t="n"/>
    </row>
    <row r="46" ht="20.1" customHeight="1" s="526">
      <c r="A46" s="351" t="n"/>
      <c r="B46" s="341" t="n"/>
      <c r="C46" s="341" t="n"/>
      <c r="D46" s="783" t="n"/>
      <c r="E46" s="782" t="n"/>
    </row>
    <row r="47" ht="20.1" customHeight="1" s="526">
      <c r="A47" s="356" t="inlineStr">
        <is>
          <t>三、审计说明：</t>
        </is>
      </c>
    </row>
    <row r="48" ht="20.1" customHeight="1" s="526">
      <c r="A48" s="269" t="n"/>
    </row>
    <row r="49" ht="20.1" customHeight="1" s="526">
      <c r="A49" s="269" t="n"/>
    </row>
    <row r="50" ht="20.1" customHeight="1" s="526">
      <c r="A50" s="269" t="n"/>
    </row>
    <row r="51" ht="20.1" customHeight="1" s="526">
      <c r="A51" s="357" t="inlineStr">
        <is>
          <t>四、审计结论：</t>
        </is>
      </c>
    </row>
  </sheetData>
  <mergeCells count="2">
    <mergeCell ref="A2:E2"/>
    <mergeCell ref="A1:E1"/>
  </mergeCells>
  <hyperlinks>
    <hyperlink ref="E3" location="底稿目录!A1" display="D8-9"/>
  </hyperlinks>
  <pageMargins left="0.708333333333333" right="0.708333333333333" top="0.747916666666667" bottom="0.747916666666667" header="0.314583333333333" footer="0.314583333333333"/>
  <pageSetup orientation="portrait" paperSize="9" scale="82" blackAndWhite="1"/>
  <headerFooter>
    <oddHeader/>
    <oddFooter>&amp;C&amp;P/&amp;N</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P26"/>
  <sheetViews>
    <sheetView view="pageBreakPreview" zoomScaleNormal="100" zoomScaleSheetLayoutView="100" workbookViewId="0">
      <selection activeCell="A1" sqref="A1:P1"/>
    </sheetView>
  </sheetViews>
  <sheetFormatPr baseColWidth="8" defaultRowHeight="15.6"/>
  <cols>
    <col width="10.59765625" customWidth="1" style="526" min="1" max="2"/>
    <col width="15.296875" customWidth="1" style="526" min="3" max="3"/>
    <col width="10.59765625" customWidth="1" style="526" min="4" max="4"/>
    <col width="11.796875" bestFit="1" customWidth="1" style="526" min="5" max="5"/>
    <col width="10.09765625" customWidth="1" style="526" min="6" max="6"/>
    <col width="9.69921875" customWidth="1" style="526" min="7" max="7"/>
    <col width="22.296875" customWidth="1" style="526" min="8" max="8"/>
    <col width="4.09765625" customWidth="1" style="526" min="9" max="13"/>
    <col width="9.796875" customWidth="1" style="526" min="14" max="14"/>
    <col width="6.19921875" customWidth="1" style="526" min="15" max="15"/>
    <col width="9.796875" customWidth="1" style="526" min="16" max="16"/>
  </cols>
  <sheetData>
    <row r="1" ht="19.95" customHeight="1" s="526">
      <c r="A1" s="503" t="inlineStr">
        <is>
          <t>致同会计师事务所</t>
        </is>
      </c>
      <c r="B1" s="530" t="n"/>
      <c r="C1" s="530" t="n"/>
      <c r="D1" s="530" t="n"/>
      <c r="E1" s="530" t="n"/>
      <c r="F1" s="530" t="n"/>
      <c r="G1" s="530" t="n"/>
      <c r="H1" s="530" t="n"/>
      <c r="I1" s="530" t="n"/>
      <c r="J1" s="530" t="n"/>
      <c r="K1" s="530" t="n"/>
      <c r="L1" s="530" t="n"/>
      <c r="M1" s="530" t="n"/>
      <c r="N1" s="530" t="n"/>
      <c r="O1" s="530" t="n"/>
      <c r="P1" s="530" t="n"/>
    </row>
    <row r="2" ht="24.45" customHeight="1" s="526">
      <c r="A2" s="504" t="inlineStr">
        <is>
          <t>土地增值税测算表</t>
        </is>
      </c>
      <c r="B2" s="530" t="n"/>
      <c r="C2" s="530" t="n"/>
      <c r="D2" s="530" t="n"/>
      <c r="E2" s="530" t="n"/>
      <c r="F2" s="530" t="n"/>
      <c r="G2" s="530" t="n"/>
      <c r="H2" s="530" t="n"/>
      <c r="I2" s="530" t="n"/>
      <c r="J2" s="530" t="n"/>
      <c r="K2" s="530" t="n"/>
      <c r="L2" s="530" t="n"/>
      <c r="M2" s="530" t="n"/>
      <c r="N2" s="530" t="n"/>
      <c r="O2" s="530" t="n"/>
      <c r="P2" s="530" t="n"/>
    </row>
    <row r="3" ht="19.95" customHeight="1" s="526">
      <c r="A3" s="655">
        <f>底稿目录!A2</f>
        <v/>
      </c>
      <c r="D3" s="269">
        <f>底稿目录!$A$4</f>
        <v/>
      </c>
      <c r="H3" s="269">
        <f>底稿目录!$A$5</f>
        <v/>
      </c>
      <c r="O3" s="328" t="inlineStr">
        <is>
          <t>索引号：</t>
        </is>
      </c>
      <c r="P3" s="525">
        <f>底稿目录!F16</f>
        <v/>
      </c>
    </row>
    <row r="4" ht="19.95" customHeight="1" s="526">
      <c r="A4" s="655">
        <f>底稿目录!A3</f>
        <v/>
      </c>
      <c r="D4" s="269">
        <f>底稿目录!$A$6</f>
        <v/>
      </c>
      <c r="H4" s="269">
        <f>底稿目录!$A$7</f>
        <v/>
      </c>
      <c r="O4" s="328" t="inlineStr">
        <is>
          <t>页次：</t>
        </is>
      </c>
      <c r="P4" s="329" t="n"/>
    </row>
    <row r="5" ht="19.95" customHeight="1" s="526">
      <c r="A5" s="370" t="inlineStr">
        <is>
          <t>一、审计目标：</t>
        </is>
      </c>
      <c r="B5" s="269" t="n"/>
      <c r="C5" s="269" t="n"/>
      <c r="D5" s="269" t="n"/>
      <c r="E5" s="218" t="n"/>
    </row>
    <row r="6" ht="19.95" customFormat="1" customHeight="1" s="369">
      <c r="A6" s="218" t="inlineStr">
        <is>
          <t xml:space="preserve">1.资产负债表中记录的应交税费是存在的，且已记录于恰当的账户。2.所有应当记录的货币应交税费均已记录，所有应当包括在财务报表中的相关披露均已包括。 </t>
        </is>
      </c>
      <c r="B6" s="372" t="n"/>
      <c r="C6" s="372" t="n"/>
      <c r="D6" s="372" t="n"/>
      <c r="E6" s="372" t="n"/>
      <c r="F6" s="372" t="n"/>
      <c r="G6" s="372" t="n"/>
      <c r="H6" s="372" t="n"/>
      <c r="I6" s="372" t="n"/>
      <c r="J6" s="372" t="n"/>
    </row>
    <row r="7" ht="19.95" customFormat="1" customHeight="1" s="369">
      <c r="A7" s="218" t="inlineStr">
        <is>
          <t xml:space="preserve">3.应交税费以恰当的金额包括在财务报表中，与之相关的计价或分摊调整已恰当记录，相关披露已得到恰当计量和描述 </t>
        </is>
      </c>
      <c r="B7" s="372" t="n"/>
      <c r="C7" s="372" t="n"/>
      <c r="D7" s="372" t="n"/>
      <c r="E7" s="372" t="n"/>
      <c r="F7" s="372" t="n"/>
      <c r="G7" s="372" t="n"/>
      <c r="H7" s="372" t="n"/>
      <c r="I7" s="372" t="n"/>
      <c r="J7" s="372" t="n"/>
    </row>
    <row r="8" ht="19.95" customFormat="1" customHeight="1" s="369">
      <c r="A8" s="370" t="inlineStr">
        <is>
          <t>二、测试：</t>
        </is>
      </c>
      <c r="B8" s="371" t="n"/>
      <c r="C8" s="372" t="inlineStr">
        <is>
          <t>测试原因：大额（）关联方（）大额交易频繁（）异常（）其他（）</t>
        </is>
      </c>
      <c r="D8" s="373" t="n"/>
      <c r="E8" s="373" t="n"/>
      <c r="F8" s="373" t="n"/>
      <c r="G8" s="373" t="n"/>
      <c r="H8" s="373" t="n"/>
      <c r="I8" s="373" t="n"/>
      <c r="J8" s="373" t="n"/>
    </row>
    <row r="9" ht="19.95" customFormat="1" customHeight="1" s="369">
      <c r="A9" s="786" t="inlineStr">
        <is>
          <t>测试内容说明：1.原始凭证是否齐全； 2.记账凭证与原始凭证是否相符；3.账务处理是否正确；4.是否记录于恰当的会计期间；5.……</t>
        </is>
      </c>
      <c r="B9" s="375" t="n"/>
      <c r="C9" s="375" t="n"/>
      <c r="D9" s="376" t="n"/>
      <c r="E9" s="377" t="n"/>
      <c r="F9" s="377" t="n"/>
    </row>
    <row r="10" ht="19.95" customFormat="1" customHeight="1" s="269">
      <c r="A10" s="508" t="inlineStr">
        <is>
          <t>记账凭证</t>
        </is>
      </c>
      <c r="B10" s="547" t="n"/>
      <c r="C10" s="547" t="n"/>
      <c r="D10" s="547" t="n"/>
      <c r="E10" s="547" t="n"/>
      <c r="F10" s="547" t="n"/>
      <c r="G10" s="548" t="n"/>
      <c r="H10" s="509" t="inlineStr">
        <is>
          <t>支持性文件</t>
        </is>
      </c>
      <c r="I10" s="787" t="inlineStr">
        <is>
          <t>核对内容</t>
        </is>
      </c>
      <c r="J10" s="547" t="n"/>
      <c r="K10" s="547" t="n"/>
      <c r="L10" s="547" t="n"/>
      <c r="M10" s="548" t="n"/>
      <c r="N10" s="505" t="inlineStr">
        <is>
          <t>索引号</t>
        </is>
      </c>
      <c r="O10" s="505" t="inlineStr">
        <is>
          <t>是否异常</t>
        </is>
      </c>
      <c r="P10" s="506" t="inlineStr">
        <is>
          <t>备注说明</t>
        </is>
      </c>
    </row>
    <row r="11" ht="19.95" customFormat="1" customHeight="1" s="269">
      <c r="A11" s="508" t="inlineStr">
        <is>
          <t>日期</t>
        </is>
      </c>
      <c r="B11" s="508" t="inlineStr">
        <is>
          <t>凭证编号</t>
        </is>
      </c>
      <c r="C11" s="508" t="inlineStr">
        <is>
          <t>业务内容</t>
        </is>
      </c>
      <c r="D11" s="508" t="inlineStr">
        <is>
          <t>对方科目</t>
        </is>
      </c>
      <c r="E11" s="508" t="inlineStr">
        <is>
          <t>对方明细科目</t>
        </is>
      </c>
      <c r="F11" s="379" t="inlineStr">
        <is>
          <t>借方金额</t>
        </is>
      </c>
      <c r="G11" s="379" t="inlineStr">
        <is>
          <t>贷方金额</t>
        </is>
      </c>
      <c r="H11" s="556" t="n"/>
      <c r="I11" s="380" t="n">
        <v>1</v>
      </c>
      <c r="J11" s="380" t="n">
        <v>2</v>
      </c>
      <c r="K11" s="380" t="n">
        <v>3</v>
      </c>
      <c r="L11" s="380" t="n">
        <v>4</v>
      </c>
      <c r="M11" s="380" t="n">
        <v>5</v>
      </c>
      <c r="N11" s="661" t="n"/>
      <c r="O11" s="661" t="n"/>
      <c r="P11" s="556" t="n"/>
    </row>
    <row r="12" ht="19.95" customFormat="1" customHeight="1" s="269">
      <c r="A12" s="381" t="n"/>
      <c r="B12" s="382" t="n"/>
      <c r="C12" s="383" t="n"/>
      <c r="D12" s="383" t="n"/>
      <c r="E12" s="383" t="n"/>
      <c r="F12" s="788" t="n"/>
      <c r="G12" s="788" t="n"/>
      <c r="H12" s="385" t="n"/>
      <c r="I12" s="789" t="n"/>
      <c r="J12" s="789" t="n"/>
      <c r="K12" s="789" t="n"/>
      <c r="L12" s="789" t="n"/>
      <c r="M12" s="789" t="n"/>
      <c r="N12" s="387" t="n"/>
      <c r="O12" s="388" t="n"/>
      <c r="P12" s="388" t="n"/>
    </row>
    <row r="13" ht="19.95" customFormat="1" customHeight="1" s="269">
      <c r="A13" s="381" t="n"/>
      <c r="B13" s="382" t="n"/>
      <c r="C13" s="383" t="n"/>
      <c r="D13" s="383" t="n"/>
      <c r="E13" s="383" t="n"/>
      <c r="F13" s="788" t="n"/>
      <c r="G13" s="788" t="n"/>
      <c r="H13" s="385" t="n"/>
      <c r="I13" s="789" t="n"/>
      <c r="J13" s="789" t="n"/>
      <c r="K13" s="789" t="n"/>
      <c r="L13" s="789" t="n"/>
      <c r="M13" s="789" t="n"/>
      <c r="N13" s="387" t="n"/>
      <c r="O13" s="388" t="n"/>
      <c r="P13" s="388" t="n"/>
    </row>
    <row r="14" ht="19.95" customFormat="1" customHeight="1" s="269">
      <c r="A14" s="381" t="n"/>
      <c r="B14" s="382" t="n"/>
      <c r="C14" s="383" t="n"/>
      <c r="D14" s="383" t="n"/>
      <c r="E14" s="383" t="n"/>
      <c r="F14" s="788" t="n"/>
      <c r="G14" s="788" t="n"/>
      <c r="H14" s="385" t="n"/>
      <c r="I14" s="789" t="n"/>
      <c r="J14" s="789" t="n"/>
      <c r="K14" s="789" t="n"/>
      <c r="L14" s="789" t="n"/>
      <c r="M14" s="789" t="n"/>
      <c r="N14" s="387" t="n"/>
      <c r="O14" s="388" t="n"/>
      <c r="P14" s="388" t="n"/>
    </row>
    <row r="15" ht="19.95" customFormat="1" customHeight="1" s="269">
      <c r="A15" s="381" t="n"/>
      <c r="B15" s="382" t="n"/>
      <c r="C15" s="383" t="n"/>
      <c r="D15" s="383" t="n"/>
      <c r="E15" s="383" t="n"/>
      <c r="F15" s="788" t="n"/>
      <c r="G15" s="788" t="n"/>
      <c r="H15" s="385" t="n"/>
      <c r="I15" s="789" t="n"/>
      <c r="J15" s="789" t="n"/>
      <c r="K15" s="789" t="n"/>
      <c r="L15" s="789" t="n"/>
      <c r="M15" s="789" t="n"/>
      <c r="N15" s="387" t="n"/>
      <c r="O15" s="388" t="n"/>
      <c r="P15" s="388" t="n"/>
    </row>
    <row r="16" ht="19.95" customFormat="1" customHeight="1" s="269">
      <c r="A16" s="381" t="n"/>
      <c r="B16" s="382" t="n"/>
      <c r="C16" s="383" t="n"/>
      <c r="D16" s="383" t="n"/>
      <c r="E16" s="383" t="n"/>
      <c r="F16" s="788" t="n"/>
      <c r="G16" s="788" t="n"/>
      <c r="H16" s="385" t="n"/>
      <c r="I16" s="789" t="n"/>
      <c r="J16" s="789" t="n"/>
      <c r="K16" s="789" t="n"/>
      <c r="L16" s="789" t="n"/>
      <c r="M16" s="789" t="n"/>
      <c r="N16" s="387" t="n"/>
      <c r="O16" s="388" t="n"/>
      <c r="P16" s="388" t="n"/>
    </row>
    <row r="17" ht="19.95" customFormat="1" customHeight="1" s="269">
      <c r="A17" s="381" t="n"/>
      <c r="B17" s="382" t="n"/>
      <c r="C17" s="383" t="n"/>
      <c r="D17" s="383" t="n"/>
      <c r="E17" s="383" t="n"/>
      <c r="F17" s="788" t="n"/>
      <c r="G17" s="788" t="n"/>
      <c r="H17" s="385" t="n"/>
      <c r="I17" s="789" t="n"/>
      <c r="J17" s="789" t="n"/>
      <c r="K17" s="789" t="n"/>
      <c r="L17" s="789" t="n"/>
      <c r="M17" s="789" t="n"/>
      <c r="N17" s="387" t="n"/>
      <c r="O17" s="388" t="n"/>
      <c r="P17" s="388" t="n"/>
    </row>
    <row r="18" ht="19.95" customFormat="1" customHeight="1" s="269">
      <c r="A18" s="381" t="n"/>
      <c r="B18" s="382" t="n"/>
      <c r="C18" s="383" t="n"/>
      <c r="D18" s="383" t="n"/>
      <c r="E18" s="383" t="n"/>
      <c r="F18" s="788" t="n"/>
      <c r="G18" s="788" t="n"/>
      <c r="H18" s="385" t="n"/>
      <c r="I18" s="789" t="n"/>
      <c r="J18" s="789" t="n"/>
      <c r="K18" s="789" t="n"/>
      <c r="L18" s="789" t="n"/>
      <c r="M18" s="789" t="n"/>
      <c r="N18" s="387" t="n"/>
      <c r="O18" s="388" t="n"/>
      <c r="P18" s="388" t="n"/>
    </row>
    <row r="19" ht="19.95" customFormat="1" customHeight="1" s="269">
      <c r="A19" s="523" t="inlineStr">
        <is>
          <t>合计</t>
        </is>
      </c>
      <c r="B19" s="547" t="n"/>
      <c r="C19" s="547" t="n"/>
      <c r="D19" s="548" t="n"/>
      <c r="E19" s="389" t="n"/>
      <c r="F19" s="790">
        <f>SUM(F12:F18)</f>
        <v/>
      </c>
      <c r="G19" s="790">
        <f>SUM(G12:G18)</f>
        <v/>
      </c>
      <c r="H19" s="391" t="n"/>
      <c r="I19" s="391" t="n"/>
      <c r="J19" s="391" t="n"/>
      <c r="K19" s="790" t="n"/>
      <c r="L19" s="391" t="n"/>
      <c r="M19" s="391" t="n"/>
      <c r="N19" s="790" t="n"/>
      <c r="O19" s="391" t="n"/>
      <c r="P19" s="391" t="n"/>
    </row>
    <row r="20" ht="19.95" customFormat="1" customHeight="1" s="269">
      <c r="A20" s="523" t="inlineStr">
        <is>
          <t>本期发生额</t>
        </is>
      </c>
      <c r="B20" s="547" t="n"/>
      <c r="C20" s="547" t="n"/>
      <c r="D20" s="548" t="n"/>
      <c r="E20" s="389" t="n"/>
      <c r="F20" s="790">
        <f>'应交税费明细表N2-2'!E25</f>
        <v/>
      </c>
      <c r="G20" s="790">
        <f>'应交税费明细表N2-2'!D25</f>
        <v/>
      </c>
      <c r="H20" s="391" t="n"/>
      <c r="I20" s="391" t="n"/>
      <c r="J20" s="391" t="n"/>
      <c r="K20" s="790" t="n"/>
      <c r="L20" s="391" t="n"/>
      <c r="M20" s="391" t="n"/>
      <c r="N20" s="790" t="n"/>
      <c r="O20" s="391" t="n"/>
      <c r="P20" s="391" t="n"/>
    </row>
    <row r="21" ht="19.95" customFormat="1" customHeight="1" s="269">
      <c r="A21" s="523" t="inlineStr">
        <is>
          <t>检查比例</t>
        </is>
      </c>
      <c r="B21" s="547" t="n"/>
      <c r="C21" s="547" t="n"/>
      <c r="D21" s="548" t="n"/>
      <c r="E21" s="389" t="n"/>
      <c r="F21" s="524">
        <f>F19/F20</f>
        <v/>
      </c>
      <c r="G21" s="524">
        <f>G19/G20</f>
        <v/>
      </c>
      <c r="H21" s="391" t="n"/>
      <c r="I21" s="391" t="n"/>
      <c r="J21" s="391" t="n"/>
      <c r="K21" s="790" t="n"/>
      <c r="L21" s="391" t="n"/>
      <c r="M21" s="391" t="n"/>
      <c r="N21" s="790" t="n"/>
      <c r="O21" s="391" t="n"/>
      <c r="P21" s="391" t="n"/>
    </row>
    <row r="22" ht="19.95" customFormat="1" customHeight="1" s="269">
      <c r="A22" s="370" t="inlineStr">
        <is>
          <t>三、审计说明：</t>
        </is>
      </c>
      <c r="F22" s="392" t="n"/>
      <c r="G22" s="392" t="n"/>
      <c r="H22" s="392" t="n"/>
      <c r="J22" s="392" t="n"/>
      <c r="K22" s="218" t="n"/>
    </row>
    <row r="23" ht="19.95" customFormat="1" customHeight="1" s="357">
      <c r="G23" s="393" t="n"/>
      <c r="H23" s="393" t="n"/>
      <c r="I23" s="218" t="n"/>
      <c r="J23" s="393" t="n"/>
      <c r="K23" s="393" t="n"/>
    </row>
    <row r="24" ht="19.95" customFormat="1" customHeight="1" s="269">
      <c r="F24" s="218" t="n"/>
      <c r="G24" s="218" t="n"/>
      <c r="H24" s="218" t="n"/>
      <c r="I24" s="218" t="n"/>
      <c r="J24" s="218" t="n"/>
      <c r="K24" s="218" t="n"/>
    </row>
    <row r="25" ht="19.95" customFormat="1" customHeight="1" s="269">
      <c r="F25" s="218" t="n"/>
      <c r="G25" s="218" t="n"/>
      <c r="H25" s="218" t="n"/>
      <c r="I25" s="218" t="n"/>
      <c r="J25" s="218" t="n"/>
      <c r="K25" s="218" t="n"/>
    </row>
    <row r="26" ht="19.95" customFormat="1" customHeight="1" s="269">
      <c r="A26" s="357" t="inlineStr">
        <is>
          <t>四、审计结论：</t>
        </is>
      </c>
      <c r="F26" s="218" t="n"/>
      <c r="G26" s="218" t="n"/>
      <c r="H26" s="218" t="n"/>
      <c r="J26" s="218" t="n"/>
      <c r="K26" s="218" t="n"/>
    </row>
    <row r="27" ht="19.95" customHeight="1" s="526"/>
  </sheetData>
  <mergeCells count="11">
    <mergeCell ref="P10:P11"/>
    <mergeCell ref="N10:N11"/>
    <mergeCell ref="O10:O11"/>
    <mergeCell ref="A1:P1"/>
    <mergeCell ref="A20:D20"/>
    <mergeCell ref="A21:D21"/>
    <mergeCell ref="I10:M10"/>
    <mergeCell ref="A19:D19"/>
    <mergeCell ref="H10:H11"/>
    <mergeCell ref="A10:G10"/>
    <mergeCell ref="A2:P2"/>
  </mergeCells>
  <dataValidations count="1">
    <dataValidation sqref="I12:M18" showDropDown="0" showInputMessage="1" showErrorMessage="1" allowBlank="1" type="list">
      <formula1>"√,X"</formula1>
    </dataValidation>
  </dataValidations>
  <hyperlinks>
    <hyperlink ref="P3" location="底稿目录!A1" display="D8-9"/>
  </hyperlinks>
  <pageMargins left="0.7086614173228347" right="0.7086614173228347" top="0.7480314960629921" bottom="0.7480314960629921" header="0.3149606299212598" footer="0.3149606299212598"/>
  <pageSetup orientation="landscape" paperSize="9" scale="80" blackAndWhite="1"/>
</worksheet>
</file>

<file path=xl/worksheets/sheet17.xml><?xml version="1.0" encoding="utf-8"?>
<worksheet xmlns="http://schemas.openxmlformats.org/spreadsheetml/2006/main">
  <sheetPr>
    <tabColor rgb="FF92D050"/>
    <outlinePr summaryBelow="1" summaryRight="1"/>
    <pageSetUpPr/>
  </sheetPr>
  <dimension ref="A1:H24"/>
  <sheetViews>
    <sheetView view="pageBreakPreview" zoomScaleNormal="145" workbookViewId="0">
      <selection activeCell="A1" sqref="A1:H1"/>
    </sheetView>
  </sheetViews>
  <sheetFormatPr baseColWidth="8" defaultColWidth="10" defaultRowHeight="12"/>
  <cols>
    <col width="23.09765625" customWidth="1" style="365" min="1" max="1"/>
    <col width="17.09765625" customWidth="1" style="365" min="2" max="2"/>
    <col width="10" customWidth="1" style="365" min="3" max="6"/>
    <col width="15.69921875" customWidth="1" style="365" min="7" max="7"/>
    <col width="16.19921875" customWidth="1" style="365" min="8" max="8"/>
    <col width="10" customWidth="1" style="365" min="9" max="16384"/>
  </cols>
  <sheetData>
    <row r="1" ht="19.95" customHeight="1" s="526">
      <c r="A1" s="497" t="inlineStr">
        <is>
          <t>致同会计师事务所</t>
        </is>
      </c>
    </row>
    <row r="2" ht="19.95" customHeight="1" s="526">
      <c r="A2" s="498" t="inlineStr">
        <is>
          <t>出口退税额复核</t>
        </is>
      </c>
    </row>
    <row r="3" ht="19.95" customHeight="1" s="526">
      <c r="A3" s="269">
        <f>底稿目录!A2</f>
        <v/>
      </c>
      <c r="B3" s="364" t="n"/>
      <c r="C3" s="269">
        <f>底稿目录!$A$4</f>
        <v/>
      </c>
      <c r="D3" s="361" t="n"/>
      <c r="E3" s="269">
        <f>底稿目录!$A$5</f>
        <v/>
      </c>
      <c r="F3" s="361" t="n"/>
      <c r="G3" s="273" t="inlineStr">
        <is>
          <t>索引号：</t>
        </is>
      </c>
      <c r="H3" s="271" t="inlineStr">
        <is>
          <t>N2-</t>
        </is>
      </c>
    </row>
    <row r="4" ht="19.95" customHeight="1" s="526">
      <c r="A4" s="269">
        <f>底稿目录!A3</f>
        <v/>
      </c>
      <c r="B4" s="364" t="n"/>
      <c r="C4" s="269">
        <f>底稿目录!$A$6</f>
        <v/>
      </c>
      <c r="D4" s="361" t="n"/>
      <c r="E4" s="269">
        <f>底稿目录!$A$7</f>
        <v/>
      </c>
      <c r="F4" s="361" t="n"/>
      <c r="G4" s="273" t="inlineStr">
        <is>
          <t>页次：</t>
        </is>
      </c>
    </row>
    <row r="5" ht="19.95" customHeight="1" s="526">
      <c r="A5" s="364" t="n"/>
      <c r="B5" s="364" t="n"/>
      <c r="C5" s="361" t="n"/>
      <c r="D5" s="361" t="n"/>
      <c r="E5" s="361" t="n"/>
      <c r="F5" s="361" t="n"/>
      <c r="G5" s="361" t="n"/>
      <c r="H5" s="361" t="n"/>
    </row>
    <row r="6" customFormat="1" s="365">
      <c r="A6" s="362" t="inlineStr">
        <is>
          <t>提示：出口退税额的核对应区别生产出口企业、外贸出口企业选择不同的审计程序，以下审计方法供审计人员参考：</t>
        </is>
      </c>
      <c r="B6" s="363" t="n"/>
      <c r="C6" s="363" t="n"/>
      <c r="D6" s="363" t="n"/>
      <c r="E6" s="363" t="n"/>
      <c r="F6" s="363" t="n"/>
      <c r="G6" s="364" t="n"/>
      <c r="H6" s="364" t="n"/>
    </row>
    <row r="7" ht="19.95" customHeight="1" s="526">
      <c r="A7" s="515" t="inlineStr">
        <is>
          <t>建议实施的审计程序</t>
        </is>
      </c>
      <c r="B7" s="741" t="n"/>
      <c r="C7" s="741" t="n"/>
      <c r="D7" s="741" t="n"/>
      <c r="E7" s="741" t="n"/>
      <c r="F7" s="742" t="n"/>
      <c r="G7" s="515" t="inlineStr">
        <is>
          <t>检查记录索引</t>
        </is>
      </c>
      <c r="H7" s="515" t="inlineStr">
        <is>
          <t>查验结果</t>
        </is>
      </c>
    </row>
    <row r="8" ht="24.75" customHeight="1" s="526">
      <c r="A8" s="513" t="inlineStr">
        <is>
          <t>1、对于生产出口企业，因采用“免、抵、退”政策，建议</t>
        </is>
      </c>
      <c r="B8" s="741" t="n"/>
      <c r="C8" s="741" t="n"/>
      <c r="D8" s="741" t="n"/>
      <c r="E8" s="741" t="n"/>
      <c r="F8" s="742" t="n"/>
      <c r="G8" s="367" t="n"/>
      <c r="H8" s="367" t="n"/>
    </row>
    <row r="9" ht="38.25" customHeight="1" s="526">
      <c r="A9" s="513" t="inlineStr">
        <is>
          <t>（1）取得被审计单位的生产企业出口货物免抵退税申报汇总表并与账面数进行核对（重点核对免抵退税不得免征和抵扣税额）。</t>
        </is>
      </c>
      <c r="B9" s="741" t="n"/>
      <c r="C9" s="741" t="n"/>
      <c r="D9" s="741" t="n"/>
      <c r="E9" s="741" t="n"/>
      <c r="F9" s="742" t="n"/>
      <c r="G9" s="367" t="n"/>
      <c r="H9" s="367" t="n"/>
    </row>
    <row r="10" ht="37.5" customHeight="1" s="526">
      <c r="A10" s="513" t="inlineStr">
        <is>
          <t>（2）取证税务部门出具的出口免税证明。</t>
        </is>
      </c>
      <c r="B10" s="741" t="n"/>
      <c r="C10" s="741" t="n"/>
      <c r="D10" s="741" t="n"/>
      <c r="E10" s="741" t="n"/>
      <c r="F10" s="742" t="n"/>
      <c r="G10" s="367" t="n"/>
      <c r="H10" s="367" t="n"/>
    </row>
    <row r="11" ht="49.5" customHeight="1" s="526">
      <c r="A11" s="513" t="inlineStr">
        <is>
          <t>（3）复核免抵退税额的计算是否正确，会计处理是否恰当，应结转销售成本或存货的金额是否正确。关注财务账面外销收入采用的核算汇率与出口货物离岸（报关）时的汇率差异对免抵退税额计算的影响，是否及时进行了调整。</t>
        </is>
      </c>
      <c r="B11" s="741" t="n"/>
      <c r="C11" s="741" t="n"/>
      <c r="D11" s="741" t="n"/>
      <c r="E11" s="741" t="n"/>
      <c r="F11" s="742" t="n"/>
      <c r="G11" s="367" t="n"/>
      <c r="H11" s="367" t="n"/>
    </row>
    <row r="12" ht="38.25" customHeight="1" s="526">
      <c r="A12" s="514" t="inlineStr">
        <is>
          <t>（4）关注期末应退税额期后是否已收到退税款。</t>
        </is>
      </c>
      <c r="B12" s="741" t="n"/>
      <c r="C12" s="741" t="n"/>
      <c r="D12" s="741" t="n"/>
      <c r="E12" s="741" t="n"/>
      <c r="F12" s="742" t="n"/>
      <c r="G12" s="367" t="n"/>
      <c r="H12" s="367" t="n"/>
    </row>
    <row r="13" ht="31.5" customHeight="1" s="526">
      <c r="A13" s="513" t="inlineStr">
        <is>
          <t>（5）对于出口业务较少的生产企业，可逐笔进行核对；对于出口业务较多的生产企业，可按月进行分析、审核。</t>
        </is>
      </c>
      <c r="B13" s="741" t="n"/>
      <c r="C13" s="741" t="n"/>
      <c r="D13" s="741" t="n"/>
      <c r="E13" s="741" t="n"/>
      <c r="F13" s="742" t="n"/>
      <c r="G13" s="367" t="n"/>
      <c r="H13" s="367" t="n"/>
    </row>
    <row r="14">
      <c r="A14" s="514" t="inlineStr">
        <is>
          <t>…</t>
        </is>
      </c>
      <c r="B14" s="741" t="n"/>
      <c r="C14" s="741" t="n"/>
      <c r="D14" s="741" t="n"/>
      <c r="E14" s="741" t="n"/>
      <c r="F14" s="742" t="n"/>
      <c r="G14" s="367" t="n"/>
      <c r="H14" s="367" t="n"/>
    </row>
    <row r="15">
      <c r="A15" s="514" t="n"/>
      <c r="B15" s="741" t="n"/>
      <c r="C15" s="741" t="n"/>
      <c r="D15" s="741" t="n"/>
      <c r="E15" s="741" t="n"/>
      <c r="F15" s="742" t="n"/>
      <c r="G15" s="367" t="n"/>
      <c r="H15" s="367" t="n"/>
    </row>
    <row r="16">
      <c r="A16" s="513" t="inlineStr">
        <is>
          <t>2、对于外贸出口企业，因采用“先征后退”政策，建议</t>
        </is>
      </c>
      <c r="B16" s="741" t="n"/>
      <c r="C16" s="741" t="n"/>
      <c r="D16" s="741" t="n"/>
      <c r="E16" s="741" t="n"/>
      <c r="F16" s="742" t="n"/>
      <c r="G16" s="367" t="n"/>
      <c r="H16" s="367" t="n"/>
    </row>
    <row r="17" ht="38.25" customHeight="1" s="526">
      <c r="A17" s="513" t="inlineStr">
        <is>
          <t>（1）与外贸出口退税总申报表等资料核对（重点核对进项税转出-出口产品不予抵扣的进项税）。</t>
        </is>
      </c>
      <c r="B17" s="741" t="n"/>
      <c r="C17" s="741" t="n"/>
      <c r="D17" s="741" t="n"/>
      <c r="E17" s="741" t="n"/>
      <c r="F17" s="742" t="n"/>
      <c r="G17" s="367" t="n"/>
      <c r="H17" s="367" t="n"/>
    </row>
    <row r="18" ht="30.75" customHeight="1" s="526">
      <c r="A18" s="513" t="inlineStr">
        <is>
          <t>（2）根据当期应结转的出口商品成本与相应退税率匡算应退税额，检查征、退税之差是否已计入当期销售成本。</t>
        </is>
      </c>
      <c r="B18" s="741" t="n"/>
      <c r="C18" s="741" t="n"/>
      <c r="D18" s="741" t="n"/>
      <c r="E18" s="741" t="n"/>
      <c r="F18" s="742" t="n"/>
      <c r="G18" s="367" t="n"/>
      <c r="H18" s="367" t="n"/>
    </row>
    <row r="19" ht="48" customHeight="1" s="526">
      <c r="A19" s="513" t="inlineStr">
        <is>
          <t>（3）关注期末应退税额期后是否已收到退税款。对于期后未收到退税款的，检查期末应收出口退税款是否均在正常退税期内，并针对期末大额出口收入复核单证是否齐全，是否符合退税要求。</t>
        </is>
      </c>
      <c r="B19" s="741" t="n"/>
      <c r="C19" s="741" t="n"/>
      <c r="D19" s="741" t="n"/>
      <c r="E19" s="741" t="n"/>
      <c r="F19" s="742" t="n"/>
      <c r="G19" s="367" t="n"/>
      <c r="H19" s="367" t="n"/>
    </row>
    <row r="20" ht="37.5" customHeight="1" s="526">
      <c r="A20" s="514" t="inlineStr">
        <is>
          <t>（4）检查出口退税收款情况，判断出口退税收款周期（一般实现销售后多少时间内可以申报并收到退税款），根据退税周期和报告期末外销情况判断期末应收出口退税款是否合理。</t>
        </is>
      </c>
      <c r="B20" s="741" t="n"/>
      <c r="C20" s="741" t="n"/>
      <c r="D20" s="741" t="n"/>
      <c r="E20" s="741" t="n"/>
      <c r="F20" s="742" t="n"/>
      <c r="G20" s="367" t="n"/>
      <c r="H20" s="367" t="n"/>
    </row>
    <row r="21" ht="36" customHeight="1" s="526">
      <c r="A21" s="514" t="inlineStr">
        <is>
          <t>（5）关注超过申报有效期、单证不齐全或退税率发生变化等原因使得财务核算的应退税额与税务部门实际核定的退税额存在差异的，被审计单位是否已及时调整应收出口退税和相应期间销售成本。</t>
        </is>
      </c>
      <c r="B21" s="741" t="n"/>
      <c r="C21" s="741" t="n"/>
      <c r="D21" s="741" t="n"/>
      <c r="E21" s="741" t="n"/>
      <c r="F21" s="742" t="n"/>
      <c r="G21" s="367" t="n"/>
      <c r="H21" s="367" t="n"/>
    </row>
    <row r="22" ht="36" customHeight="1" s="526">
      <c r="A22" s="514" t="inlineStr">
        <is>
          <t>（6）关注期末留抵进项税额是否大于按期末存货余额与相应增值税率匡算的进项税额，如是，分析形成原因，判断是否合理。</t>
        </is>
      </c>
      <c r="B22" s="741" t="n"/>
      <c r="C22" s="741" t="n"/>
      <c r="D22" s="741" t="n"/>
      <c r="E22" s="741" t="n"/>
      <c r="F22" s="742" t="n"/>
      <c r="G22" s="367" t="n"/>
      <c r="H22" s="367" t="n"/>
    </row>
    <row r="23" ht="19.95" customHeight="1" s="526">
      <c r="A23" s="512" t="inlineStr">
        <is>
          <t>…</t>
        </is>
      </c>
      <c r="B23" s="741" t="n"/>
      <c r="C23" s="741" t="n"/>
      <c r="D23" s="741" t="n"/>
      <c r="E23" s="741" t="n"/>
      <c r="F23" s="742" t="n"/>
      <c r="G23" s="367" t="n"/>
      <c r="H23" s="367" t="n"/>
    </row>
    <row r="24" ht="19.95" customHeight="1" s="526">
      <c r="A24" s="512" t="inlineStr">
        <is>
          <t>审计结论：</t>
        </is>
      </c>
      <c r="B24" s="741" t="n"/>
      <c r="C24" s="741" t="n"/>
      <c r="D24" s="741" t="n"/>
      <c r="E24" s="741" t="n"/>
      <c r="F24" s="742" t="n"/>
      <c r="G24" s="367" t="n"/>
      <c r="H24" s="367" t="n"/>
    </row>
  </sheetData>
  <mergeCells count="20">
    <mergeCell ref="A16:F16"/>
    <mergeCell ref="A12:F12"/>
    <mergeCell ref="A18:F18"/>
    <mergeCell ref="A1:H1"/>
    <mergeCell ref="A21:F21"/>
    <mergeCell ref="A14:F14"/>
    <mergeCell ref="A23:F23"/>
    <mergeCell ref="A8:F8"/>
    <mergeCell ref="A22:F22"/>
    <mergeCell ref="A17:F17"/>
    <mergeCell ref="A20:F20"/>
    <mergeCell ref="A10:F10"/>
    <mergeCell ref="A13:F13"/>
    <mergeCell ref="A19:F19"/>
    <mergeCell ref="A2:H2"/>
    <mergeCell ref="A9:F9"/>
    <mergeCell ref="A15:F15"/>
    <mergeCell ref="A24:F24"/>
    <mergeCell ref="A11:F11"/>
    <mergeCell ref="A7:F7"/>
  </mergeCells>
  <pageMargins left="0.7086614173228351" right="0.7086614173228351" top="0.748031496062992" bottom="0.748031496062992" header="0.31496062992126" footer="0.31496062992126"/>
  <pageSetup orientation="portrait" paperSize="9" scale="73" blackAndWhite="1"/>
  <headerFooter>
    <oddHeader/>
    <oddFooter>&amp;C&amp;P&amp;N</oddFooter>
    <evenHeader/>
    <evenFooter/>
    <firstHeader/>
    <firstFooter/>
  </headerFooter>
</worksheet>
</file>

<file path=xl/worksheets/sheet18.xml><?xml version="1.0" encoding="utf-8"?>
<worksheet xmlns="http://schemas.openxmlformats.org/spreadsheetml/2006/main">
  <sheetPr codeName="Sheet8">
    <outlinePr summaryBelow="1" summaryRight="1"/>
    <pageSetUpPr/>
  </sheetPr>
  <dimension ref="A1:B8"/>
  <sheetViews>
    <sheetView workbookViewId="0">
      <selection activeCell="A1" sqref="A1"/>
    </sheetView>
  </sheetViews>
  <sheetFormatPr baseColWidth="8" defaultColWidth="9" defaultRowHeight="15.6"/>
  <sheetData>
    <row r="1">
      <c r="A1" s="791" t="inlineStr">
        <is>
          <t>C1</t>
        </is>
      </c>
      <c r="B1" s="791" t="inlineStr">
        <is>
          <t>Custom 1</t>
        </is>
      </c>
    </row>
    <row r="2">
      <c r="A2" s="791" t="inlineStr">
        <is>
          <t>C2</t>
        </is>
      </c>
      <c r="B2" s="791" t="inlineStr">
        <is>
          <t>Custom 2</t>
        </is>
      </c>
    </row>
    <row r="3">
      <c r="A3" s="791" t="inlineStr">
        <is>
          <t>C3</t>
        </is>
      </c>
      <c r="B3" s="791" t="inlineStr">
        <is>
          <t>Custom 3</t>
        </is>
      </c>
    </row>
    <row r="4">
      <c r="A4" s="791" t="inlineStr">
        <is>
          <t>C4</t>
        </is>
      </c>
      <c r="B4" s="791" t="inlineStr">
        <is>
          <t>Custom 4</t>
        </is>
      </c>
    </row>
    <row r="5">
      <c r="A5" s="791" t="inlineStr">
        <is>
          <t>C5</t>
        </is>
      </c>
      <c r="B5" s="791" t="inlineStr">
        <is>
          <t>Custom 5</t>
        </is>
      </c>
    </row>
    <row r="6">
      <c r="A6" s="791" t="inlineStr">
        <is>
          <t>C6</t>
        </is>
      </c>
      <c r="B6" s="791" t="inlineStr">
        <is>
          <t>Custom 6</t>
        </is>
      </c>
    </row>
    <row r="7">
      <c r="A7" s="791" t="inlineStr">
        <is>
          <t>C7</t>
        </is>
      </c>
      <c r="B7" s="791" t="inlineStr">
        <is>
          <t>Custom 7</t>
        </is>
      </c>
    </row>
    <row r="8">
      <c r="A8" s="791" t="inlineStr">
        <is>
          <t>C8</t>
        </is>
      </c>
      <c r="B8" s="791"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2007-05-20T08:51:00Z</dcterms:created>
  <dcterms:modified xmlns:dcterms="http://purl.org/dc/terms/" xmlns:xsi="http://www.w3.org/2001/XMLSchema-instance" xsi:type="dcterms:W3CDTF">2026-10-08T14:57:39Z</dcterms:modified>
  <cp:lastModifiedBy>何先琴</cp:lastModifiedBy>
  <cp:lastPrinted>2025-10-30T08:00:04Z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9C9D9998324F4451AA87DFDBC80BDF01_12</vt:lpwstr>
  </property>
  <property name="KSOProductBuildVer" fmtid="{D5CDD505-2E9C-101B-9397-08002B2CF9AE}" pid="3">
    <vt:lpwstr xmlns:vt="http://schemas.openxmlformats.org/officeDocument/2006/docPropsVTypes">2052-12.1.0.22529</vt:lpwstr>
  </property>
</Properties>
</file>