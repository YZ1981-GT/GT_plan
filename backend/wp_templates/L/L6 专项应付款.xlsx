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0748" windowHeight="9696" tabRatio="725" firstSheet="0" activeTab="0" autoFilterDateGrouping="1"/>
  </bookViews>
  <sheets>
    <sheet xmlns:r="http://schemas.openxmlformats.org/officeDocument/2006/relationships" name="底稿目录" sheetId="1" state="visible" r:id="rId1"/>
    <sheet xmlns:r="http://schemas.openxmlformats.org/officeDocument/2006/relationships" name="专项应付款实质性程序表L6A" sheetId="2" state="visible" r:id="rId2"/>
    <sheet xmlns:r="http://schemas.openxmlformats.org/officeDocument/2006/relationships" name="审定表L6-1" sheetId="3" state="visible" r:id="rId3"/>
    <sheet xmlns:r="http://schemas.openxmlformats.org/officeDocument/2006/relationships" name="附注披露（上市公司）信息" sheetId="4" state="visible" r:id="rId4"/>
    <sheet xmlns:r="http://schemas.openxmlformats.org/officeDocument/2006/relationships" name="附注披露（国企）信息" sheetId="5" state="visible" r:id="rId5"/>
    <sheet xmlns:r="http://schemas.openxmlformats.org/officeDocument/2006/relationships" name="明细表L6-2" sheetId="6" state="visible" r:id="rId6"/>
    <sheet xmlns:r="http://schemas.openxmlformats.org/officeDocument/2006/relationships" name="调整分录汇总L6-3" sheetId="7" state="visible" r:id="rId7"/>
    <sheet xmlns:r="http://schemas.openxmlformats.org/officeDocument/2006/relationships" name="检查表L6-4" sheetId="8" state="visible" r:id="rId8"/>
    <sheet xmlns:r="http://schemas.openxmlformats.org/officeDocument/2006/relationships" name="GT_Custom" sheetId="9" state="hidden" r:id="rId9"/>
  </sheets>
  <definedNames>
    <definedName name="AFV" hidden="1">#REF!</definedName>
    <definedName name="AS2DocOpenMode" hidden="1">"AS2DocumentEdit"</definedName>
    <definedName name="b" hidden="1">#REF!</definedName>
    <definedName name="bs" hidden="1">{#N/A,#N/A,FALSE,"BBPREP"}</definedName>
    <definedName name="bs_1" hidden="1">{#N/A,#N/A,FALSE,"BBPREP"}</definedName>
    <definedName name="CCD" hidden="1">#REF!</definedName>
    <definedName name="CDE" hidden="1">#REF!</definedName>
    <definedName name="DEX" hidden="1">#REF!</definedName>
    <definedName name="EDC" hidden="1">#REF!</definedName>
    <definedName name="FAD" hidden="1">#REF!</definedName>
    <definedName name="FASD" hidden="1">#REF!</definedName>
    <definedName name="FEDC" hidden="1">#REF!</definedName>
    <definedName name="RDES" hidden="1">#REF!</definedName>
    <definedName name="TextRefCopyRangeCount" hidden="1">136</definedName>
    <definedName name="VFE" hidden="1">#REF!</definedName>
    <definedName name="XAP" hidden="1">#REF!</definedName>
    <definedName name="XAQ" hidden="1">#REF!</definedName>
    <definedName name="XCD" hidden="1">#REF!</definedName>
    <definedName name="XREF_COLUMN_1" hidden="1">#REF!</definedName>
    <definedName name="XREF_COLUMN_2" hidden="1">#REF!</definedName>
    <definedName name="XREF_COLUMN_3" hidden="1">#REF!</definedName>
    <definedName name="XREF_COLUMN_5" hidden="1">#REF!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#REF!</definedName>
    <definedName name="底稿目录" hidden="1">#REF!</definedName>
    <definedName name="新目录" hidden="1">#REF!</definedName>
    <definedName name="AFV" localSheetId="1" hidden="1">#REF!</definedName>
    <definedName name="CCD" localSheetId="1" hidden="1">#REF!</definedName>
    <definedName name="CDE" localSheetId="1" hidden="1">#REF!</definedName>
    <definedName name="DEX" localSheetId="1" hidden="1">#REF!</definedName>
    <definedName name="EDC" localSheetId="1" hidden="1">#REF!</definedName>
    <definedName name="FAD" localSheetId="1" hidden="1">#REF!</definedName>
    <definedName name="FASD" localSheetId="1" hidden="1">#REF!</definedName>
    <definedName name="FEDC" localSheetId="1" hidden="1">#REF!</definedName>
    <definedName name="RDES" localSheetId="1" hidden="1">#REF!</definedName>
    <definedName name="VFE" localSheetId="1" hidden="1">#REF!</definedName>
    <definedName name="XAP" localSheetId="1" hidden="1">#REF!</definedName>
    <definedName name="XAQ" localSheetId="1" hidden="1">#REF!</definedName>
    <definedName name="XCD" localSheetId="1" hidden="1">#REF!</definedName>
    <definedName name="XREF_COLUMN_1" localSheetId="1" hidden="1">#REF!</definedName>
    <definedName name="XREF_COLUMN_2" localSheetId="1" hidden="1">#REF!</definedName>
    <definedName name="XREF_COLUMN_3" localSheetId="1" hidden="1">#REF!</definedName>
    <definedName name="XREF_COLUMN_5" localSheetId="1" hidden="1">#REF!</definedName>
    <definedName name="XRefActiveRow" localSheetId="1" hidden="1">#REF!</definedName>
    <definedName name="XRefCopy1" localSheetId="1" hidden="1">#REF!</definedName>
    <definedName name="XRefCopy1Row" localSheetId="1" hidden="1">#REF!</definedName>
    <definedName name="XRefCopy2Row" localSheetId="1" hidden="1">#REF!</definedName>
    <definedName name="XRefPaste1" localSheetId="1" hidden="1">#REF!</definedName>
    <definedName name="XRefPaste1Row" localSheetId="1" hidden="1">#REF!</definedName>
    <definedName name="XRefPaste2" localSheetId="1" hidden="1">#REF!</definedName>
    <definedName name="XRefPaste2Row" localSheetId="1" hidden="1">#REF!</definedName>
    <definedName name="XRefPaste3" localSheetId="1" hidden="1">#REF!</definedName>
    <definedName name="XRefPaste3Row" localSheetId="1" hidden="1">#REF!</definedName>
    <definedName name="底稿目录" localSheetId="1" hidden="1">#REF!</definedName>
    <definedName name="新目录" localSheetId="1" hidden="1">#REF!</definedName>
    <definedName name="_xlnm.Print_Titles" localSheetId="1">'专项应付款实质性程序表L6A'!$15:$15</definedName>
    <definedName name="_xlnm.Print_Area" localSheetId="1">'专项应付款实质性程序表L6A'!$A$1:$I$21</definedName>
    <definedName name="_xlnm.Print_Area" localSheetId="2">'审定表L6-1'!$A$1:$K$30</definedName>
    <definedName name="_xlnm.Print_Area" localSheetId="3">'附注披露（上市公司）信息'!$A$1:$F$19</definedName>
    <definedName name="_xlnm.Print_Area" localSheetId="4">'附注披露（国企）信息'!$A$1:$E$16</definedName>
    <definedName name="_xlnm.Print_Titles" localSheetId="5">'明细表L6-2'!$8:$9,'明细表L6-2'!$A:$B</definedName>
    <definedName name="_xlnm.Print_Area" localSheetId="5">'明细表L6-2'!$A$1:$X$27</definedName>
    <definedName name="AFV" localSheetId="6" hidden="1">#REF!</definedName>
    <definedName name="bs" localSheetId="6" hidden="1">{#N/A,#N/A,FALSE,"BBPREP"}</definedName>
    <definedName name="bs_1" localSheetId="6" hidden="1">{#N/A,#N/A,FALSE,"BBPREP"}</definedName>
    <definedName name="CCD" localSheetId="6" hidden="1">#REF!</definedName>
    <definedName name="CDE" localSheetId="6" hidden="1">#REF!</definedName>
    <definedName name="DEX" localSheetId="6" hidden="1">#REF!</definedName>
    <definedName name="EDC" localSheetId="6" hidden="1">#REF!</definedName>
    <definedName name="FAD" localSheetId="6" hidden="1">#REF!</definedName>
    <definedName name="FASD" localSheetId="6" hidden="1">#REF!</definedName>
    <definedName name="FEDC" localSheetId="6" hidden="1">#REF!</definedName>
    <definedName name="RDES" localSheetId="6" hidden="1">#REF!</definedName>
    <definedName name="VFE" localSheetId="6" hidden="1">#REF!</definedName>
    <definedName name="XAP" localSheetId="6" hidden="1">#REF!</definedName>
    <definedName name="XAQ" localSheetId="6" hidden="1">#REF!</definedName>
    <definedName name="XCD" localSheetId="6" hidden="1">#REF!</definedName>
    <definedName name="XREF_COLUMN_1" localSheetId="6" hidden="1">#REF!</definedName>
    <definedName name="XREF_COLUMN_2" localSheetId="6" hidden="1">#REF!</definedName>
    <definedName name="XREF_COLUMN_3" localSheetId="6" hidden="1">#REF!</definedName>
    <definedName name="XREF_COLUMN_5" localSheetId="6" hidden="1">#REF!</definedName>
    <definedName name="XRefActiveRow" localSheetId="6" hidden="1">#REF!</definedName>
    <definedName name="XRefCopy1" localSheetId="6" hidden="1">#REF!</definedName>
    <definedName name="XRefCopy1Row" localSheetId="6" hidden="1">#REF!</definedName>
    <definedName name="XRefCopy2Row" localSheetId="6" hidden="1">#REF!</definedName>
    <definedName name="XRefPaste1" localSheetId="6" hidden="1">#REF!</definedName>
    <definedName name="XRefPaste1Row" localSheetId="6" hidden="1">#REF!</definedName>
    <definedName name="XRefPaste2" localSheetId="6" hidden="1">#REF!</definedName>
    <definedName name="XRefPaste2Row" localSheetId="6" hidden="1">#REF!</definedName>
    <definedName name="XRefPaste3" localSheetId="6" hidden="1">#REF!</definedName>
    <definedName name="XRefPaste3Row" localSheetId="6" hidden="1">#REF!</definedName>
    <definedName name="本循环科目" localSheetId="6" hidden="1">#REF!</definedName>
    <definedName name="底稿目录" localSheetId="6" hidden="1">#REF!</definedName>
    <definedName name="新目录" localSheetId="6" hidden="1">#REF!</definedName>
    <definedName name="_xlnm.Print_Area" localSheetId="6">'调整分录汇总L6-3'!$A$1:$J$20</definedName>
    <definedName name="_xlnm.Print_Area" localSheetId="7">'检查表L6-4'!$A$1:$Q$25</definedName>
  </definedNames>
  <calcPr calcId="162913" fullCalcOnLoad="1"/>
</workbook>
</file>

<file path=xl/styles.xml><?xml version="1.0" encoding="utf-8"?>
<styleSheet xmlns="http://schemas.openxmlformats.org/spreadsheetml/2006/main">
  <numFmts count="20">
    <numFmt numFmtId="164" formatCode="_([$€-2]* #,##0.00_);_([$€-2]* \(#,##0.00\);_([$€-2]* &quot;-&quot;??_)"/>
    <numFmt numFmtId="165" formatCode="#,##0.00_ "/>
    <numFmt numFmtId="166" formatCode="_ * #,##0.00_ ;_ * \-#,##0.00_ ;_ * &quot;-&quot;??_ ;_ @_ "/>
    <numFmt numFmtId="167" formatCode="_-#,##0_-;\(#,##0\);_-\ \ &quot;-&quot;_-;_-@_-"/>
    <numFmt numFmtId="168" formatCode="_-#,##0.00_-;\(#,##0.00\);_-\ \ &quot;-&quot;_-;_-@_-"/>
    <numFmt numFmtId="169" formatCode="mmm/dd/yyyy;_-\ &quot;N/A&quot;_-;_-\ &quot;-&quot;_-"/>
    <numFmt numFmtId="170" formatCode="mmm/yyyy;_-\ &quot;N/A&quot;_-;_-\ &quot;-&quot;_-"/>
    <numFmt numFmtId="171" formatCode="_-#,##0%_-;\(#,##0%\);_-\ &quot;-&quot;_-"/>
    <numFmt numFmtId="172" formatCode="_-#,###,_-;\(#,###,\);_-\ \ &quot;-&quot;_-;_-@_-"/>
    <numFmt numFmtId="173" formatCode="_-#,###.00,_-;\(#,###.00,\);_-\ \ &quot;-&quot;_-;_-@_-"/>
    <numFmt numFmtId="174" formatCode="_-#0&quot;.&quot;0,_-;\(#0&quot;.&quot;0,\);_-\ \ &quot;-&quot;_-;_-@_-"/>
    <numFmt numFmtId="175" formatCode="_-#0&quot;.&quot;0000_-;\(#0&quot;.&quot;0000\);_-\ \ &quot;-&quot;_-;_-@_-"/>
    <numFmt numFmtId="176" formatCode="&quot;$&quot;#,##0_);\(&quot;$&quot;#,##0\)"/>
    <numFmt numFmtId="177" formatCode="_-* #,##0_-;\-* #,##0_-;_-* &quot;-&quot;_-;_-@_-"/>
    <numFmt numFmtId="178" formatCode="_-* #,##0.00_-;\-* #,##0.00_-;_-* &quot;-&quot;??_-;_-@_-"/>
    <numFmt numFmtId="179" formatCode="_-&quot;$&quot;* #,##0_-;\-&quot;$&quot;* #,##0_-;_-&quot;$&quot;* &quot;-&quot;_-;_-@_-"/>
    <numFmt numFmtId="180" formatCode="_-&quot;$&quot;* #,##0.00_-;\-&quot;$&quot;* #,##0.00_-;_-&quot;$&quot;* &quot;-&quot;??_-;_-@_-"/>
    <numFmt numFmtId="181" formatCode="&quot;\&quot;#,##0;[Red]&quot;\&quot;&quot;\&quot;\-#,##0"/>
    <numFmt numFmtId="182" formatCode="&quot;\&quot;#,##0.00;[Red]&quot;\&quot;&quot;\&quot;\-#,##0.00"/>
    <numFmt numFmtId="183" formatCode="&quot;\&quot;#,##0;&quot;\&quot;&quot;\&quot;\-#,##0"/>
  </numFmts>
  <fonts count="81">
    <font>
      <name val="宋体"/>
      <charset val="134"/>
      <sz val="12"/>
    </font>
    <font>
      <name val="宋体"/>
      <charset val="134"/>
      <family val="2"/>
      <color theme="1"/>
      <sz val="11"/>
      <scheme val="minor"/>
    </font>
    <font>
      <name val="Arial Narrow"/>
      <family val="2"/>
      <b val="1"/>
      <sz val="12"/>
    </font>
    <font>
      <name val="Arial Narrow"/>
      <family val="2"/>
      <sz val="10"/>
    </font>
    <font>
      <name val="Arial Narrow"/>
      <family val="2"/>
      <sz val="12"/>
    </font>
    <font>
      <name val="Arial Narrow"/>
      <family val="2"/>
      <b val="1"/>
      <sz val="14"/>
    </font>
    <font>
      <name val="Arial Narrow"/>
      <family val="2"/>
      <b val="1"/>
      <color indexed="8"/>
      <sz val="10"/>
    </font>
    <font>
      <name val="Arial Narrow"/>
      <family val="2"/>
      <b val="1"/>
      <color indexed="10"/>
      <sz val="10"/>
      <u val="single"/>
    </font>
    <font>
      <name val="Arial Narrow"/>
      <family val="2"/>
      <b val="1"/>
      <sz val="10"/>
    </font>
    <font>
      <name val="宋体"/>
      <charset val="134"/>
      <family val="3"/>
      <b val="1"/>
      <sz val="10"/>
    </font>
    <font>
      <name val="Arial Narrow"/>
      <family val="2"/>
      <color rgb="FF0000FF"/>
      <sz val="10"/>
    </font>
    <font>
      <name val="宋体"/>
      <charset val="134"/>
      <family val="3"/>
      <sz val="10"/>
    </font>
    <font>
      <name val="Arial Narrow"/>
      <family val="2"/>
      <color rgb="FFFF0000"/>
      <sz val="10"/>
    </font>
    <font>
      <name val="Arial Narrow"/>
      <family val="2"/>
      <color rgb="FF0432FF"/>
      <sz val="10"/>
    </font>
    <font>
      <name val="Arial Narrow"/>
      <family val="2"/>
      <color indexed="12"/>
      <sz val="12"/>
      <u val="single"/>
    </font>
    <font>
      <name val="Arial Narrow"/>
      <family val="2"/>
      <b val="1"/>
      <color rgb="FFE92841"/>
      <sz val="10"/>
    </font>
    <font>
      <name val="Arial Narrow"/>
      <family val="2"/>
      <color indexed="8"/>
      <sz val="10"/>
    </font>
    <font>
      <name val="Arial Narrow"/>
      <family val="2"/>
      <color rgb="FF000000"/>
      <sz val="10"/>
    </font>
    <font>
      <name val="Arial Narrow"/>
      <family val="2"/>
      <i val="1"/>
      <color indexed="12"/>
      <sz val="10"/>
      <u val="single"/>
    </font>
    <font>
      <name val="仿宋_GB2312"/>
      <charset val="134"/>
      <color indexed="12"/>
      <sz val="10"/>
    </font>
    <font>
      <name val="宋体"/>
      <charset val="134"/>
      <family val="3"/>
      <b val="1"/>
      <color rgb="FF000000"/>
      <sz val="10"/>
    </font>
    <font>
      <name val="Arial Narrow"/>
      <family val="2"/>
      <b val="1"/>
      <color indexed="12"/>
      <sz val="10"/>
    </font>
    <font>
      <name val="Arial Narrow"/>
      <family val="2"/>
      <color indexed="12"/>
      <sz val="10"/>
    </font>
    <font>
      <name val="宋体"/>
      <charset val="134"/>
      <family val="3"/>
      <color rgb="FF000000"/>
      <sz val="10"/>
    </font>
    <font>
      <name val="Arial Narrow"/>
      <family val="2"/>
      <b val="1"/>
      <color rgb="FF0000FF"/>
      <sz val="12"/>
    </font>
    <font>
      <name val="Arial Narrow"/>
      <family val="2"/>
      <color indexed="12"/>
      <sz val="12"/>
    </font>
    <font>
      <name val="Arial Narrow"/>
      <family val="2"/>
      <b val="1"/>
      <color indexed="8"/>
      <sz val="12"/>
    </font>
    <font>
      <name val="Arial Narrow"/>
      <family val="2"/>
      <color indexed="8"/>
      <sz val="12"/>
    </font>
    <font>
      <name val="Arial Narrow"/>
      <family val="2"/>
      <b val="1"/>
      <color indexed="8"/>
      <sz val="9"/>
    </font>
    <font>
      <name val="Arial Narrow"/>
      <family val="2"/>
      <b val="1"/>
      <sz val="9"/>
    </font>
    <font>
      <name val="Arial Narrow"/>
      <family val="2"/>
      <color theme="1"/>
      <sz val="11"/>
    </font>
    <font>
      <name val="Arial Narrow"/>
      <family val="2"/>
      <color theme="1"/>
      <sz val="10"/>
    </font>
    <font>
      <name val="宋体"/>
      <charset val="134"/>
      <family val="3"/>
      <b val="1"/>
      <sz val="14"/>
    </font>
    <font>
      <name val="Arial Narrow"/>
      <family val="2"/>
      <b val="1"/>
      <color theme="1"/>
      <sz val="10"/>
    </font>
    <font>
      <name val="宋体"/>
      <charset val="134"/>
      <family val="3"/>
      <b val="1"/>
      <color indexed="8"/>
      <sz val="10"/>
    </font>
    <font>
      <name val="宋体"/>
      <charset val="134"/>
      <family val="3"/>
      <color indexed="8"/>
      <sz val="10"/>
    </font>
    <font>
      <name val="宋体"/>
      <charset val="134"/>
      <family val="3"/>
      <color theme="1"/>
      <sz val="10"/>
    </font>
    <font>
      <name val="Arial Narrow"/>
      <family val="2"/>
      <b val="1"/>
      <color rgb="FFFF0000"/>
      <sz val="10"/>
    </font>
    <font>
      <name val="宋体"/>
      <charset val="134"/>
      <family val="3"/>
      <b val="1"/>
      <sz val="12"/>
    </font>
    <font>
      <name val="Arial"/>
      <family val="2"/>
      <sz val="10"/>
    </font>
    <font>
      <name val="宋体"/>
      <charset val="134"/>
      <family val="3"/>
      <b val="1"/>
      <color theme="1"/>
      <sz val="10"/>
    </font>
    <font>
      <name val="Arial Narrow"/>
      <family val="2"/>
      <sz val="10.5"/>
    </font>
    <font>
      <name val="宋体"/>
      <charset val="134"/>
      <family val="3"/>
      <color indexed="12"/>
      <sz val="12"/>
      <u val="single"/>
    </font>
    <font>
      <name val="Arial Narrow"/>
      <family val="2"/>
      <b val="1"/>
      <color indexed="10"/>
      <sz val="10"/>
    </font>
    <font>
      <name val="宋体"/>
      <charset val="134"/>
      <family val="3"/>
      <color rgb="FF800080"/>
      <sz val="12"/>
      <u val="single"/>
    </font>
    <font>
      <name val="宋体"/>
      <charset val="134"/>
      <family val="3"/>
      <color theme="1"/>
      <sz val="11"/>
      <scheme val="minor"/>
    </font>
    <font>
      <name val="Times New Roman"/>
      <family val="1"/>
      <sz val="10"/>
    </font>
    <font>
      <name val="Times New Roman"/>
      <family val="1"/>
      <sz val="10"/>
      <u val="singleAccounting"/>
      <vertAlign val="subscript"/>
    </font>
    <font>
      <name val="Times New Roman"/>
      <family val="1"/>
      <i val="1"/>
      <sz val="9"/>
    </font>
    <font>
      <name val="Helv"/>
      <family val="2"/>
      <sz val="7"/>
    </font>
    <font>
      <name val="MS Sans Serif"/>
      <family val="2"/>
      <b val="1"/>
      <sz val="10"/>
    </font>
    <font>
      <name val="Arial"/>
      <family val="2"/>
      <color indexed="36"/>
      <sz val="7.5"/>
      <u val="single"/>
    </font>
    <font>
      <name val="Arial"/>
      <family val="2"/>
      <sz val="8"/>
    </font>
    <font>
      <name val="Arial"/>
      <family val="2"/>
      <color indexed="12"/>
      <sz val="7.5"/>
      <u val="single"/>
    </font>
    <font>
      <name val="Courier"/>
      <family val="3"/>
      <sz val="10"/>
    </font>
    <font>
      <name val="Garamond"/>
      <family val="1"/>
      <sz val="12"/>
    </font>
    <font>
      <name val="Helv"/>
      <family val="2"/>
      <color indexed="10"/>
      <sz val="7"/>
    </font>
    <font>
      <name val="Times New Roman"/>
      <family val="1"/>
      <sz val="12"/>
    </font>
    <font>
      <name val="楷体"/>
      <charset val="134"/>
      <family val="3"/>
      <sz val="12"/>
    </font>
    <font>
      <name val="楷体_GB2312"/>
      <charset val="134"/>
      <sz val="12"/>
    </font>
    <font>
      <name val="宋体"/>
      <charset val="134"/>
      <family val="3"/>
      <color indexed="12"/>
      <sz val="10"/>
    </font>
    <font>
      <name val="等线"/>
      <charset val="134"/>
      <family val="3"/>
      <color rgb="FF0000FF"/>
      <sz val="10"/>
    </font>
    <font>
      <name val="宋体"/>
      <charset val="134"/>
      <family val="3"/>
      <b val="1"/>
      <color indexed="8"/>
      <sz val="12"/>
    </font>
    <font>
      <name val="宋体"/>
      <charset val="134"/>
      <family val="3"/>
      <color rgb="FF0432FF"/>
      <sz val="10"/>
    </font>
    <font>
      <name val="宋体"/>
      <charset val="134"/>
      <family val="3"/>
      <b val="1"/>
      <color indexed="12"/>
      <sz val="10"/>
    </font>
    <font>
      <name val="宋体"/>
      <charset val="134"/>
      <family val="3"/>
      <color indexed="8"/>
      <sz val="12"/>
    </font>
    <font>
      <name val="宋体"/>
      <charset val="134"/>
      <family val="3"/>
      <b val="1"/>
      <color indexed="8"/>
      <sz val="9"/>
    </font>
    <font>
      <name val="宋体"/>
      <charset val="134"/>
      <family val="3"/>
      <b val="1"/>
      <sz val="9"/>
    </font>
    <font>
      <name val="宋体"/>
      <charset val="134"/>
      <family val="3"/>
      <color indexed="12"/>
      <sz val="12"/>
    </font>
    <font>
      <name val="等线"/>
      <charset val="134"/>
      <family val="3"/>
      <sz val="10"/>
    </font>
    <font>
      <name val="宋体"/>
      <charset val="134"/>
      <family val="3"/>
      <b val="1"/>
      <color rgb="FFFF0000"/>
      <sz val="10"/>
    </font>
    <font>
      <name val="宋体"/>
      <charset val="134"/>
      <family val="3"/>
      <color rgb="FFFF0000"/>
      <sz val="10"/>
    </font>
    <font>
      <name val="宋体"/>
      <charset val="134"/>
      <family val="3"/>
      <color indexed="10"/>
      <sz val="10"/>
    </font>
    <font>
      <name val="Arial Narrow"/>
      <family val="2"/>
      <color indexed="10"/>
      <sz val="10"/>
    </font>
    <font>
      <name val="宋体"/>
      <charset val="134"/>
      <family val="3"/>
      <b val="1"/>
      <color rgb="FF0000FF"/>
      <sz val="12"/>
    </font>
    <font>
      <name val="宋体"/>
      <charset val="134"/>
      <family val="3"/>
      <color rgb="FF0000FF"/>
      <sz val="10"/>
    </font>
    <font>
      <name val="宋体"/>
      <charset val="134"/>
      <family val="3"/>
      <sz val="12"/>
    </font>
    <font>
      <name val="宋体"/>
      <charset val="134"/>
      <family val="3"/>
      <sz val="9"/>
    </font>
    <font>
      <name val="宋体"/>
      <charset val="134"/>
      <family val="2"/>
      <sz val="9"/>
      <scheme val="minor"/>
    </font>
    <font>
      <name val="宋体"/>
      <charset val="134"/>
      <family val="3"/>
      <b val="1"/>
      <color indexed="81"/>
      <sz val="9"/>
    </font>
    <font>
      <name val="宋体"/>
      <charset val="134"/>
      <family val="3"/>
      <color indexed="81"/>
      <sz val="9"/>
    </font>
  </fonts>
  <fills count="11">
    <fill>
      <patternFill/>
    </fill>
    <fill>
      <patternFill patternType="gray125"/>
    </fill>
    <fill>
      <patternFill patternType="solid">
        <fgColor theme="7" tint="0.7999511703848384"/>
        <bgColor rgb="FFB7DEE8"/>
      </patternFill>
    </fill>
    <fill>
      <patternFill patternType="solid">
        <fgColor theme="7" tint="0.7999511703848384"/>
        <bgColor indexed="64"/>
      </patternFill>
    </fill>
    <fill>
      <patternFill patternType="solid">
        <fgColor indexed="9"/>
        <bgColor indexed="64"/>
      </patternFill>
    </fill>
    <fill>
      <patternFill patternType="solid">
        <fgColor rgb="FFE4DFEC"/>
        <bgColor indexed="64"/>
      </patternFill>
    </fill>
    <fill>
      <patternFill patternType="solid">
        <fgColor theme="0" tint="-0.1499679555650502"/>
        <bgColor indexed="64"/>
      </patternFill>
    </fill>
    <fill>
      <patternFill patternType="solid">
        <fgColor indexed="14"/>
        <bgColor indexed="64"/>
      </patternFill>
    </fill>
    <fill>
      <patternFill patternType="solid">
        <fgColor indexed="22"/>
        <bgColor indexed="64"/>
      </patternFill>
    </fill>
    <fill>
      <patternFill patternType="solid">
        <fgColor indexed="26"/>
        <bgColor indexed="64"/>
      </patternFill>
    </fill>
    <fill>
      <patternFill patternType="solid">
        <fgColor theme="7" tint="0.7999816888943144"/>
        <bgColor indexed="64"/>
      </patternFill>
    </fill>
  </fills>
  <borders count="15">
    <border>
      <left/>
      <right/>
      <top/>
      <bottom/>
      <diagonal/>
    </border>
    <border>
      <left style="hair">
        <color auto="1"/>
      </left>
      <right style="hair">
        <color auto="1"/>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right style="hair">
        <color auto="1"/>
      </right>
      <top style="hair">
        <color auto="1"/>
      </top>
      <bottom style="hair">
        <color auto="1"/>
      </bottom>
      <diagonal/>
    </border>
    <border>
      <left/>
      <right/>
      <top style="medium">
        <color auto="1"/>
      </top>
      <bottom style="medium">
        <color auto="1"/>
      </bottom>
      <diagonal/>
    </border>
    <border>
      <left/>
      <right/>
      <top/>
      <bottom style="medium">
        <color auto="1"/>
      </bottom>
      <diagonal/>
    </border>
    <border>
      <left style="hair">
        <color auto="1"/>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hair">
        <color auto="1"/>
      </right>
      <top style="hair">
        <color auto="1"/>
      </top>
      <bottom/>
      <diagonal/>
    </border>
    <border>
      <left style="hair">
        <color auto="1"/>
      </left>
      <right style="hair">
        <color auto="1"/>
      </right>
      <top/>
      <bottom/>
      <diagonal/>
    </border>
  </borders>
  <cellStyleXfs count="61">
    <xf numFmtId="0" fontId="0" fillId="0" borderId="0" applyProtection="1">
      <protection locked="0" hidden="0"/>
    </xf>
    <xf numFmtId="43" fontId="76" fillId="0" borderId="0"/>
    <xf numFmtId="9" fontId="76" fillId="0" borderId="0" applyAlignment="1">
      <alignment vertical="center"/>
    </xf>
    <xf numFmtId="0" fontId="42" fillId="0" borderId="0" applyAlignment="1" applyProtection="1">
      <alignment vertical="top"/>
      <protection locked="0" hidden="0"/>
    </xf>
    <xf numFmtId="49" fontId="46" fillId="0" borderId="0" applyAlignment="1">
      <alignment horizontal="left"/>
    </xf>
    <xf numFmtId="167" fontId="46" fillId="0" borderId="0" applyAlignment="1">
      <alignment horizontal="right"/>
    </xf>
    <xf numFmtId="168" fontId="46" fillId="0" borderId="0" applyAlignment="1">
      <alignment horizontal="right"/>
    </xf>
    <xf numFmtId="169" fontId="47" fillId="0" borderId="0" applyAlignment="1">
      <alignment horizontal="center"/>
    </xf>
    <xf numFmtId="170" fontId="47" fillId="0" borderId="0" applyAlignment="1">
      <alignment horizontal="center"/>
    </xf>
    <xf numFmtId="171" fontId="48" fillId="0" borderId="0" applyAlignment="1">
      <alignment horizontal="right"/>
    </xf>
    <xf numFmtId="172" fontId="46" fillId="0" borderId="0" applyAlignment="1">
      <alignment horizontal="right"/>
    </xf>
    <xf numFmtId="173" fontId="46" fillId="0" borderId="0" applyAlignment="1">
      <alignment horizontal="right"/>
    </xf>
    <xf numFmtId="174" fontId="46" fillId="0" borderId="0" applyAlignment="1">
      <alignment horizontal="right"/>
    </xf>
    <xf numFmtId="175" fontId="46" fillId="0" borderId="0" applyAlignment="1">
      <alignment horizontal="right"/>
    </xf>
    <xf numFmtId="3" fontId="49" fillId="0" borderId="0"/>
    <xf numFmtId="176" fontId="50" fillId="0" borderId="12"/>
    <xf numFmtId="177" fontId="39" fillId="0" borderId="0"/>
    <xf numFmtId="178" fontId="39" fillId="0" borderId="0"/>
    <xf numFmtId="179" fontId="39" fillId="0" borderId="0"/>
    <xf numFmtId="180" fontId="39" fillId="0" borderId="0"/>
    <xf numFmtId="41" fontId="39" fillId="0" borderId="0"/>
    <xf numFmtId="43" fontId="39" fillId="0" borderId="0"/>
    <xf numFmtId="164" fontId="46" fillId="0" borderId="0"/>
    <xf numFmtId="0" fontId="51" fillId="0" borderId="0" applyAlignment="1" applyProtection="1">
      <alignment vertical="top"/>
      <protection locked="0" hidden="0"/>
    </xf>
    <xf numFmtId="38" fontId="52" fillId="8" borderId="0"/>
    <xf numFmtId="0" fontId="53" fillId="0" borderId="0" applyAlignment="1" applyProtection="1">
      <alignment vertical="top"/>
      <protection locked="0" hidden="0"/>
    </xf>
    <xf numFmtId="10" fontId="52" fillId="9" borderId="11"/>
    <xf numFmtId="181" fontId="76" fillId="0" borderId="0"/>
    <xf numFmtId="182" fontId="76" fillId="0" borderId="0"/>
    <xf numFmtId="0" fontId="54" fillId="0" borderId="0"/>
    <xf numFmtId="183" fontId="76" fillId="0" borderId="0"/>
    <xf numFmtId="0" fontId="55" fillId="0" borderId="0"/>
    <xf numFmtId="10" fontId="39" fillId="0" borderId="0"/>
    <xf numFmtId="3" fontId="56" fillId="0" borderId="0"/>
    <xf numFmtId="9" fontId="76" fillId="0" borderId="0"/>
    <xf numFmtId="164" fontId="76" fillId="0" borderId="0" applyProtection="1">
      <protection locked="0" hidden="0"/>
    </xf>
    <xf numFmtId="164" fontId="76" fillId="0" borderId="0" applyProtection="1">
      <protection locked="0" hidden="0"/>
    </xf>
    <xf numFmtId="0" fontId="76" fillId="0" borderId="0" applyProtection="1">
      <protection locked="0" hidden="0"/>
    </xf>
    <xf numFmtId="164" fontId="76" fillId="0" borderId="0"/>
    <xf numFmtId="0" fontId="76" fillId="0" borderId="0" applyProtection="1">
      <protection locked="0" hidden="0"/>
    </xf>
    <xf numFmtId="164" fontId="45" fillId="0" borderId="0" applyAlignment="1">
      <alignment vertical="center"/>
    </xf>
    <xf numFmtId="164" fontId="76" fillId="0" borderId="0"/>
    <xf numFmtId="164" fontId="45" fillId="0" borderId="0" applyAlignment="1">
      <alignment vertical="center"/>
    </xf>
    <xf numFmtId="164" fontId="45" fillId="0" borderId="0" applyAlignment="1">
      <alignment vertical="center"/>
    </xf>
    <xf numFmtId="0" fontId="76" fillId="0" borderId="0" applyProtection="1">
      <protection locked="0" hidden="0"/>
    </xf>
    <xf numFmtId="0" fontId="76" fillId="0" borderId="0" applyAlignment="1">
      <alignment vertical="center"/>
    </xf>
    <xf numFmtId="164" fontId="76" fillId="0" borderId="0" applyAlignment="1">
      <alignment vertical="center"/>
    </xf>
    <xf numFmtId="0" fontId="57" fillId="0" borderId="0"/>
    <xf numFmtId="0" fontId="57" fillId="0" borderId="0"/>
    <xf numFmtId="0" fontId="46" fillId="0" borderId="0" applyProtection="1">
      <protection locked="0" hidden="0"/>
    </xf>
    <xf numFmtId="0" fontId="76" fillId="0" borderId="0"/>
    <xf numFmtId="0" fontId="76" fillId="0" borderId="0"/>
    <xf numFmtId="0" fontId="76" fillId="0" borderId="0"/>
    <xf numFmtId="0" fontId="42" fillId="0" borderId="0" applyAlignment="1" applyProtection="1">
      <alignment vertical="top"/>
      <protection locked="0" hidden="0"/>
    </xf>
    <xf numFmtId="0" fontId="58" fillId="0" borderId="0"/>
    <xf numFmtId="41" fontId="76" fillId="0" borderId="0"/>
    <xf numFmtId="43" fontId="76" fillId="0" borderId="0"/>
    <xf numFmtId="41" fontId="59" fillId="0" borderId="0"/>
    <xf numFmtId="43" fontId="59" fillId="0" borderId="0"/>
    <xf numFmtId="43" fontId="76" fillId="0" borderId="0"/>
    <xf numFmtId="164" fontId="1" fillId="0" borderId="0" applyAlignment="1">
      <alignment vertical="center"/>
    </xf>
  </cellStyleXfs>
  <cellXfs count="343">
    <xf numFmtId="0" fontId="0" fillId="0" borderId="0" applyProtection="1" pivotButton="0" quotePrefix="0" xfId="0">
      <protection locked="0" hidden="0"/>
    </xf>
    <xf numFmtId="0" fontId="2" fillId="0"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50">
      <alignment vertical="center"/>
      <protection locked="0" hidden="0"/>
    </xf>
    <xf numFmtId="0" fontId="4" fillId="0" borderId="0" applyAlignment="1" applyProtection="1" pivotButton="0" quotePrefix="0" xfId="0">
      <alignment vertical="center"/>
      <protection locked="0" hidden="0"/>
    </xf>
    <xf numFmtId="14" fontId="4" fillId="0" borderId="0" applyAlignment="1" applyProtection="1" pivotButton="0" quotePrefix="0" xfId="0">
      <alignment vertical="center"/>
      <protection locked="0" hidden="0"/>
    </xf>
    <xf numFmtId="14" fontId="3" fillId="0" borderId="0" applyAlignment="1" applyProtection="1" pivotButton="0" quotePrefix="0" xfId="0">
      <alignment horizontal="left" vertical="center"/>
      <protection locked="0" hidden="0"/>
    </xf>
    <xf numFmtId="0" fontId="3" fillId="0" borderId="0" applyAlignment="1" applyProtection="1" pivotButton="0" quotePrefix="0" xfId="0">
      <alignment horizontal="left" vertical="center"/>
      <protection locked="0" hidden="0"/>
    </xf>
    <xf numFmtId="164" fontId="6" fillId="0" borderId="0" applyAlignment="1" pivotButton="0" quotePrefix="0" xfId="35">
      <alignment vertical="center"/>
    </xf>
    <xf numFmtId="14" fontId="7" fillId="0" borderId="0" applyAlignment="1" pivotButton="0" quotePrefix="0" xfId="35">
      <alignment horizontal="center"/>
    </xf>
    <xf numFmtId="0" fontId="3" fillId="0" borderId="0" applyAlignment="1" pivotButton="0" quotePrefix="0" xfId="50">
      <alignment horizontal="left" vertical="center" wrapText="1"/>
    </xf>
    <xf numFmtId="0" fontId="3" fillId="0" borderId="0" applyAlignment="1" pivotButton="0" quotePrefix="0" xfId="50">
      <alignment vertical="center"/>
    </xf>
    <xf numFmtId="164" fontId="7" fillId="0" borderId="0" applyAlignment="1" pivotButton="0" quotePrefix="0" xfId="36">
      <alignment horizontal="center"/>
    </xf>
    <xf numFmtId="0" fontId="8" fillId="0" borderId="0" applyAlignment="1" pivotButton="0" quotePrefix="0" xfId="50">
      <alignment horizontal="left" vertical="center" wrapText="1"/>
    </xf>
    <xf numFmtId="0" fontId="9" fillId="0" borderId="0" applyAlignment="1" pivotButton="0" quotePrefix="0" xfId="50">
      <alignment vertical="center"/>
    </xf>
    <xf numFmtId="14" fontId="10" fillId="0" borderId="0" applyAlignment="1" applyProtection="1" pivotButton="0" quotePrefix="0" xfId="35">
      <alignment horizontal="left" vertical="center" wrapText="1"/>
      <protection locked="0" hidden="0"/>
    </xf>
    <xf numFmtId="0" fontId="11" fillId="0" borderId="0" applyAlignment="1" pivotButton="0" quotePrefix="0" xfId="50">
      <alignment vertical="center"/>
    </xf>
    <xf numFmtId="164" fontId="10" fillId="0" borderId="0" applyAlignment="1" applyProtection="1" pivotButton="0" quotePrefix="0" xfId="35">
      <alignment horizontal="left" vertical="center" wrapText="1"/>
      <protection locked="0" hidden="0"/>
    </xf>
    <xf numFmtId="0" fontId="12" fillId="0" borderId="0" applyAlignment="1" applyProtection="1" pivotButton="0" quotePrefix="0" xfId="0">
      <alignment horizontal="left" vertical="center"/>
      <protection locked="0" hidden="0"/>
    </xf>
    <xf numFmtId="0" fontId="9" fillId="3" borderId="2" applyAlignment="1" applyProtection="1" pivotButton="0" quotePrefix="0" xfId="37">
      <alignment horizontal="center" vertical="center"/>
      <protection locked="0" hidden="0"/>
    </xf>
    <xf numFmtId="0" fontId="9" fillId="3" borderId="2" applyAlignment="1" applyProtection="1" pivotButton="0" quotePrefix="0" xfId="37">
      <alignment horizontal="center" vertical="center" wrapText="1"/>
      <protection locked="0" hidden="0"/>
    </xf>
    <xf numFmtId="0" fontId="3" fillId="0" borderId="2" applyAlignment="1" pivotButton="0" quotePrefix="0" xfId="0">
      <alignment horizontal="left" vertical="center"/>
    </xf>
    <xf numFmtId="14" fontId="3" fillId="0" borderId="2" applyAlignment="1" pivotButton="0" quotePrefix="0" xfId="0">
      <alignment horizontal="left" vertical="center"/>
    </xf>
    <xf numFmtId="0" fontId="3" fillId="0" borderId="0" applyAlignment="1" pivotButton="0" quotePrefix="0" xfId="0">
      <alignment vertical="center"/>
    </xf>
    <xf numFmtId="14" fontId="13" fillId="0" borderId="0" applyAlignment="1" pivotButton="0" quotePrefix="0" xfId="0">
      <alignment vertical="center"/>
    </xf>
    <xf numFmtId="0" fontId="3" fillId="0" borderId="0" applyAlignment="1" pivotButton="0" quotePrefix="0" xfId="0">
      <alignment horizontal="center" vertical="center"/>
    </xf>
    <xf numFmtId="0" fontId="9" fillId="0" borderId="0" applyAlignment="1" pivotButton="0" quotePrefix="0" xfId="0">
      <alignment vertical="center"/>
    </xf>
    <xf numFmtId="14" fontId="3" fillId="0" borderId="0" applyAlignment="1" pivotButton="0" quotePrefix="0" xfId="0">
      <alignment vertical="center"/>
    </xf>
    <xf numFmtId="14" fontId="3" fillId="0" borderId="0" applyAlignment="1" applyProtection="1" pivotButton="0" quotePrefix="0" xfId="0">
      <alignment vertical="center"/>
      <protection locked="0" hidden="0"/>
    </xf>
    <xf numFmtId="0" fontId="8" fillId="0" borderId="0" applyAlignment="1" pivotButton="0" quotePrefix="0" xfId="50">
      <alignment vertical="center" wrapText="1"/>
    </xf>
    <xf numFmtId="165" fontId="3" fillId="0" borderId="2" applyAlignment="1" pivotButton="0" quotePrefix="0" xfId="0">
      <alignment horizontal="left" vertical="center"/>
    </xf>
    <xf numFmtId="0" fontId="3" fillId="0" borderId="2" applyAlignment="1" applyProtection="1" pivotButton="0" quotePrefix="0" xfId="0">
      <alignment horizontal="center" vertical="center"/>
      <protection locked="0" hidden="0"/>
    </xf>
    <xf numFmtId="9" fontId="3" fillId="0" borderId="0" applyAlignment="1" pivotButton="0" quotePrefix="0" xfId="2">
      <alignment horizontal="center" vertical="center"/>
    </xf>
    <xf numFmtId="10" fontId="3" fillId="0" borderId="0" applyAlignment="1" pivotButton="0" quotePrefix="0" xfId="2">
      <alignment horizontal="center" vertical="center"/>
    </xf>
    <xf numFmtId="0" fontId="3" fillId="0" borderId="0" applyAlignment="1" pivotButton="0" quotePrefix="0" xfId="0">
      <alignment horizontal="left" vertical="center"/>
    </xf>
    <xf numFmtId="0" fontId="3" fillId="0" borderId="0" applyAlignment="1" applyProtection="1" pivotButton="0" quotePrefix="0" xfId="50">
      <alignment horizontal="left" vertical="center"/>
      <protection locked="0" hidden="0"/>
    </xf>
    <xf numFmtId="164" fontId="14" fillId="0" borderId="0" applyAlignment="1" pivotButton="0" quotePrefix="0" xfId="3">
      <alignment vertical="center"/>
    </xf>
    <xf numFmtId="0" fontId="3" fillId="0" borderId="2" applyAlignment="1" pivotButton="0" quotePrefix="0" xfId="0">
      <alignment horizontal="center" vertical="center"/>
    </xf>
    <xf numFmtId="0" fontId="3" fillId="0" borderId="0" applyProtection="1" pivotButton="0" quotePrefix="0" xfId="44">
      <protection locked="0" hidden="0"/>
    </xf>
    <xf numFmtId="0" fontId="4" fillId="0" borderId="0" applyProtection="1" pivotButton="0" quotePrefix="0" xfId="44">
      <protection locked="0" hidden="0"/>
    </xf>
    <xf numFmtId="166" fontId="3" fillId="0" borderId="0" applyAlignment="1" pivotButton="0" quotePrefix="0" xfId="52">
      <alignment vertical="center"/>
    </xf>
    <xf numFmtId="166" fontId="3" fillId="0" borderId="0" applyAlignment="1" pivotButton="0" quotePrefix="0" xfId="52">
      <alignment horizontal="left" vertical="center"/>
    </xf>
    <xf numFmtId="0" fontId="6" fillId="3" borderId="2" applyAlignment="1" pivotButton="0" quotePrefix="0" xfId="44">
      <alignment vertical="center"/>
    </xf>
    <xf numFmtId="0" fontId="6" fillId="3" borderId="2" applyAlignment="1" pivotButton="0" quotePrefix="0" xfId="44">
      <alignment vertical="center" wrapText="1"/>
    </xf>
    <xf numFmtId="0" fontId="6" fillId="3" borderId="2" applyAlignment="1" pivotButton="0" quotePrefix="0" xfId="44">
      <alignment horizontal="center" vertical="center" wrapText="1"/>
    </xf>
    <xf numFmtId="164" fontId="8" fillId="3" borderId="2" applyAlignment="1" applyProtection="1" pivotButton="0" quotePrefix="0" xfId="41">
      <alignment horizontal="center" vertical="center" wrapText="1"/>
      <protection locked="0" hidden="0"/>
    </xf>
    <xf numFmtId="164" fontId="15" fillId="3" borderId="2" applyAlignment="1" applyProtection="1" pivotButton="0" quotePrefix="0" xfId="41">
      <alignment horizontal="center" vertical="center" wrapText="1"/>
      <protection locked="0" hidden="0"/>
    </xf>
    <xf numFmtId="0" fontId="3" fillId="0" borderId="2" applyAlignment="1" pivotButton="0" quotePrefix="0" xfId="44">
      <alignment vertical="center"/>
    </xf>
    <xf numFmtId="0" fontId="16" fillId="0" borderId="2" applyAlignment="1" pivotButton="0" quotePrefix="0" xfId="44">
      <alignment vertical="center"/>
    </xf>
    <xf numFmtId="166" fontId="16" fillId="0" borderId="2" applyAlignment="1" pivotButton="0" quotePrefix="0" xfId="1">
      <alignment vertical="center"/>
    </xf>
    <xf numFmtId="0" fontId="3" fillId="0" borderId="2" applyAlignment="1" pivotButton="0" quotePrefix="0" xfId="44">
      <alignment horizontal="left" vertical="center" indent="1"/>
    </xf>
    <xf numFmtId="0" fontId="17" fillId="0" borderId="2" applyAlignment="1" pivotButton="0" quotePrefix="0" xfId="44">
      <alignment vertical="center"/>
    </xf>
    <xf numFmtId="0" fontId="8" fillId="0" borderId="2" applyAlignment="1" pivotButton="0" quotePrefix="0" xfId="44">
      <alignment horizontal="center" vertical="center"/>
    </xf>
    <xf numFmtId="166" fontId="8" fillId="0" borderId="6" applyAlignment="1" pivotButton="0" quotePrefix="0" xfId="52">
      <alignment horizontal="left" vertical="center"/>
    </xf>
    <xf numFmtId="166" fontId="3" fillId="0" borderId="6" applyAlignment="1" pivotButton="0" quotePrefix="0" xfId="52">
      <alignment horizontal="left" vertical="center"/>
    </xf>
    <xf numFmtId="166" fontId="18" fillId="0" borderId="6" applyAlignment="1" pivotButton="0" quotePrefix="0" xfId="53">
      <alignment horizontal="center" vertical="center"/>
    </xf>
    <xf numFmtId="0" fontId="8" fillId="0" borderId="0" applyAlignment="1" pivotButton="0" quotePrefix="0" xfId="48">
      <alignment vertical="center"/>
    </xf>
    <xf numFmtId="0" fontId="4" fillId="0" borderId="0" applyAlignment="1" pivotButton="0" quotePrefix="0" xfId="45">
      <alignment vertical="center"/>
    </xf>
    <xf numFmtId="0" fontId="3" fillId="0" borderId="0" applyProtection="1" pivotButton="0" quotePrefix="0" xfId="0">
      <protection locked="0" hidden="0"/>
    </xf>
    <xf numFmtId="164" fontId="3" fillId="0" borderId="0" applyProtection="1" pivotButton="0" quotePrefix="0" xfId="35">
      <protection locked="0" hidden="0"/>
    </xf>
    <xf numFmtId="0" fontId="3" fillId="0" borderId="0" applyAlignment="1" applyProtection="1" pivotButton="0" quotePrefix="0" xfId="49">
      <alignment vertical="center"/>
      <protection locked="0" hidden="0"/>
    </xf>
    <xf numFmtId="0" fontId="4" fillId="0" borderId="0" applyProtection="1" pivotButton="0" quotePrefix="0" xfId="0">
      <protection locked="0" hidden="0"/>
    </xf>
    <xf numFmtId="164" fontId="8" fillId="0" borderId="0" applyAlignment="1" pivotButton="0" quotePrefix="0" xfId="35">
      <alignment horizontal="left" vertical="center"/>
    </xf>
    <xf numFmtId="164" fontId="3" fillId="0" borderId="0" applyAlignment="1" applyProtection="1" pivotButton="0" quotePrefix="0" xfId="35">
      <alignment vertical="center"/>
      <protection locked="0" hidden="0"/>
    </xf>
    <xf numFmtId="166" fontId="3" fillId="0" borderId="0" applyAlignment="1" applyProtection="1" pivotButton="0" quotePrefix="0" xfId="0">
      <alignment vertical="center"/>
      <protection locked="0" hidden="0"/>
    </xf>
    <xf numFmtId="166" fontId="3" fillId="0" borderId="0" applyAlignment="1" pivotButton="0" quotePrefix="0" xfId="51">
      <alignment vertical="center"/>
    </xf>
    <xf numFmtId="0" fontId="6" fillId="3" borderId="2" applyAlignment="1" applyProtection="1" pivotButton="0" quotePrefix="0" xfId="0">
      <alignment horizontal="center" vertical="center"/>
      <protection locked="0" hidden="0"/>
    </xf>
    <xf numFmtId="164" fontId="6" fillId="3" borderId="2" applyAlignment="1" applyProtection="1" pivotButton="0" quotePrefix="0" xfId="40">
      <alignment horizontal="center" vertical="center"/>
      <protection locked="0" hidden="0"/>
    </xf>
    <xf numFmtId="0" fontId="6" fillId="0" borderId="2" applyAlignment="1" applyProtection="1" pivotButton="0" quotePrefix="0" xfId="0">
      <alignment horizontal="center" vertical="center"/>
      <protection locked="0" hidden="0"/>
    </xf>
    <xf numFmtId="166" fontId="16" fillId="4" borderId="2" applyAlignment="1" pivotButton="0" quotePrefix="0" xfId="1">
      <alignment horizontal="right" vertical="center"/>
    </xf>
    <xf numFmtId="166" fontId="3" fillId="5" borderId="2" applyAlignment="1" pivotButton="0" quotePrefix="0" xfId="1">
      <alignment horizontal="right" vertical="center" wrapText="1"/>
    </xf>
    <xf numFmtId="0" fontId="20" fillId="0" borderId="2" applyAlignment="1" applyProtection="1" pivotButton="0" quotePrefix="0" xfId="0">
      <alignment horizontal="center" vertical="center"/>
      <protection locked="0" hidden="0"/>
    </xf>
    <xf numFmtId="0" fontId="8" fillId="0" borderId="6" applyAlignment="1" applyProtection="1" pivotButton="0" quotePrefix="0" xfId="0">
      <alignment vertical="center"/>
      <protection locked="0" hidden="0"/>
    </xf>
    <xf numFmtId="0" fontId="3" fillId="0" borderId="6"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22" fillId="0" borderId="0" applyAlignment="1" applyProtection="1" pivotButton="0" quotePrefix="0" xfId="0">
      <alignment vertical="center"/>
      <protection locked="0" hidden="0"/>
    </xf>
    <xf numFmtId="0" fontId="10" fillId="0" borderId="0" applyAlignment="1" applyProtection="1" pivotButton="0" quotePrefix="0" xfId="0">
      <alignment vertical="center"/>
      <protection locked="0" hidden="0"/>
    </xf>
    <xf numFmtId="0" fontId="3" fillId="0" borderId="0" applyAlignment="1" applyProtection="1" pivotButton="0" quotePrefix="0" xfId="0">
      <alignment horizontal="right" vertical="center"/>
      <protection locked="0" hidden="0"/>
    </xf>
    <xf numFmtId="164" fontId="14" fillId="0" borderId="0" applyAlignment="1" applyProtection="1" pivotButton="0" quotePrefix="0" xfId="3">
      <alignment vertical="center" wrapText="1"/>
      <protection locked="0" hidden="0"/>
    </xf>
    <xf numFmtId="0" fontId="2" fillId="0" borderId="0" applyAlignment="1" pivotButton="0" quotePrefix="0" xfId="45">
      <alignment vertical="center"/>
    </xf>
    <xf numFmtId="0" fontId="5" fillId="0" borderId="0" applyAlignment="1" pivotButton="0" quotePrefix="0" xfId="45">
      <alignment vertical="center"/>
    </xf>
    <xf numFmtId="0" fontId="12" fillId="0" borderId="0" applyAlignment="1" applyProtection="1" pivotButton="0" quotePrefix="0" xfId="0">
      <alignment vertical="center"/>
      <protection locked="0" hidden="0"/>
    </xf>
    <xf numFmtId="0" fontId="16" fillId="4" borderId="2" applyAlignment="1" applyProtection="1" pivotButton="0" quotePrefix="0" xfId="0">
      <alignment horizontal="center" vertical="center"/>
      <protection locked="0" hidden="0"/>
    </xf>
    <xf numFmtId="0" fontId="3" fillId="0" borderId="2" applyAlignment="1" applyProtection="1" pivotButton="0" quotePrefix="0" xfId="0">
      <alignment horizontal="center" vertical="center"/>
      <protection locked="0" hidden="0"/>
    </xf>
    <xf numFmtId="0" fontId="23" fillId="4" borderId="2" applyAlignment="1" applyProtection="1" pivotButton="0" quotePrefix="0" xfId="0">
      <alignment horizontal="center" vertical="center"/>
      <protection locked="0" hidden="0"/>
    </xf>
    <xf numFmtId="0" fontId="11" fillId="0" borderId="2" applyAlignment="1" applyProtection="1" pivotButton="0" quotePrefix="0" xfId="0">
      <alignment horizontal="center" vertical="center"/>
      <protection locked="0" hidden="0"/>
    </xf>
    <xf numFmtId="0" fontId="2" fillId="0" borderId="0" applyAlignment="1" pivotButton="0" quotePrefix="0" xfId="45">
      <alignment vertical="center"/>
    </xf>
    <xf numFmtId="0" fontId="11" fillId="0" borderId="0" applyAlignment="1" applyProtection="1" pivotButton="0" quotePrefix="0" xfId="0">
      <alignment vertical="center"/>
      <protection locked="0" hidden="0"/>
    </xf>
    <xf numFmtId="0" fontId="24" fillId="0" borderId="0" applyAlignment="1" applyProtection="1" pivotButton="0" quotePrefix="0" xfId="0">
      <alignment vertical="center"/>
      <protection locked="0" hidden="0"/>
    </xf>
    <xf numFmtId="0" fontId="4" fillId="0" borderId="0" applyAlignment="1" applyProtection="1" pivotButton="0" quotePrefix="0" xfId="0">
      <alignment horizontal="left" vertical="center"/>
      <protection locked="0" hidden="0"/>
    </xf>
    <xf numFmtId="0" fontId="25" fillId="0" borderId="0" applyAlignment="1" applyProtection="1" pivotButton="0" quotePrefix="0" xfId="0">
      <alignment horizontal="left" vertical="center"/>
      <protection locked="0" hidden="0"/>
    </xf>
    <xf numFmtId="0" fontId="26" fillId="0" borderId="8" applyAlignment="1" applyProtection="1" pivotButton="0" quotePrefix="0" xfId="0">
      <alignment horizontal="justify" vertical="center" wrapText="1"/>
      <protection locked="0" hidden="0"/>
    </xf>
    <xf numFmtId="0" fontId="2" fillId="0" borderId="8" applyAlignment="1" applyProtection="1" pivotButton="0" quotePrefix="0" xfId="0">
      <alignment horizontal="right" vertical="center" wrapText="1"/>
      <protection locked="0" hidden="0"/>
    </xf>
    <xf numFmtId="0" fontId="26" fillId="0" borderId="8" applyAlignment="1" applyProtection="1" pivotButton="0" quotePrefix="0" xfId="0">
      <alignment horizontal="right" vertical="center" wrapText="1"/>
      <protection locked="0" hidden="0"/>
    </xf>
    <xf numFmtId="166" fontId="4" fillId="0" borderId="0" applyAlignment="1" applyProtection="1" pivotButton="0" quotePrefix="0" xfId="1">
      <alignment vertical="center" wrapText="1"/>
      <protection locked="0" hidden="0"/>
    </xf>
    <xf numFmtId="166" fontId="27" fillId="0" borderId="0" applyAlignment="1" applyProtection="1" pivotButton="0" quotePrefix="0" xfId="0">
      <alignment horizontal="right" vertical="center" wrapText="1"/>
      <protection locked="0" hidden="0"/>
    </xf>
    <xf numFmtId="0" fontId="27" fillId="0" borderId="9" applyAlignment="1" applyProtection="1" pivotButton="0" quotePrefix="0" xfId="0">
      <alignment vertical="center" wrapText="1"/>
      <protection locked="0" hidden="0"/>
    </xf>
    <xf numFmtId="166" fontId="4" fillId="0" borderId="9" applyAlignment="1" applyProtection="1" pivotButton="0" quotePrefix="0" xfId="0">
      <alignment horizontal="right" vertical="center" wrapText="1"/>
      <protection locked="0" hidden="0"/>
    </xf>
    <xf numFmtId="0" fontId="26" fillId="0" borderId="9" applyAlignment="1" applyProtection="1" pivotButton="0" quotePrefix="0" xfId="0">
      <alignment horizontal="justify" vertical="center" wrapText="1"/>
      <protection locked="0" hidden="0"/>
    </xf>
    <xf numFmtId="166" fontId="26" fillId="0" borderId="9" applyAlignment="1" applyProtection="1" pivotButton="0" quotePrefix="0" xfId="0">
      <alignment horizontal="right" vertical="center" wrapText="1"/>
      <protection locked="0" hidden="0"/>
    </xf>
    <xf numFmtId="0" fontId="4" fillId="0" borderId="0" applyAlignment="1" applyProtection="1" pivotButton="0" quotePrefix="0" xfId="0">
      <alignment horizontal="justify" vertical="center"/>
      <protection locked="0" hidden="0"/>
    </xf>
    <xf numFmtId="166" fontId="3" fillId="0" borderId="0" applyAlignment="1" applyProtection="1" pivotButton="0" quotePrefix="0" xfId="1">
      <alignment horizontal="left" vertical="center" wrapText="1"/>
      <protection locked="0" hidden="0"/>
    </xf>
    <xf numFmtId="0" fontId="27" fillId="0" borderId="0" applyAlignment="1" applyProtection="1" pivotButton="0" quotePrefix="0" xfId="0">
      <alignment horizontal="right" vertical="center" wrapText="1"/>
      <protection locked="0" hidden="0"/>
    </xf>
    <xf numFmtId="0" fontId="2" fillId="0" borderId="9" applyAlignment="1" applyProtection="1" pivotButton="0" quotePrefix="0" xfId="0">
      <alignment horizontal="justify" vertical="center" wrapText="1"/>
      <protection locked="0" hidden="0"/>
    </xf>
    <xf numFmtId="166" fontId="2" fillId="0" borderId="9" applyAlignment="1" applyProtection="1" pivotButton="0" quotePrefix="0" xfId="0">
      <alignment horizontal="right" vertical="center" wrapText="1"/>
      <protection locked="0" hidden="0"/>
    </xf>
    <xf numFmtId="0" fontId="2" fillId="0" borderId="9" applyAlignment="1" applyProtection="1" pivotButton="0" quotePrefix="0" xfId="0">
      <alignment horizontal="right" vertical="center" wrapText="1"/>
      <protection locked="0" hidden="0"/>
    </xf>
    <xf numFmtId="0" fontId="4" fillId="0" borderId="0" applyAlignment="1" pivotButton="0" quotePrefix="0" xfId="45">
      <alignment vertical="center" wrapText="1"/>
    </xf>
    <xf numFmtId="0" fontId="3" fillId="0" borderId="0" applyAlignment="1" applyProtection="1" pivotButton="0" quotePrefix="0" xfId="0">
      <alignment vertical="center" wrapText="1"/>
      <protection locked="0" hidden="0"/>
    </xf>
    <xf numFmtId="0" fontId="4" fillId="0" borderId="0" applyAlignment="1" applyProtection="1" pivotButton="0" quotePrefix="0" xfId="0">
      <alignment vertical="center" wrapText="1"/>
      <protection locked="0" hidden="0"/>
    </xf>
    <xf numFmtId="164" fontId="8" fillId="3" borderId="2" applyAlignment="1" applyProtection="1" pivotButton="0" quotePrefix="0" xfId="40">
      <alignment horizontal="center" vertical="center" wrapText="1"/>
      <protection locked="0" hidden="0"/>
    </xf>
    <xf numFmtId="0" fontId="3" fillId="5" borderId="2" applyAlignment="1" applyProtection="1" pivotButton="0" quotePrefix="0" xfId="1">
      <alignment vertical="center"/>
      <protection locked="0" hidden="0"/>
    </xf>
    <xf numFmtId="0" fontId="3" fillId="0" borderId="0" applyAlignment="1" pivotButton="0" quotePrefix="0" xfId="47">
      <alignment vertical="center"/>
    </xf>
    <xf numFmtId="0" fontId="3" fillId="0" borderId="2" applyAlignment="1" pivotButton="0" quotePrefix="0" xfId="47">
      <alignment vertical="center"/>
    </xf>
    <xf numFmtId="0" fontId="3" fillId="0" borderId="2" applyAlignment="1" pivotButton="0" quotePrefix="0" xfId="47">
      <alignment horizontal="center" vertical="center"/>
    </xf>
    <xf numFmtId="166" fontId="3" fillId="0" borderId="2" applyAlignment="1" pivotButton="0" quotePrefix="0" xfId="47">
      <alignment vertical="center"/>
    </xf>
    <xf numFmtId="0" fontId="8" fillId="0" borderId="0" applyAlignment="1" applyProtection="1" pivotButton="0" quotePrefix="0" xfId="0">
      <alignment vertical="center" wrapText="1"/>
      <protection locked="0" hidden="0"/>
    </xf>
    <xf numFmtId="164" fontId="28" fillId="3" borderId="2" applyAlignment="1" applyProtection="1" pivotButton="0" quotePrefix="0" xfId="38">
      <alignment horizontal="center" vertical="center" wrapText="1"/>
      <protection locked="0" hidden="0"/>
    </xf>
    <xf numFmtId="164" fontId="29" fillId="3" borderId="2" applyAlignment="1" applyProtection="1" pivotButton="0" quotePrefix="0" xfId="38">
      <alignment horizontal="center" vertical="center"/>
      <protection locked="0" hidden="0"/>
    </xf>
    <xf numFmtId="10" fontId="3" fillId="5" borderId="2" applyAlignment="1" pivotButton="0" quotePrefix="0" xfId="2">
      <alignment horizontal="right" vertical="center" wrapText="1"/>
    </xf>
    <xf numFmtId="164" fontId="30" fillId="0" borderId="0" applyAlignment="1" pivotButton="0" quotePrefix="0" xfId="42">
      <alignment vertical="center"/>
    </xf>
    <xf numFmtId="164" fontId="31" fillId="0" borderId="0" applyAlignment="1" pivotButton="0" quotePrefix="0" xfId="42">
      <alignment vertical="center"/>
    </xf>
    <xf numFmtId="164" fontId="30" fillId="0" borderId="0" applyAlignment="1" pivotButton="0" quotePrefix="0" xfId="42">
      <alignment vertical="center"/>
    </xf>
    <xf numFmtId="164" fontId="30" fillId="0" borderId="0" applyAlignment="1" pivotButton="0" quotePrefix="0" xfId="42">
      <alignment vertical="center"/>
    </xf>
    <xf numFmtId="164" fontId="31" fillId="0" borderId="0" applyAlignment="1" pivotButton="0" quotePrefix="0" xfId="42">
      <alignment horizontal="center" vertical="center"/>
    </xf>
    <xf numFmtId="164" fontId="3" fillId="0" borderId="0" applyAlignment="1" applyProtection="1" pivotButton="0" quotePrefix="0" xfId="42">
      <alignment vertical="center"/>
      <protection locked="0" hidden="0"/>
    </xf>
    <xf numFmtId="0" fontId="3" fillId="0" borderId="0" applyAlignment="1" applyProtection="1" pivotButton="0" quotePrefix="0" xfId="39">
      <alignment horizontal="left" vertical="center"/>
      <protection locked="0" hidden="0"/>
    </xf>
    <xf numFmtId="164" fontId="9" fillId="0" borderId="0" applyAlignment="1" applyProtection="1" pivotButton="0" quotePrefix="0" xfId="43">
      <alignment vertical="center"/>
      <protection locked="0" hidden="0"/>
    </xf>
    <xf numFmtId="164" fontId="11" fillId="0" borderId="0" applyAlignment="1" applyProtection="1" pivotButton="0" quotePrefix="0" xfId="43">
      <alignment vertical="center"/>
      <protection locked="0" hidden="0"/>
    </xf>
    <xf numFmtId="49" fontId="9" fillId="0" borderId="0" applyAlignment="1" applyProtection="1" pivotButton="0" quotePrefix="0" xfId="0">
      <alignment horizontal="left" vertical="center"/>
      <protection locked="0" hidden="0"/>
    </xf>
    <xf numFmtId="164" fontId="8" fillId="0" borderId="0" applyAlignment="1" applyProtection="1" pivotButton="0" quotePrefix="0" xfId="42">
      <alignment horizontal="justify" vertical="center"/>
      <protection locked="0" hidden="0"/>
    </xf>
    <xf numFmtId="49" fontId="8" fillId="0" borderId="0" applyAlignment="1" applyProtection="1" pivotButton="0" quotePrefix="0" xfId="42">
      <alignment horizontal="left" vertical="center"/>
      <protection locked="0" hidden="0"/>
    </xf>
    <xf numFmtId="164" fontId="8" fillId="3" borderId="2" applyAlignment="1" applyProtection="1" pivotButton="0" quotePrefix="0" xfId="35">
      <alignment horizontal="center" vertical="center" wrapText="1"/>
      <protection locked="0" hidden="0"/>
    </xf>
    <xf numFmtId="49" fontId="3" fillId="0" borderId="2" applyAlignment="1" applyProtection="1" pivotButton="0" quotePrefix="0" xfId="35">
      <alignment horizontal="center" vertical="center"/>
      <protection locked="0" hidden="0"/>
    </xf>
    <xf numFmtId="164" fontId="31" fillId="0" borderId="4" applyAlignment="1" pivotButton="0" quotePrefix="0" xfId="43">
      <alignment vertical="center" wrapText="1"/>
    </xf>
    <xf numFmtId="164" fontId="31" fillId="0" borderId="2" applyAlignment="1" pivotButton="0" quotePrefix="0" xfId="35">
      <alignment horizontal="center" vertical="center" wrapText="1"/>
    </xf>
    <xf numFmtId="0" fontId="31" fillId="0" borderId="2" applyAlignment="1" pivotButton="0" quotePrefix="0" xfId="38">
      <alignment horizontal="center" vertical="center" wrapText="1"/>
    </xf>
    <xf numFmtId="0" fontId="33" fillId="0" borderId="2" applyAlignment="1" pivotButton="0" quotePrefix="0" xfId="38">
      <alignment horizontal="center" vertical="center" wrapText="1"/>
    </xf>
    <xf numFmtId="164" fontId="31" fillId="0" borderId="2" applyAlignment="1" pivotButton="0" quotePrefix="0" xfId="43">
      <alignment horizontal="center" vertical="center" wrapText="1"/>
    </xf>
    <xf numFmtId="0" fontId="16" fillId="0" borderId="2" applyAlignment="1" pivotButton="0" quotePrefix="0" xfId="0">
      <alignment horizontal="center" vertical="center" wrapText="1"/>
    </xf>
    <xf numFmtId="0" fontId="34" fillId="0" borderId="2" applyAlignment="1" pivotButton="0" quotePrefix="0" xfId="0">
      <alignment horizontal="center" vertical="center" wrapText="1"/>
    </xf>
    <xf numFmtId="0" fontId="35" fillId="0" borderId="2" applyAlignment="1" pivotButton="0" quotePrefix="0" xfId="0">
      <alignment horizontal="center" vertical="center" wrapText="1"/>
    </xf>
    <xf numFmtId="164" fontId="36" fillId="0" borderId="4" applyAlignment="1" pivotButton="0" quotePrefix="0" xfId="42">
      <alignment vertical="center" wrapText="1"/>
    </xf>
    <xf numFmtId="0" fontId="31" fillId="0" borderId="2" applyAlignment="1" pivotButton="0" quotePrefix="0" xfId="42">
      <alignment vertical="center" wrapText="1"/>
    </xf>
    <xf numFmtId="164" fontId="33" fillId="0" borderId="2" applyAlignment="1" pivotButton="0" quotePrefix="0" xfId="43">
      <alignment horizontal="center" vertical="center" wrapText="1"/>
    </xf>
    <xf numFmtId="164" fontId="8" fillId="0" borderId="0" applyAlignment="1" pivotButton="0" quotePrefix="0" xfId="46">
      <alignment horizontal="center" vertical="center"/>
    </xf>
    <xf numFmtId="164" fontId="3" fillId="0" borderId="0" applyAlignment="1" applyProtection="1" pivotButton="0" quotePrefix="0" xfId="42">
      <alignment vertical="center" wrapText="1"/>
      <protection locked="0" hidden="0"/>
    </xf>
    <xf numFmtId="164" fontId="3" fillId="0" borderId="0" applyAlignment="1" applyProtection="1" pivotButton="0" quotePrefix="0" xfId="42">
      <alignment vertical="center"/>
      <protection locked="0" hidden="0"/>
    </xf>
    <xf numFmtId="164" fontId="37" fillId="0" borderId="0" applyAlignment="1" applyProtection="1" pivotButton="0" quotePrefix="0" xfId="42">
      <alignment horizontal="center" vertical="center"/>
      <protection locked="0" hidden="0"/>
    </xf>
    <xf numFmtId="164" fontId="3" fillId="0" borderId="2" applyAlignment="1" pivotButton="0" quotePrefix="0" xfId="0">
      <alignment horizontal="center" vertical="center" wrapText="1"/>
    </xf>
    <xf numFmtId="164" fontId="3" fillId="0" borderId="2" applyAlignment="1" pivotButton="0" quotePrefix="0" xfId="43">
      <alignment horizontal="center" vertical="center" wrapText="1"/>
    </xf>
    <xf numFmtId="0" fontId="3" fillId="7" borderId="0" applyAlignment="1" applyProtection="1" pivotButton="0" quotePrefix="0" xfId="0">
      <alignment horizontal="justify" vertical="center" wrapText="1"/>
      <protection locked="0" hidden="0"/>
    </xf>
    <xf numFmtId="0" fontId="41" fillId="0" borderId="0" applyAlignment="1" applyProtection="1" pivotButton="0" quotePrefix="0" xfId="0">
      <alignment horizontal="justify" wrapText="1"/>
      <protection locked="0" hidden="0"/>
    </xf>
    <xf numFmtId="164" fontId="6" fillId="0" borderId="0" applyAlignment="1" pivotButton="0" quotePrefix="0" xfId="0">
      <alignment horizontal="center" vertical="center"/>
    </xf>
    <xf numFmtId="164" fontId="26" fillId="0" borderId="11" applyAlignment="1" pivotButton="0" quotePrefix="0" xfId="0">
      <alignment horizontal="center" vertical="center"/>
    </xf>
    <xf numFmtId="0" fontId="41" fillId="0" borderId="0" applyAlignment="1" applyProtection="1" pivotButton="0" quotePrefix="0" xfId="0">
      <alignment horizontal="justify" vertical="top" wrapText="1"/>
      <protection locked="0" hidden="0"/>
    </xf>
    <xf numFmtId="0" fontId="11" fillId="7" borderId="0" applyAlignment="1" applyProtection="1" pivotButton="0" quotePrefix="0" xfId="0">
      <alignment horizontal="justify" vertical="center" wrapText="1"/>
      <protection locked="0" hidden="0"/>
    </xf>
    <xf numFmtId="0" fontId="26" fillId="0" borderId="11" applyAlignment="1" pivotButton="0" quotePrefix="0" xfId="0">
      <alignment horizontal="center" vertical="center"/>
    </xf>
    <xf numFmtId="0" fontId="42" fillId="0" borderId="11" applyProtection="1" pivotButton="0" quotePrefix="0" xfId="3">
      <protection locked="0" hidden="0"/>
    </xf>
    <xf numFmtId="164" fontId="26" fillId="0" borderId="11" applyAlignment="1" pivotButton="0" quotePrefix="0" xfId="0">
      <alignment vertical="center"/>
    </xf>
    <xf numFmtId="164" fontId="27" fillId="0" borderId="11" applyAlignment="1" pivotButton="0" quotePrefix="0" xfId="0">
      <alignment vertical="center"/>
    </xf>
    <xf numFmtId="0" fontId="0" fillId="0" borderId="0" applyAlignment="1" applyProtection="1" pivotButton="0" quotePrefix="0" xfId="0">
      <alignment vertical="center"/>
      <protection locked="0" hidden="0"/>
    </xf>
    <xf numFmtId="0" fontId="43" fillId="0" borderId="0" applyAlignment="1" applyProtection="1" pivotButton="0" quotePrefix="0" xfId="0">
      <alignment horizontal="justify"/>
      <protection locked="0" hidden="0"/>
    </xf>
    <xf numFmtId="166" fontId="42" fillId="0" borderId="11" applyAlignment="1" applyProtection="1" pivotButton="0" quotePrefix="0" xfId="3">
      <alignment horizontal="left"/>
      <protection locked="0" hidden="0"/>
    </xf>
    <xf numFmtId="0" fontId="44" fillId="0" borderId="11" applyProtection="1" pivotButton="0" quotePrefix="0" xfId="3">
      <protection locked="0" hidden="0"/>
    </xf>
    <xf numFmtId="0" fontId="4" fillId="0" borderId="0" applyAlignment="1" applyProtection="1" pivotButton="0" quotePrefix="0" xfId="0">
      <alignment horizontal="justify" vertical="center" wrapText="1"/>
      <protection locked="0" hidden="0"/>
    </xf>
    <xf numFmtId="0" fontId="3" fillId="7" borderId="0" applyAlignment="1" applyProtection="1" pivotButton="0" quotePrefix="0" xfId="0">
      <alignment horizontal="justify" vertical="center" wrapText="1"/>
      <protection locked="0" hidden="0"/>
    </xf>
    <xf numFmtId="0" fontId="32" fillId="0" borderId="0" applyAlignment="1" applyProtection="1" pivotButton="0" quotePrefix="0" xfId="0">
      <alignment horizontal="center" vertical="center"/>
      <protection locked="0" hidden="0"/>
    </xf>
    <xf numFmtId="164" fontId="75" fillId="0" borderId="0" applyAlignment="1" pivotButton="0" quotePrefix="0" xfId="60">
      <alignment horizontal="left" vertical="center"/>
    </xf>
    <xf numFmtId="166" fontId="3" fillId="10" borderId="2" applyAlignment="1" pivotButton="0" quotePrefix="0" xfId="1">
      <alignment horizontal="right" vertical="center" wrapText="1"/>
    </xf>
    <xf numFmtId="0" fontId="6" fillId="10" borderId="2" applyAlignment="1" applyProtection="1" pivotButton="0" quotePrefix="0" xfId="0">
      <alignment horizontal="center" vertical="center"/>
      <protection locked="0" hidden="0"/>
    </xf>
    <xf numFmtId="0" fontId="8" fillId="10" borderId="2" applyAlignment="1" applyProtection="1" pivotButton="0" quotePrefix="0" xfId="0">
      <alignment horizontal="center" vertical="center"/>
      <protection locked="0" hidden="0"/>
    </xf>
    <xf numFmtId="0" fontId="8" fillId="10" borderId="0" applyProtection="1" pivotButton="0" quotePrefix="0" xfId="0">
      <protection locked="0" hidden="0"/>
    </xf>
    <xf numFmtId="164" fontId="6" fillId="10" borderId="2" applyAlignment="1" applyProtection="1" pivotButton="0" quotePrefix="0" xfId="40">
      <alignment horizontal="center" vertical="center" wrapText="1"/>
      <protection locked="0" hidden="0"/>
    </xf>
    <xf numFmtId="166" fontId="16" fillId="10" borderId="2" applyAlignment="1" applyProtection="1" pivotButton="0" quotePrefix="0" xfId="40">
      <alignment horizontal="left" vertical="center" wrapText="1" indent="1"/>
      <protection locked="0" hidden="0"/>
    </xf>
    <xf numFmtId="10" fontId="8" fillId="10" borderId="2" applyAlignment="1" pivotButton="0" quotePrefix="0" xfId="2">
      <alignment horizontal="right" vertical="center" wrapText="1"/>
    </xf>
    <xf numFmtId="0" fontId="3" fillId="10" borderId="0" applyAlignment="1" applyProtection="1" pivotButton="0" quotePrefix="0" xfId="0">
      <alignment vertical="center" wrapText="1"/>
      <protection locked="0" hidden="0"/>
    </xf>
    <xf numFmtId="0" fontId="8" fillId="3" borderId="2" applyAlignment="1" applyProtection="1" pivotButton="0" quotePrefix="0" xfId="0">
      <alignment horizontal="center" vertical="center"/>
      <protection locked="0" hidden="0"/>
    </xf>
    <xf numFmtId="166" fontId="3" fillId="0" borderId="2" applyAlignment="1" pivotButton="0" quotePrefix="0" xfId="1">
      <alignment horizontal="left" vertical="center"/>
    </xf>
    <xf numFmtId="166" fontId="3" fillId="0" borderId="2" applyAlignment="1" pivotButton="0" quotePrefix="0" xfId="1">
      <alignment horizontal="right" vertical="center"/>
    </xf>
    <xf numFmtId="0" fontId="8" fillId="10" borderId="2" applyAlignment="1" pivotButton="0" quotePrefix="0" xfId="0">
      <alignment horizontal="left" vertical="center"/>
    </xf>
    <xf numFmtId="166" fontId="8" fillId="10" borderId="2" applyAlignment="1" pivotButton="0" quotePrefix="0" xfId="1">
      <alignment horizontal="left" vertical="center"/>
    </xf>
    <xf numFmtId="165" fontId="8" fillId="10" borderId="2" applyAlignment="1" pivotButton="0" quotePrefix="0" xfId="0">
      <alignment horizontal="left" vertical="center"/>
    </xf>
    <xf numFmtId="0" fontId="8" fillId="10" borderId="2" applyAlignment="1" applyProtection="1" pivotButton="0" quotePrefix="0" xfId="0">
      <alignment horizontal="center" vertical="center"/>
      <protection locked="0" hidden="0"/>
    </xf>
    <xf numFmtId="0" fontId="8" fillId="10" borderId="2" applyAlignment="1" pivotButton="0" quotePrefix="0" xfId="0">
      <alignment horizontal="center" vertical="center"/>
    </xf>
    <xf numFmtId="0" fontId="8" fillId="0" borderId="0" applyAlignment="1" applyProtection="1" pivotButton="0" quotePrefix="0" xfId="50">
      <alignment vertical="center"/>
      <protection locked="0" hidden="0"/>
    </xf>
    <xf numFmtId="166" fontId="8" fillId="10" borderId="2" applyAlignment="1" pivotButton="0" quotePrefix="0" xfId="1">
      <alignment horizontal="right" vertical="center"/>
    </xf>
    <xf numFmtId="10" fontId="8" fillId="10" borderId="2" applyAlignment="1" pivotButton="0" quotePrefix="0" xfId="2">
      <alignment horizontal="right" vertical="center"/>
    </xf>
    <xf numFmtId="164" fontId="22" fillId="0" borderId="0" applyAlignment="1" applyProtection="1" pivotButton="0" quotePrefix="0" xfId="3">
      <alignment vertical="center" wrapText="1"/>
      <protection locked="0" hidden="0"/>
    </xf>
    <xf numFmtId="0" fontId="2" fillId="0" borderId="0" applyAlignment="1" applyProtection="1" pivotButton="0" quotePrefix="0" xfId="0">
      <alignment horizontal="left" vertical="center" wrapText="1"/>
      <protection locked="0" hidden="0"/>
    </xf>
    <xf numFmtId="0" fontId="4" fillId="0" borderId="0" applyAlignment="1" applyProtection="1" pivotButton="0" quotePrefix="0" xfId="0">
      <alignment horizontal="left" vertical="center" wrapText="1"/>
      <protection locked="0" hidden="0"/>
    </xf>
    <xf numFmtId="164" fontId="3" fillId="0" borderId="2" applyAlignment="1" applyProtection="1" pivotButton="0" quotePrefix="0" xfId="42">
      <alignment horizontal="center" vertical="center" wrapText="1"/>
      <protection locked="0" hidden="0"/>
    </xf>
    <xf numFmtId="0" fontId="9" fillId="5" borderId="4" applyAlignment="1" applyProtection="1" pivotButton="0" quotePrefix="0" xfId="0">
      <alignment horizontal="center" vertical="center"/>
      <protection locked="0" hidden="0"/>
    </xf>
    <xf numFmtId="0" fontId="9" fillId="5" borderId="5" applyAlignment="1" applyProtection="1" pivotButton="0" quotePrefix="0" xfId="0">
      <alignment horizontal="center" vertical="center"/>
      <protection locked="0" hidden="0"/>
    </xf>
    <xf numFmtId="0" fontId="9" fillId="5" borderId="7" applyAlignment="1" applyProtection="1" pivotButton="0" quotePrefix="0" xfId="0">
      <alignment horizontal="center" vertical="center"/>
      <protection locked="0" hidden="0"/>
    </xf>
    <xf numFmtId="164" fontId="10" fillId="6" borderId="10" applyAlignment="1" applyProtection="1" pivotButton="0" quotePrefix="0" xfId="43">
      <alignment horizontal="left" vertical="center" wrapText="1"/>
      <protection locked="0" hidden="0"/>
    </xf>
    <xf numFmtId="164" fontId="10" fillId="6" borderId="0" applyAlignment="1" applyProtection="1" pivotButton="0" quotePrefix="0" xfId="43">
      <alignment horizontal="left" vertical="center" wrapText="1"/>
      <protection locked="0" hidden="0"/>
    </xf>
    <xf numFmtId="49" fontId="8" fillId="3" borderId="1" applyAlignment="1" applyProtection="1" pivotButton="0" quotePrefix="0" xfId="42">
      <alignment horizontal="center" vertical="center"/>
      <protection locked="0" hidden="0"/>
    </xf>
    <xf numFmtId="49" fontId="8" fillId="3" borderId="3" applyAlignment="1" applyProtection="1" pivotButton="0" quotePrefix="0" xfId="42">
      <alignment horizontal="center" vertical="center"/>
      <protection locked="0" hidden="0"/>
    </xf>
    <xf numFmtId="164" fontId="9" fillId="10" borderId="2" applyAlignment="1" applyProtection="1" pivotButton="0" quotePrefix="0" xfId="43">
      <alignment horizontal="center" vertical="center" wrapText="1"/>
      <protection locked="0" hidden="0"/>
    </xf>
    <xf numFmtId="164" fontId="8" fillId="3" borderId="1" applyAlignment="1" applyProtection="1" pivotButton="0" quotePrefix="0" xfId="42">
      <alignment horizontal="center" vertical="center" wrapText="1"/>
      <protection locked="0" hidden="0"/>
    </xf>
    <xf numFmtId="164" fontId="8" fillId="3" borderId="3" applyAlignment="1" applyProtection="1" pivotButton="0" quotePrefix="0" xfId="42">
      <alignment horizontal="center" vertical="center" wrapText="1"/>
      <protection locked="0" hidden="0"/>
    </xf>
    <xf numFmtId="0" fontId="9" fillId="5" borderId="1" applyAlignment="1" applyProtection="1" pivotButton="0" quotePrefix="0" xfId="0">
      <alignment horizontal="center" vertical="center" wrapText="1"/>
      <protection locked="0" hidden="0"/>
    </xf>
    <xf numFmtId="0" fontId="9" fillId="5" borderId="3" applyAlignment="1" applyProtection="1" pivotButton="0" quotePrefix="0" xfId="0">
      <alignment horizontal="center" vertical="center" wrapText="1"/>
      <protection locked="0" hidden="0"/>
    </xf>
    <xf numFmtId="164" fontId="3" fillId="0" borderId="2" applyAlignment="1" applyProtection="1" pivotButton="0" quotePrefix="0" xfId="42">
      <alignment horizontal="left" vertical="center" wrapText="1"/>
      <protection locked="0" hidden="0"/>
    </xf>
    <xf numFmtId="164" fontId="2" fillId="0" borderId="0" applyAlignment="1" pivotButton="0" quotePrefix="0" xfId="46">
      <alignment horizontal="center" vertical="center"/>
    </xf>
    <xf numFmtId="164" fontId="32" fillId="0" borderId="0" applyAlignment="1" pivotButton="0" quotePrefix="0" xfId="46">
      <alignment horizontal="center" vertical="center"/>
    </xf>
    <xf numFmtId="164" fontId="5" fillId="0" borderId="0" applyAlignment="1" pivotButton="0" quotePrefix="0" xfId="46">
      <alignment horizontal="center" vertical="center"/>
    </xf>
    <xf numFmtId="164" fontId="9" fillId="3" borderId="2" applyAlignment="1" applyProtection="1" pivotButton="0" quotePrefix="0" xfId="42">
      <alignment horizontal="center" vertical="center" wrapText="1"/>
      <protection locked="0" hidden="0"/>
    </xf>
    <xf numFmtId="164" fontId="3" fillId="3" borderId="2" applyAlignment="1" applyProtection="1" pivotButton="0" quotePrefix="0" xfId="42">
      <alignment horizontal="center" vertical="center" wrapText="1"/>
      <protection locked="0" hidden="0"/>
    </xf>
    <xf numFmtId="0" fontId="2" fillId="0" borderId="0" applyAlignment="1" pivotButton="0" quotePrefix="0" xfId="45">
      <alignment horizontal="center" vertical="center" wrapText="1"/>
    </xf>
    <xf numFmtId="0" fontId="5" fillId="0" borderId="0" applyAlignment="1" pivotButton="0" quotePrefix="0" xfId="45">
      <alignment horizontal="center" vertical="center" wrapText="1"/>
    </xf>
    <xf numFmtId="164" fontId="8" fillId="3" borderId="4" applyAlignment="1" applyProtection="1" pivotButton="0" quotePrefix="0" xfId="40">
      <alignment horizontal="center" vertical="center" wrapText="1"/>
      <protection locked="0" hidden="0"/>
    </xf>
    <xf numFmtId="164" fontId="8" fillId="3" borderId="5" applyAlignment="1" applyProtection="1" pivotButton="0" quotePrefix="0" xfId="40">
      <alignment horizontal="center" vertical="center" wrapText="1"/>
      <protection locked="0" hidden="0"/>
    </xf>
    <xf numFmtId="164" fontId="8" fillId="3" borderId="7" applyAlignment="1" applyProtection="1" pivotButton="0" quotePrefix="0" xfId="40">
      <alignment horizontal="center" vertical="center" wrapText="1"/>
      <protection locked="0" hidden="0"/>
    </xf>
    <xf numFmtId="164" fontId="28" fillId="3" borderId="2" applyAlignment="1" applyProtection="1" pivotButton="0" quotePrefix="0" xfId="38">
      <alignment horizontal="center" vertical="center" wrapText="1"/>
      <protection locked="0" hidden="0"/>
    </xf>
    <xf numFmtId="164" fontId="29" fillId="3" borderId="2" applyAlignment="1" applyProtection="1" pivotButton="0" quotePrefix="0" xfId="38">
      <alignment horizontal="center" vertical="center" wrapText="1"/>
      <protection locked="0" hidden="0"/>
    </xf>
    <xf numFmtId="164" fontId="8" fillId="3" borderId="2" applyAlignment="1" applyProtection="1" pivotButton="0" quotePrefix="0" xfId="40">
      <alignment horizontal="center" vertical="center" wrapText="1"/>
      <protection locked="0" hidden="0"/>
    </xf>
    <xf numFmtId="0" fontId="2" fillId="0" borderId="0" applyAlignment="1" pivotButton="0" quotePrefix="0" xfId="45">
      <alignment horizontal="center" vertical="center"/>
    </xf>
    <xf numFmtId="0" fontId="5" fillId="0" borderId="0" applyAlignment="1" pivotButton="0" quotePrefix="0" xfId="45">
      <alignment horizontal="center" vertical="center"/>
    </xf>
    <xf numFmtId="0" fontId="6" fillId="3" borderId="1" applyAlignment="1" applyProtection="1" pivotButton="0" quotePrefix="0" xfId="0">
      <alignment horizontal="center" vertical="center" wrapText="1"/>
      <protection locked="0" hidden="0"/>
    </xf>
    <xf numFmtId="0" fontId="6" fillId="3" borderId="3" applyAlignment="1" applyProtection="1" pivotButton="0" quotePrefix="0" xfId="0">
      <alignment horizontal="center" vertical="center" wrapText="1"/>
      <protection locked="0" hidden="0"/>
    </xf>
    <xf numFmtId="0" fontId="8" fillId="3" borderId="1" applyAlignment="1" applyProtection="1" pivotButton="0" quotePrefix="0" xfId="0">
      <alignment horizontal="center" vertical="center"/>
      <protection locked="0" hidden="0"/>
    </xf>
    <xf numFmtId="0" fontId="8" fillId="3" borderId="3" applyAlignment="1" applyProtection="1" pivotButton="0" quotePrefix="0" xfId="0">
      <alignment horizontal="center" vertical="center"/>
      <protection locked="0" hidden="0"/>
    </xf>
    <xf numFmtId="0" fontId="6" fillId="10" borderId="4" applyAlignment="1" applyProtection="1" pivotButton="0" quotePrefix="0" xfId="0">
      <alignment horizontal="center" vertical="center"/>
      <protection locked="0" hidden="0"/>
    </xf>
    <xf numFmtId="0" fontId="6" fillId="10" borderId="7" applyAlignment="1" applyProtection="1" pivotButton="0" quotePrefix="0" xfId="0">
      <alignment horizontal="center" vertical="center"/>
      <protection locked="0" hidden="0"/>
    </xf>
    <xf numFmtId="0" fontId="6" fillId="3" borderId="2" applyAlignment="1" applyProtection="1" pivotButton="0" quotePrefix="0" xfId="0">
      <alignment horizontal="center" vertical="center"/>
      <protection locked="0" hidden="0"/>
    </xf>
    <xf numFmtId="0" fontId="6" fillId="3" borderId="1" applyAlignment="1" applyProtection="1" pivotButton="0" quotePrefix="0" xfId="0">
      <alignment horizontal="center" vertical="center"/>
      <protection locked="0" hidden="0"/>
    </xf>
    <xf numFmtId="0" fontId="6" fillId="3" borderId="3" applyAlignment="1" applyProtection="1" pivotButton="0" quotePrefix="0" xfId="0">
      <alignment horizontal="center" vertical="center"/>
      <protection locked="0" hidden="0"/>
    </xf>
    <xf numFmtId="0" fontId="8" fillId="3" borderId="4" applyAlignment="1" applyProtection="1" pivotButton="0" quotePrefix="0" xfId="0">
      <alignment horizontal="center" vertical="center"/>
      <protection locked="0" hidden="0"/>
    </xf>
    <xf numFmtId="0" fontId="8" fillId="3" borderId="5" applyAlignment="1" applyProtection="1" pivotButton="0" quotePrefix="0" xfId="0">
      <alignment horizontal="center" vertical="center"/>
      <protection locked="0" hidden="0"/>
    </xf>
    <xf numFmtId="0" fontId="8" fillId="3" borderId="7" applyAlignment="1" applyProtection="1" pivotButton="0" quotePrefix="0" xfId="0">
      <alignment horizontal="center" vertical="center"/>
      <protection locked="0" hidden="0"/>
    </xf>
    <xf numFmtId="164" fontId="6" fillId="3" borderId="2" applyAlignment="1" applyProtection="1" pivotButton="0" quotePrefix="0" xfId="40">
      <alignment horizontal="center" vertical="center"/>
      <protection locked="0" hidden="0"/>
    </xf>
    <xf numFmtId="166" fontId="38" fillId="0" borderId="0" applyAlignment="1" pivotButton="0" quotePrefix="0" xfId="52">
      <alignment horizontal="center" vertical="center"/>
    </xf>
    <xf numFmtId="166" fontId="32" fillId="0" borderId="0" applyAlignment="1" pivotButton="0" quotePrefix="0" xfId="52">
      <alignment horizontal="center" vertical="center"/>
    </xf>
    <xf numFmtId="164" fontId="19" fillId="0" borderId="0" applyAlignment="1" applyProtection="1" pivotButton="0" quotePrefix="0" xfId="36">
      <alignment horizontal="left" vertical="center" wrapText="1"/>
      <protection locked="0" hidden="0"/>
    </xf>
    <xf numFmtId="164" fontId="3" fillId="0" borderId="0" applyAlignment="1" applyProtection="1" pivotButton="0" quotePrefix="0" xfId="36">
      <alignment horizontal="left" vertical="center" wrapText="1"/>
      <protection locked="0" hidden="0"/>
    </xf>
    <xf numFmtId="0" fontId="9" fillId="10" borderId="2" applyAlignment="1" pivotButton="0" quotePrefix="0" xfId="0">
      <alignment horizontal="center" vertical="center"/>
    </xf>
    <xf numFmtId="0" fontId="8" fillId="10" borderId="2" applyAlignment="1" pivotButton="0" quotePrefix="0" xfId="0">
      <alignment horizontal="center" vertical="center"/>
    </xf>
    <xf numFmtId="0" fontId="2"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0" fontId="3" fillId="0" borderId="0" applyAlignment="1" pivotButton="0" quotePrefix="0" xfId="50">
      <alignment horizontal="left" vertical="center" wrapText="1"/>
    </xf>
    <xf numFmtId="0" fontId="9" fillId="3" borderId="2" applyAlignment="1" applyProtection="1" pivotButton="0" quotePrefix="0" xfId="37">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5" applyAlignment="1" applyProtection="1" pivotButton="0" quotePrefix="0" xfId="0">
      <alignment horizontal="center" vertical="center"/>
      <protection locked="0" hidden="0"/>
    </xf>
    <xf numFmtId="164" fontId="9" fillId="2" borderId="1" applyAlignment="1" pivotButton="0" quotePrefix="0" xfId="35">
      <alignment horizontal="center" vertical="center" wrapText="1"/>
    </xf>
    <xf numFmtId="164" fontId="9" fillId="2" borderId="3" applyAlignment="1" pivotButton="0" quotePrefix="0" xfId="35">
      <alignment horizontal="center" vertical="center" wrapText="1"/>
    </xf>
    <xf numFmtId="164" fontId="9" fillId="3" borderId="2" applyAlignment="1" applyProtection="1" pivotButton="0" quotePrefix="0" xfId="36">
      <alignment horizontal="center" vertical="center" wrapText="1"/>
      <protection locked="0" hidden="0"/>
    </xf>
    <xf numFmtId="0" fontId="9" fillId="2" borderId="2" applyAlignment="1" pivotButton="0" quotePrefix="0" xfId="37">
      <alignment horizontal="center" vertical="center" wrapText="1"/>
    </xf>
    <xf numFmtId="0" fontId="9" fillId="2" borderId="1" applyAlignment="1" pivotButton="0" quotePrefix="0" xfId="37">
      <alignment horizontal="center" vertical="center" wrapText="1"/>
    </xf>
    <xf numFmtId="0" fontId="9" fillId="2" borderId="3" applyAlignment="1" pivotButton="0" quotePrefix="0" xfId="37">
      <alignment horizontal="center" vertical="center" wrapText="1"/>
    </xf>
    <xf numFmtId="164" fontId="9" fillId="3" borderId="2" applyAlignment="1" applyProtection="1" pivotButton="0" quotePrefix="0" xfId="36">
      <alignment horizontal="center" vertical="center"/>
      <protection locked="0" hidden="0"/>
    </xf>
    <xf numFmtId="0" fontId="0" fillId="0" borderId="0" pivotButton="0" quotePrefix="0" xfId="0"/>
    <xf numFmtId="164" fontId="6" fillId="0" borderId="0" applyAlignment="1" pivotButton="0" quotePrefix="0" xfId="0">
      <alignment horizontal="center" vertical="center"/>
    </xf>
    <xf numFmtId="164" fontId="26" fillId="0" borderId="11" applyAlignment="1" pivotButton="0" quotePrefix="0" xfId="0">
      <alignment horizontal="center" vertical="center"/>
    </xf>
    <xf numFmtId="164" fontId="26" fillId="0" borderId="11" applyAlignment="1" pivotButton="0" quotePrefix="0" xfId="0">
      <alignment vertical="center"/>
    </xf>
    <xf numFmtId="164" fontId="27" fillId="0" borderId="11" applyAlignment="1" pivotButton="0" quotePrefix="0" xfId="0">
      <alignment vertical="center"/>
    </xf>
    <xf numFmtId="166" fontId="42" fillId="0" borderId="11" applyAlignment="1" applyProtection="1" pivotButton="0" quotePrefix="0" xfId="3">
      <alignment horizontal="left"/>
      <protection locked="0" hidden="0"/>
    </xf>
    <xf numFmtId="164" fontId="30" fillId="0" borderId="0" applyAlignment="1" pivotButton="0" quotePrefix="0" xfId="42">
      <alignment vertical="center"/>
    </xf>
    <xf numFmtId="164" fontId="31" fillId="0" borderId="0" applyAlignment="1" pivotButton="0" quotePrefix="0" xfId="42">
      <alignment horizontal="center" vertical="center"/>
    </xf>
    <xf numFmtId="164" fontId="31" fillId="0" borderId="0" applyAlignment="1" pivotButton="0" quotePrefix="0" xfId="42">
      <alignment vertical="center"/>
    </xf>
    <xf numFmtId="164" fontId="2" fillId="0" borderId="0" applyAlignment="1" pivotButton="0" quotePrefix="0" xfId="46">
      <alignment horizontal="center" vertical="center"/>
    </xf>
    <xf numFmtId="164" fontId="8" fillId="0" borderId="0" applyAlignment="1" pivotButton="0" quotePrefix="0" xfId="46">
      <alignment horizontal="center" vertical="center"/>
    </xf>
    <xf numFmtId="164" fontId="32" fillId="0" borderId="0" applyAlignment="1" pivotButton="0" quotePrefix="0" xfId="46">
      <alignment horizontal="center" vertical="center"/>
    </xf>
    <xf numFmtId="164" fontId="14" fillId="0" borderId="0" applyAlignment="1" pivotButton="0" quotePrefix="0" xfId="3">
      <alignment vertical="center"/>
    </xf>
    <xf numFmtId="164" fontId="3" fillId="0" borderId="0" applyAlignment="1" applyProtection="1" pivotButton="0" quotePrefix="0" xfId="42">
      <alignment vertical="center"/>
      <protection locked="0" hidden="0"/>
    </xf>
    <xf numFmtId="164" fontId="22" fillId="0" borderId="0" applyAlignment="1" applyProtection="1" pivotButton="0" quotePrefix="0" xfId="3">
      <alignment vertical="center" wrapText="1"/>
      <protection locked="0" hidden="0"/>
    </xf>
    <xf numFmtId="164" fontId="3" fillId="0" borderId="0" applyAlignment="1" applyProtection="1" pivotButton="0" quotePrefix="0" xfId="42">
      <alignment vertical="center" wrapText="1"/>
      <protection locked="0" hidden="0"/>
    </xf>
    <xf numFmtId="164" fontId="9" fillId="0" borderId="0" applyAlignment="1" applyProtection="1" pivotButton="0" quotePrefix="0" xfId="43">
      <alignment vertical="center"/>
      <protection locked="0" hidden="0"/>
    </xf>
    <xf numFmtId="164" fontId="11" fillId="0" borderId="0" applyAlignment="1" applyProtection="1" pivotButton="0" quotePrefix="0" xfId="43">
      <alignment vertical="center"/>
      <protection locked="0" hidden="0"/>
    </xf>
    <xf numFmtId="164" fontId="8" fillId="0" borderId="0" applyAlignment="1" applyProtection="1" pivotButton="0" quotePrefix="0" xfId="42">
      <alignment horizontal="justify" vertical="center"/>
      <protection locked="0" hidden="0"/>
    </xf>
    <xf numFmtId="164" fontId="37" fillId="0" borderId="0" applyAlignment="1" applyProtection="1" pivotButton="0" quotePrefix="0" xfId="42">
      <alignment horizontal="center" vertical="center"/>
      <protection locked="0" hidden="0"/>
    </xf>
    <xf numFmtId="164" fontId="9" fillId="3" borderId="2" applyAlignment="1" applyProtection="1" pivotButton="0" quotePrefix="0" xfId="42">
      <alignment horizontal="center" vertical="center" wrapText="1"/>
      <protection locked="0" hidden="0"/>
    </xf>
    <xf numFmtId="0" fontId="0" fillId="0" borderId="5" applyProtection="1" pivotButton="0" quotePrefix="0" xfId="0">
      <protection locked="0" hidden="0"/>
    </xf>
    <xf numFmtId="0" fontId="0" fillId="0" borderId="7" applyProtection="1" pivotButton="0" quotePrefix="0" xfId="0">
      <protection locked="0" hidden="0"/>
    </xf>
    <xf numFmtId="164" fontId="3" fillId="3" borderId="2" applyAlignment="1" applyProtection="1" pivotButton="0" quotePrefix="0" xfId="42">
      <alignment horizontal="center" vertical="center" wrapText="1"/>
      <protection locked="0" hidden="0"/>
    </xf>
    <xf numFmtId="164" fontId="3" fillId="0" borderId="2" applyAlignment="1" applyProtection="1" pivotButton="0" quotePrefix="0" xfId="42">
      <alignment horizontal="left" vertical="center" wrapText="1"/>
      <protection locked="0" hidden="0"/>
    </xf>
    <xf numFmtId="164" fontId="3" fillId="0" borderId="2" applyAlignment="1" applyProtection="1" pivotButton="0" quotePrefix="0" xfId="42">
      <alignment horizontal="center" vertical="center" wrapText="1"/>
      <protection locked="0" hidden="0"/>
    </xf>
    <xf numFmtId="49" fontId="8" fillId="3" borderId="2" applyAlignment="1" applyProtection="1" pivotButton="0" quotePrefix="0" xfId="42">
      <alignment horizontal="center" vertical="center"/>
      <protection locked="0" hidden="0"/>
    </xf>
    <xf numFmtId="164" fontId="9" fillId="10" borderId="2" applyAlignment="1" applyProtection="1" pivotButton="0" quotePrefix="0" xfId="43">
      <alignment horizontal="center" vertical="center" wrapText="1"/>
      <protection locked="0" hidden="0"/>
    </xf>
    <xf numFmtId="164" fontId="8" fillId="3" borderId="2" applyAlignment="1" applyProtection="1" pivotButton="0" quotePrefix="0" xfId="42">
      <alignment horizontal="center" vertical="center" wrapText="1"/>
      <protection locked="0" hidden="0"/>
    </xf>
    <xf numFmtId="0" fontId="9" fillId="5" borderId="2" applyAlignment="1" applyProtection="1" pivotButton="0" quotePrefix="0" xfId="0">
      <alignment horizontal="center" vertical="center"/>
      <protection locked="0" hidden="0"/>
    </xf>
    <xf numFmtId="0" fontId="9" fillId="5" borderId="2" applyAlignment="1" applyProtection="1" pivotButton="0" quotePrefix="0" xfId="0">
      <alignment horizontal="center" vertical="center" wrapText="1"/>
      <protection locked="0" hidden="0"/>
    </xf>
    <xf numFmtId="0" fontId="0" fillId="0" borderId="3" applyProtection="1" pivotButton="0" quotePrefix="0" xfId="0">
      <protection locked="0" hidden="0"/>
    </xf>
    <xf numFmtId="164" fontId="8" fillId="3" borderId="2" applyAlignment="1" applyProtection="1" pivotButton="0" quotePrefix="0" xfId="35">
      <alignment horizontal="center" vertical="center" wrapText="1"/>
      <protection locked="0" hidden="0"/>
    </xf>
    <xf numFmtId="164" fontId="75" fillId="0" borderId="0" applyAlignment="1" pivotButton="0" quotePrefix="0" xfId="60">
      <alignment horizontal="left" vertical="center"/>
    </xf>
    <xf numFmtId="164" fontId="31" fillId="0" borderId="4" applyAlignment="1" pivotButton="0" quotePrefix="0" xfId="43">
      <alignment vertical="center" wrapText="1"/>
    </xf>
    <xf numFmtId="164" fontId="31" fillId="0" borderId="2" applyAlignment="1" pivotButton="0" quotePrefix="0" xfId="35">
      <alignment horizontal="center" vertical="center" wrapText="1"/>
    </xf>
    <xf numFmtId="164" fontId="31" fillId="0" borderId="2" applyAlignment="1" pivotButton="0" quotePrefix="0" xfId="43">
      <alignment horizontal="center" vertical="center" wrapText="1"/>
    </xf>
    <xf numFmtId="164" fontId="3" fillId="0" borderId="2" applyAlignment="1" pivotButton="0" quotePrefix="0" xfId="0">
      <alignment horizontal="center" vertical="center" wrapText="1"/>
    </xf>
    <xf numFmtId="164" fontId="10" fillId="6" borderId="10" applyAlignment="1" applyProtection="1" pivotButton="0" quotePrefix="0" xfId="43">
      <alignment horizontal="left" vertical="center" wrapText="1"/>
      <protection locked="0" hidden="0"/>
    </xf>
    <xf numFmtId="164" fontId="36" fillId="0" borderId="4" applyAlignment="1" pivotButton="0" quotePrefix="0" xfId="42">
      <alignment vertical="center" wrapText="1"/>
    </xf>
    <xf numFmtId="164" fontId="33" fillId="0" borderId="2" applyAlignment="1" pivotButton="0" quotePrefix="0" xfId="43">
      <alignment horizontal="center" vertical="center" wrapText="1"/>
    </xf>
    <xf numFmtId="164" fontId="3" fillId="0" borderId="2" applyAlignment="1" pivotButton="0" quotePrefix="0" xfId="43">
      <alignment horizontal="center" vertical="center" wrapText="1"/>
    </xf>
    <xf numFmtId="164" fontId="8" fillId="3" borderId="2" applyAlignment="1" applyProtection="1" pivotButton="0" quotePrefix="0" xfId="40">
      <alignment horizontal="center" vertical="center" wrapText="1"/>
      <protection locked="0" hidden="0"/>
    </xf>
    <xf numFmtId="164" fontId="28" fillId="3" borderId="2" applyAlignment="1" applyProtection="1" pivotButton="0" quotePrefix="0" xfId="38">
      <alignment horizontal="center" vertical="center" wrapText="1"/>
      <protection locked="0" hidden="0"/>
    </xf>
    <xf numFmtId="164" fontId="29" fillId="3" borderId="2" applyAlignment="1" applyProtection="1" pivotButton="0" quotePrefix="0" xfId="38">
      <alignment horizontal="center" vertical="center"/>
      <protection locked="0" hidden="0"/>
    </xf>
    <xf numFmtId="166" fontId="3" fillId="5" borderId="2" applyAlignment="1" pivotButton="0" quotePrefix="0" xfId="1">
      <alignment horizontal="right" vertical="center" wrapText="1"/>
    </xf>
    <xf numFmtId="164" fontId="6" fillId="10" borderId="2" applyAlignment="1" applyProtection="1" pivotButton="0" quotePrefix="0" xfId="40">
      <alignment horizontal="center" vertical="center" wrapText="1"/>
      <protection locked="0" hidden="0"/>
    </xf>
    <xf numFmtId="166" fontId="16" fillId="10" borderId="2" applyAlignment="1" applyProtection="1" pivotButton="0" quotePrefix="0" xfId="40">
      <alignment horizontal="left" vertical="center" wrapText="1" indent="1"/>
      <protection locked="0" hidden="0"/>
    </xf>
    <xf numFmtId="166" fontId="3" fillId="0" borderId="0" applyAlignment="1" pivotButton="0" quotePrefix="0" xfId="51">
      <alignment vertical="center"/>
    </xf>
    <xf numFmtId="166" fontId="3" fillId="0" borderId="2" applyAlignment="1" pivotButton="0" quotePrefix="0" xfId="47">
      <alignment vertical="center"/>
    </xf>
    <xf numFmtId="166" fontId="3" fillId="0" borderId="0" applyAlignment="1" applyProtection="1" pivotButton="0" quotePrefix="0" xfId="1">
      <alignment horizontal="left" vertical="center" wrapText="1"/>
      <protection locked="0" hidden="0"/>
    </xf>
    <xf numFmtId="166" fontId="27" fillId="0" borderId="0" applyAlignment="1" applyProtection="1" pivotButton="0" quotePrefix="0" xfId="0">
      <alignment horizontal="right" vertical="center" wrapText="1"/>
      <protection locked="0" hidden="0"/>
    </xf>
    <xf numFmtId="166" fontId="2" fillId="0" borderId="9" applyAlignment="1" applyProtection="1" pivotButton="0" quotePrefix="0" xfId="0">
      <alignment horizontal="right" vertical="center" wrapText="1"/>
      <protection locked="0" hidden="0"/>
    </xf>
    <xf numFmtId="166" fontId="4" fillId="0" borderId="0" applyAlignment="1" applyProtection="1" pivotButton="0" quotePrefix="0" xfId="1">
      <alignment vertical="center" wrapText="1"/>
      <protection locked="0" hidden="0"/>
    </xf>
    <xf numFmtId="166" fontId="4" fillId="0" borderId="9" applyAlignment="1" applyProtection="1" pivotButton="0" quotePrefix="0" xfId="0">
      <alignment horizontal="right" vertical="center" wrapText="1"/>
      <protection locked="0" hidden="0"/>
    </xf>
    <xf numFmtId="166" fontId="26" fillId="0" borderId="9" applyAlignment="1" applyProtection="1" pivotButton="0" quotePrefix="0" xfId="0">
      <alignment horizontal="right" vertical="center" wrapText="1"/>
      <protection locked="0" hidden="0"/>
    </xf>
    <xf numFmtId="164" fontId="14" fillId="0" borderId="0" applyAlignment="1" applyProtection="1" pivotButton="0" quotePrefix="0" xfId="3">
      <alignment vertical="center" wrapText="1"/>
      <protection locked="0" hidden="0"/>
    </xf>
    <xf numFmtId="164" fontId="6" fillId="0" borderId="0" applyAlignment="1" pivotButton="0" quotePrefix="0" xfId="35">
      <alignment vertical="center"/>
    </xf>
    <xf numFmtId="166" fontId="3" fillId="0" borderId="0" applyAlignment="1" applyProtection="1" pivotButton="0" quotePrefix="0" xfId="0">
      <alignment vertical="center"/>
      <protection locked="0" hidden="0"/>
    </xf>
    <xf numFmtId="164" fontId="8" fillId="0" borderId="0" applyAlignment="1" pivotButton="0" quotePrefix="0" xfId="35">
      <alignment horizontal="left" vertical="center"/>
    </xf>
    <xf numFmtId="164" fontId="3" fillId="0" borderId="0" applyAlignment="1" applyProtection="1" pivotButton="0" quotePrefix="0" xfId="35">
      <alignment vertical="center"/>
      <protection locked="0" hidden="0"/>
    </xf>
    <xf numFmtId="164" fontId="6" fillId="3" borderId="2" applyAlignment="1" applyProtection="1" pivotButton="0" quotePrefix="0" xfId="40">
      <alignment horizontal="center" vertical="center"/>
      <protection locked="0" hidden="0"/>
    </xf>
    <xf numFmtId="0" fontId="6" fillId="3" borderId="2" applyAlignment="1" applyProtection="1" pivotButton="0" quotePrefix="0" xfId="0">
      <alignment horizontal="center" vertical="center" wrapText="1"/>
      <protection locked="0" hidden="0"/>
    </xf>
    <xf numFmtId="166" fontId="16" fillId="4" borderId="2" applyAlignment="1" pivotButton="0" quotePrefix="0" xfId="1">
      <alignment horizontal="right" vertical="center"/>
    </xf>
    <xf numFmtId="166" fontId="3" fillId="10" borderId="2" applyAlignment="1" pivotButton="0" quotePrefix="0" xfId="1">
      <alignment horizontal="right" vertical="center" wrapText="1"/>
    </xf>
    <xf numFmtId="164" fontId="3" fillId="0" borderId="0" applyProtection="1" pivotButton="0" quotePrefix="0" xfId="35">
      <protection locked="0" hidden="0"/>
    </xf>
    <xf numFmtId="166" fontId="38" fillId="0" borderId="0" applyAlignment="1" pivotButton="0" quotePrefix="0" xfId="52">
      <alignment horizontal="center" vertical="center"/>
    </xf>
    <xf numFmtId="166" fontId="32" fillId="0" borderId="0" applyAlignment="1" pivotButton="0" quotePrefix="0" xfId="52">
      <alignment horizontal="center" vertical="center"/>
    </xf>
    <xf numFmtId="166" fontId="3" fillId="0" borderId="0" applyAlignment="1" pivotButton="0" quotePrefix="0" xfId="52">
      <alignment vertical="center"/>
    </xf>
    <xf numFmtId="166" fontId="3" fillId="0" borderId="0" applyAlignment="1" pivotButton="0" quotePrefix="0" xfId="52">
      <alignment horizontal="left" vertical="center"/>
    </xf>
    <xf numFmtId="164" fontId="8" fillId="3" borderId="2" applyAlignment="1" applyProtection="1" pivotButton="0" quotePrefix="0" xfId="41">
      <alignment horizontal="center" vertical="center" wrapText="1"/>
      <protection locked="0" hidden="0"/>
    </xf>
    <xf numFmtId="164" fontId="15" fillId="3" borderId="2" applyAlignment="1" applyProtection="1" pivotButton="0" quotePrefix="0" xfId="41">
      <alignment horizontal="center" vertical="center" wrapText="1"/>
      <protection locked="0" hidden="0"/>
    </xf>
    <xf numFmtId="166" fontId="16" fillId="0" borderId="2" applyAlignment="1" pivotButton="0" quotePrefix="0" xfId="1">
      <alignment vertical="center"/>
    </xf>
    <xf numFmtId="166" fontId="8" fillId="0" borderId="6" applyAlignment="1" pivotButton="0" quotePrefix="0" xfId="52">
      <alignment horizontal="left" vertical="center"/>
    </xf>
    <xf numFmtId="166" fontId="3" fillId="0" borderId="6" applyAlignment="1" pivotButton="0" quotePrefix="0" xfId="52">
      <alignment horizontal="left" vertical="center"/>
    </xf>
    <xf numFmtId="166" fontId="18" fillId="0" borderId="6" applyAlignment="1" pivotButton="0" quotePrefix="0" xfId="53">
      <alignment horizontal="center" vertical="center"/>
    </xf>
    <xf numFmtId="164" fontId="19" fillId="0" borderId="0" applyAlignment="1" applyProtection="1" pivotButton="0" quotePrefix="0" xfId="36">
      <alignment horizontal="left" vertical="center" wrapText="1"/>
      <protection locked="0" hidden="0"/>
    </xf>
    <xf numFmtId="164" fontId="7" fillId="0" borderId="0" applyAlignment="1" pivotButton="0" quotePrefix="0" xfId="36">
      <alignment horizontal="center"/>
    </xf>
    <xf numFmtId="164" fontId="10" fillId="0" borderId="0" applyAlignment="1" applyProtection="1" pivotButton="0" quotePrefix="0" xfId="35">
      <alignment horizontal="left" vertical="center" wrapText="1"/>
      <protection locked="0" hidden="0"/>
    </xf>
    <xf numFmtId="164" fontId="9" fillId="2" borderId="2" applyAlignment="1" pivotButton="0" quotePrefix="0" xfId="35">
      <alignment horizontal="center" vertical="center" wrapText="1"/>
    </xf>
    <xf numFmtId="164" fontId="9" fillId="3" borderId="2" applyAlignment="1" applyProtection="1" pivotButton="0" quotePrefix="0" xfId="36">
      <alignment horizontal="center" vertical="center" wrapText="1"/>
      <protection locked="0" hidden="0"/>
    </xf>
    <xf numFmtId="164" fontId="9" fillId="3" borderId="2" applyAlignment="1" applyProtection="1" pivotButton="0" quotePrefix="0" xfId="36">
      <alignment horizontal="center" vertical="center"/>
      <protection locked="0" hidden="0"/>
    </xf>
    <xf numFmtId="0" fontId="0" fillId="0" borderId="3" pivotButton="0" quotePrefix="0" xfId="0"/>
    <xf numFmtId="166" fontId="3" fillId="0" borderId="2" applyAlignment="1" pivotButton="0" quotePrefix="0" xfId="1">
      <alignment horizontal="left" vertical="center"/>
    </xf>
    <xf numFmtId="166" fontId="3" fillId="0" borderId="2" applyAlignment="1" pivotButton="0" quotePrefix="0" xfId="1">
      <alignment horizontal="right" vertical="center"/>
    </xf>
    <xf numFmtId="165" fontId="3" fillId="0" borderId="2" applyAlignment="1" pivotButton="0" quotePrefix="0" xfId="0">
      <alignment horizontal="left" vertical="center"/>
    </xf>
    <xf numFmtId="0" fontId="0" fillId="0" borderId="5" pivotButton="0" quotePrefix="0" xfId="0"/>
    <xf numFmtId="0" fontId="0" fillId="0" borderId="7" pivotButton="0" quotePrefix="0" xfId="0"/>
    <xf numFmtId="166" fontId="8" fillId="10" borderId="2" applyAlignment="1" pivotButton="0" quotePrefix="0" xfId="1">
      <alignment horizontal="left" vertical="center"/>
    </xf>
    <xf numFmtId="165" fontId="8" fillId="10" borderId="2" applyAlignment="1" pivotButton="0" quotePrefix="0" xfId="0">
      <alignment horizontal="left" vertical="center"/>
    </xf>
    <xf numFmtId="166" fontId="8" fillId="10" borderId="2" applyAlignment="1" pivotButton="0" quotePrefix="0" xfId="1">
      <alignment horizontal="right" vertical="center"/>
    </xf>
  </cellXfs>
  <cellStyles count="61">
    <cellStyle name="常规" xfId="0" builtinId="0"/>
    <cellStyle name="千位分隔" xfId="1" builtinId="3"/>
    <cellStyle name="百分比" xfId="2" builtinId="5"/>
    <cellStyle name="超链接" xfId="3" builtinId="8"/>
    <cellStyle name="@_text" xfId="4"/>
    <cellStyle name="{Comma [0]}" xfId="5"/>
    <cellStyle name="{Comma}" xfId="6"/>
    <cellStyle name="{Date}" xfId="7"/>
    <cellStyle name="{Month}" xfId="8"/>
    <cellStyle name="{Percent}" xfId="9"/>
    <cellStyle name="{Thousand [0]}" xfId="10"/>
    <cellStyle name="{Thousand}" xfId="11"/>
    <cellStyle name="{Z'0000(1 dec)}" xfId="12"/>
    <cellStyle name="{Z'0000(4 dec)}" xfId="13"/>
    <cellStyle name="Black" xfId="14"/>
    <cellStyle name="Border" xfId="15"/>
    <cellStyle name="Comma [0]_1995" xfId="16"/>
    <cellStyle name="Comma_1995" xfId="17"/>
    <cellStyle name="Currency [0]_1995" xfId="18"/>
    <cellStyle name="Currency_1995" xfId="19"/>
    <cellStyle name="Dezimal [0]_laroux" xfId="20"/>
    <cellStyle name="Dezimal_laroux" xfId="21"/>
    <cellStyle name="Euro" xfId="22"/>
    <cellStyle name="Followed Hyperlink_AheadBehind.xls Chart 23" xfId="23"/>
    <cellStyle name="Grey" xfId="24"/>
    <cellStyle name="Hyperlink_AheadBehind.xls Chart 23" xfId="25"/>
    <cellStyle name="Input [yellow]" xfId="26"/>
    <cellStyle name="Milliers [0]_laroux" xfId="27"/>
    <cellStyle name="Milliers_laroux" xfId="28"/>
    <cellStyle name="Non défini" xfId="29"/>
    <cellStyle name="Normal - Style1" xfId="30"/>
    <cellStyle name="Normal_22-Jun EUS Forecasts" xfId="31"/>
    <cellStyle name="Percent [2]" xfId="32"/>
    <cellStyle name="Red" xfId="33"/>
    <cellStyle name="百分比 2" xfId="34"/>
    <cellStyle name="常规 2" xfId="35"/>
    <cellStyle name="常规 2 2" xfId="36"/>
    <cellStyle name="常规 2 2 4" xfId="37"/>
    <cellStyle name="常规 3" xfId="38"/>
    <cellStyle name="常规 3 2" xfId="39"/>
    <cellStyle name="常规 4" xfId="40"/>
    <cellStyle name="常规 4 2" xfId="41"/>
    <cellStyle name="常规 5" xfId="42"/>
    <cellStyle name="常规 7" xfId="43"/>
    <cellStyle name="常规 7 2" xfId="44"/>
    <cellStyle name="常规_Book1" xfId="45"/>
    <cellStyle name="常规_Book1 2" xfId="46"/>
    <cellStyle name="常规_c-资产类" xfId="47"/>
    <cellStyle name="常规_c-资产类 2" xfId="48"/>
    <cellStyle name="常规_sheet" xfId="49"/>
    <cellStyle name="常规_进一步审计程序--销售与收款循环" xfId="50"/>
    <cellStyle name="常规_新审定表" xfId="51"/>
    <cellStyle name="常规_新审定表 2" xfId="52"/>
    <cellStyle name="超链接 2" xfId="53"/>
    <cellStyle name="普通_ 外G9(3)" xfId="54"/>
    <cellStyle name="千分位[0]_宁波" xfId="55"/>
    <cellStyle name="千分位_宁波" xfId="56"/>
    <cellStyle name="千位[0]_laroux" xfId="57"/>
    <cellStyle name="千位_laroux" xfId="58"/>
    <cellStyle name="千位分隔 2" xfId="59"/>
    <cellStyle name="常规 11 5" xfId="6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何先琴</author>
  </authors>
  <commentList>
    <comment ref="B15" authorId="0" shapeId="0">
      <text>
        <t>专业技术部:
根据被审计单位实际情况和风险评估情况裁剪、修改或增加审计程序</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sheetPr>
  <dimension ref="A1:G20"/>
  <sheetViews>
    <sheetView tabSelected="1" workbookViewId="0">
      <selection activeCell="A1" sqref="A1"/>
    </sheetView>
  </sheetViews>
  <sheetFormatPr baseColWidth="8" defaultColWidth="8.796875" defaultRowHeight="20.1" customHeight="1"/>
  <cols>
    <col width="77.59765625" customWidth="1" style="61" min="1" max="1"/>
    <col width="2" customWidth="1" style="61" min="2" max="2"/>
    <col width="2.09765625" customWidth="1" style="61" min="3" max="3"/>
    <col width="6.09765625" customWidth="1" style="61" min="4" max="4"/>
    <col width="45.09765625" customWidth="1" style="61" min="5" max="5"/>
    <col width="7.3984375" customWidth="1" style="61" min="6" max="6"/>
    <col width="8.796875" customWidth="1" style="61" min="7" max="16384"/>
  </cols>
  <sheetData>
    <row r="1" ht="19.95" customFormat="1" customHeight="1" s="4">
      <c r="A1" s="1" t="inlineStr">
        <is>
          <t>底稿开列时，可先在以下单元格填写有关内容，以便其他底稿引用有关数据：</t>
        </is>
      </c>
    </row>
    <row r="2" ht="19.95" customHeight="1" s="252">
      <c r="A2" s="166" t="inlineStr">
        <is>
          <t>被审计单位：</t>
        </is>
      </c>
      <c r="B2" s="152" t="n"/>
      <c r="C2" s="152" t="n"/>
      <c r="D2" s="253" t="n"/>
      <c r="E2" s="253" t="n"/>
      <c r="F2" s="253" t="n"/>
      <c r="G2" s="152" t="n"/>
    </row>
    <row r="3" ht="19.95" customHeight="1" s="252">
      <c r="A3" s="166" t="inlineStr">
        <is>
          <t>截止日：202X年12月31日</t>
        </is>
      </c>
      <c r="B3" s="152" t="n"/>
      <c r="C3" s="152" t="n"/>
      <c r="D3" s="254" t="inlineStr">
        <is>
          <t>序号</t>
        </is>
      </c>
      <c r="E3" s="254" t="inlineStr">
        <is>
          <t>内容</t>
        </is>
      </c>
      <c r="F3" s="254" t="inlineStr">
        <is>
          <t>索引号</t>
        </is>
      </c>
      <c r="G3" s="155" t="n"/>
    </row>
    <row r="4" ht="19.95" customHeight="1" s="252">
      <c r="A4" s="156" t="inlineStr">
        <is>
          <t>编制人：</t>
        </is>
      </c>
      <c r="B4" s="152" t="n"/>
      <c r="C4" s="152" t="n"/>
      <c r="D4" s="157" t="n">
        <v>1</v>
      </c>
      <c r="E4" s="158" t="inlineStr">
        <is>
          <t>专项应付款循环实质性程序</t>
        </is>
      </c>
      <c r="F4" s="255" t="inlineStr">
        <is>
          <t>L6A</t>
        </is>
      </c>
      <c r="G4" s="155" t="n"/>
    </row>
    <row r="5" ht="19.95" customHeight="1" s="252">
      <c r="A5" s="156" t="inlineStr">
        <is>
          <t>编制日期：</t>
        </is>
      </c>
      <c r="D5" s="157" t="n">
        <v>2</v>
      </c>
      <c r="E5" s="158" t="inlineStr">
        <is>
          <t>专项应付款审定表</t>
        </is>
      </c>
      <c r="F5" s="256" t="inlineStr">
        <is>
          <t>L6-1</t>
        </is>
      </c>
    </row>
    <row r="6" ht="19.95" customHeight="1" s="252">
      <c r="A6" s="156" t="inlineStr">
        <is>
          <t>复核人：</t>
        </is>
      </c>
      <c r="D6" s="157" t="n">
        <v>3</v>
      </c>
      <c r="E6" s="158" t="inlineStr">
        <is>
          <t>专项应付款附注披露（上市公司）信息核对表</t>
        </is>
      </c>
      <c r="F6" s="255" t="n"/>
      <c r="G6" s="161" t="inlineStr">
        <is>
          <t>无需打印</t>
        </is>
      </c>
    </row>
    <row r="7" ht="19.95" customHeight="1" s="252">
      <c r="A7" s="156" t="inlineStr">
        <is>
          <t>复核日期：</t>
        </is>
      </c>
      <c r="D7" s="157" t="n">
        <v>4</v>
      </c>
      <c r="E7" s="158" t="inlineStr">
        <is>
          <t>专项应付款附注披露（国企）信息核对表</t>
        </is>
      </c>
      <c r="F7" s="255" t="n"/>
      <c r="G7" s="161" t="inlineStr">
        <is>
          <t>无需打印</t>
        </is>
      </c>
    </row>
    <row r="8" ht="19.95" customHeight="1" s="252">
      <c r="A8" s="162" t="n"/>
      <c r="D8" s="157" t="n">
        <v>5</v>
      </c>
      <c r="E8" s="158" t="inlineStr">
        <is>
          <t>专项应付款明细表</t>
        </is>
      </c>
      <c r="F8" s="256" t="inlineStr">
        <is>
          <t>L6-2</t>
        </is>
      </c>
    </row>
    <row r="9" ht="19.95" customHeight="1" s="252">
      <c r="A9" s="167" t="inlineStr">
        <is>
          <t>关于工作底稿与审计程序索引号对应的说明</t>
        </is>
      </c>
      <c r="D9" s="157" t="n">
        <v>6</v>
      </c>
      <c r="E9" s="257" t="inlineStr">
        <is>
          <t>专项应付款调整分录汇总表</t>
        </is>
      </c>
      <c r="F9" s="256" t="inlineStr">
        <is>
          <t>L6-3</t>
        </is>
      </c>
    </row>
    <row r="10" ht="19.95" customHeight="1" s="252">
      <c r="A10" s="189"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c r="D10" s="157" t="n">
        <v>7</v>
      </c>
      <c r="E10" s="164" t="inlineStr">
        <is>
          <t>专项应付款检查表</t>
        </is>
      </c>
      <c r="F10" s="256" t="inlineStr">
        <is>
          <t>L6-4</t>
        </is>
      </c>
    </row>
    <row r="11" ht="19.95" customHeight="1" s="252">
      <c r="A11" s="0" t="n"/>
    </row>
    <row r="12" ht="19.95" customHeight="1" s="252">
      <c r="A12" s="0" t="n"/>
    </row>
    <row r="13" ht="19.95" customHeight="1" s="252">
      <c r="A13" s="0" t="n"/>
    </row>
    <row r="14" ht="19.95" customHeight="1" s="252">
      <c r="A14" s="189"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row>
    <row r="15" ht="19.95" customHeight="1" s="252">
      <c r="A15" s="0" t="n"/>
    </row>
    <row r="16" ht="19.95" customHeight="1" s="252">
      <c r="A16" s="0" t="n"/>
    </row>
    <row r="17" ht="19.95" customHeight="1" s="252">
      <c r="A17" s="190" t="inlineStr">
        <is>
          <t>3.工作底稿索引号的编码规则：实质性程序索引号按循环从“D”到“N”,循环内账户以顺序号排列，模板中底稿索引号按账户顺序+自然数顺序（即模板中索引号按二级自然顺序排列，如D1-1、D1-2、D1-3、……D1-N）。</t>
        </is>
      </c>
    </row>
    <row r="18" ht="19.95" customHeight="1" s="252">
      <c r="A18" s="0" t="n"/>
    </row>
    <row r="19" ht="19.95" customHeight="1" s="252">
      <c r="A19" s="0" t="n"/>
    </row>
    <row r="20" ht="19.95" customHeight="1" s="252">
      <c r="A20" s="165" t="n"/>
    </row>
    <row r="21" ht="19.95" customHeight="1" s="252"/>
  </sheetData>
  <mergeCells count="3">
    <mergeCell ref="A14:A16"/>
    <mergeCell ref="A17:A19"/>
    <mergeCell ref="A10:A13"/>
  </mergeCells>
  <hyperlinks>
    <hyperlink ref="E4" location="实质性程序表L6A!A1" display="专项应付款循环实质性程序"/>
    <hyperlink ref="E5" location="'审定表L6-1'!A1" display="专项应付款审定表"/>
    <hyperlink ref="E6" location="'附注披露（上市公司）信息'!A1" display="专项应付款附注披露（上市公司）信息核对表"/>
    <hyperlink ref="E7" location="'附注披露（国企）信息'!A1" display="专项应付款附注披露（国企）信息核对表"/>
    <hyperlink ref="E8" location="'明细表L6-2'!A1" display="专项应付款明细表"/>
    <hyperlink ref="E9" location="'调整分录汇总L6-3'!A1" display="专项应付款调整分录汇总表"/>
    <hyperlink ref="E10" location="'检查表L6-4'!A1" display="专项应付款检查表"/>
  </hyperlinks>
  <pageMargins left="0.75" right="0.75" top="1" bottom="1" header="0.5" footer="0.5"/>
  <pageSetup orientation="portrait" paperSize="9" horizontalDpi="1200" verticalDpi="1200"/>
</worksheet>
</file>

<file path=xl/worksheets/sheet2.xml><?xml version="1.0" encoding="utf-8"?>
<worksheet xmlns="http://schemas.openxmlformats.org/spreadsheetml/2006/main">
  <sheetPr codeName="Sheet7">
    <outlinePr summaryBelow="1" summaryRight="1"/>
    <pageSetUpPr/>
  </sheetPr>
  <dimension ref="A1:Q23"/>
  <sheetViews>
    <sheetView view="pageBreakPreview" zoomScaleNormal="100" workbookViewId="0">
      <selection activeCell="A1" sqref="A1:I1"/>
    </sheetView>
  </sheetViews>
  <sheetFormatPr baseColWidth="8" defaultColWidth="9" defaultRowHeight="13.8"/>
  <cols>
    <col width="4.796875" customWidth="1" style="258" min="1" max="1"/>
    <col width="64.796875" customWidth="1" style="258" min="2" max="2"/>
    <col width="7.8984375" customWidth="1" style="258" min="3" max="3"/>
    <col width="5.796875" customWidth="1" style="258" min="4" max="4"/>
    <col width="6.3984375" customWidth="1" style="258" min="5" max="5"/>
    <col width="6.69921875" customWidth="1" style="258" min="6" max="6"/>
    <col width="7.19921875" customWidth="1" style="258" min="7" max="7"/>
    <col width="5.19921875" customWidth="1" style="258" min="8" max="8"/>
    <col width="7.19921875" customWidth="1" style="258" min="9" max="9"/>
    <col width="9" customWidth="1" style="258" min="10" max="10"/>
    <col width="12.59765625" customWidth="1" style="259" min="11" max="11"/>
    <col width="14.59765625" customWidth="1" style="260" min="12" max="12"/>
    <col width="17.59765625" customWidth="1" style="260" min="13" max="13"/>
    <col width="9" customWidth="1" style="258" min="14" max="16384"/>
  </cols>
  <sheetData>
    <row r="1" ht="19.95" customHeight="1" s="252">
      <c r="A1" s="261" t="inlineStr">
        <is>
          <t>致同会计师事务所</t>
        </is>
      </c>
      <c r="J1" s="262" t="n"/>
    </row>
    <row r="2" ht="19.95" customHeight="1" s="252">
      <c r="A2" s="263" t="inlineStr">
        <is>
          <t>专项应付款实质性程序</t>
        </is>
      </c>
      <c r="J2" s="264" t="n"/>
    </row>
    <row r="3" ht="19.95" customHeight="1" s="252">
      <c r="A3" s="265">
        <f>底稿目录!A2</f>
        <v/>
      </c>
      <c r="B3" s="265" t="n"/>
      <c r="C3" s="126">
        <f>底稿目录!A4</f>
        <v/>
      </c>
      <c r="E3" s="265">
        <f>底稿目录!A5</f>
        <v/>
      </c>
      <c r="F3" s="265" t="n"/>
      <c r="H3" s="265" t="inlineStr">
        <is>
          <t>索引号：</t>
        </is>
      </c>
      <c r="I3" s="266" t="inlineStr">
        <is>
          <t>L6A</t>
        </is>
      </c>
      <c r="J3" s="267" t="n"/>
    </row>
    <row r="4" ht="19.95" customHeight="1" s="252">
      <c r="A4" s="265">
        <f>底稿目录!A3</f>
        <v/>
      </c>
      <c r="B4" s="265" t="n"/>
      <c r="C4" s="126">
        <f>底稿目录!A6</f>
        <v/>
      </c>
      <c r="E4" s="265">
        <f>底稿目录!A7</f>
        <v/>
      </c>
      <c r="F4" s="265" t="n"/>
      <c r="H4" s="265" t="inlineStr">
        <is>
          <t>页  次：</t>
        </is>
      </c>
      <c r="I4" s="265" t="n"/>
      <c r="J4" s="265" t="n"/>
    </row>
    <row r="5" ht="19.95" customHeight="1" s="252">
      <c r="A5" s="268" t="inlineStr">
        <is>
          <t>一、本账户涉及的科目</t>
        </is>
      </c>
      <c r="B5" s="265" t="n"/>
      <c r="C5" s="265" t="n"/>
      <c r="D5" s="265" t="n"/>
      <c r="E5" s="265" t="n"/>
      <c r="F5" s="265" t="n"/>
      <c r="G5" s="265" t="n"/>
      <c r="H5" s="265" t="n"/>
      <c r="I5" s="265" t="n"/>
      <c r="J5" s="265" t="n"/>
    </row>
    <row r="6" ht="19.95" customHeight="1" s="252">
      <c r="A6" s="269" t="inlineStr">
        <is>
          <t>专项应付款</t>
        </is>
      </c>
      <c r="B6" s="265" t="n"/>
      <c r="C6" s="265" t="n"/>
      <c r="D6" s="265" t="n"/>
      <c r="E6" s="265" t="n"/>
      <c r="F6" s="265" t="n"/>
      <c r="G6" s="265" t="n"/>
      <c r="H6" s="265" t="n"/>
      <c r="I6" s="265" t="n"/>
      <c r="J6" s="265" t="n"/>
    </row>
    <row r="7" ht="19.95" customHeight="1" s="252">
      <c r="A7" s="129" t="inlineStr">
        <is>
          <t>二、审计目标与认定的对应关系</t>
        </is>
      </c>
      <c r="B7" s="270" t="n"/>
      <c r="C7" s="265" t="n"/>
      <c r="D7" s="265" t="n"/>
      <c r="E7" s="265" t="n"/>
      <c r="F7" s="265" t="n"/>
      <c r="G7" s="265" t="n"/>
      <c r="H7" s="265" t="n"/>
      <c r="I7" s="265" t="n"/>
      <c r="J7" s="265" t="n"/>
      <c r="K7" s="271" t="n"/>
      <c r="L7" s="271" t="n"/>
    </row>
    <row r="8" ht="19.95" customHeight="1" s="252">
      <c r="A8" s="272" t="inlineStr">
        <is>
          <t>审计目标</t>
        </is>
      </c>
      <c r="B8" s="273" t="n"/>
      <c r="C8" s="273" t="n"/>
      <c r="D8" s="273" t="n"/>
      <c r="E8" s="273" t="n"/>
      <c r="F8" s="274" t="n"/>
      <c r="G8" s="275" t="inlineStr">
        <is>
          <t xml:space="preserve">财务报表的认定　</t>
        </is>
      </c>
      <c r="H8" s="273" t="n"/>
      <c r="I8" s="274" t="n"/>
      <c r="J8" s="265" t="n"/>
      <c r="K8" s="271" t="n"/>
      <c r="L8" s="271" t="n"/>
    </row>
    <row r="9" ht="19.95" customHeight="1" s="252">
      <c r="A9" s="276" t="inlineStr">
        <is>
          <t>A. 资产负债表中记录的专项应付款是存在的，且已记录于恰当的账户</t>
        </is>
      </c>
      <c r="B9" s="273" t="n"/>
      <c r="C9" s="273" t="n"/>
      <c r="D9" s="273" t="n"/>
      <c r="E9" s="273" t="n"/>
      <c r="F9" s="274" t="n"/>
      <c r="G9" s="277" t="inlineStr">
        <is>
          <t>存在</t>
        </is>
      </c>
      <c r="H9" s="273" t="n"/>
      <c r="I9" s="274" t="n"/>
      <c r="J9" s="265" t="n"/>
      <c r="K9" s="271" t="n"/>
      <c r="L9" s="271" t="n"/>
    </row>
    <row r="10" ht="19.95" customHeight="1" s="252">
      <c r="A10" s="276" t="inlineStr">
        <is>
          <t>B. 所有应记录的专项应付款均已记录，所有应当包括在财务报表中的相关披露均已包括</t>
        </is>
      </c>
      <c r="B10" s="273" t="n"/>
      <c r="C10" s="273" t="n"/>
      <c r="D10" s="273" t="n"/>
      <c r="E10" s="273" t="n"/>
      <c r="F10" s="274" t="n"/>
      <c r="G10" s="277" t="inlineStr">
        <is>
          <t>完整性</t>
        </is>
      </c>
      <c r="H10" s="273" t="n"/>
      <c r="I10" s="274" t="n"/>
      <c r="J10" s="265" t="n"/>
      <c r="K10" s="271" t="n"/>
      <c r="L10" s="271" t="n"/>
    </row>
    <row r="11" ht="19.95" customHeight="1" s="252">
      <c r="A11" s="276" t="inlineStr">
        <is>
          <t>C. 记录的专项应付款是被审计单位应当履行的偿还义务</t>
        </is>
      </c>
      <c r="B11" s="273" t="n"/>
      <c r="C11" s="273" t="n"/>
      <c r="D11" s="273" t="n"/>
      <c r="E11" s="273" t="n"/>
      <c r="F11" s="274" t="n"/>
      <c r="G11" s="277" t="inlineStr">
        <is>
          <t>权利和义务</t>
        </is>
      </c>
      <c r="H11" s="273" t="n"/>
      <c r="I11" s="274" t="n"/>
      <c r="J11" s="265" t="n"/>
      <c r="K11" s="271" t="n"/>
      <c r="L11" s="271" t="n"/>
    </row>
    <row r="12" ht="19.95" customHeight="1" s="252">
      <c r="A12" s="276" t="inlineStr">
        <is>
          <t xml:space="preserve">D. 专项应付款以恰当的金额包括在财务报表中，与之相关的计价或分摊调整已恰当记录，相关披露已得到恰当计量和描述 </t>
        </is>
      </c>
      <c r="B12" s="273" t="n"/>
      <c r="C12" s="273" t="n"/>
      <c r="D12" s="273" t="n"/>
      <c r="E12" s="273" t="n"/>
      <c r="F12" s="274" t="n"/>
      <c r="G12" s="277" t="inlineStr">
        <is>
          <t>准确性、计价和分摊</t>
        </is>
      </c>
      <c r="H12" s="273" t="n"/>
      <c r="I12" s="274" t="n"/>
      <c r="J12" s="265" t="n"/>
      <c r="K12" s="271" t="n"/>
      <c r="L12" s="271" t="n"/>
    </row>
    <row r="13" ht="19.95" customHeight="1" s="252">
      <c r="A13" s="276" t="inlineStr">
        <is>
          <t>E. 专项应付款已被恰当地汇总或分解且表述清楚，相关披露在按照企业会计准则的编制基础下是相关的、可理解的</t>
        </is>
      </c>
      <c r="B13" s="273" t="n"/>
      <c r="C13" s="273" t="n"/>
      <c r="D13" s="273" t="n"/>
      <c r="E13" s="273" t="n"/>
      <c r="F13" s="274" t="n"/>
      <c r="G13" s="277" t="inlineStr">
        <is>
          <t>列报</t>
        </is>
      </c>
      <c r="H13" s="273" t="n"/>
      <c r="I13" s="274" t="n"/>
      <c r="J13" s="265" t="n"/>
      <c r="K13" s="271" t="n"/>
      <c r="L13" s="271" t="n"/>
    </row>
    <row r="14" ht="19.95" customHeight="1" s="252">
      <c r="A14" s="131" t="inlineStr">
        <is>
          <t>三、计划实施的实质性程序</t>
        </is>
      </c>
      <c r="J14" s="265" t="n"/>
      <c r="K14" s="271" t="n"/>
      <c r="L14" s="271" t="n"/>
    </row>
    <row r="15" ht="19.95" customFormat="1" customHeight="1" s="258">
      <c r="A15" s="278" t="inlineStr">
        <is>
          <t>序号</t>
        </is>
      </c>
      <c r="B15" s="279" t="inlineStr">
        <is>
          <t>审计程序</t>
        </is>
      </c>
      <c r="C15" s="280" t="inlineStr">
        <is>
          <t>程序分类</t>
        </is>
      </c>
      <c r="D15" s="281" t="inlineStr">
        <is>
          <t>财务报表的认定</t>
        </is>
      </c>
      <c r="E15" s="273" t="n"/>
      <c r="F15" s="273" t="n"/>
      <c r="G15" s="273" t="n"/>
      <c r="H15" s="274" t="n"/>
      <c r="I15" s="282" t="inlineStr">
        <is>
          <t>底稿索引号</t>
        </is>
      </c>
      <c r="J15" s="265" t="n"/>
      <c r="K15" s="271" t="n"/>
      <c r="L15" s="271" t="n"/>
      <c r="M15" s="260" t="n"/>
    </row>
    <row r="16" ht="34.05" customFormat="1" customHeight="1" s="258">
      <c r="A16" s="283" t="n"/>
      <c r="B16" s="283" t="n"/>
      <c r="C16" s="283" t="n"/>
      <c r="D16" s="284" t="inlineStr">
        <is>
          <t>存在</t>
        </is>
      </c>
      <c r="E16" s="284" t="inlineStr">
        <is>
          <t>完整性</t>
        </is>
      </c>
      <c r="F16" s="284" t="inlineStr">
        <is>
          <t>权利和义务</t>
        </is>
      </c>
      <c r="G16" s="284" t="inlineStr">
        <is>
          <t>准确性、计价和分摊</t>
        </is>
      </c>
      <c r="H16" s="284" t="inlineStr">
        <is>
          <t>列报</t>
        </is>
      </c>
      <c r="I16" s="283" t="n"/>
      <c r="J16" s="285" t="inlineStr">
        <is>
          <t>根据被审计单位实际情况和风险评估情况裁剪、修改或增加审计程序</t>
        </is>
      </c>
      <c r="K16" s="271" t="n"/>
      <c r="L16" s="271" t="n"/>
      <c r="M16" s="260" t="n"/>
    </row>
    <row r="17" ht="39" customHeight="1" s="252">
      <c r="A17" s="133" t="inlineStr">
        <is>
          <t>1</t>
        </is>
      </c>
      <c r="B17" s="286" t="inlineStr">
        <is>
          <t>获取或编制专项应付款明细表，完成以下工作，并编制审定表，复核加计是否正确，与总账、明细账合计数核对是否相符。</t>
        </is>
      </c>
      <c r="C17" s="287" t="inlineStr">
        <is>
          <t>常规★</t>
        </is>
      </c>
      <c r="D17" s="136" t="inlineStr">
        <is>
          <t>√</t>
        </is>
      </c>
      <c r="E17" s="136" t="inlineStr">
        <is>
          <t>√</t>
        </is>
      </c>
      <c r="F17" s="136" t="n"/>
      <c r="G17" s="137" t="inlineStr">
        <is>
          <t>√</t>
        </is>
      </c>
      <c r="H17" s="136" t="n"/>
      <c r="I17" s="288" t="inlineStr">
        <is>
          <t>L6-1
/L6-2</t>
        </is>
      </c>
      <c r="J17" s="265" t="n"/>
      <c r="K17" s="271" t="n"/>
      <c r="L17" s="271" t="n"/>
    </row>
    <row r="18" ht="52.5" customHeight="1" s="252">
      <c r="A18" s="133" t="inlineStr">
        <is>
          <t>2</t>
        </is>
      </c>
      <c r="B18" s="286" t="inlineStr">
        <is>
          <t>在使用手工编制、自定义信息报告、系统生成的非固定格式报告等由被审计单位生成的信息时，测试有关信息准确性和完整性，并针对编制和维护由被审计单位生成的信息的相关控制实施控制测试，以评价该信息是否能够为实现审计目的提供基础。</t>
        </is>
      </c>
      <c r="C18" s="288" t="inlineStr">
        <is>
          <t>常规★</t>
        </is>
      </c>
      <c r="D18" s="139" t="n"/>
      <c r="E18" s="140" t="inlineStr">
        <is>
          <t>√</t>
        </is>
      </c>
      <c r="F18" s="139" t="n"/>
      <c r="G18" s="141" t="inlineStr">
        <is>
          <t>√</t>
        </is>
      </c>
      <c r="H18" s="136" t="n"/>
      <c r="I18" s="289" t="inlineStr">
        <is>
          <t>T1</t>
        </is>
      </c>
      <c r="J18" s="290" t="inlineStr">
        <is>
          <t>可参见《审计手册》4.2.6，由被审计单位生成的信息可能是由系统生成的、或手工编制的、或二者兼而有之的方式生成的。例如，由被审计单位生成的信息可能包括：
• 不涉及自定义的、由系统生成的报告（如，固定格式报告）；
• 可能通过人工自定义的、由系统生成的报告，例如，（计算机）查询信息或特别定制的报告；
• 手工编制的信息，例如，汇总信息的电子表格或用以支持分配、计算以及调节的电子表格；
• 其他系统生成或手工编制的信息，例如，由被审计单位编制的客户发票；
• 通过影印、拍摄、扫描或其他方式转换成电子形式的文件记录。</t>
        </is>
      </c>
      <c r="K18" s="0" t="n"/>
      <c r="L18" s="0" t="n"/>
      <c r="M18" s="0" t="n"/>
      <c r="N18" s="0" t="n"/>
      <c r="O18" s="0" t="n"/>
      <c r="P18" s="0" t="n"/>
      <c r="Q18" s="0" t="n"/>
    </row>
    <row r="19" ht="49.8" customHeight="1" s="252">
      <c r="A19" s="133" t="inlineStr">
        <is>
          <t>3</t>
        </is>
      </c>
      <c r="B19" s="291" t="inlineStr">
        <is>
          <t>对期初余额的审计，取得专项应付款期初余额明细表复核加计是否正确，与总账、明细账合计数是否相符，检查上期专项应付款在本期转销情况。考虑获取前期拨款的批准文件、转销或返还依据，必要时可就拨款事项向拨款单位函证。（适用于首次承接）</t>
        </is>
      </c>
      <c r="C19" s="288" t="inlineStr">
        <is>
          <t>备选</t>
        </is>
      </c>
      <c r="D19" s="141" t="inlineStr">
        <is>
          <t>√</t>
        </is>
      </c>
      <c r="E19" s="140" t="inlineStr">
        <is>
          <t>√</t>
        </is>
      </c>
      <c r="F19" s="141" t="inlineStr">
        <is>
          <t>√</t>
        </is>
      </c>
      <c r="G19" s="141" t="inlineStr">
        <is>
          <t>√</t>
        </is>
      </c>
      <c r="H19" s="136" t="n"/>
      <c r="I19" s="288" t="n"/>
      <c r="J19" s="290" t="inlineStr">
        <is>
          <t>由被审计单位生成的信息不包括：
• 总分类账或明细分类账、试算平衡表、或经审计的财务报表；
• 第三方（除了服务机构）的报表或报告，例如，原始银行对账单，或函证的回函；
• 外部数据（例如，第三方发布的数据，如，定价来源）。</t>
        </is>
      </c>
      <c r="K19" s="0" t="n"/>
      <c r="L19" s="0" t="n"/>
      <c r="M19" s="0" t="n"/>
      <c r="N19" s="0" t="n"/>
      <c r="O19" s="0" t="n"/>
      <c r="P19" s="0" t="n"/>
      <c r="Q19" s="0" t="n"/>
    </row>
    <row r="20" ht="90.59999999999999" customHeight="1" s="252">
      <c r="A20" s="133" t="inlineStr">
        <is>
          <t>4</t>
        </is>
      </c>
      <c r="B20" s="143" t="inlineStr">
        <is>
          <t>针对专项应付款考虑执行以下程序：
 （1）检查专项应付款的内容是否系政府作为企业所有者投入的具有专项或特定用途的资本性投资项目拨款。检查各项拨款的批准文件，确定专项应付款发生的真实性。必要时可就拨款事项向拨款单位函证。
（2）检查拨款项目的完成情况，对专项应付款形成资产部分转销的手续是否健全；检查形成资产转销的和未形成长期资产需要核销及拨款结余返还的会计处理是否正确。</t>
        </is>
      </c>
      <c r="C20" s="288" t="inlineStr">
        <is>
          <t>常规★</t>
        </is>
      </c>
      <c r="D20" s="292" t="inlineStr">
        <is>
          <t>√</t>
        </is>
      </c>
      <c r="E20" s="288" t="inlineStr">
        <is>
          <t>√</t>
        </is>
      </c>
      <c r="F20" s="292" t="inlineStr">
        <is>
          <t>√</t>
        </is>
      </c>
      <c r="G20" s="288" t="inlineStr">
        <is>
          <t>√</t>
        </is>
      </c>
      <c r="H20" s="288" t="n"/>
      <c r="I20" s="288" t="inlineStr">
        <is>
          <t>L6-2
/L6-4</t>
        </is>
      </c>
      <c r="J20" s="265" t="n"/>
      <c r="K20" s="271" t="n"/>
      <c r="L20" s="271" t="n"/>
    </row>
    <row r="21" ht="34.8" customFormat="1" customHeight="1" s="260">
      <c r="A21" s="133" t="inlineStr">
        <is>
          <t>5</t>
        </is>
      </c>
      <c r="B21" s="291" t="inlineStr">
        <is>
          <t>检查专项应付款是否已按企业会计准则或其他适用的规定在财务报表中做出恰当列报和披露。</t>
        </is>
      </c>
      <c r="C21" s="288" t="inlineStr">
        <is>
          <t>常规★</t>
        </is>
      </c>
      <c r="D21" s="288" t="n"/>
      <c r="E21" s="288" t="inlineStr">
        <is>
          <t>√</t>
        </is>
      </c>
      <c r="F21" s="288" t="n"/>
      <c r="G21" s="288" t="n"/>
      <c r="H21" s="288" t="inlineStr">
        <is>
          <t>√</t>
        </is>
      </c>
      <c r="I21" s="293" t="inlineStr">
        <is>
          <t>A1-1/A1-15 /A1-16</t>
        </is>
      </c>
      <c r="J21" s="265" t="n"/>
      <c r="K21" s="271" t="n"/>
      <c r="L21" s="271" t="n"/>
    </row>
    <row r="22">
      <c r="J22" s="265" t="n"/>
      <c r="K22" s="271" t="n"/>
      <c r="L22" s="271" t="n"/>
    </row>
    <row r="23">
      <c r="J23" s="265" t="n"/>
      <c r="K23" s="271" t="n"/>
      <c r="L23" s="271" t="n"/>
    </row>
  </sheetData>
  <mergeCells count="21">
    <mergeCell ref="G10:I10"/>
    <mergeCell ref="G13:I13"/>
    <mergeCell ref="J19:Q19"/>
    <mergeCell ref="A12:F12"/>
    <mergeCell ref="A2:I2"/>
    <mergeCell ref="A8:F8"/>
    <mergeCell ref="B15:B16"/>
    <mergeCell ref="A10:F10"/>
    <mergeCell ref="A13:F13"/>
    <mergeCell ref="A9:F9"/>
    <mergeCell ref="G9:I9"/>
    <mergeCell ref="G12:I12"/>
    <mergeCell ref="G11:I11"/>
    <mergeCell ref="A11:F11"/>
    <mergeCell ref="D15:H15"/>
    <mergeCell ref="A1:I1"/>
    <mergeCell ref="G8:I8"/>
    <mergeCell ref="A15:A16"/>
    <mergeCell ref="C15:C16"/>
    <mergeCell ref="I15:I16"/>
    <mergeCell ref="J18:Q18"/>
  </mergeCells>
  <hyperlinks>
    <hyperlink ref="I3" location="底稿目录!A1" display="L6A"/>
  </hyperlinks>
  <printOptions horizontalCentered="1"/>
  <pageMargins left="0.7086614173228347" right="0.7086614173228347" top="0.7480314960629921" bottom="0.7480314960629921" header="0.3149606299212598" footer="0.3149606299212598"/>
  <pageSetup orientation="portrait" paperSize="9" scale="70" fitToHeight="0" fitToWidth="0" blackAndWhite="1"/>
  <headerFooter alignWithMargins="0">
    <oddHeader/>
    <oddFooter>&amp;C&amp;P/&amp;N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fitToPage="1"/>
  </sheetPr>
  <dimension ref="A1:L30"/>
  <sheetViews>
    <sheetView view="pageBreakPreview" zoomScaleNormal="100" workbookViewId="0">
      <selection activeCell="A1" sqref="A1:K1"/>
    </sheetView>
  </sheetViews>
  <sheetFormatPr baseColWidth="8" defaultColWidth="9" defaultRowHeight="15.6"/>
  <cols>
    <col width="17" customWidth="1" style="109" min="1" max="1"/>
    <col width="10.09765625" customWidth="1" style="109" min="2" max="2"/>
    <col width="9.59765625" customWidth="1" style="109" min="3" max="3"/>
    <col width="10.09765625" customWidth="1" style="109" min="4" max="4"/>
    <col width="8.59765625" customWidth="1" style="109" min="5" max="5"/>
    <col width="9.09765625" customWidth="1" style="109" min="6" max="6"/>
    <col width="10.09765625" customWidth="1" style="109" min="7" max="7"/>
    <col width="9.796875" customWidth="1" style="109" min="8" max="8"/>
    <col width="10" customWidth="1" style="109" min="9" max="9"/>
    <col width="9" customWidth="1" style="109" min="10" max="16384"/>
  </cols>
  <sheetData>
    <row r="1" ht="19.95" customFormat="1" customHeight="1" s="107">
      <c r="A1" s="210" t="inlineStr">
        <is>
          <t>致同会计师事务所</t>
        </is>
      </c>
    </row>
    <row r="2" ht="19.95" customFormat="1" customHeight="1" s="107">
      <c r="A2" s="211" t="inlineStr">
        <is>
          <t>专项应付款审定表</t>
        </is>
      </c>
      <c r="L2" s="264" t="n"/>
    </row>
    <row r="3" ht="19.95" customFormat="1" customHeight="1" s="108">
      <c r="A3" s="2">
        <f>底稿目录!A2</f>
        <v/>
      </c>
      <c r="B3" s="2" t="n"/>
      <c r="C3" s="2" t="n"/>
      <c r="E3" s="2">
        <f>底稿目录!A4</f>
        <v/>
      </c>
      <c r="F3" s="2" t="n"/>
      <c r="H3" s="28">
        <f>底稿目录!A5</f>
        <v/>
      </c>
      <c r="J3" s="78" t="inlineStr">
        <is>
          <t>索引号：</t>
        </is>
      </c>
      <c r="K3" s="266">
        <f>底稿目录!F5</f>
        <v/>
      </c>
    </row>
    <row r="4" ht="19.95" customFormat="1" customHeight="1" s="108">
      <c r="A4" s="2">
        <f>底稿目录!A3</f>
        <v/>
      </c>
      <c r="B4" s="2" t="n"/>
      <c r="C4" s="2" t="n"/>
      <c r="E4" s="2">
        <f>底稿目录!A6</f>
        <v/>
      </c>
      <c r="F4" s="2" t="n"/>
      <c r="H4" s="28">
        <f>底稿目录!A7</f>
        <v/>
      </c>
      <c r="J4" s="78" t="inlineStr">
        <is>
          <t>页次：</t>
        </is>
      </c>
      <c r="K4" s="2" t="n"/>
    </row>
    <row r="5" ht="19.95" customFormat="1" customHeight="1" s="108">
      <c r="A5" s="294" t="inlineStr">
        <is>
          <t>项 目</t>
        </is>
      </c>
      <c r="B5" s="294" t="inlineStr">
        <is>
          <t>期初数</t>
        </is>
      </c>
      <c r="C5" s="273" t="n"/>
      <c r="D5" s="273" t="n"/>
      <c r="E5" s="274" t="n"/>
      <c r="F5" s="294" t="inlineStr">
        <is>
          <t>期末数</t>
        </is>
      </c>
      <c r="G5" s="273" t="n"/>
      <c r="H5" s="273" t="n"/>
      <c r="I5" s="274" t="n"/>
      <c r="J5" s="295" t="inlineStr">
        <is>
          <t>本期审定数与上期
审定数的比较</t>
        </is>
      </c>
      <c r="K5" s="274" t="n"/>
    </row>
    <row r="6" ht="19.95" customFormat="1" customHeight="1" s="108">
      <c r="A6" s="283" t="n"/>
      <c r="B6" s="294" t="inlineStr">
        <is>
          <t>未审数</t>
        </is>
      </c>
      <c r="C6" s="294" t="inlineStr">
        <is>
          <t>账项调整</t>
        </is>
      </c>
      <c r="D6" s="294" t="inlineStr">
        <is>
          <t>重分类调整</t>
        </is>
      </c>
      <c r="E6" s="294" t="inlineStr">
        <is>
          <t>审定数</t>
        </is>
      </c>
      <c r="F6" s="294" t="inlineStr">
        <is>
          <t>未审数</t>
        </is>
      </c>
      <c r="G6" s="294" t="inlineStr">
        <is>
          <t>账项调整</t>
        </is>
      </c>
      <c r="H6" s="294" t="inlineStr">
        <is>
          <t>重分类调整</t>
        </is>
      </c>
      <c r="I6" s="294" t="inlineStr">
        <is>
          <t>审定数</t>
        </is>
      </c>
      <c r="J6" s="296" t="inlineStr">
        <is>
          <t>变动额</t>
        </is>
      </c>
      <c r="K6" s="295" t="inlineStr">
        <is>
          <t>变动率</t>
        </is>
      </c>
    </row>
    <row r="7" ht="19.95" customFormat="1" customHeight="1" s="108">
      <c r="A7" s="111">
        <f>'明细表L6-2'!B10</f>
        <v/>
      </c>
      <c r="B7" s="297">
        <f>'明细表L6-2'!C10</f>
        <v/>
      </c>
      <c r="C7" s="297">
        <f>'明细表L6-2'!H10</f>
        <v/>
      </c>
      <c r="D7" s="297">
        <f>'明细表L6-2'!I10</f>
        <v/>
      </c>
      <c r="E7" s="297">
        <f>B7+C7+D7</f>
        <v/>
      </c>
      <c r="F7" s="297">
        <f>'明细表L6-2'!G10</f>
        <v/>
      </c>
      <c r="G7" s="297">
        <f>'明细表L6-2'!H10+'明细表L6-2'!J10-'明细表L6-2'!K10-'明细表L6-2'!L10</f>
        <v/>
      </c>
      <c r="H7" s="297">
        <f>'明细表L6-2'!I10+'明细表L6-2'!M10-'明细表L6-2'!N10-'明细表L6-2'!O10</f>
        <v/>
      </c>
      <c r="I7" s="297">
        <f>F7+G7+H7</f>
        <v/>
      </c>
      <c r="J7" s="297">
        <f>I7-E7</f>
        <v/>
      </c>
      <c r="K7" s="119">
        <f>IF(AND(E7=0,J7=0),0,IF(AND(E7=0,J7&gt;0),1,J7/E7))</f>
        <v/>
      </c>
    </row>
    <row r="8" ht="19.95" customFormat="1" customHeight="1" s="108">
      <c r="A8" s="111">
        <f>'明细表L6-2'!B11</f>
        <v/>
      </c>
      <c r="B8" s="297">
        <f>'明细表L6-2'!C11</f>
        <v/>
      </c>
      <c r="C8" s="297">
        <f>'明细表L6-2'!H11</f>
        <v/>
      </c>
      <c r="D8" s="297">
        <f>'明细表L6-2'!I11</f>
        <v/>
      </c>
      <c r="E8" s="297">
        <f>B8+C8+D8</f>
        <v/>
      </c>
      <c r="F8" s="297">
        <f>'明细表L6-2'!G11</f>
        <v/>
      </c>
      <c r="G8" s="297">
        <f>'明细表L6-2'!H11+'明细表L6-2'!J11-'明细表L6-2'!K11-'明细表L6-2'!L11</f>
        <v/>
      </c>
      <c r="H8" s="297">
        <f>'明细表L6-2'!I11+'明细表L6-2'!M11-'明细表L6-2'!N11-'明细表L6-2'!O11</f>
        <v/>
      </c>
      <c r="I8" s="297">
        <f>F8+G8+H8</f>
        <v/>
      </c>
      <c r="J8" s="297">
        <f>I8-E8</f>
        <v/>
      </c>
      <c r="K8" s="119">
        <f>IF(AND(E8=0,J8=0),0,IF(AND(E8=0,J8&gt;0),1,J8/E8))</f>
        <v/>
      </c>
    </row>
    <row r="9" ht="19.95" customFormat="1" customHeight="1" s="108">
      <c r="A9" s="111">
        <f>'明细表L6-2'!B12</f>
        <v/>
      </c>
      <c r="B9" s="297">
        <f>'明细表L6-2'!C12</f>
        <v/>
      </c>
      <c r="C9" s="297">
        <f>'明细表L6-2'!H12</f>
        <v/>
      </c>
      <c r="D9" s="297">
        <f>'明细表L6-2'!I12</f>
        <v/>
      </c>
      <c r="E9" s="297">
        <f>B9+C9+D9</f>
        <v/>
      </c>
      <c r="F9" s="297">
        <f>'明细表L6-2'!G12</f>
        <v/>
      </c>
      <c r="G9" s="297">
        <f>'明细表L6-2'!H12+'明细表L6-2'!J12-'明细表L6-2'!K12-'明细表L6-2'!L12</f>
        <v/>
      </c>
      <c r="H9" s="297">
        <f>'明细表L6-2'!I12+'明细表L6-2'!M12-'明细表L6-2'!N12-'明细表L6-2'!O12</f>
        <v/>
      </c>
      <c r="I9" s="297">
        <f>F9+G9+H9</f>
        <v/>
      </c>
      <c r="J9" s="297">
        <f>I9-E9</f>
        <v/>
      </c>
      <c r="K9" s="119">
        <f>IF(AND(E9=0,J9=0),0,IF(AND(E9=0,J9&gt;0),1,J9/E9))</f>
        <v/>
      </c>
    </row>
    <row r="10" ht="19.95" customFormat="1" customHeight="1" s="108">
      <c r="A10" s="111">
        <f>'明细表L6-2'!B13</f>
        <v/>
      </c>
      <c r="B10" s="297">
        <f>'明细表L6-2'!C13</f>
        <v/>
      </c>
      <c r="C10" s="297">
        <f>'明细表L6-2'!H13</f>
        <v/>
      </c>
      <c r="D10" s="297">
        <f>'明细表L6-2'!I13</f>
        <v/>
      </c>
      <c r="E10" s="297">
        <f>B10+C10+D10</f>
        <v/>
      </c>
      <c r="F10" s="297">
        <f>'明细表L6-2'!G13</f>
        <v/>
      </c>
      <c r="G10" s="297">
        <f>'明细表L6-2'!H13+'明细表L6-2'!J13-'明细表L6-2'!K13-'明细表L6-2'!L13</f>
        <v/>
      </c>
      <c r="H10" s="297">
        <f>'明细表L6-2'!I13+'明细表L6-2'!M13-'明细表L6-2'!N13-'明细表L6-2'!O13</f>
        <v/>
      </c>
      <c r="I10" s="297">
        <f>F10+G10+H10</f>
        <v/>
      </c>
      <c r="J10" s="297">
        <f>I10-E10</f>
        <v/>
      </c>
      <c r="K10" s="119">
        <f>IF(AND(E10=0,J10=0),0,IF(AND(E10=0,J10&gt;0),1,J10/E10))</f>
        <v/>
      </c>
    </row>
    <row r="11" ht="19.95" customFormat="1" customHeight="1" s="108">
      <c r="A11" s="111">
        <f>'明细表L6-2'!B14</f>
        <v/>
      </c>
      <c r="B11" s="297">
        <f>'明细表L6-2'!C14</f>
        <v/>
      </c>
      <c r="C11" s="297">
        <f>'明细表L6-2'!H14</f>
        <v/>
      </c>
      <c r="D11" s="297">
        <f>'明细表L6-2'!I14</f>
        <v/>
      </c>
      <c r="E11" s="297">
        <f>B11+C11+D11</f>
        <v/>
      </c>
      <c r="F11" s="297">
        <f>'明细表L6-2'!G14</f>
        <v/>
      </c>
      <c r="G11" s="297">
        <f>'明细表L6-2'!H14+'明细表L6-2'!J14-'明细表L6-2'!K14-'明细表L6-2'!L14</f>
        <v/>
      </c>
      <c r="H11" s="297">
        <f>'明细表L6-2'!I14+'明细表L6-2'!M14-'明细表L6-2'!N14-'明细表L6-2'!O14</f>
        <v/>
      </c>
      <c r="I11" s="297">
        <f>F11+G11+H11</f>
        <v/>
      </c>
      <c r="J11" s="297">
        <f>I11-E11</f>
        <v/>
      </c>
      <c r="K11" s="119">
        <f>IF(AND(E11=0,J11=0),0,IF(AND(E11=0,J11&gt;0),1,J11/E11))</f>
        <v/>
      </c>
    </row>
    <row r="12" ht="19.95" customFormat="1" customHeight="1" s="108">
      <c r="A12" s="111">
        <f>'明细表L6-2'!B15</f>
        <v/>
      </c>
      <c r="B12" s="297">
        <f>'明细表L6-2'!C15</f>
        <v/>
      </c>
      <c r="C12" s="297">
        <f>'明细表L6-2'!H15</f>
        <v/>
      </c>
      <c r="D12" s="297">
        <f>'明细表L6-2'!I15</f>
        <v/>
      </c>
      <c r="E12" s="297">
        <f>B12+C12+D12</f>
        <v/>
      </c>
      <c r="F12" s="297">
        <f>'明细表L6-2'!G15</f>
        <v/>
      </c>
      <c r="G12" s="297">
        <f>'明细表L6-2'!H15+'明细表L6-2'!J15-'明细表L6-2'!K15-'明细表L6-2'!L15</f>
        <v/>
      </c>
      <c r="H12" s="297">
        <f>'明细表L6-2'!I15+'明细表L6-2'!M15-'明细表L6-2'!N15-'明细表L6-2'!O15</f>
        <v/>
      </c>
      <c r="I12" s="297">
        <f>F12+G12+H12</f>
        <v/>
      </c>
      <c r="J12" s="297">
        <f>I12-E12</f>
        <v/>
      </c>
      <c r="K12" s="119">
        <f>IF(AND(E12=0,J12=0),0,IF(AND(E12=0,J12&gt;0),1,J12/E12))</f>
        <v/>
      </c>
    </row>
    <row r="13" ht="19.95" customFormat="1" customHeight="1" s="108">
      <c r="A13" s="111">
        <f>'明细表L6-2'!B16</f>
        <v/>
      </c>
      <c r="B13" s="297">
        <f>'明细表L6-2'!C16</f>
        <v/>
      </c>
      <c r="C13" s="297">
        <f>'明细表L6-2'!H16</f>
        <v/>
      </c>
      <c r="D13" s="297">
        <f>'明细表L6-2'!I16</f>
        <v/>
      </c>
      <c r="E13" s="297">
        <f>B13+C13+D13</f>
        <v/>
      </c>
      <c r="F13" s="297">
        <f>'明细表L6-2'!G16</f>
        <v/>
      </c>
      <c r="G13" s="297">
        <f>'明细表L6-2'!H16+'明细表L6-2'!J16-'明细表L6-2'!K16-'明细表L6-2'!L16</f>
        <v/>
      </c>
      <c r="H13" s="297">
        <f>'明细表L6-2'!I16+'明细表L6-2'!M16-'明细表L6-2'!N16-'明细表L6-2'!O16</f>
        <v/>
      </c>
      <c r="I13" s="297">
        <f>F13+G13+H13</f>
        <v/>
      </c>
      <c r="J13" s="297">
        <f>I13-E13</f>
        <v/>
      </c>
      <c r="K13" s="119">
        <f>IF(AND(E13=0,J13=0),0,IF(AND(E13=0,J13&gt;0),1,J13/E13))</f>
        <v/>
      </c>
    </row>
    <row r="14" ht="19.95" customFormat="1" customHeight="1" s="108">
      <c r="A14" s="111">
        <f>'明细表L6-2'!B17</f>
        <v/>
      </c>
      <c r="B14" s="297">
        <f>'明细表L6-2'!C17</f>
        <v/>
      </c>
      <c r="C14" s="297">
        <f>'明细表L6-2'!H17</f>
        <v/>
      </c>
      <c r="D14" s="297">
        <f>'明细表L6-2'!I17</f>
        <v/>
      </c>
      <c r="E14" s="297">
        <f>B14+C14+D14</f>
        <v/>
      </c>
      <c r="F14" s="297">
        <f>'明细表L6-2'!G17</f>
        <v/>
      </c>
      <c r="G14" s="297">
        <f>'明细表L6-2'!H17+'明细表L6-2'!J17-'明细表L6-2'!K17-'明细表L6-2'!L17</f>
        <v/>
      </c>
      <c r="H14" s="297">
        <f>'明细表L6-2'!I17+'明细表L6-2'!M17-'明细表L6-2'!N17-'明细表L6-2'!O17</f>
        <v/>
      </c>
      <c r="I14" s="297">
        <f>F14+G14+H14</f>
        <v/>
      </c>
      <c r="J14" s="297">
        <f>I14-E14</f>
        <v/>
      </c>
      <c r="K14" s="119">
        <f>IF(AND(E14=0,J14=0),0,IF(AND(E14=0,J14&gt;0),1,J14/E14))</f>
        <v/>
      </c>
    </row>
    <row r="15" ht="19.95" customFormat="1" customHeight="1" s="108">
      <c r="A15" s="111">
        <f>'明细表L6-2'!B18</f>
        <v/>
      </c>
      <c r="B15" s="297">
        <f>'明细表L6-2'!C18</f>
        <v/>
      </c>
      <c r="C15" s="297">
        <f>'明细表L6-2'!H18</f>
        <v/>
      </c>
      <c r="D15" s="297">
        <f>'明细表L6-2'!I18</f>
        <v/>
      </c>
      <c r="E15" s="297">
        <f>B15+C15+D15</f>
        <v/>
      </c>
      <c r="F15" s="297">
        <f>'明细表L6-2'!G18</f>
        <v/>
      </c>
      <c r="G15" s="297">
        <f>'明细表L6-2'!H18+'明细表L6-2'!J18-'明细表L6-2'!K18-'明细表L6-2'!L18</f>
        <v/>
      </c>
      <c r="H15" s="297">
        <f>'明细表L6-2'!I18+'明细表L6-2'!M18-'明细表L6-2'!N18-'明细表L6-2'!O18</f>
        <v/>
      </c>
      <c r="I15" s="297">
        <f>F15+G15+H15</f>
        <v/>
      </c>
      <c r="J15" s="297">
        <f>I15-E15</f>
        <v/>
      </c>
      <c r="K15" s="119">
        <f>IF(AND(E15=0,J15=0),0,IF(AND(E15=0,J15&gt;0),1,J15/E15))</f>
        <v/>
      </c>
    </row>
    <row r="16" ht="19.95" customFormat="1" customHeight="1" s="108">
      <c r="A16" s="111">
        <f>'明细表L6-2'!B19</f>
        <v/>
      </c>
      <c r="B16" s="297">
        <f>'明细表L6-2'!C19</f>
        <v/>
      </c>
      <c r="C16" s="297">
        <f>'明细表L6-2'!H19</f>
        <v/>
      </c>
      <c r="D16" s="297">
        <f>'明细表L6-2'!I19</f>
        <v/>
      </c>
      <c r="E16" s="297">
        <f>B16+C16+D16</f>
        <v/>
      </c>
      <c r="F16" s="297">
        <f>'明细表L6-2'!G19</f>
        <v/>
      </c>
      <c r="G16" s="297">
        <f>'明细表L6-2'!H19+'明细表L6-2'!J19-'明细表L6-2'!K19-'明细表L6-2'!L19</f>
        <v/>
      </c>
      <c r="H16" s="297">
        <f>'明细表L6-2'!I19+'明细表L6-2'!M19-'明细表L6-2'!N19-'明细表L6-2'!O19</f>
        <v/>
      </c>
      <c r="I16" s="297">
        <f>F16+G16+H16</f>
        <v/>
      </c>
      <c r="J16" s="297">
        <f>I16-E16</f>
        <v/>
      </c>
      <c r="K16" s="119">
        <f>IF(AND(E16=0,J16=0),0,IF(AND(E16=0,J16&gt;0),1,J16/E16))</f>
        <v/>
      </c>
    </row>
    <row r="17" ht="19.95" customFormat="1" customHeight="1" s="176">
      <c r="A17" s="298" t="inlineStr">
        <is>
          <t>合计</t>
        </is>
      </c>
      <c r="B17" s="299">
        <f>SUM(B7:B16)</f>
        <v/>
      </c>
      <c r="C17" s="299">
        <f>SUM(C7:C16)</f>
        <v/>
      </c>
      <c r="D17" s="299">
        <f>SUM(D7:D16)</f>
        <v/>
      </c>
      <c r="E17" s="299">
        <f>SUM(E7:E16)</f>
        <v/>
      </c>
      <c r="F17" s="299">
        <f>SUM(F7:F16)</f>
        <v/>
      </c>
      <c r="G17" s="299">
        <f>SUM(G7:G16)</f>
        <v/>
      </c>
      <c r="H17" s="299">
        <f>SUM(H7:H16)</f>
        <v/>
      </c>
      <c r="I17" s="299">
        <f>SUM(I7:I16)</f>
        <v/>
      </c>
      <c r="J17" s="299">
        <f>SUM(J7:J16)</f>
        <v/>
      </c>
      <c r="K17" s="175">
        <f>IF(AND(E17=0,J17=0),0,IF(AND(E17=0,J17&gt;0),1,J17/E17))</f>
        <v/>
      </c>
    </row>
    <row r="18" ht="19.95" customFormat="1" customHeight="1" s="108">
      <c r="A18" s="74" t="inlineStr">
        <is>
          <t>1、审计说明：</t>
        </is>
      </c>
      <c r="B18" s="2" t="n"/>
      <c r="C18" s="2" t="n"/>
      <c r="D18" s="2" t="n"/>
      <c r="E18" s="2" t="n"/>
      <c r="F18" s="2" t="n"/>
      <c r="G18" s="2" t="n"/>
      <c r="H18" s="2" t="n"/>
      <c r="I18" s="78" t="n"/>
    </row>
    <row r="19" ht="19.95" customFormat="1" customHeight="1" s="108">
      <c r="A19" s="112" t="inlineStr">
        <is>
          <t>（1）专项应付款期末净值较期初净值增加（负数为减少）：</t>
        </is>
      </c>
      <c r="B19" s="112" t="n"/>
      <c r="C19" s="300" t="n"/>
      <c r="D19" s="300" t="n"/>
      <c r="E19" s="2" t="n"/>
      <c r="F19" s="2" t="n"/>
      <c r="G19" s="2" t="n"/>
      <c r="H19" s="2" t="n"/>
      <c r="I19" s="78" t="n"/>
    </row>
    <row r="20" ht="19.95" customFormat="1" customHeight="1" s="108">
      <c r="A20" s="112" t="inlineStr">
        <is>
          <t>主要原因（比例超过30%的）：</t>
        </is>
      </c>
      <c r="B20" s="112" t="n"/>
      <c r="C20" s="112" t="n"/>
      <c r="D20" s="112" t="n"/>
      <c r="E20" s="2" t="n"/>
      <c r="F20" s="2" t="n"/>
      <c r="G20" s="2" t="n"/>
      <c r="H20" s="2" t="n"/>
      <c r="I20" s="78" t="n"/>
    </row>
    <row r="21" ht="19.95" customFormat="1" customHeight="1" s="108">
      <c r="A21" s="112" t="n"/>
      <c r="B21" s="112" t="n"/>
      <c r="C21" s="112" t="n"/>
      <c r="D21" s="112" t="n"/>
      <c r="E21" s="2" t="n"/>
      <c r="F21" s="2" t="n"/>
      <c r="G21" s="2" t="n"/>
      <c r="H21" s="2" t="n"/>
      <c r="I21" s="78" t="n"/>
    </row>
    <row r="22" ht="19.95" customFormat="1" customHeight="1" s="108">
      <c r="A22" s="112" t="inlineStr">
        <is>
          <t>（2）与试算平衡表核对</t>
        </is>
      </c>
      <c r="B22" s="112" t="n"/>
      <c r="C22" s="112" t="n"/>
      <c r="D22" s="112" t="n"/>
      <c r="E22" s="2" t="n"/>
      <c r="F22" s="2" t="n"/>
      <c r="G22" s="2" t="n"/>
      <c r="H22" s="2" t="n"/>
      <c r="I22" s="78" t="n"/>
    </row>
    <row r="23" ht="19.95" customFormat="1" customHeight="1" s="108">
      <c r="A23" s="113" t="n"/>
      <c r="B23" s="114" t="inlineStr">
        <is>
          <t>期末数</t>
        </is>
      </c>
      <c r="C23" s="114" t="inlineStr">
        <is>
          <t>期初数</t>
        </is>
      </c>
      <c r="D23" s="112" t="n"/>
      <c r="E23" s="2" t="n"/>
      <c r="F23" s="2" t="n"/>
      <c r="G23" s="2" t="n"/>
      <c r="H23" s="2" t="n"/>
      <c r="I23" s="78" t="n"/>
    </row>
    <row r="24" ht="19.95" customFormat="1" customHeight="1" s="108">
      <c r="A24" s="113" t="inlineStr">
        <is>
          <t>长期应付款审定数</t>
        </is>
      </c>
      <c r="B24" s="301" t="n"/>
      <c r="C24" s="301" t="n"/>
      <c r="D24" s="112" t="n"/>
      <c r="E24" s="2" t="n"/>
      <c r="F24" s="2" t="n"/>
      <c r="G24" s="2" t="n"/>
      <c r="H24" s="2" t="n"/>
      <c r="I24" s="78" t="n"/>
    </row>
    <row r="25" ht="19.95" customFormat="1" customHeight="1" s="108">
      <c r="A25" s="113" t="inlineStr">
        <is>
          <t>专项应付款审定数</t>
        </is>
      </c>
      <c r="B25" s="301">
        <f>I17</f>
        <v/>
      </c>
      <c r="C25" s="301">
        <f>E17</f>
        <v/>
      </c>
      <c r="D25" s="112" t="n"/>
      <c r="E25" s="2" t="n"/>
      <c r="F25" s="2" t="n"/>
      <c r="G25" s="2" t="n"/>
      <c r="H25" s="2" t="n"/>
      <c r="I25" s="78" t="n"/>
    </row>
    <row r="26" ht="19.95" customFormat="1" customHeight="1" s="108">
      <c r="A26" s="113" t="inlineStr">
        <is>
          <t>长期应付款与专项应付款合计数</t>
        </is>
      </c>
      <c r="B26" s="301">
        <f>B24+B25</f>
        <v/>
      </c>
      <c r="C26" s="301">
        <f>C24+C25</f>
        <v/>
      </c>
      <c r="D26" s="112" t="n"/>
      <c r="E26" s="2" t="n"/>
      <c r="F26" s="2" t="n"/>
      <c r="G26" s="2" t="n"/>
      <c r="H26" s="2" t="n"/>
      <c r="I26" s="78" t="n"/>
    </row>
    <row r="27" ht="19.95" customFormat="1" customHeight="1" s="108">
      <c r="A27" s="113" t="inlineStr">
        <is>
          <t>试算平衡表数</t>
        </is>
      </c>
      <c r="B27" s="301" t="n"/>
      <c r="C27" s="301" t="n"/>
      <c r="D27" s="112" t="n"/>
      <c r="E27" s="2" t="n"/>
      <c r="F27" s="2" t="n"/>
      <c r="G27" s="2" t="n"/>
      <c r="H27" s="2" t="n"/>
      <c r="I27" s="78" t="n"/>
    </row>
    <row r="28" ht="19.95" customFormat="1" customHeight="1" s="108">
      <c r="A28" s="113" t="inlineStr">
        <is>
          <t>差异</t>
        </is>
      </c>
      <c r="B28" s="301">
        <f>B26-B27</f>
        <v/>
      </c>
      <c r="C28" s="301">
        <f>C26-C27</f>
        <v/>
      </c>
      <c r="D28" s="112" t="n"/>
      <c r="E28" s="2" t="n"/>
      <c r="F28" s="2" t="n"/>
      <c r="G28" s="2" t="n"/>
      <c r="H28" s="2" t="n"/>
      <c r="I28" s="78" t="n"/>
    </row>
    <row r="29" ht="19.95" customFormat="1" customHeight="1" s="108">
      <c r="A29" s="74" t="n"/>
      <c r="B29" s="2" t="n"/>
      <c r="C29" s="2" t="n"/>
      <c r="D29" s="112" t="n"/>
      <c r="E29" s="2" t="n"/>
      <c r="F29" s="2" t="n"/>
      <c r="G29" s="2" t="n"/>
      <c r="H29" s="2" t="n"/>
      <c r="I29" s="78" t="n"/>
    </row>
    <row r="30" ht="19.95" customFormat="1" customHeight="1" s="108">
      <c r="A30" s="116" t="inlineStr">
        <is>
          <t>2、审计结论：</t>
        </is>
      </c>
    </row>
  </sheetData>
  <mergeCells count="6">
    <mergeCell ref="A5:A6"/>
    <mergeCell ref="J5:K5"/>
    <mergeCell ref="A2:K2"/>
    <mergeCell ref="B5:E5"/>
    <mergeCell ref="F5:I5"/>
    <mergeCell ref="A1:K1"/>
  </mergeCells>
  <hyperlinks>
    <hyperlink ref="K3" location="底稿目录!A1" display="=底稿目录!F5"/>
  </hyperlinks>
  <printOptions horizontalCentered="1"/>
  <pageMargins left="0.7086614173228351" right="0.7086614173228351" top="0.748031496062992" bottom="0.748031496062992" header="0.31496062992126" footer="0.31496062992126"/>
  <pageSetup orientation="landscape" paperSize="9" scale="86" blackAndWhite="1"/>
  <headerFooter alignWithMargins="0">
    <oddHeader/>
    <oddFooter>&amp;C&amp;P/&amp;N</oddFooter>
    <evenHeader/>
    <evenFooter/>
    <firstHeader/>
    <firstFooter/>
  </headerFooter>
</worksheet>
</file>

<file path=xl/worksheets/sheet4.xml><?xml version="1.0" encoding="utf-8"?>
<worksheet xmlns="http://schemas.openxmlformats.org/spreadsheetml/2006/main">
  <sheetPr codeName="Sheet3">
    <outlinePr summaryBelow="1" summaryRight="1"/>
    <pageSetUpPr/>
  </sheetPr>
  <dimension ref="A1:G19"/>
  <sheetViews>
    <sheetView view="pageBreakPreview" zoomScaleNormal="100" workbookViewId="0">
      <selection activeCell="A1" sqref="A1:F1"/>
    </sheetView>
  </sheetViews>
  <sheetFormatPr baseColWidth="8" defaultColWidth="9" defaultRowHeight="15.6"/>
  <cols>
    <col width="24.5" customWidth="1" style="4" min="1" max="1"/>
    <col width="12.59765625" customWidth="1" style="4" min="2" max="5"/>
    <col width="12" customWidth="1" style="4" min="6" max="6"/>
    <col width="9" customWidth="1" style="4" min="7" max="16384"/>
  </cols>
  <sheetData>
    <row r="1" ht="20.1" customFormat="1" customHeight="1" s="57">
      <c r="A1" s="218" t="inlineStr">
        <is>
          <t>致同会计师事务所</t>
        </is>
      </c>
      <c r="G1" s="87" t="n"/>
    </row>
    <row r="2" ht="25.05" customFormat="1" customHeight="1" s="57">
      <c r="A2" s="219" t="inlineStr">
        <is>
          <t>专项应付款附注披露信息</t>
        </is>
      </c>
      <c r="G2" s="264" t="inlineStr">
        <is>
          <t>返回目录</t>
        </is>
      </c>
    </row>
    <row r="3" ht="20.1" customFormat="1" customHeight="1" s="2">
      <c r="A3" s="2">
        <f>底稿目录!A2</f>
        <v/>
      </c>
      <c r="B3" s="2">
        <f>'审定表L6-1'!E3</f>
        <v/>
      </c>
      <c r="D3" s="28">
        <f>底稿目录!A5</f>
        <v/>
      </c>
      <c r="E3" s="28" t="n"/>
      <c r="F3" s="88" t="inlineStr">
        <is>
          <t>索引号：</t>
        </is>
      </c>
    </row>
    <row r="4" ht="20.1" customFormat="1" customHeight="1" s="2">
      <c r="A4" s="2">
        <f>底稿目录!A3</f>
        <v/>
      </c>
      <c r="B4" s="2">
        <f>底稿目录!A6</f>
        <v/>
      </c>
      <c r="D4" s="28">
        <f>底稿目录!A7</f>
        <v/>
      </c>
      <c r="E4" s="28" t="n"/>
      <c r="F4" s="2" t="inlineStr">
        <is>
          <t>页次：</t>
        </is>
      </c>
    </row>
    <row r="5" ht="20.1" customHeight="1" s="252">
      <c r="A5" s="1" t="inlineStr">
        <is>
          <t>附注披露信息（上市公司）</t>
        </is>
      </c>
    </row>
    <row r="6" ht="20.1" customHeight="1" s="252">
      <c r="A6" s="89" t="inlineStr">
        <is>
          <t>【长期应付款与专项应付款的合计数披露详见P5-1】</t>
        </is>
      </c>
    </row>
    <row r="7" ht="20.1" customHeight="1" s="252">
      <c r="A7" s="101" t="inlineStr">
        <is>
          <t>（2）专项应付款</t>
        </is>
      </c>
    </row>
    <row r="8" ht="20.1" customHeight="1" s="252">
      <c r="A8" s="92" t="inlineStr">
        <is>
          <t>项目</t>
        </is>
      </c>
      <c r="B8" s="94" t="inlineStr">
        <is>
          <t>期初数</t>
        </is>
      </c>
      <c r="C8" s="94" t="inlineStr">
        <is>
          <t>本期增加</t>
        </is>
      </c>
      <c r="D8" s="94" t="inlineStr">
        <is>
          <t>本期减少</t>
        </is>
      </c>
      <c r="E8" s="94" t="inlineStr">
        <is>
          <t>期末数</t>
        </is>
      </c>
      <c r="F8" s="94" t="inlineStr">
        <is>
          <t>形成原因</t>
        </is>
      </c>
    </row>
    <row r="9" ht="20.1" customHeight="1" s="252">
      <c r="A9" s="302">
        <f>'明细表L6-2'!B10</f>
        <v/>
      </c>
      <c r="B9" s="303">
        <f>'明细表L6-2'!P10</f>
        <v/>
      </c>
      <c r="C9" s="303">
        <f>'明细表L6-2'!Q10</f>
        <v/>
      </c>
      <c r="D9" s="303">
        <f>'明细表L6-2'!R10+'明细表L6-2'!S10</f>
        <v/>
      </c>
      <c r="E9" s="303">
        <f>'明细表L6-2'!T10</f>
        <v/>
      </c>
      <c r="F9" s="103" t="n"/>
    </row>
    <row r="10" ht="20.1" customHeight="1" s="252">
      <c r="A10" s="302">
        <f>'明细表L6-2'!B11</f>
        <v/>
      </c>
      <c r="B10" s="303">
        <f>'明细表L6-2'!P11</f>
        <v/>
      </c>
      <c r="C10" s="303">
        <f>'明细表L6-2'!Q11</f>
        <v/>
      </c>
      <c r="D10" s="303">
        <f>'明细表L6-2'!R11+'明细表L6-2'!S11</f>
        <v/>
      </c>
      <c r="E10" s="303">
        <f>'明细表L6-2'!T11</f>
        <v/>
      </c>
      <c r="F10" s="103" t="n"/>
    </row>
    <row r="11" ht="20.1" customHeight="1" s="252">
      <c r="A11" s="302">
        <f>'明细表L6-2'!B12</f>
        <v/>
      </c>
      <c r="B11" s="303">
        <f>'明细表L6-2'!P12</f>
        <v/>
      </c>
      <c r="C11" s="303">
        <f>'明细表L6-2'!Q12</f>
        <v/>
      </c>
      <c r="D11" s="303">
        <f>'明细表L6-2'!R12+'明细表L6-2'!S12</f>
        <v/>
      </c>
      <c r="E11" s="303">
        <f>'明细表L6-2'!T12</f>
        <v/>
      </c>
      <c r="F11" s="103" t="n"/>
    </row>
    <row r="12" ht="20.1" customHeight="1" s="252">
      <c r="A12" s="302">
        <f>'明细表L6-2'!B13</f>
        <v/>
      </c>
      <c r="B12" s="303">
        <f>'明细表L6-2'!P13</f>
        <v/>
      </c>
      <c r="C12" s="303">
        <f>'明细表L6-2'!Q13</f>
        <v/>
      </c>
      <c r="D12" s="303">
        <f>'明细表L6-2'!R13+'明细表L6-2'!S13</f>
        <v/>
      </c>
      <c r="E12" s="303">
        <f>'明细表L6-2'!T13</f>
        <v/>
      </c>
      <c r="F12" s="103" t="n"/>
    </row>
    <row r="13" ht="20.1" customHeight="1" s="252">
      <c r="A13" s="302">
        <f>'明细表L6-2'!B14</f>
        <v/>
      </c>
      <c r="B13" s="303">
        <f>'明细表L6-2'!P14</f>
        <v/>
      </c>
      <c r="C13" s="303">
        <f>'明细表L6-2'!Q14</f>
        <v/>
      </c>
      <c r="D13" s="303">
        <f>'明细表L6-2'!R14+'明细表L6-2'!S14</f>
        <v/>
      </c>
      <c r="E13" s="303">
        <f>'明细表L6-2'!T14</f>
        <v/>
      </c>
      <c r="F13" s="103" t="n"/>
    </row>
    <row r="14" ht="20.1" customHeight="1" s="252">
      <c r="A14" s="302">
        <f>'明细表L6-2'!B15</f>
        <v/>
      </c>
      <c r="B14" s="303">
        <f>'明细表L6-2'!P15</f>
        <v/>
      </c>
      <c r="C14" s="303">
        <f>'明细表L6-2'!Q15</f>
        <v/>
      </c>
      <c r="D14" s="303">
        <f>'明细表L6-2'!R15+'明细表L6-2'!S15</f>
        <v/>
      </c>
      <c r="E14" s="303">
        <f>'明细表L6-2'!T15</f>
        <v/>
      </c>
      <c r="F14" s="103" t="n"/>
    </row>
    <row r="15" ht="20.1" customHeight="1" s="252">
      <c r="A15" s="302">
        <f>'明细表L6-2'!B16</f>
        <v/>
      </c>
      <c r="B15" s="303">
        <f>'明细表L6-2'!P16</f>
        <v/>
      </c>
      <c r="C15" s="303">
        <f>'明细表L6-2'!Q16</f>
        <v/>
      </c>
      <c r="D15" s="303">
        <f>'明细表L6-2'!R16+'明细表L6-2'!S16</f>
        <v/>
      </c>
      <c r="E15" s="303">
        <f>'明细表L6-2'!T16</f>
        <v/>
      </c>
      <c r="F15" s="103" t="n"/>
    </row>
    <row r="16" ht="20.1" customHeight="1" s="252">
      <c r="A16" s="302">
        <f>'明细表L6-2'!B17</f>
        <v/>
      </c>
      <c r="B16" s="303">
        <f>'明细表L6-2'!P17</f>
        <v/>
      </c>
      <c r="C16" s="303">
        <f>'明细表L6-2'!Q17</f>
        <v/>
      </c>
      <c r="D16" s="303">
        <f>'明细表L6-2'!R17+'明细表L6-2'!S17</f>
        <v/>
      </c>
      <c r="E16" s="303">
        <f>'明细表L6-2'!T17</f>
        <v/>
      </c>
      <c r="F16" s="103" t="n"/>
    </row>
    <row r="17" ht="20.1" customHeight="1" s="252">
      <c r="A17" s="302">
        <f>'明细表L6-2'!B18</f>
        <v/>
      </c>
      <c r="B17" s="303">
        <f>'明细表L6-2'!P18</f>
        <v/>
      </c>
      <c r="C17" s="303">
        <f>'明细表L6-2'!Q18</f>
        <v/>
      </c>
      <c r="D17" s="303">
        <f>'明细表L6-2'!R18+'明细表L6-2'!S18</f>
        <v/>
      </c>
      <c r="E17" s="303">
        <f>'明细表L6-2'!T18</f>
        <v/>
      </c>
      <c r="F17" s="103" t="n"/>
    </row>
    <row r="18" ht="20.1" customHeight="1" s="252">
      <c r="A18" s="302">
        <f>'明细表L6-2'!B19</f>
        <v/>
      </c>
      <c r="B18" s="303">
        <f>'明细表L6-2'!P19</f>
        <v/>
      </c>
      <c r="C18" s="303">
        <f>'明细表L6-2'!Q19</f>
        <v/>
      </c>
      <c r="D18" s="303">
        <f>'明细表L6-2'!R19+'明细表L6-2'!S19</f>
        <v/>
      </c>
      <c r="E18" s="303">
        <f>'明细表L6-2'!T19</f>
        <v/>
      </c>
      <c r="F18" s="103" t="n"/>
    </row>
    <row r="19" ht="20.1" customHeight="1" s="252">
      <c r="A19" s="104" t="inlineStr">
        <is>
          <t>合计</t>
        </is>
      </c>
      <c r="B19" s="304">
        <f>SUM(B9:B18)</f>
        <v/>
      </c>
      <c r="C19" s="304">
        <f>SUM(C9:C18)</f>
        <v/>
      </c>
      <c r="D19" s="304">
        <f>SUM(D9:D18)</f>
        <v/>
      </c>
      <c r="E19" s="304">
        <f>SUM(E9:E18)</f>
        <v/>
      </c>
      <c r="F19" s="106" t="n"/>
    </row>
    <row r="20" ht="37.5" customHeight="1" s="252"/>
    <row r="21" ht="35.25" customHeight="1" s="252"/>
  </sheetData>
  <mergeCells count="2">
    <mergeCell ref="A2:F2"/>
    <mergeCell ref="A1:F1"/>
  </mergeCells>
  <hyperlinks>
    <hyperlink ref="G2" location="底稿目录!A1" display="返回目录"/>
  </hyperlinks>
  <pageMargins left="0.7086614173228351" right="0.7086614173228351" top="0.748031496062992" bottom="0.748031496062992" header="0.31496062992126" footer="0.31496062992126"/>
  <pageSetup orientation="portrait" paperSize="9" scale="88" blackAndWhite="1"/>
</worksheet>
</file>

<file path=xl/worksheets/sheet5.xml><?xml version="1.0" encoding="utf-8"?>
<worksheet xmlns="http://schemas.openxmlformats.org/spreadsheetml/2006/main">
  <sheetPr codeName="Sheet8">
    <outlinePr summaryBelow="1" summaryRight="1"/>
    <pageSetUpPr fitToPage="1"/>
  </sheetPr>
  <dimension ref="A1:F16"/>
  <sheetViews>
    <sheetView view="pageBreakPreview" zoomScaleNormal="100" workbookViewId="0">
      <selection activeCell="A1" sqref="A1:E1"/>
    </sheetView>
  </sheetViews>
  <sheetFormatPr baseColWidth="8" defaultColWidth="9" defaultRowHeight="15.6"/>
  <cols>
    <col width="24.5" customWidth="1" style="4" min="1" max="1"/>
    <col width="11.59765625" customWidth="1" style="4" min="2" max="3"/>
    <col width="11.296875" customWidth="1" style="4" min="4" max="4"/>
    <col width="11.5" customWidth="1" style="4" min="5" max="5"/>
    <col width="9" customWidth="1" style="4" min="6" max="16384"/>
  </cols>
  <sheetData>
    <row r="1" ht="19.95" customFormat="1" customHeight="1" s="57">
      <c r="A1" s="218" t="inlineStr">
        <is>
          <t>致同会计师事务所</t>
        </is>
      </c>
    </row>
    <row r="2" ht="19.95" customFormat="1" customHeight="1" s="57">
      <c r="A2" s="219" t="inlineStr">
        <is>
          <t>专项应付款附注披露信息</t>
        </is>
      </c>
      <c r="F2" s="264" t="inlineStr">
        <is>
          <t>返回目录</t>
        </is>
      </c>
    </row>
    <row r="3" ht="19.95" customFormat="1" customHeight="1" s="2">
      <c r="A3" s="2">
        <f>底稿目录!A2</f>
        <v/>
      </c>
      <c r="B3" s="2">
        <f>'审定表L6-1'!E3</f>
        <v/>
      </c>
      <c r="D3" s="2">
        <f>底稿目录!A5</f>
        <v/>
      </c>
      <c r="E3" s="88" t="inlineStr">
        <is>
          <t>索引号：</t>
        </is>
      </c>
    </row>
    <row r="4" ht="19.95" customFormat="1" customHeight="1" s="2">
      <c r="A4" s="2">
        <f>底稿目录!A3</f>
        <v/>
      </c>
      <c r="B4" s="2">
        <f>底稿目录!A6</f>
        <v/>
      </c>
      <c r="D4" s="2">
        <f>底稿目录!A7</f>
        <v/>
      </c>
      <c r="E4" s="2" t="inlineStr">
        <is>
          <t>页次：</t>
        </is>
      </c>
    </row>
    <row r="5" ht="19.95" customHeight="1" s="252">
      <c r="A5" s="1" t="inlineStr">
        <is>
          <t>附注披露信息（国企）</t>
        </is>
      </c>
    </row>
    <row r="6" ht="19.95" customHeight="1" s="252">
      <c r="A6" s="89" t="inlineStr">
        <is>
          <t>【长期应付款与专项应付款的合计数披露详见P5-1】</t>
        </is>
      </c>
    </row>
    <row r="7" ht="19.95" customHeight="1" s="252">
      <c r="A7" s="90" t="inlineStr">
        <is>
          <t>（2）专项应付款</t>
        </is>
      </c>
    </row>
    <row r="8" ht="19.95" customHeight="1" s="252">
      <c r="A8" s="91" t="inlineStr">
        <is>
          <t>（说明：分项披露专项应付款年末余额最大的前五项）</t>
        </is>
      </c>
    </row>
    <row r="9" ht="19.95" customHeight="1" s="252">
      <c r="A9" s="92" t="inlineStr">
        <is>
          <t>项目</t>
        </is>
      </c>
      <c r="B9" s="93" t="inlineStr">
        <is>
          <t>201X.01.01</t>
        </is>
      </c>
      <c r="C9" s="94" t="inlineStr">
        <is>
          <t>本期增加</t>
        </is>
      </c>
      <c r="D9" s="94" t="inlineStr">
        <is>
          <t>本期减少</t>
        </is>
      </c>
      <c r="E9" s="93" t="inlineStr">
        <is>
          <t>201X.12.31</t>
        </is>
      </c>
    </row>
    <row r="10" ht="19.95" customHeight="1" s="252">
      <c r="A10" s="305">
        <f>'明细表L6-2'!B10</f>
        <v/>
      </c>
      <c r="B10" s="303">
        <f>'明细表L6-2'!P10</f>
        <v/>
      </c>
      <c r="C10" s="303">
        <f>'明细表L6-2'!Q10</f>
        <v/>
      </c>
      <c r="D10" s="303">
        <f>'明细表L6-2'!R10+'明细表L6-2'!S10</f>
        <v/>
      </c>
      <c r="E10" s="303">
        <f>'明细表L6-2'!T10</f>
        <v/>
      </c>
    </row>
    <row r="11" ht="19.95" customHeight="1" s="252">
      <c r="A11" s="305">
        <f>'明细表L6-2'!B11</f>
        <v/>
      </c>
      <c r="B11" s="303">
        <f>'明细表L6-2'!P11</f>
        <v/>
      </c>
      <c r="C11" s="303">
        <f>'明细表L6-2'!Q11</f>
        <v/>
      </c>
      <c r="D11" s="303">
        <f>'明细表L6-2'!R11+'明细表L6-2'!S11</f>
        <v/>
      </c>
      <c r="E11" s="303">
        <f>'明细表L6-2'!T11</f>
        <v/>
      </c>
    </row>
    <row r="12" ht="19.95" customHeight="1" s="252">
      <c r="A12" s="305">
        <f>'明细表L6-2'!B12</f>
        <v/>
      </c>
      <c r="B12" s="303">
        <f>'明细表L6-2'!P12</f>
        <v/>
      </c>
      <c r="C12" s="303">
        <f>'明细表L6-2'!Q12</f>
        <v/>
      </c>
      <c r="D12" s="303">
        <f>'明细表L6-2'!R12+'明细表L6-2'!S12</f>
        <v/>
      </c>
      <c r="E12" s="303">
        <f>'明细表L6-2'!T12</f>
        <v/>
      </c>
    </row>
    <row r="13" ht="19.95" customHeight="1" s="252">
      <c r="A13" s="305">
        <f>'明细表L6-2'!B13</f>
        <v/>
      </c>
      <c r="B13" s="303">
        <f>'明细表L6-2'!P13</f>
        <v/>
      </c>
      <c r="C13" s="303">
        <f>'明细表L6-2'!Q13</f>
        <v/>
      </c>
      <c r="D13" s="303">
        <f>'明细表L6-2'!R13+'明细表L6-2'!S13</f>
        <v/>
      </c>
      <c r="E13" s="303">
        <f>'明细表L6-2'!T13</f>
        <v/>
      </c>
    </row>
    <row r="14" ht="19.95" customHeight="1" s="252">
      <c r="A14" s="305">
        <f>'明细表L6-2'!B14</f>
        <v/>
      </c>
      <c r="B14" s="303">
        <f>'明细表L6-2'!P14</f>
        <v/>
      </c>
      <c r="C14" s="303">
        <f>'明细表L6-2'!Q14</f>
        <v/>
      </c>
      <c r="D14" s="303">
        <f>'明细表L6-2'!R14+'明细表L6-2'!S14</f>
        <v/>
      </c>
      <c r="E14" s="303">
        <f>'明细表L6-2'!T14</f>
        <v/>
      </c>
    </row>
    <row r="15" ht="19.95" customHeight="1" s="252">
      <c r="A15" s="97" t="inlineStr">
        <is>
          <t>其他</t>
        </is>
      </c>
      <c r="B15" s="306">
        <f>'明细表L6-2'!P20-SUM('明细表L6-2'!P10:'明细表L6-2'!P14)</f>
        <v/>
      </c>
      <c r="C15" s="306">
        <f>'明细表L6-2'!Q20-SUM('明细表L6-2'!Q10:'明细表L6-2'!Q14)</f>
        <v/>
      </c>
      <c r="D15" s="306">
        <f>'明细表L6-2'!R20-SUM('明细表L6-2'!R10:'明细表L6-2'!R14)</f>
        <v/>
      </c>
      <c r="E15" s="306">
        <f>'明细表L6-2'!S20-SUM('明细表L6-2'!S10:'明细表L6-2'!S14)</f>
        <v/>
      </c>
    </row>
    <row r="16" ht="19.95" customHeight="1" s="252">
      <c r="A16" s="99" t="inlineStr">
        <is>
          <t>合计</t>
        </is>
      </c>
      <c r="B16" s="307">
        <f>SUM(B10:B15)</f>
        <v/>
      </c>
      <c r="C16" s="307">
        <f>SUM(C10:C15)</f>
        <v/>
      </c>
      <c r="D16" s="307">
        <f>SUM(D10:D15)</f>
        <v/>
      </c>
      <c r="E16" s="307">
        <f>SUM(E10:E15)</f>
        <v/>
      </c>
    </row>
  </sheetData>
  <mergeCells count="2">
    <mergeCell ref="A2:E2"/>
    <mergeCell ref="A1:E1"/>
  </mergeCells>
  <hyperlinks>
    <hyperlink ref="F2" location="底稿目录!A1" display="返回目录"/>
  </hyperlinks>
  <pageMargins left="0.7086614173228351" right="0.7086614173228351" top="0.748031496062992" bottom="0.748031496062992" header="0.31496062992126" footer="0.31496062992126"/>
  <pageSetup orientation="portrait" paperSize="9" blackAndWhite="1"/>
</worksheet>
</file>

<file path=xl/worksheets/sheet6.xml><?xml version="1.0" encoding="utf-8"?>
<worksheet xmlns="http://schemas.openxmlformats.org/spreadsheetml/2006/main">
  <sheetPr codeName="Sheet4">
    <outlinePr summaryBelow="1" summaryRight="1"/>
    <pageSetUpPr/>
  </sheetPr>
  <dimension ref="A1:AG37"/>
  <sheetViews>
    <sheetView view="pageBreakPreview" zoomScaleNormal="100" workbookViewId="0">
      <selection activeCell="A1" sqref="A1:L1"/>
    </sheetView>
  </sheetViews>
  <sheetFormatPr baseColWidth="8" defaultColWidth="9" defaultRowHeight="19.95" customHeight="1"/>
  <cols>
    <col width="4.796875" customWidth="1" style="61" min="1" max="1"/>
    <col width="10.5" customWidth="1" style="61" min="2" max="2"/>
    <col width="13.296875" customWidth="1" style="61" min="3" max="3"/>
    <col width="12.09765625" customWidth="1" style="61" min="4" max="5"/>
    <col width="12.796875" customWidth="1" style="61" min="6" max="6"/>
    <col width="12.09765625" customWidth="1" style="61" min="7" max="20"/>
    <col width="8.5" customWidth="1" style="61" min="21" max="21"/>
    <col width="8" customWidth="1" style="61" min="22" max="22"/>
    <col width="10.59765625" customWidth="1" style="61" min="23" max="23"/>
    <col width="7.09765625" customWidth="1" style="61" min="24" max="24"/>
    <col width="9.09765625" customWidth="1" style="61" min="25" max="25"/>
    <col width="9.5" customWidth="1" style="61" min="26" max="26"/>
    <col width="11" customWidth="1" style="61" min="27" max="27"/>
    <col width="10.59765625" customWidth="1" style="61" min="28" max="28"/>
    <col width="9" customWidth="1" style="61" min="29" max="16384"/>
  </cols>
  <sheetData>
    <row r="1" ht="19.95" customFormat="1" customHeight="1" s="57">
      <c r="A1" s="218" t="inlineStr">
        <is>
          <t>致同会计师事务所</t>
        </is>
      </c>
      <c r="M1" s="218" t="inlineStr">
        <is>
          <t>致同会计师事务所</t>
        </is>
      </c>
      <c r="W1" s="87" t="n"/>
      <c r="X1" s="87" t="n"/>
      <c r="Y1" s="87" t="n"/>
      <c r="Z1" s="87" t="n"/>
      <c r="AA1" s="87" t="n"/>
      <c r="AB1" s="87" t="n"/>
      <c r="AC1" s="87" t="n"/>
      <c r="AD1" s="87" t="n"/>
      <c r="AE1" s="87" t="n"/>
      <c r="AF1" s="87" t="n"/>
      <c r="AG1" s="87" t="n"/>
    </row>
    <row r="2" ht="19.95" customFormat="1" customHeight="1" s="57">
      <c r="A2" s="219" t="inlineStr">
        <is>
          <t>专项应付款明细表</t>
        </is>
      </c>
      <c r="M2" s="219" t="inlineStr">
        <is>
          <t>专项应付款明细表</t>
        </is>
      </c>
      <c r="W2" s="81" t="n"/>
      <c r="X2" s="81" t="n"/>
      <c r="Y2" s="87" t="n"/>
      <c r="Z2" s="87" t="n"/>
      <c r="AA2" s="87" t="n"/>
      <c r="AB2" s="87" t="n"/>
      <c r="AC2" s="87" t="n"/>
      <c r="AD2" s="87" t="n"/>
      <c r="AE2" s="87" t="n"/>
      <c r="AF2" s="87" t="n"/>
      <c r="AG2" s="87" t="n"/>
    </row>
    <row r="3" ht="19.95" customFormat="1" customHeight="1" s="2">
      <c r="A3" s="2">
        <f>底稿目录!A2</f>
        <v/>
      </c>
      <c r="E3" s="2">
        <f>底稿目录!A4</f>
        <v/>
      </c>
      <c r="G3" s="28">
        <f>底稿目录!A5</f>
        <v/>
      </c>
      <c r="K3" s="78" t="inlineStr">
        <is>
          <t>索引号：</t>
        </is>
      </c>
      <c r="L3" s="308">
        <f>底稿目录!F8</f>
        <v/>
      </c>
      <c r="O3" s="2">
        <f>E3</f>
        <v/>
      </c>
      <c r="R3" s="28" t="n"/>
      <c r="S3" s="28">
        <f>G3</f>
        <v/>
      </c>
      <c r="W3" s="78" t="inlineStr">
        <is>
          <t>索引号：</t>
        </is>
      </c>
      <c r="X3" s="266">
        <f>底稿目录!F8</f>
        <v/>
      </c>
      <c r="Y3" s="264" t="n"/>
    </row>
    <row r="4" ht="19.95" customFormat="1" customHeight="1" s="2">
      <c r="A4" s="2">
        <f>底稿目录!A3</f>
        <v/>
      </c>
      <c r="E4" s="2">
        <f>底稿目录!A6</f>
        <v/>
      </c>
      <c r="G4" s="28">
        <f>底稿目录!A7</f>
        <v/>
      </c>
      <c r="K4" s="78" t="inlineStr">
        <is>
          <t>页次：</t>
        </is>
      </c>
      <c r="O4" s="2">
        <f>E4</f>
        <v/>
      </c>
      <c r="R4" s="28" t="n"/>
      <c r="S4" s="28">
        <f>G4</f>
        <v/>
      </c>
      <c r="W4" s="78" t="inlineStr">
        <is>
          <t>页次：</t>
        </is>
      </c>
    </row>
    <row r="5" ht="19.95" customFormat="1" customHeight="1" s="2">
      <c r="A5" s="309" t="inlineStr">
        <is>
          <t>一、审计目标:</t>
        </is>
      </c>
      <c r="B5" s="309" t="n"/>
      <c r="C5" s="2" t="inlineStr">
        <is>
          <t>1、资产负债表中记录的专项应付款是存在的，且已经记录在恰当的账户中；2、 所有应记录的短期借款均已记录，所有应当包括在财务报表中的相关披露均已包括；</t>
        </is>
      </c>
      <c r="J5" s="310" t="n"/>
      <c r="K5" s="78" t="n"/>
      <c r="M5" s="2" t="inlineStr">
        <is>
          <t>1、资产负债表中记录的专项应付款是存在的，且已经记录在恰当的账户中；2、 所有应记录的短期借款均已记录，所有应当包括在财务报表中的相关披露均已包括；</t>
        </is>
      </c>
      <c r="V5" s="78" t="n"/>
      <c r="W5" s="78" t="n"/>
    </row>
    <row r="6" ht="19.95" customFormat="1" customHeight="1" s="2">
      <c r="C6" s="2" t="inlineStr">
        <is>
          <t>3、专项应付款以恰当的金额包括在财务报表中，与之相关的计价或分摊调整已恰当记录，相关披露已得到恰当计量和描述</t>
        </is>
      </c>
      <c r="D6" s="309" t="n"/>
      <c r="L6" s="310" t="n"/>
      <c r="M6" s="2" t="inlineStr">
        <is>
          <t>3、专项应付款以恰当的金额包括在财务报表中，与之相关的计价或分摊调整已恰当记录，相关披露已得到恰当计量和描述</t>
        </is>
      </c>
      <c r="V6" s="78" t="n"/>
      <c r="W6" s="78" t="n"/>
    </row>
    <row r="7" ht="19.95" customFormat="1" customHeight="1" s="2">
      <c r="A7" s="311" t="inlineStr">
        <is>
          <t>二、审计过程：</t>
        </is>
      </c>
      <c r="B7" s="311" t="n"/>
      <c r="C7" s="312" t="n"/>
      <c r="D7" s="310" t="n"/>
      <c r="E7" s="300" t="n"/>
      <c r="T7" s="82" t="n"/>
      <c r="V7" s="78" t="n"/>
      <c r="W7" s="78" t="n"/>
    </row>
    <row r="8" ht="19.95" customFormat="1" customHeight="1" s="2">
      <c r="A8" s="226" t="inlineStr">
        <is>
          <t>序号</t>
        </is>
      </c>
      <c r="B8" s="226" t="inlineStr">
        <is>
          <t>项目</t>
        </is>
      </c>
      <c r="C8" s="177" t="inlineStr">
        <is>
          <t>未审数</t>
        </is>
      </c>
      <c r="D8" s="273" t="n"/>
      <c r="E8" s="273" t="n"/>
      <c r="F8" s="273" t="n"/>
      <c r="G8" s="274" t="n"/>
      <c r="H8" s="313" t="inlineStr">
        <is>
          <t>期初调整</t>
        </is>
      </c>
      <c r="I8" s="274" t="n"/>
      <c r="J8" s="313" t="inlineStr">
        <is>
          <t>账项调整</t>
        </is>
      </c>
      <c r="K8" s="273" t="n"/>
      <c r="L8" s="274" t="n"/>
      <c r="M8" s="313" t="inlineStr">
        <is>
          <t>重分类调整</t>
        </is>
      </c>
      <c r="N8" s="273" t="n"/>
      <c r="O8" s="274" t="n"/>
      <c r="P8" s="177" t="inlineStr">
        <is>
          <t>审定数</t>
        </is>
      </c>
      <c r="Q8" s="273" t="n"/>
      <c r="R8" s="273" t="n"/>
      <c r="S8" s="273" t="n"/>
      <c r="T8" s="274" t="n"/>
      <c r="U8" s="226" t="inlineStr">
        <is>
          <t>文件依据</t>
        </is>
      </c>
      <c r="V8" s="226" t="inlineStr">
        <is>
          <t>索引号</t>
        </is>
      </c>
      <c r="W8" s="314" t="inlineStr">
        <is>
          <t>拨款项目的完成情况</t>
        </is>
      </c>
      <c r="X8" s="177" t="inlineStr">
        <is>
          <t>备注</t>
        </is>
      </c>
    </row>
    <row r="9" ht="19.95" customFormat="1" customHeight="1" s="58">
      <c r="A9" s="283" t="n"/>
      <c r="B9" s="283" t="n"/>
      <c r="C9" s="226" t="inlineStr">
        <is>
          <t>期初余额</t>
        </is>
      </c>
      <c r="D9" s="226" t="inlineStr">
        <is>
          <t>本期拨入</t>
        </is>
      </c>
      <c r="E9" s="226" t="inlineStr">
        <is>
          <t>本期结转</t>
        </is>
      </c>
      <c r="F9" s="226" t="inlineStr">
        <is>
          <t>本期返还</t>
        </is>
      </c>
      <c r="G9" s="226" t="inlineStr">
        <is>
          <t>期末余额</t>
        </is>
      </c>
      <c r="H9" s="313" t="inlineStr">
        <is>
          <t>账项调整</t>
        </is>
      </c>
      <c r="I9" s="313" t="inlineStr">
        <is>
          <t>重分类调整</t>
        </is>
      </c>
      <c r="J9" s="313" t="inlineStr">
        <is>
          <t>本期拨入</t>
        </is>
      </c>
      <c r="K9" s="313" t="inlineStr">
        <is>
          <t>本期结转</t>
        </is>
      </c>
      <c r="L9" s="313" t="inlineStr">
        <is>
          <t>本期返还</t>
        </is>
      </c>
      <c r="M9" s="313" t="inlineStr">
        <is>
          <t>本期拨入</t>
        </is>
      </c>
      <c r="N9" s="313" t="inlineStr">
        <is>
          <t>本期结转</t>
        </is>
      </c>
      <c r="O9" s="313" t="inlineStr">
        <is>
          <t>本期返还</t>
        </is>
      </c>
      <c r="P9" s="226" t="inlineStr">
        <is>
          <t>期初余额</t>
        </is>
      </c>
      <c r="Q9" s="226" t="inlineStr">
        <is>
          <t>本期拨入</t>
        </is>
      </c>
      <c r="R9" s="226" t="inlineStr">
        <is>
          <t>本期结转</t>
        </is>
      </c>
      <c r="S9" s="226" t="inlineStr">
        <is>
          <t>本期返还</t>
        </is>
      </c>
      <c r="T9" s="226" t="inlineStr">
        <is>
          <t>期末余额</t>
        </is>
      </c>
      <c r="U9" s="283" t="n"/>
      <c r="V9" s="283" t="n"/>
      <c r="W9" s="283" t="n"/>
      <c r="X9" s="283" t="n"/>
    </row>
    <row r="10" ht="19.95" customFormat="1" customHeight="1" s="58">
      <c r="A10" s="68" t="n">
        <v>1</v>
      </c>
      <c r="B10" s="68" t="n"/>
      <c r="C10" s="315" t="n"/>
      <c r="D10" s="315" t="n"/>
      <c r="E10" s="315" t="n"/>
      <c r="F10" s="315" t="n"/>
      <c r="G10" s="297">
        <f>C10+D10-E10-F10</f>
        <v/>
      </c>
      <c r="H10" s="315" t="n"/>
      <c r="I10" s="315" t="n"/>
      <c r="J10" s="315" t="n"/>
      <c r="K10" s="315" t="n"/>
      <c r="L10" s="315" t="n"/>
      <c r="M10" s="315" t="n"/>
      <c r="N10" s="315" t="n"/>
      <c r="O10" s="315" t="n"/>
      <c r="P10" s="297">
        <f>C10+H10+I10</f>
        <v/>
      </c>
      <c r="Q10" s="297">
        <f>D10+J10+M10</f>
        <v/>
      </c>
      <c r="R10" s="297">
        <f>E10+K10+N10</f>
        <v/>
      </c>
      <c r="S10" s="297">
        <f>F10+L10+O10</f>
        <v/>
      </c>
      <c r="T10" s="297">
        <f>P10+Q10-R10-S10</f>
        <v/>
      </c>
      <c r="U10" s="83" t="n"/>
      <c r="V10" s="83" t="n"/>
      <c r="W10" s="83" t="n"/>
      <c r="X10" s="84" t="n"/>
    </row>
    <row r="11" ht="19.95" customFormat="1" customHeight="1" s="58">
      <c r="A11" s="68" t="n">
        <v>2</v>
      </c>
      <c r="B11" s="68" t="n"/>
      <c r="C11" s="315" t="n"/>
      <c r="D11" s="315" t="n"/>
      <c r="E11" s="315" t="n"/>
      <c r="F11" s="315" t="n"/>
      <c r="G11" s="297">
        <f>C11+D11-E11-F11</f>
        <v/>
      </c>
      <c r="H11" s="315" t="n"/>
      <c r="I11" s="315" t="n"/>
      <c r="J11" s="315" t="n"/>
      <c r="K11" s="315" t="n"/>
      <c r="L11" s="315" t="n"/>
      <c r="M11" s="315" t="n"/>
      <c r="N11" s="315" t="n"/>
      <c r="O11" s="315" t="n"/>
      <c r="P11" s="297">
        <f>C11+H11+I11</f>
        <v/>
      </c>
      <c r="Q11" s="297">
        <f>D11+J11+M11</f>
        <v/>
      </c>
      <c r="R11" s="297">
        <f>E11+K11+N11</f>
        <v/>
      </c>
      <c r="S11" s="297">
        <f>F11+L11+O11</f>
        <v/>
      </c>
      <c r="T11" s="297">
        <f>P11+Q11-R11-S11</f>
        <v/>
      </c>
      <c r="U11" s="83" t="n"/>
      <c r="V11" s="83" t="n"/>
      <c r="W11" s="83" t="n"/>
      <c r="X11" s="84" t="n"/>
    </row>
    <row r="12" ht="19.95" customFormat="1" customHeight="1" s="58">
      <c r="A12" s="68" t="n">
        <v>3</v>
      </c>
      <c r="B12" s="71" t="n"/>
      <c r="C12" s="315" t="n"/>
      <c r="D12" s="315" t="n"/>
      <c r="E12" s="315" t="n"/>
      <c r="F12" s="315" t="n"/>
      <c r="G12" s="297">
        <f>C12+D12-E12-F12</f>
        <v/>
      </c>
      <c r="H12" s="315" t="n"/>
      <c r="I12" s="315" t="n"/>
      <c r="J12" s="315" t="n"/>
      <c r="K12" s="315" t="n"/>
      <c r="L12" s="315" t="n"/>
      <c r="M12" s="315" t="n"/>
      <c r="N12" s="315" t="n"/>
      <c r="O12" s="315" t="n"/>
      <c r="P12" s="297">
        <f>C12+H12+I12</f>
        <v/>
      </c>
      <c r="Q12" s="297">
        <f>D12+J12+M12</f>
        <v/>
      </c>
      <c r="R12" s="297">
        <f>E12+K12+N12</f>
        <v/>
      </c>
      <c r="S12" s="297">
        <f>F12+L12+O12</f>
        <v/>
      </c>
      <c r="T12" s="297">
        <f>P12+Q12-R12-S12</f>
        <v/>
      </c>
      <c r="U12" s="85" t="n"/>
      <c r="V12" s="85" t="n"/>
      <c r="W12" s="85" t="n"/>
      <c r="X12" s="86" t="n"/>
    </row>
    <row r="13" ht="19.95" customFormat="1" customHeight="1" s="58">
      <c r="A13" s="68" t="n">
        <v>4</v>
      </c>
      <c r="B13" s="68" t="n"/>
      <c r="C13" s="315" t="n"/>
      <c r="D13" s="315" t="n"/>
      <c r="E13" s="315" t="n"/>
      <c r="F13" s="315" t="n"/>
      <c r="G13" s="297">
        <f>C13+D13-E13-F13</f>
        <v/>
      </c>
      <c r="H13" s="315" t="n"/>
      <c r="I13" s="315" t="n"/>
      <c r="J13" s="315" t="n"/>
      <c r="K13" s="315" t="n"/>
      <c r="L13" s="315" t="n"/>
      <c r="M13" s="315" t="n"/>
      <c r="N13" s="315" t="n"/>
      <c r="O13" s="315" t="n"/>
      <c r="P13" s="297">
        <f>C13+H13+I13</f>
        <v/>
      </c>
      <c r="Q13" s="297">
        <f>D13+J13+M13</f>
        <v/>
      </c>
      <c r="R13" s="297">
        <f>E13+K13+N13</f>
        <v/>
      </c>
      <c r="S13" s="297">
        <f>F13+L13+O13</f>
        <v/>
      </c>
      <c r="T13" s="297">
        <f>P13+Q13-R13-S13</f>
        <v/>
      </c>
      <c r="U13" s="83" t="n"/>
      <c r="V13" s="83" t="n"/>
      <c r="W13" s="83" t="n"/>
      <c r="X13" s="84" t="n"/>
    </row>
    <row r="14" ht="19.95" customFormat="1" customHeight="1" s="58">
      <c r="A14" s="68" t="n">
        <v>5</v>
      </c>
      <c r="B14" s="68" t="n"/>
      <c r="C14" s="315" t="n"/>
      <c r="D14" s="315" t="n"/>
      <c r="E14" s="315" t="n"/>
      <c r="F14" s="315" t="n"/>
      <c r="G14" s="297">
        <f>C14+D14-E14-F14</f>
        <v/>
      </c>
      <c r="H14" s="315" t="n"/>
      <c r="I14" s="315" t="n"/>
      <c r="J14" s="315" t="n"/>
      <c r="K14" s="315" t="n"/>
      <c r="L14" s="315" t="n"/>
      <c r="M14" s="315" t="n"/>
      <c r="N14" s="315" t="n"/>
      <c r="O14" s="315" t="n"/>
      <c r="P14" s="297">
        <f>C14+H14+I14</f>
        <v/>
      </c>
      <c r="Q14" s="297">
        <f>D14+J14+M14</f>
        <v/>
      </c>
      <c r="R14" s="297">
        <f>E14+K14+N14</f>
        <v/>
      </c>
      <c r="S14" s="297">
        <f>F14+L14+O14</f>
        <v/>
      </c>
      <c r="T14" s="297">
        <f>P14+Q14-R14-S14</f>
        <v/>
      </c>
      <c r="U14" s="83" t="n"/>
      <c r="V14" s="83" t="n"/>
      <c r="W14" s="83" t="n"/>
      <c r="X14" s="84" t="n"/>
    </row>
    <row r="15" ht="19.95" customFormat="1" customHeight="1" s="58">
      <c r="A15" s="68" t="n">
        <v>6</v>
      </c>
      <c r="B15" s="68" t="n"/>
      <c r="C15" s="315" t="n"/>
      <c r="D15" s="315" t="n"/>
      <c r="E15" s="315" t="n"/>
      <c r="F15" s="315" t="n"/>
      <c r="G15" s="297">
        <f>C15+D15-E15-F15</f>
        <v/>
      </c>
      <c r="H15" s="315" t="n"/>
      <c r="I15" s="315" t="n"/>
      <c r="J15" s="315" t="n"/>
      <c r="K15" s="315" t="n"/>
      <c r="L15" s="315" t="n"/>
      <c r="M15" s="315" t="n"/>
      <c r="N15" s="315" t="n"/>
      <c r="O15" s="315" t="n"/>
      <c r="P15" s="297">
        <f>C15+H15+I15</f>
        <v/>
      </c>
      <c r="Q15" s="297">
        <f>D15+J15+M15</f>
        <v/>
      </c>
      <c r="R15" s="297">
        <f>E15+K15+N15</f>
        <v/>
      </c>
      <c r="S15" s="297">
        <f>F15+L15+O15</f>
        <v/>
      </c>
      <c r="T15" s="297">
        <f>P15+Q15-R15-S15</f>
        <v/>
      </c>
      <c r="U15" s="83" t="n"/>
      <c r="V15" s="83" t="n"/>
      <c r="W15" s="83" t="n"/>
      <c r="X15" s="84" t="n"/>
    </row>
    <row r="16" ht="19.95" customFormat="1" customHeight="1" s="58">
      <c r="A16" s="68" t="n">
        <v>7</v>
      </c>
      <c r="B16" s="68" t="n"/>
      <c r="C16" s="315" t="n"/>
      <c r="D16" s="315" t="n"/>
      <c r="E16" s="315" t="n"/>
      <c r="F16" s="315" t="n"/>
      <c r="G16" s="297">
        <f>C16+D16-E16-F16</f>
        <v/>
      </c>
      <c r="H16" s="315" t="n"/>
      <c r="I16" s="315" t="n"/>
      <c r="J16" s="315" t="n"/>
      <c r="K16" s="315" t="n"/>
      <c r="L16" s="315" t="n"/>
      <c r="M16" s="315" t="n"/>
      <c r="N16" s="315" t="n"/>
      <c r="O16" s="315" t="n"/>
      <c r="P16" s="297">
        <f>C16+H16+I16</f>
        <v/>
      </c>
      <c r="Q16" s="297">
        <f>D16+J16+M16</f>
        <v/>
      </c>
      <c r="R16" s="297">
        <f>E16+K16+N16</f>
        <v/>
      </c>
      <c r="S16" s="297">
        <f>F16+L16+O16</f>
        <v/>
      </c>
      <c r="T16" s="297">
        <f>P16+Q16-R16-S16</f>
        <v/>
      </c>
      <c r="U16" s="83" t="n"/>
      <c r="V16" s="83" t="n"/>
      <c r="W16" s="83" t="n"/>
      <c r="X16" s="84" t="n"/>
    </row>
    <row r="17" ht="19.95" customFormat="1" customHeight="1" s="58">
      <c r="A17" s="68" t="n">
        <v>8</v>
      </c>
      <c r="B17" s="68" t="n"/>
      <c r="C17" s="315" t="n"/>
      <c r="D17" s="315" t="n"/>
      <c r="E17" s="315" t="n"/>
      <c r="F17" s="315" t="n"/>
      <c r="G17" s="297">
        <f>C17+D17-E17-F17</f>
        <v/>
      </c>
      <c r="H17" s="315" t="n"/>
      <c r="I17" s="315" t="n"/>
      <c r="J17" s="315" t="n"/>
      <c r="K17" s="315" t="n"/>
      <c r="L17" s="315" t="n"/>
      <c r="M17" s="315" t="n"/>
      <c r="N17" s="315" t="n"/>
      <c r="O17" s="315" t="n"/>
      <c r="P17" s="297">
        <f>C17+H17+I17</f>
        <v/>
      </c>
      <c r="Q17" s="297">
        <f>D17+J17+M17</f>
        <v/>
      </c>
      <c r="R17" s="297">
        <f>E17+K17+N17</f>
        <v/>
      </c>
      <c r="S17" s="297">
        <f>F17+L17+O17</f>
        <v/>
      </c>
      <c r="T17" s="297">
        <f>P17+Q17-R17-S17</f>
        <v/>
      </c>
      <c r="U17" s="83" t="n"/>
      <c r="V17" s="83" t="n"/>
      <c r="W17" s="83" t="n"/>
      <c r="X17" s="84" t="n"/>
    </row>
    <row r="18" ht="19.95" customFormat="1" customHeight="1" s="58">
      <c r="A18" s="68" t="n">
        <v>9</v>
      </c>
      <c r="B18" s="68" t="n"/>
      <c r="C18" s="315" t="n"/>
      <c r="D18" s="315" t="n"/>
      <c r="E18" s="315" t="n"/>
      <c r="F18" s="315" t="n"/>
      <c r="G18" s="297">
        <f>C18+D18-E18-F18</f>
        <v/>
      </c>
      <c r="H18" s="315" t="n"/>
      <c r="I18" s="315" t="n"/>
      <c r="J18" s="315" t="n"/>
      <c r="K18" s="315" t="n"/>
      <c r="L18" s="315" t="n"/>
      <c r="M18" s="315" t="n"/>
      <c r="N18" s="315" t="n"/>
      <c r="O18" s="315" t="n"/>
      <c r="P18" s="297">
        <f>C18+H18+I18</f>
        <v/>
      </c>
      <c r="Q18" s="297">
        <f>D18+J18+M18</f>
        <v/>
      </c>
      <c r="R18" s="297">
        <f>E18+K18+N18</f>
        <v/>
      </c>
      <c r="S18" s="297">
        <f>F18+L18+O18</f>
        <v/>
      </c>
      <c r="T18" s="297">
        <f>P18+Q18-R18-S18</f>
        <v/>
      </c>
      <c r="U18" s="83" t="n"/>
      <c r="V18" s="83" t="n"/>
      <c r="W18" s="83" t="n"/>
      <c r="X18" s="84" t="n"/>
    </row>
    <row r="19" ht="19.95" customFormat="1" customHeight="1" s="58">
      <c r="A19" s="68" t="n">
        <v>10</v>
      </c>
      <c r="B19" s="68" t="n"/>
      <c r="C19" s="315" t="n"/>
      <c r="D19" s="315" t="n"/>
      <c r="E19" s="315" t="n"/>
      <c r="F19" s="315" t="n"/>
      <c r="G19" s="297">
        <f>C19+D19-E19-F19</f>
        <v/>
      </c>
      <c r="H19" s="315" t="n"/>
      <c r="I19" s="315" t="n"/>
      <c r="J19" s="315" t="n"/>
      <c r="K19" s="315" t="n"/>
      <c r="L19" s="315" t="n"/>
      <c r="M19" s="315" t="n"/>
      <c r="N19" s="315" t="n"/>
      <c r="O19" s="315" t="n"/>
      <c r="P19" s="297">
        <f>C19+H19+I19</f>
        <v/>
      </c>
      <c r="Q19" s="297">
        <f>D19+J19+M19</f>
        <v/>
      </c>
      <c r="R19" s="297">
        <f>E19+K19+N19</f>
        <v/>
      </c>
      <c r="S19" s="297">
        <f>F19+L19+O19</f>
        <v/>
      </c>
      <c r="T19" s="297">
        <f>P19+Q19-R19-S19</f>
        <v/>
      </c>
      <c r="U19" s="83" t="n"/>
      <c r="V19" s="83" t="n"/>
      <c r="W19" s="83" t="n"/>
      <c r="X19" s="84" t="n"/>
    </row>
    <row r="20" ht="19.95" customFormat="1" customHeight="1" s="172">
      <c r="A20" s="170" t="inlineStr">
        <is>
          <t>合计</t>
        </is>
      </c>
      <c r="B20" s="274" t="n"/>
      <c r="C20" s="316">
        <f>SUM(C10:C19)</f>
        <v/>
      </c>
      <c r="D20" s="316">
        <f>SUM(D10:D19)</f>
        <v/>
      </c>
      <c r="E20" s="316">
        <f>SUM(E10:E19)</f>
        <v/>
      </c>
      <c r="F20" s="316">
        <f>SUM(F10:F19)</f>
        <v/>
      </c>
      <c r="G20" s="316">
        <f>SUM(G10:G19)</f>
        <v/>
      </c>
      <c r="H20" s="316">
        <f>SUM(H10:H19)</f>
        <v/>
      </c>
      <c r="I20" s="316">
        <f>SUM(I10:I19)</f>
        <v/>
      </c>
      <c r="J20" s="316">
        <f>SUM(J10:J19)</f>
        <v/>
      </c>
      <c r="K20" s="316">
        <f>SUM(K10:K19)</f>
        <v/>
      </c>
      <c r="L20" s="316">
        <f>SUM(L10:L19)</f>
        <v/>
      </c>
      <c r="M20" s="316">
        <f>SUM(M10:M19)</f>
        <v/>
      </c>
      <c r="N20" s="316">
        <f>SUM(N10:N19)</f>
        <v/>
      </c>
      <c r="O20" s="316">
        <f>SUM(O10:O19)</f>
        <v/>
      </c>
      <c r="P20" s="316">
        <f>SUM(P10:P19)</f>
        <v/>
      </c>
      <c r="Q20" s="316">
        <f>SUM(Q10:Q19)</f>
        <v/>
      </c>
      <c r="R20" s="316">
        <f>SUM(R10:R19)</f>
        <v/>
      </c>
      <c r="S20" s="316">
        <f>SUM(S10:S19)</f>
        <v/>
      </c>
      <c r="T20" s="316">
        <f>SUM(T10:T19)</f>
        <v/>
      </c>
      <c r="U20" s="170" t="n"/>
      <c r="V20" s="170" t="n"/>
      <c r="W20" s="170" t="n"/>
      <c r="X20" s="183" t="n"/>
    </row>
    <row r="21" ht="19.95" customFormat="1" customHeight="1" s="58">
      <c r="A21" s="72" t="inlineStr">
        <is>
          <t>三、审计说明：</t>
        </is>
      </c>
      <c r="B21" s="72" t="n"/>
      <c r="C21" s="73" t="n"/>
      <c r="D21" s="73" t="n"/>
      <c r="E21" s="73" t="n"/>
      <c r="F21" s="73" t="n"/>
      <c r="G21" s="73" t="n"/>
      <c r="H21" s="73" t="n"/>
      <c r="I21" s="73" t="n"/>
      <c r="J21" s="73" t="n"/>
      <c r="K21" s="73" t="n"/>
      <c r="L21" s="73" t="n"/>
      <c r="M21" s="73" t="n"/>
      <c r="N21" s="73" t="n"/>
      <c r="O21" s="73" t="n"/>
      <c r="P21" s="73" t="n"/>
      <c r="Q21" s="73" t="n"/>
      <c r="R21" s="73" t="n"/>
      <c r="S21" s="73" t="n"/>
      <c r="T21" s="73" t="n"/>
      <c r="U21" s="73" t="n"/>
      <c r="V21" s="73" t="n"/>
      <c r="W21" s="73" t="n"/>
      <c r="X21" s="73" t="n"/>
    </row>
    <row r="22" ht="19.95" customFormat="1" customHeight="1" s="58">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row>
    <row r="23" ht="19.95" customFormat="1" customHeight="1" s="58">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row>
    <row r="24" ht="19.95" customFormat="1" customHeight="1" s="58">
      <c r="A24" s="74" t="n"/>
      <c r="B24" s="74"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row>
    <row r="25" ht="19.95" customFormat="1" customHeight="1" s="58">
      <c r="A25" s="74" t="inlineStr">
        <is>
          <t>四、审计结论：</t>
        </is>
      </c>
      <c r="B25" s="74"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row>
    <row r="26" ht="19.95" customFormat="1" customHeight="1" s="58"/>
    <row r="27" ht="19.95" customFormat="1" customHeight="1" s="58"/>
    <row r="28" ht="18" customFormat="1" customHeight="1" s="317">
      <c r="A28" s="75" t="inlineStr">
        <is>
          <t>提示：</t>
        </is>
      </c>
    </row>
    <row r="29" ht="19.95" customFormat="1" customHeight="1" s="2">
      <c r="A29" s="76" t="inlineStr">
        <is>
          <t>1本科目核算企业取得政府作为企业所有者投入的具有专项或特定用途的款项。</t>
        </is>
      </c>
      <c r="B29" s="76" t="n"/>
    </row>
    <row r="30" ht="19.95" customFormat="1" customHeight="1" s="2">
      <c r="A30" s="77" t="inlineStr">
        <is>
          <t>2.专项应付款核算内容不包括与政府补助相关的项目。“政府补助”是指企业从政府无偿取得的货币性资产或非货币性资产，与收入的区别主要在于其“无偿性”；而收入用于计量与客户之间的合同形成的、与所有者投入资本无关的经济利益流入。
根据《企业会计准则应用指南——会计科目和主要账务处理》的规定，“专项应付款”科目核算的是企业取得政府作为企业所有者投入的具有专项或特定用途的款项，政府以投资者身份向企业投入资本，享有企业相应的所有者权益。实务中只有拨付文件中明确计入专项应付款的项目，或者符合准则相关规定要求应计入专项应付款的项目（例如符合要求的搬迁补偿等）才可以计入专项应付款。</t>
        </is>
      </c>
    </row>
    <row r="31" ht="19.95" customFormat="1" customHeight="1" s="2">
      <c r="A31" s="76" t="inlineStr">
        <is>
          <t>3应按专项应付款每一明细账户分别列示。</t>
        </is>
      </c>
      <c r="B31" s="76" t="n"/>
    </row>
    <row r="32" ht="19.95" customFormat="1" customHeight="1" s="2">
      <c r="A32" s="76" t="inlineStr">
        <is>
          <t>4.外币专项应付款应在“备注”栏中列明原币金额及折合汇率。</t>
        </is>
      </c>
      <c r="B32" s="76" t="n"/>
    </row>
    <row r="33" ht="19.95" customFormat="1" customHeight="1" s="2">
      <c r="A33" s="76" t="inlineStr">
        <is>
          <t>5.应说明专项应付款的来源、指定的专门用途、使用限制等相关内容。如：该专项应付款为财政部按照XX文规定拨付的X项目专用设备购置款。</t>
        </is>
      </c>
      <c r="B33" s="76" t="n"/>
      <c r="C33" s="76" t="n"/>
      <c r="D33" s="76" t="n"/>
      <c r="E33" s="76" t="n"/>
      <c r="F33" s="76" t="n"/>
    </row>
    <row r="34" ht="19.95" customFormat="1" customHeight="1" s="2">
      <c r="A34" s="76" t="inlineStr">
        <is>
          <t>6.企业因城镇整体规划、库区建设、棚户区改造、沉陷区治理等公共利益进行搬迁，收到政府从财政预算直接拨付的搬迁补偿款，在专项应付款中核算。</t>
        </is>
      </c>
      <c r="B34" s="76" t="n"/>
      <c r="C34" s="76" t="n"/>
      <c r="D34" s="76" t="n"/>
      <c r="E34" s="76" t="n"/>
      <c r="F34" s="76" t="n"/>
    </row>
    <row r="35" ht="19.95" customFormat="1" customHeight="1" s="2">
      <c r="A35" s="76" t="inlineStr">
        <is>
          <t>7.根据《财政部关于印发〈工业企业结构调整专项奖补资金管理办法〉的通知》，中央财政将安排工业企业结构调整专项奖补资金，用于支持地方政府和中央企业推动钢铁、煤炭等行业化解过剩产能。中央企业在收到预拨的专项奖补资金时，应当暂通过“专项应付款”科目核算，借记“银行存款”等科目，贷记“专项应付款”科目。</t>
        </is>
      </c>
      <c r="B35" s="76" t="n"/>
      <c r="C35" s="76" t="n"/>
      <c r="D35" s="76" t="n"/>
      <c r="E35" s="76" t="n"/>
      <c r="F35" s="76" t="n"/>
    </row>
    <row r="36" ht="18" customFormat="1" customHeight="1" s="60">
      <c r="A36" s="76" t="inlineStr">
        <is>
          <t>8.审计说明可以概述：（1）程序的测试情况、结果；（2）拟调整事项及其调整分录、未调整事项及其影响，审计范围受到限制情况及其影响。</t>
        </is>
      </c>
      <c r="B36" s="76" t="n"/>
      <c r="C36" s="76" t="n"/>
      <c r="D36" s="2" t="n"/>
      <c r="E36" s="2" t="n"/>
      <c r="F36" s="2" t="n"/>
      <c r="G36" s="2" t="n"/>
      <c r="H36" s="2" t="n"/>
      <c r="I36" s="2" t="n"/>
      <c r="J36" s="2" t="n"/>
      <c r="K36" s="2" t="n"/>
      <c r="L36" s="2" t="n"/>
      <c r="M36" s="2" t="n"/>
      <c r="N36" s="2" t="n"/>
      <c r="O36" s="2" t="n"/>
      <c r="P36" s="2" t="n"/>
      <c r="Q36" s="2" t="n"/>
      <c r="R36" s="2" t="n"/>
      <c r="S36" s="2" t="n"/>
      <c r="T36" s="2" t="n"/>
      <c r="U36" s="2" t="n"/>
      <c r="AA36" s="2" t="n"/>
    </row>
    <row r="37" ht="18" customFormat="1" customHeight="1" s="60">
      <c r="A37" s="76" t="inlineStr">
        <is>
          <t>9.审计结论可参考：A、未见异常。 B、除上述重大不符事项应当作为调整事项予以调整外，其余未见异常。  C、由于存在以下重大未调整事项（或审计范围受到限制无法获取充分、适当证据），不可确认。</t>
        </is>
      </c>
      <c r="B37" s="76" t="n"/>
      <c r="C37" s="76" t="n"/>
      <c r="E37" s="2" t="n"/>
      <c r="F37" s="2" t="n"/>
      <c r="G37" s="2" t="n"/>
      <c r="H37" s="2" t="n"/>
      <c r="I37" s="2" t="n"/>
      <c r="J37" s="2" t="n"/>
      <c r="K37" s="2" t="n"/>
      <c r="L37" s="2" t="n"/>
      <c r="M37" s="2" t="n"/>
      <c r="N37" s="2" t="n"/>
      <c r="O37" s="2" t="n"/>
      <c r="P37" s="2" t="n"/>
      <c r="Q37" s="2" t="n"/>
      <c r="R37" s="2" t="n"/>
      <c r="S37" s="2" t="n"/>
      <c r="T37" s="2" t="n"/>
      <c r="U37" s="2" t="n"/>
      <c r="AA37" s="2" t="n"/>
    </row>
    <row r="38" ht="19.95" customFormat="1" customHeight="1" s="58"/>
    <row r="39" ht="19.95" customFormat="1" customHeight="1" s="58"/>
    <row r="40" ht="19.95" customFormat="1" customHeight="1" s="58"/>
  </sheetData>
  <mergeCells count="16">
    <mergeCell ref="A2:L2"/>
    <mergeCell ref="A20:B20"/>
    <mergeCell ref="A8:A9"/>
    <mergeCell ref="U8:U9"/>
    <mergeCell ref="M1:V1"/>
    <mergeCell ref="A1:L1"/>
    <mergeCell ref="W8:W9"/>
    <mergeCell ref="V8:V9"/>
    <mergeCell ref="X8:X9"/>
    <mergeCell ref="P8:T8"/>
    <mergeCell ref="J8:L8"/>
    <mergeCell ref="B8:B9"/>
    <mergeCell ref="M8:O8"/>
    <mergeCell ref="M2:V2"/>
    <mergeCell ref="H8:I8"/>
    <mergeCell ref="C8:G8"/>
  </mergeCells>
  <hyperlinks>
    <hyperlink ref="L3" location="底稿目录!A1" display="=底稿目录!F8"/>
  </hyperlinks>
  <printOptions horizontalCentered="1"/>
  <pageMargins left="0.7086614173228351" right="0.7086614173228351" top="0.748031496062992" bottom="0.748031496062992" header="0.31496062992126" footer="0.31496062992126"/>
  <pageSetup orientation="landscape" paperSize="9" scale="80" fitToHeight="0" blackAndWhite="1"/>
  <headerFooter alignWithMargins="0">
    <oddHeader/>
    <oddFooter>&amp;C&amp;P/&amp;N</oddFooter>
    <evenHeader/>
    <evenFooter/>
    <firstHeader/>
    <firstFooter/>
  </headerFooter>
  <colBreaks count="1" manualBreakCount="1">
    <brk id="12" min="0" max="26" man="1"/>
  </colBreaks>
</worksheet>
</file>

<file path=xl/worksheets/sheet7.xml><?xml version="1.0" encoding="utf-8"?>
<worksheet xmlns="http://schemas.openxmlformats.org/spreadsheetml/2006/main">
  <sheetPr codeName="Sheet9">
    <outlinePr summaryBelow="1" summaryRight="1"/>
    <pageSetUpPr/>
  </sheetPr>
  <dimension ref="A1:K23"/>
  <sheetViews>
    <sheetView view="pageBreakPreview" zoomScaleNormal="100" workbookViewId="0">
      <selection activeCell="A1" sqref="A1:J1"/>
    </sheetView>
  </sheetViews>
  <sheetFormatPr baseColWidth="8" defaultColWidth="9" defaultRowHeight="19.95" customHeight="1"/>
  <cols>
    <col width="17.796875" customWidth="1" style="39" min="1" max="1"/>
    <col width="14.3984375" customWidth="1" style="39" min="2" max="3"/>
    <col width="9" customWidth="1" style="39" min="4" max="5"/>
    <col width="7.69921875" customWidth="1" style="39" min="6" max="6"/>
    <col width="9" customWidth="1" style="39" min="7" max="16384"/>
  </cols>
  <sheetData>
    <row r="1" ht="19.95" customHeight="1" s="252">
      <c r="A1" s="318" t="inlineStr">
        <is>
          <t>致同会计师事务所</t>
        </is>
      </c>
    </row>
    <row r="2" ht="19.95" customHeight="1" s="252">
      <c r="A2" s="319" t="inlineStr">
        <is>
          <t>专项应付款调整分录汇总表</t>
        </is>
      </c>
      <c r="K2" s="264" t="n"/>
    </row>
    <row r="3" ht="19.95" customFormat="1" customHeight="1" s="38">
      <c r="A3" s="2">
        <f>底稿目录!A2</f>
        <v/>
      </c>
      <c r="B3" s="320" t="n"/>
      <c r="C3" s="320" t="n"/>
      <c r="D3" s="320">
        <f>底稿目录!A4</f>
        <v/>
      </c>
      <c r="E3" s="320" t="n"/>
      <c r="F3" s="321" t="n"/>
      <c r="G3" s="320">
        <f>底稿目录!A5</f>
        <v/>
      </c>
      <c r="H3" s="320" t="n"/>
      <c r="I3" s="321" t="inlineStr">
        <is>
          <t>索引：</t>
        </is>
      </c>
      <c r="J3" s="266">
        <f>底稿目录!F9</f>
        <v/>
      </c>
    </row>
    <row r="4" ht="19.95" customFormat="1" customHeight="1" s="38">
      <c r="A4" s="2">
        <f>底稿目录!A3</f>
        <v/>
      </c>
      <c r="B4" s="320" t="n"/>
      <c r="C4" s="320" t="n"/>
      <c r="D4" s="320">
        <f>底稿目录!A6</f>
        <v/>
      </c>
      <c r="E4" s="320" t="n"/>
      <c r="F4" s="321" t="n"/>
      <c r="G4" s="320">
        <f>底稿目录!A7</f>
        <v/>
      </c>
      <c r="H4" s="320" t="n"/>
      <c r="I4" s="321" t="inlineStr">
        <is>
          <t>页次：</t>
        </is>
      </c>
    </row>
    <row r="5" ht="34.95" customFormat="1" customHeight="1" s="38">
      <c r="A5" s="42" t="inlineStr">
        <is>
          <t>调整事项说明</t>
        </is>
      </c>
      <c r="B5" s="43" t="inlineStr">
        <is>
          <t>类别（报表调整/账项调整/其他）</t>
        </is>
      </c>
      <c r="C5" s="44" t="inlineStr">
        <is>
          <t>报表项目</t>
        </is>
      </c>
      <c r="D5" s="322" t="inlineStr">
        <is>
          <t>科目名称</t>
        </is>
      </c>
      <c r="E5" s="322" t="inlineStr">
        <is>
          <t>附注项目</t>
        </is>
      </c>
      <c r="F5" s="323" t="inlineStr">
        <is>
          <t>……</t>
        </is>
      </c>
      <c r="G5" s="322" t="inlineStr">
        <is>
          <t>借方调整金额</t>
        </is>
      </c>
      <c r="H5" s="322" t="inlineStr">
        <is>
          <t>贷方调整金额</t>
        </is>
      </c>
      <c r="I5" s="322" t="inlineStr">
        <is>
          <t>索引</t>
        </is>
      </c>
      <c r="J5" s="322" t="inlineStr">
        <is>
          <t>备注</t>
        </is>
      </c>
    </row>
    <row r="6" ht="19.95" customFormat="1" customHeight="1" s="38">
      <c r="A6" s="47" t="n"/>
      <c r="B6" s="48" t="n"/>
      <c r="C6" s="48" t="n"/>
      <c r="D6" s="48" t="n"/>
      <c r="E6" s="48" t="n"/>
      <c r="F6" s="48" t="n"/>
      <c r="G6" s="324" t="n"/>
      <c r="H6" s="324" t="n"/>
      <c r="I6" s="48" t="n"/>
      <c r="J6" s="48" t="n"/>
    </row>
    <row r="7" ht="19.95" customFormat="1" customHeight="1" s="38">
      <c r="A7" s="47" t="n"/>
      <c r="B7" s="48" t="n"/>
      <c r="C7" s="48" t="n"/>
      <c r="D7" s="48" t="n"/>
      <c r="E7" s="48" t="n"/>
      <c r="F7" s="48" t="n"/>
      <c r="G7" s="324" t="n"/>
      <c r="H7" s="324" t="n"/>
      <c r="I7" s="48" t="n"/>
      <c r="J7" s="48" t="n"/>
    </row>
    <row r="8" ht="19.95" customFormat="1" customHeight="1" s="38">
      <c r="A8" s="50" t="n"/>
      <c r="B8" s="48" t="n"/>
      <c r="C8" s="51" t="n"/>
      <c r="D8" s="51" t="n"/>
      <c r="E8" s="51" t="n"/>
      <c r="F8" s="48" t="n"/>
      <c r="G8" s="324" t="n"/>
      <c r="H8" s="324" t="n"/>
      <c r="I8" s="48" t="n"/>
      <c r="J8" s="51" t="n"/>
    </row>
    <row r="9" ht="19.95" customFormat="1" customHeight="1" s="38">
      <c r="A9" s="50" t="n"/>
      <c r="B9" s="48" t="n"/>
      <c r="C9" s="48" t="n"/>
      <c r="D9" s="48" t="n"/>
      <c r="E9" s="48" t="n"/>
      <c r="F9" s="48" t="n"/>
      <c r="G9" s="324" t="n"/>
      <c r="H9" s="324" t="n"/>
      <c r="I9" s="48" t="n"/>
      <c r="J9" s="48" t="n"/>
    </row>
    <row r="10" ht="19.95" customFormat="1" customHeight="1" s="38">
      <c r="A10" s="50" t="n"/>
      <c r="B10" s="48" t="n"/>
      <c r="C10" s="48" t="n"/>
      <c r="D10" s="48" t="n"/>
      <c r="E10" s="48" t="n"/>
      <c r="F10" s="48" t="n"/>
      <c r="G10" s="324" t="n"/>
      <c r="H10" s="324" t="n"/>
      <c r="I10" s="48" t="n"/>
      <c r="J10" s="48" t="n"/>
    </row>
    <row r="11" ht="19.95" customFormat="1" customHeight="1" s="38">
      <c r="A11" s="52" t="n"/>
      <c r="B11" s="48" t="n"/>
      <c r="C11" s="48" t="n"/>
      <c r="D11" s="48" t="n"/>
      <c r="E11" s="48" t="n"/>
      <c r="F11" s="48" t="n"/>
      <c r="G11" s="324" t="n"/>
      <c r="H11" s="324" t="n"/>
      <c r="I11" s="48" t="n"/>
      <c r="J11" s="48" t="n"/>
    </row>
    <row r="12" ht="19.95" customFormat="1" customHeight="1" s="38">
      <c r="A12" s="50" t="n"/>
      <c r="B12" s="48" t="n"/>
      <c r="C12" s="48" t="n"/>
      <c r="D12" s="48" t="n"/>
      <c r="E12" s="48" t="n"/>
      <c r="F12" s="48" t="n"/>
      <c r="G12" s="324" t="n"/>
      <c r="H12" s="324" t="n"/>
      <c r="I12" s="48" t="n"/>
      <c r="J12" s="48" t="n"/>
    </row>
    <row r="13" ht="19.95" customFormat="1" customHeight="1" s="38">
      <c r="A13" s="50" t="n"/>
      <c r="B13" s="48" t="n"/>
      <c r="C13" s="48" t="n"/>
      <c r="D13" s="48" t="n"/>
      <c r="E13" s="48" t="n"/>
      <c r="F13" s="48" t="n"/>
      <c r="G13" s="324" t="n"/>
      <c r="H13" s="324" t="n"/>
      <c r="I13" s="48" t="n"/>
      <c r="J13" s="48" t="n"/>
    </row>
    <row r="14" ht="19.95" customFormat="1" customHeight="1" s="38">
      <c r="A14" s="50" t="n"/>
      <c r="B14" s="48" t="n"/>
      <c r="C14" s="48" t="n"/>
      <c r="D14" s="48" t="n"/>
      <c r="E14" s="48" t="n"/>
      <c r="F14" s="48" t="n"/>
      <c r="G14" s="324" t="n"/>
      <c r="H14" s="324" t="n"/>
      <c r="I14" s="48" t="n"/>
      <c r="J14" s="48" t="n"/>
    </row>
    <row r="15" ht="19.95" customFormat="1" customHeight="1" s="38">
      <c r="A15" s="50" t="n"/>
      <c r="B15" s="48" t="n"/>
      <c r="C15" s="48" t="n"/>
      <c r="D15" s="48" t="n"/>
      <c r="E15" s="48" t="n"/>
      <c r="F15" s="48" t="n"/>
      <c r="G15" s="324" t="n"/>
      <c r="H15" s="324" t="n"/>
      <c r="I15" s="48" t="n"/>
      <c r="J15" s="48" t="n"/>
    </row>
    <row r="16" ht="19.95" customFormat="1" customHeight="1" s="38">
      <c r="A16" s="50" t="n"/>
      <c r="B16" s="48" t="n"/>
      <c r="C16" s="48" t="n"/>
      <c r="D16" s="48" t="n"/>
      <c r="E16" s="48" t="n"/>
      <c r="F16" s="48" t="n"/>
      <c r="G16" s="324" t="n"/>
      <c r="H16" s="324" t="n"/>
      <c r="I16" s="48" t="n"/>
      <c r="J16" s="48" t="n"/>
    </row>
    <row r="17" ht="19.95" customFormat="1" customHeight="1" s="38">
      <c r="A17" s="50" t="n"/>
      <c r="B17" s="48" t="n"/>
      <c r="C17" s="48" t="n"/>
      <c r="D17" s="48" t="n"/>
      <c r="E17" s="48" t="n"/>
      <c r="F17" s="48" t="n"/>
      <c r="G17" s="324" t="n"/>
      <c r="H17" s="324" t="n"/>
      <c r="I17" s="48" t="n"/>
      <c r="J17" s="48" t="n"/>
    </row>
    <row r="18" ht="19.95" customFormat="1" customHeight="1" s="38">
      <c r="A18" s="50" t="n"/>
      <c r="B18" s="48" t="n"/>
      <c r="C18" s="48" t="n"/>
      <c r="D18" s="48" t="n"/>
      <c r="E18" s="48" t="n"/>
      <c r="F18" s="48" t="n"/>
      <c r="G18" s="324" t="n"/>
      <c r="H18" s="324" t="n"/>
      <c r="I18" s="48" t="n"/>
      <c r="J18" s="48" t="n"/>
    </row>
    <row r="19" ht="19.95" customFormat="1" customHeight="1" s="38">
      <c r="A19" s="50" t="n"/>
      <c r="B19" s="48" t="n"/>
      <c r="C19" s="48" t="n"/>
      <c r="D19" s="48" t="n"/>
      <c r="E19" s="48" t="n"/>
      <c r="F19" s="48" t="n"/>
      <c r="G19" s="324" t="n"/>
      <c r="H19" s="324" t="n"/>
      <c r="I19" s="48" t="n"/>
      <c r="J19" s="48" t="n"/>
    </row>
    <row r="20" ht="19.95" customFormat="1" customHeight="1" s="38">
      <c r="A20" s="50" t="n"/>
      <c r="B20" s="48" t="n"/>
      <c r="C20" s="48" t="n"/>
      <c r="D20" s="48" t="n"/>
      <c r="E20" s="48" t="n"/>
      <c r="F20" s="48" t="n"/>
      <c r="G20" s="324" t="n"/>
      <c r="H20" s="324" t="n"/>
      <c r="I20" s="48" t="n"/>
      <c r="J20" s="48" t="n"/>
    </row>
    <row r="21" ht="19.95" customFormat="1" customHeight="1" s="38">
      <c r="A21" s="325" t="n"/>
      <c r="B21" s="325" t="n"/>
      <c r="C21" s="325" t="n"/>
      <c r="D21" s="326" t="n"/>
      <c r="E21" s="326" t="n"/>
      <c r="F21" s="326" t="n"/>
      <c r="G21" s="327" t="n"/>
      <c r="H21" s="327" t="n"/>
      <c r="I21" s="326" t="n"/>
      <c r="J21" s="56" t="n"/>
    </row>
    <row r="22" ht="28.2" customFormat="1" customHeight="1" s="38">
      <c r="A22" s="328" t="inlineStr">
        <is>
          <t>注：本底稿适用于调整分录较多、较复杂的项目，且仅列示与本报表项目相关的审计调整。项目组可根据项目实际情况选择是否使用该底稿。</t>
        </is>
      </c>
      <c r="B22" s="0" t="n"/>
      <c r="C22" s="0" t="n"/>
      <c r="D22" s="0" t="n"/>
      <c r="E22" s="0" t="n"/>
      <c r="F22" s="0" t="n"/>
      <c r="G22" s="0" t="n"/>
      <c r="H22" s="0" t="n"/>
      <c r="I22" s="0" t="n"/>
      <c r="J22" s="0" t="n"/>
    </row>
    <row r="23" ht="30.6" customHeight="1" s="252">
      <c r="A23" s="328" t="n"/>
      <c r="B23" s="0" t="n"/>
      <c r="C23" s="0" t="n"/>
      <c r="D23" s="0" t="n"/>
      <c r="E23" s="0" t="n"/>
      <c r="F23" s="0" t="n"/>
      <c r="G23" s="0" t="n"/>
      <c r="H23" s="0" t="n"/>
      <c r="I23" s="0" t="n"/>
      <c r="J23" s="0" t="n"/>
    </row>
  </sheetData>
  <mergeCells count="4">
    <mergeCell ref="A22:J22"/>
    <mergeCell ref="A1:J1"/>
    <mergeCell ref="A23:J23"/>
    <mergeCell ref="A2:J2"/>
  </mergeCells>
  <dataValidations count="1">
    <dataValidation sqref="B6:B20" showDropDown="0" showInputMessage="1" showErrorMessage="1" allowBlank="1" type="list">
      <formula1>"账项调整,报表调整,其他"</formula1>
    </dataValidation>
  </dataValidations>
  <hyperlinks>
    <hyperlink ref="J3" location="底稿目录!A1" display="=底稿目录!F9"/>
  </hyperlinks>
  <pageMargins left="0.7086614173228351" right="0.7086614173228351" top="0.748031496062992" bottom="0.748031496062992" header="0.31496062992126" footer="0.31496062992126"/>
  <pageSetup orientation="portrait" paperSize="9" scale="75"/>
  <headerFooter>
    <oddHeader/>
    <oddFooter>&amp;C&amp;P/&amp;N</oddFooter>
    <evenHeader/>
    <evenFooter/>
    <firstHeader/>
    <firstFooter/>
  </headerFooter>
</worksheet>
</file>

<file path=xl/worksheets/sheet8.xml><?xml version="1.0" encoding="utf-8"?>
<worksheet xmlns="http://schemas.openxmlformats.org/spreadsheetml/2006/main">
  <sheetPr codeName="Sheet5">
    <outlinePr summaryBelow="1" summaryRight="1"/>
    <pageSetUpPr fitToPage="1"/>
  </sheetPr>
  <dimension ref="A1:T29"/>
  <sheetViews>
    <sheetView view="pageBreakPreview" zoomScaleNormal="100" workbookViewId="0">
      <selection activeCell="Q3" sqref="Q3"/>
    </sheetView>
  </sheetViews>
  <sheetFormatPr baseColWidth="8" defaultColWidth="9" defaultRowHeight="15.6"/>
  <cols>
    <col width="9" customWidth="1" style="4" min="1" max="1"/>
    <col width="11" customWidth="1" style="5" min="2" max="2"/>
    <col width="10.796875" customWidth="1" style="4" min="3" max="3"/>
    <col width="17" customWidth="1" style="4" min="4" max="4"/>
    <col width="13.69921875" customWidth="1" style="4" min="5" max="5"/>
    <col width="12.69921875" customWidth="1" style="4" min="6" max="6"/>
    <col width="11.59765625" customWidth="1" style="4" min="7" max="7"/>
    <col width="11" customWidth="1" style="4" min="8" max="8"/>
    <col width="23.3984375" customWidth="1" style="4" min="9" max="9"/>
    <col width="4.09765625" customWidth="1" style="4" min="10" max="14"/>
    <col width="11.8984375" customWidth="1" style="4" min="15" max="15"/>
    <col width="7.3984375" customWidth="1" style="4" min="16" max="16"/>
    <col width="9" customWidth="1" style="4" min="17" max="16384"/>
  </cols>
  <sheetData>
    <row r="1" ht="19.95" customFormat="1" customHeight="1" s="1">
      <c r="A1" s="239" t="inlineStr">
        <is>
          <t>致同会计师事务所</t>
        </is>
      </c>
      <c r="B1" s="0" t="n"/>
      <c r="C1" s="0" t="n"/>
      <c r="D1" s="0" t="n"/>
      <c r="E1" s="0" t="n"/>
      <c r="F1" s="0" t="n"/>
      <c r="G1" s="0" t="n"/>
      <c r="H1" s="0" t="n"/>
      <c r="I1" s="0" t="n"/>
      <c r="J1" s="0" t="n"/>
      <c r="K1" s="0" t="n"/>
      <c r="L1" s="0" t="n"/>
      <c r="M1" s="0" t="n"/>
      <c r="N1" s="0" t="n"/>
      <c r="O1" s="0" t="n"/>
      <c r="P1" s="0" t="n"/>
      <c r="Q1" s="0" t="n"/>
    </row>
    <row r="2" ht="19.95" customFormat="1" customHeight="1" s="1">
      <c r="A2" s="240" t="inlineStr">
        <is>
          <t>专项应付款检查表</t>
        </is>
      </c>
      <c r="B2" s="0" t="n"/>
      <c r="C2" s="0" t="n"/>
      <c r="D2" s="0" t="n"/>
      <c r="E2" s="0" t="n"/>
      <c r="F2" s="0" t="n"/>
      <c r="G2" s="0" t="n"/>
      <c r="H2" s="0" t="n"/>
      <c r="I2" s="0" t="n"/>
      <c r="J2" s="0" t="n"/>
      <c r="K2" s="0" t="n"/>
      <c r="L2" s="0" t="n"/>
      <c r="M2" s="0" t="n"/>
      <c r="N2" s="0" t="n"/>
      <c r="O2" s="0" t="n"/>
      <c r="P2" s="0" t="n"/>
      <c r="Q2" s="0" t="n"/>
      <c r="R2" s="264" t="n"/>
    </row>
    <row r="3" ht="19.95" customFormat="1" customHeight="1" s="2">
      <c r="A3" s="2">
        <f>底稿目录!A2</f>
        <v/>
      </c>
      <c r="B3" s="6" t="n"/>
      <c r="C3" s="7" t="n"/>
      <c r="F3" s="7">
        <f>底稿目录!A4</f>
        <v/>
      </c>
      <c r="K3" s="6">
        <f>底稿目录!A5</f>
        <v/>
      </c>
      <c r="L3" s="28" t="n"/>
      <c r="M3" s="28" t="n"/>
      <c r="P3" s="2" t="inlineStr">
        <is>
          <t>索引号：</t>
        </is>
      </c>
      <c r="Q3" s="266">
        <f>底稿目录!F10</f>
        <v/>
      </c>
    </row>
    <row r="4" ht="19.95" customFormat="1" customHeight="1" s="2">
      <c r="A4" s="2">
        <f>底稿目录!A3</f>
        <v/>
      </c>
      <c r="B4" s="6" t="n"/>
      <c r="C4" s="7" t="n"/>
      <c r="F4" s="7">
        <f>底稿目录!A6</f>
        <v/>
      </c>
      <c r="K4" s="6">
        <f>底稿目录!A7</f>
        <v/>
      </c>
      <c r="L4" s="28" t="n"/>
      <c r="M4" s="28" t="n"/>
      <c r="P4" s="2" t="inlineStr">
        <is>
          <t>页次：</t>
        </is>
      </c>
    </row>
    <row r="5" ht="19.95" customFormat="1" customHeight="1" s="3">
      <c r="A5" s="309" t="inlineStr">
        <is>
          <t>一、审计目标:</t>
        </is>
      </c>
      <c r="B5" s="9" t="n"/>
      <c r="C5" s="241" t="n"/>
    </row>
    <row r="6" ht="19.95" customFormat="1" customHeight="1" s="3">
      <c r="A6" s="11" t="inlineStr">
        <is>
          <t>1.资产负债表中记录的专项应付款是存在的，且已经记录在恰当的账户中；     2.记录的专项应付款由被审计单位拥有或控制；</t>
        </is>
      </c>
      <c r="B6" s="329" t="n"/>
      <c r="C6" s="241" t="n"/>
      <c r="D6" s="13" t="n"/>
      <c r="E6" s="13" t="n"/>
      <c r="F6" s="13" t="n"/>
      <c r="G6" s="13" t="n"/>
      <c r="H6" s="13" t="n"/>
      <c r="I6" s="13" t="n"/>
      <c r="J6" s="13" t="n"/>
      <c r="K6" s="13" t="n"/>
      <c r="L6" s="13" t="n"/>
      <c r="M6" s="13" t="n"/>
      <c r="N6" s="13" t="n"/>
      <c r="O6" s="29" t="n"/>
      <c r="P6" s="29" t="n"/>
      <c r="Q6" s="29" t="n"/>
      <c r="R6" s="29" t="n"/>
      <c r="S6" s="29" t="n"/>
      <c r="T6" s="29" t="n"/>
    </row>
    <row r="7" ht="19.95" customFormat="1" customHeight="1" s="3">
      <c r="A7" s="11" t="inlineStr">
        <is>
          <t xml:space="preserve">3.专项应付款以恰当的金额包括在财务报表中，与之相关的计价或分摊调整已恰当记录，相关披露已得到恰当计量和描述 </t>
        </is>
      </c>
      <c r="B7" s="329" t="n"/>
      <c r="C7" s="241" t="n"/>
      <c r="D7" s="13" t="n"/>
      <c r="E7" s="13" t="n"/>
      <c r="F7" s="13" t="n"/>
      <c r="G7" s="13" t="n"/>
      <c r="H7" s="13" t="n"/>
      <c r="I7" s="13" t="n"/>
      <c r="J7" s="13" t="n"/>
      <c r="K7" s="13" t="n"/>
      <c r="L7" s="13" t="n"/>
      <c r="M7" s="13" t="n"/>
      <c r="N7" s="13" t="n"/>
      <c r="O7" s="29" t="n"/>
      <c r="P7" s="29" t="n"/>
      <c r="Q7" s="29" t="n"/>
      <c r="R7" s="29" t="n"/>
      <c r="S7" s="29" t="n"/>
      <c r="T7" s="29" t="n"/>
    </row>
    <row r="8" ht="19.95" customFormat="1" customHeight="1" s="3">
      <c r="A8" s="14" t="inlineStr">
        <is>
          <t>二、测试：</t>
        </is>
      </c>
      <c r="B8" s="15" t="n"/>
      <c r="C8" s="16" t="inlineStr">
        <is>
          <t>测试原因：大额（）关联方（）大额交易频繁（）异常（）其他（）</t>
        </is>
      </c>
      <c r="D8" s="330" t="n"/>
      <c r="E8" s="330" t="n"/>
      <c r="F8" s="330" t="n"/>
      <c r="G8" s="330" t="n"/>
      <c r="H8" s="330" t="n"/>
      <c r="I8" s="330" t="n"/>
      <c r="J8" s="330" t="n"/>
      <c r="K8" s="330" t="n"/>
      <c r="L8" s="330" t="n"/>
      <c r="M8" s="330" t="n"/>
    </row>
    <row r="9" ht="19.95" customFormat="1" customHeight="1" s="3">
      <c r="A9" s="18" t="inlineStr">
        <is>
          <t>测试内容说明：1.原始凭证是否齐全； 2.记账凭证与原始凭证是否相符；3.账务处理是否正确；4.是否记录于恰当的会计期间；5.……</t>
        </is>
      </c>
      <c r="B9" s="15" t="n"/>
      <c r="C9" s="330" t="n"/>
      <c r="D9" s="330" t="n"/>
      <c r="E9" s="330" t="n"/>
      <c r="F9" s="330" t="n"/>
      <c r="G9" s="330" t="n"/>
      <c r="H9" s="330" t="n"/>
      <c r="I9" s="330" t="n"/>
      <c r="J9" s="330" t="n"/>
      <c r="K9" s="330" t="n"/>
      <c r="L9" s="330" t="n"/>
      <c r="M9" s="330" t="n"/>
    </row>
    <row r="10" ht="19.95" customFormat="1" customHeight="1" s="3">
      <c r="A10" s="331" t="inlineStr">
        <is>
          <t>项目</t>
        </is>
      </c>
      <c r="B10" s="242" t="inlineStr">
        <is>
          <t>记账凭证</t>
        </is>
      </c>
      <c r="C10" s="273" t="n"/>
      <c r="D10" s="273" t="n"/>
      <c r="E10" s="273" t="n"/>
      <c r="F10" s="273" t="n"/>
      <c r="G10" s="273" t="n"/>
      <c r="H10" s="274" t="n"/>
      <c r="I10" s="332" t="inlineStr">
        <is>
          <t>支持性文件</t>
        </is>
      </c>
      <c r="J10" s="243" t="inlineStr">
        <is>
          <t>核对内容</t>
        </is>
      </c>
      <c r="K10" s="273" t="n"/>
      <c r="L10" s="273" t="n"/>
      <c r="M10" s="273" t="n"/>
      <c r="N10" s="273" t="n"/>
      <c r="O10" s="248" t="inlineStr">
        <is>
          <t>索引号</t>
        </is>
      </c>
      <c r="P10" s="248" t="inlineStr">
        <is>
          <t>是否异常</t>
        </is>
      </c>
      <c r="Q10" s="333" t="inlineStr">
        <is>
          <t>备注说明</t>
        </is>
      </c>
    </row>
    <row r="11" ht="19.95" customFormat="1" customHeight="1" s="3">
      <c r="A11" s="334" t="n"/>
      <c r="B11" s="242" t="inlineStr">
        <is>
          <t>日期</t>
        </is>
      </c>
      <c r="C11" s="242" t="inlineStr">
        <is>
          <t>凭证编号</t>
        </is>
      </c>
      <c r="D11" s="242" t="inlineStr">
        <is>
          <t>业务内容</t>
        </is>
      </c>
      <c r="E11" s="242" t="inlineStr">
        <is>
          <t>对方科目</t>
        </is>
      </c>
      <c r="F11" s="242" t="inlineStr">
        <is>
          <t>对方明细科目</t>
        </is>
      </c>
      <c r="G11" s="20" t="inlineStr">
        <is>
          <t>借方金额</t>
        </is>
      </c>
      <c r="H11" s="20" t="inlineStr">
        <is>
          <t>贷方金额</t>
        </is>
      </c>
      <c r="I11" s="283" t="n"/>
      <c r="J11" s="177" t="n">
        <v>1</v>
      </c>
      <c r="K11" s="177" t="n">
        <v>2</v>
      </c>
      <c r="L11" s="177" t="n">
        <v>3</v>
      </c>
      <c r="M11" s="177" t="n">
        <v>4</v>
      </c>
      <c r="N11" s="177" t="n">
        <v>5</v>
      </c>
      <c r="O11" s="334" t="n"/>
      <c r="P11" s="334" t="n"/>
      <c r="Q11" s="283" t="n"/>
    </row>
    <row r="12" ht="19.95" customFormat="1" customHeight="1" s="3">
      <c r="A12" s="21" t="n"/>
      <c r="B12" s="22" t="n"/>
      <c r="C12" s="21" t="n"/>
      <c r="D12" s="21" t="n"/>
      <c r="E12" s="21" t="n"/>
      <c r="F12" s="21" t="n"/>
      <c r="G12" s="335" t="n"/>
      <c r="H12" s="336" t="n"/>
      <c r="I12" s="337" t="n"/>
      <c r="J12" s="84" t="n"/>
      <c r="K12" s="84" t="n"/>
      <c r="L12" s="84" t="n"/>
      <c r="M12" s="84" t="n"/>
      <c r="N12" s="84" t="n"/>
      <c r="O12" s="21" t="n"/>
      <c r="P12" s="21" t="n"/>
      <c r="Q12" s="37" t="n"/>
    </row>
    <row r="13" ht="19.95" customFormat="1" customHeight="1" s="3">
      <c r="A13" s="21" t="n"/>
      <c r="B13" s="22" t="n"/>
      <c r="C13" s="21" t="n"/>
      <c r="D13" s="21" t="n"/>
      <c r="E13" s="21" t="n"/>
      <c r="F13" s="21" t="n"/>
      <c r="G13" s="335" t="n"/>
      <c r="H13" s="336" t="n"/>
      <c r="I13" s="337" t="n"/>
      <c r="J13" s="84" t="n"/>
      <c r="K13" s="84" t="n"/>
      <c r="L13" s="84" t="n"/>
      <c r="M13" s="84" t="n"/>
      <c r="N13" s="84" t="n"/>
      <c r="O13" s="21" t="n"/>
      <c r="P13" s="21" t="n"/>
      <c r="Q13" s="37" t="n"/>
    </row>
    <row r="14" ht="19.95" customFormat="1" customHeight="1" s="3">
      <c r="A14" s="21" t="n"/>
      <c r="B14" s="22" t="n"/>
      <c r="C14" s="21" t="n"/>
      <c r="D14" s="21" t="n"/>
      <c r="E14" s="21" t="n"/>
      <c r="F14" s="21" t="n"/>
      <c r="G14" s="335" t="n"/>
      <c r="H14" s="336" t="n"/>
      <c r="I14" s="337" t="n"/>
      <c r="J14" s="84" t="n"/>
      <c r="K14" s="84" t="n"/>
      <c r="L14" s="84" t="n"/>
      <c r="M14" s="84" t="n"/>
      <c r="N14" s="84" t="n"/>
      <c r="O14" s="21" t="n"/>
      <c r="P14" s="21" t="n"/>
      <c r="Q14" s="37" t="n"/>
    </row>
    <row r="15" ht="19.95" customFormat="1" customHeight="1" s="3">
      <c r="A15" s="21" t="n"/>
      <c r="B15" s="22" t="n"/>
      <c r="C15" s="21" t="n"/>
      <c r="D15" s="21" t="n"/>
      <c r="E15" s="21" t="n"/>
      <c r="F15" s="21" t="n"/>
      <c r="G15" s="335" t="n"/>
      <c r="H15" s="336" t="n"/>
      <c r="I15" s="337" t="n"/>
      <c r="J15" s="84" t="n"/>
      <c r="K15" s="84" t="n"/>
      <c r="L15" s="84" t="n"/>
      <c r="M15" s="84" t="n"/>
      <c r="N15" s="84" t="n"/>
      <c r="O15" s="21" t="n"/>
      <c r="P15" s="21" t="n"/>
      <c r="Q15" s="37" t="n"/>
    </row>
    <row r="16" ht="19.95" customFormat="1" customHeight="1" s="3">
      <c r="A16" s="21" t="n"/>
      <c r="B16" s="22" t="n"/>
      <c r="C16" s="21" t="n"/>
      <c r="D16" s="21" t="n"/>
      <c r="E16" s="21" t="n"/>
      <c r="F16" s="21" t="n"/>
      <c r="G16" s="335" t="n"/>
      <c r="H16" s="336" t="n"/>
      <c r="I16" s="337" t="n"/>
      <c r="J16" s="84" t="n"/>
      <c r="K16" s="84" t="n"/>
      <c r="L16" s="84" t="n"/>
      <c r="M16" s="84" t="n"/>
      <c r="N16" s="84" t="n"/>
      <c r="O16" s="21" t="n"/>
      <c r="P16" s="21" t="n"/>
      <c r="Q16" s="37" t="n"/>
    </row>
    <row r="17" ht="19.95" customFormat="1" customHeight="1" s="3">
      <c r="A17" s="21" t="n"/>
      <c r="B17" s="22" t="n"/>
      <c r="C17" s="21" t="n"/>
      <c r="D17" s="21" t="n"/>
      <c r="G17" s="335" t="n"/>
      <c r="H17" s="336" t="n"/>
      <c r="I17" s="337" t="n"/>
      <c r="J17" s="84" t="n"/>
      <c r="K17" s="84" t="n"/>
      <c r="L17" s="84" t="n"/>
      <c r="M17" s="84" t="n"/>
      <c r="N17" s="84" t="n"/>
      <c r="O17" s="21" t="n"/>
      <c r="P17" s="21" t="n"/>
      <c r="Q17" s="37" t="n"/>
    </row>
    <row r="18" ht="19.95" customFormat="1" customHeight="1" s="3">
      <c r="A18" s="21" t="n"/>
      <c r="B18" s="22" t="n"/>
      <c r="C18" s="21" t="n"/>
      <c r="D18" s="21" t="n"/>
      <c r="E18" s="21" t="n"/>
      <c r="F18" s="21" t="n"/>
      <c r="G18" s="335" t="n"/>
      <c r="H18" s="336" t="n"/>
      <c r="I18" s="337" t="n"/>
      <c r="J18" s="84" t="n"/>
      <c r="K18" s="84" t="n"/>
      <c r="L18" s="84" t="n"/>
      <c r="M18" s="84" t="n"/>
      <c r="N18" s="84" t="n"/>
      <c r="O18" s="21" t="n"/>
      <c r="P18" s="21" t="n"/>
      <c r="Q18" s="37" t="n"/>
    </row>
    <row r="19" ht="19.95" customFormat="1" customHeight="1" s="185">
      <c r="A19" s="237" t="inlineStr">
        <is>
          <t>合计</t>
        </is>
      </c>
      <c r="B19" s="338" t="n"/>
      <c r="C19" s="338" t="n"/>
      <c r="D19" s="339" t="n"/>
      <c r="E19" s="180" t="n"/>
      <c r="F19" s="180" t="n"/>
      <c r="G19" s="340">
        <f>SUM(G12:G18)</f>
        <v/>
      </c>
      <c r="H19" s="340">
        <f>SUM(H12:H18)</f>
        <v/>
      </c>
      <c r="I19" s="341" t="n"/>
      <c r="J19" s="183" t="n"/>
      <c r="K19" s="183" t="n"/>
      <c r="L19" s="183" t="n"/>
      <c r="M19" s="183" t="n"/>
      <c r="N19" s="183" t="n"/>
      <c r="O19" s="180" t="n"/>
      <c r="P19" s="180" t="n"/>
      <c r="Q19" s="238" t="n"/>
    </row>
    <row r="20" ht="19.95" customFormat="1" customHeight="1" s="185">
      <c r="A20" s="237" t="inlineStr">
        <is>
          <t>本期发生额</t>
        </is>
      </c>
      <c r="B20" s="338" t="n"/>
      <c r="C20" s="338" t="n"/>
      <c r="D20" s="339" t="n"/>
      <c r="E20" s="180" t="n"/>
      <c r="F20" s="180" t="n"/>
      <c r="G20" s="340">
        <f>'明细表L6-2'!R20+'明细表L6-2'!S20</f>
        <v/>
      </c>
      <c r="H20" s="342">
        <f>'明细表L6-2'!Q20</f>
        <v/>
      </c>
      <c r="I20" s="341" t="n"/>
      <c r="J20" s="183" t="n"/>
      <c r="K20" s="183" t="n"/>
      <c r="L20" s="183" t="n"/>
      <c r="M20" s="183" t="n"/>
      <c r="N20" s="183" t="n"/>
      <c r="O20" s="180" t="n"/>
      <c r="P20" s="180" t="n"/>
      <c r="Q20" s="238" t="n"/>
    </row>
    <row r="21" ht="19.95" customFormat="1" customHeight="1" s="185">
      <c r="A21" s="237" t="inlineStr">
        <is>
          <t>检查比例</t>
        </is>
      </c>
      <c r="B21" s="338" t="n"/>
      <c r="C21" s="338" t="n"/>
      <c r="D21" s="339" t="n"/>
      <c r="E21" s="180" t="n"/>
      <c r="F21" s="180" t="n"/>
      <c r="G21" s="187">
        <f>G19/G20</f>
        <v/>
      </c>
      <c r="H21" s="187">
        <f>H19/H20</f>
        <v/>
      </c>
      <c r="I21" s="341" t="n"/>
      <c r="J21" s="183" t="n"/>
      <c r="K21" s="183" t="n"/>
      <c r="L21" s="183" t="n"/>
      <c r="M21" s="183" t="n"/>
      <c r="N21" s="183" t="n"/>
      <c r="O21" s="180" t="n"/>
      <c r="P21" s="180" t="n"/>
      <c r="Q21" s="238" t="n"/>
    </row>
    <row r="22" ht="19.95" customFormat="1" customHeight="1" s="3">
      <c r="A22" s="23" t="inlineStr">
        <is>
          <t>提示：</t>
        </is>
      </c>
      <c r="B22" s="24" t="inlineStr">
        <is>
          <t>1、检查专项拨款是否按既定用途使用。</t>
        </is>
      </c>
      <c r="C22" s="25" t="n"/>
      <c r="D22" s="25" t="n"/>
      <c r="E22" s="25" t="n"/>
      <c r="F22" s="24" t="inlineStr">
        <is>
          <t>2、未形成相应资产的专项应付款项是否经批准程序予以核销。</t>
        </is>
      </c>
      <c r="G22" s="25" t="n"/>
      <c r="H22" s="25" t="n"/>
      <c r="I22" s="32" t="n"/>
      <c r="J22" s="32" t="n"/>
      <c r="K22" s="25" t="n"/>
      <c r="L22" s="33" t="n"/>
      <c r="M22" s="33" t="n"/>
      <c r="N22" s="33" t="n"/>
      <c r="O22" s="34" t="n"/>
      <c r="P22" s="35" t="n"/>
    </row>
    <row r="23" ht="19.95" customFormat="1" customHeight="1" s="3">
      <c r="A23" s="26" t="inlineStr">
        <is>
          <t>三、审计说明：</t>
        </is>
      </c>
      <c r="B23" s="27" t="n"/>
      <c r="C23" s="25" t="n"/>
      <c r="D23" s="25" t="n"/>
      <c r="E23" s="25" t="n"/>
      <c r="F23" s="25" t="n"/>
      <c r="G23" s="25" t="n"/>
      <c r="H23" s="25" t="n"/>
      <c r="I23" s="32" t="n"/>
      <c r="J23" s="32" t="n"/>
      <c r="K23" s="25" t="n"/>
      <c r="L23" s="33" t="n"/>
      <c r="M23" s="33" t="n"/>
      <c r="N23" s="33" t="n"/>
      <c r="O23" s="25" t="n"/>
    </row>
    <row r="24" ht="19.95" customFormat="1" customHeight="1" s="3">
      <c r="A24" s="23" t="n"/>
      <c r="B24" s="27" t="n"/>
      <c r="C24" s="25" t="n"/>
      <c r="D24" s="25" t="n"/>
      <c r="E24" s="25" t="n"/>
      <c r="F24" s="25" t="n"/>
      <c r="G24" s="25" t="n"/>
      <c r="H24" s="25" t="n"/>
      <c r="I24" s="32" t="n"/>
      <c r="J24" s="32" t="n"/>
      <c r="K24" s="25" t="n"/>
      <c r="L24" s="33" t="n"/>
      <c r="M24" s="33" t="n"/>
      <c r="N24" s="33" t="n"/>
      <c r="O24" s="25" t="n"/>
    </row>
    <row r="25" ht="19.95" customFormat="1" customHeight="1" s="3">
      <c r="A25" s="26" t="inlineStr">
        <is>
          <t>四、审计结论：</t>
        </is>
      </c>
      <c r="B25" s="27" t="n"/>
      <c r="C25" s="25" t="n"/>
      <c r="D25" s="25" t="n"/>
      <c r="E25" s="25" t="n"/>
      <c r="F25" s="25" t="n"/>
      <c r="G25" s="25" t="n"/>
      <c r="H25" s="25" t="n"/>
      <c r="I25" s="32" t="n"/>
      <c r="J25" s="32" t="n"/>
      <c r="K25" s="25" t="n"/>
      <c r="L25" s="33" t="n"/>
      <c r="M25" s="33" t="n"/>
      <c r="N25" s="33" t="n"/>
      <c r="O25" s="25" t="n"/>
    </row>
    <row r="26" ht="20.1" customFormat="1" customHeight="1" s="3">
      <c r="B26" s="27" t="n"/>
      <c r="C26" s="25" t="n"/>
      <c r="D26" s="25" t="n"/>
      <c r="E26" s="25" t="n"/>
      <c r="F26" s="25" t="n"/>
      <c r="G26" s="25" t="n"/>
      <c r="H26" s="25" t="n"/>
      <c r="I26" s="32" t="n"/>
      <c r="J26" s="32" t="n"/>
      <c r="K26" s="25" t="n"/>
      <c r="L26" s="33" t="n"/>
      <c r="M26" s="33" t="n"/>
      <c r="N26" s="33" t="n"/>
      <c r="O26" s="25" t="n"/>
    </row>
    <row r="27" ht="20.1" customFormat="1" customHeight="1" s="3">
      <c r="A27" s="23" t="n"/>
      <c r="B27" s="27" t="n"/>
      <c r="C27" s="25" t="n"/>
      <c r="D27" s="25" t="n"/>
      <c r="E27" s="25" t="n"/>
      <c r="F27" s="25" t="n"/>
      <c r="G27" s="25" t="n"/>
      <c r="H27" s="25" t="n"/>
      <c r="I27" s="32" t="n"/>
      <c r="J27" s="32" t="n"/>
      <c r="K27" s="25" t="n"/>
      <c r="L27" s="33" t="n"/>
      <c r="M27" s="33" t="n"/>
      <c r="N27" s="33" t="n"/>
      <c r="O27" s="25" t="n"/>
    </row>
    <row r="28" ht="20.1" customFormat="1" customHeight="1" s="3">
      <c r="A28" s="23" t="n"/>
      <c r="B28" s="27" t="n"/>
      <c r="C28" s="25" t="n"/>
      <c r="D28" s="25" t="n"/>
      <c r="E28" s="25" t="n"/>
      <c r="F28" s="25" t="n"/>
      <c r="G28" s="25" t="n"/>
      <c r="H28" s="25" t="n"/>
      <c r="I28" s="32" t="n"/>
      <c r="J28" s="32" t="n"/>
      <c r="K28" s="25" t="n"/>
      <c r="L28" s="33" t="n"/>
      <c r="M28" s="33" t="n"/>
      <c r="N28" s="33" t="n"/>
      <c r="O28" s="25" t="n"/>
    </row>
    <row r="29" ht="20.1" customFormat="1" customHeight="1" s="3">
      <c r="A29" s="23" t="n"/>
      <c r="B29" s="27" t="n"/>
      <c r="C29" s="25" t="n"/>
      <c r="D29" s="25" t="n"/>
      <c r="E29" s="25" t="n"/>
      <c r="F29" s="25" t="n"/>
      <c r="G29" s="25" t="n"/>
      <c r="H29" s="25" t="n"/>
      <c r="I29" s="32" t="n"/>
      <c r="J29" s="32" t="n"/>
      <c r="K29" s="25" t="n"/>
      <c r="L29" s="33" t="n"/>
      <c r="M29" s="33" t="n"/>
      <c r="N29" s="33" t="n"/>
      <c r="O29" s="25" t="n"/>
    </row>
  </sheetData>
  <mergeCells count="13">
    <mergeCell ref="P10:P11"/>
    <mergeCell ref="Q10:Q11"/>
    <mergeCell ref="O10:O11"/>
    <mergeCell ref="A20:D20"/>
    <mergeCell ref="A21:D21"/>
    <mergeCell ref="C5:Q5"/>
    <mergeCell ref="A2:Q2"/>
    <mergeCell ref="J10:N10"/>
    <mergeCell ref="A19:D19"/>
    <mergeCell ref="B10:H10"/>
    <mergeCell ref="A10:A11"/>
    <mergeCell ref="A1:Q1"/>
    <mergeCell ref="I10:I11"/>
  </mergeCells>
  <dataValidations count="1">
    <dataValidation sqref="J12:N21" showDropDown="0" showInputMessage="1" showErrorMessage="1" allowBlank="1" type="list">
      <formula1>"√,X"</formula1>
    </dataValidation>
  </dataValidations>
  <hyperlinks>
    <hyperlink ref="Q3" location="底稿目录!A1" display="=底稿目录!F10"/>
  </hyperlinks>
  <printOptions horizontalCentered="1"/>
  <pageMargins left="0.7086614173228351" right="0.7086614173228351" top="0.748031496062992" bottom="0.748031496062992" header="0.31496062992126" footer="0.31496062992126"/>
  <pageSetup orientation="landscape" paperSize="9" scale="72" fitToHeight="0" blackAndWhite="1"/>
  <headerFooter alignWithMargins="0">
    <oddHeader/>
    <oddFooter>&amp;C&amp;P/&amp;N</oddFooter>
    <evenHeader/>
    <evenFooter/>
    <firstHeader/>
    <firstFooter/>
  </headerFooter>
</worksheet>
</file>

<file path=xl/worksheets/sheet9.xml><?xml version="1.0" encoding="utf-8"?>
<worksheet xmlns="http://schemas.openxmlformats.org/spreadsheetml/2006/main">
  <sheetPr codeName="Sheet10">
    <outlinePr summaryBelow="1" summaryRight="1"/>
    <pageSetUpPr/>
  </sheetPr>
  <dimension ref="A1:B8"/>
  <sheetViews>
    <sheetView workbookViewId="0">
      <selection activeCell="A1" sqref="A1"/>
    </sheetView>
  </sheetViews>
  <sheetFormatPr baseColWidth="8" defaultColWidth="8.796875" defaultRowHeight="15.6"/>
  <sheetData>
    <row r="1">
      <c r="A1" s="0" t="inlineStr">
        <is>
          <t>C1</t>
        </is>
      </c>
      <c r="B1" s="0" t="inlineStr">
        <is>
          <t>Custom 1</t>
        </is>
      </c>
    </row>
    <row r="2">
      <c r="A2" s="0" t="inlineStr">
        <is>
          <t>C2</t>
        </is>
      </c>
      <c r="B2" s="0" t="inlineStr">
        <is>
          <t>Custom 2</t>
        </is>
      </c>
    </row>
    <row r="3">
      <c r="A3" s="0" t="inlineStr">
        <is>
          <t>C3</t>
        </is>
      </c>
      <c r="B3" s="0" t="inlineStr">
        <is>
          <t>Custom 3</t>
        </is>
      </c>
    </row>
    <row r="4">
      <c r="A4" s="0" t="inlineStr">
        <is>
          <t>C4</t>
        </is>
      </c>
      <c r="B4" s="0" t="inlineStr">
        <is>
          <t>Custom 4</t>
        </is>
      </c>
    </row>
    <row r="5">
      <c r="A5" s="0" t="inlineStr">
        <is>
          <t>C5</t>
        </is>
      </c>
      <c r="B5" s="0" t="inlineStr">
        <is>
          <t>Custom 5</t>
        </is>
      </c>
    </row>
    <row r="6">
      <c r="A6" s="0" t="inlineStr">
        <is>
          <t>C6</t>
        </is>
      </c>
      <c r="B6" s="0" t="inlineStr">
        <is>
          <t>Custom 6</t>
        </is>
      </c>
    </row>
    <row r="7">
      <c r="A7" s="0" t="inlineStr">
        <is>
          <t>C7</t>
        </is>
      </c>
      <c r="B7" s="0" t="inlineStr">
        <is>
          <t>Custom 7</t>
        </is>
      </c>
    </row>
    <row r="8">
      <c r="A8" s="0" t="inlineStr">
        <is>
          <t>C8</t>
        </is>
      </c>
      <c r="B8" s="0" t="inlineStr">
        <is>
          <t>Custom 8</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Liufs</dc:creator>
  <dcterms:created xmlns:dcterms="http://purl.org/dc/terms/" xmlns:xsi="http://www.w3.org/2001/XMLSchema-instance" xsi:type="dcterms:W3CDTF">2007-05-20T08:51:00Z</dcterms:created>
  <dcterms:modified xmlns:dcterms="http://purl.org/dc/terms/" xmlns:xsi="http://www.w3.org/2001/XMLSchema-instance" xsi:type="dcterms:W3CDTF">2026-09-27T15:13:14Z</dcterms:modified>
  <cp:lastModifiedBy>何先琴</cp:lastModifiedBy>
  <cp:lastPrinted>2025-10-24T03:27:38Z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519E29B99ECF46178DFC7BC6F884AC57_12</vt:lpwstr>
  </property>
  <property name="KSOProductBuildVer" fmtid="{D5CDD505-2E9C-101B-9397-08002B2CF9AE}" pid="3">
    <vt:lpwstr xmlns:vt="http://schemas.openxmlformats.org/officeDocument/2006/docPropsVTypes">2052-12.1.0.22529</vt:lpwstr>
  </property>
</Properties>
</file>