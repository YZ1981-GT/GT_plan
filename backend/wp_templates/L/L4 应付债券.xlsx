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811"/>
  </bookViews>
  <sheets>
    <sheet name="底稿目录" sheetId="1" r:id="rId1"/>
    <sheet name="应付债券实质性程序表L4A " sheetId="37" r:id="rId2"/>
    <sheet name="审定表L4-1" sheetId="19" r:id="rId3"/>
    <sheet name="附注披露信息核对（上市公司）" sheetId="23" r:id="rId4"/>
    <sheet name="附注披露信息核对（国企）" sheetId="26" r:id="rId5"/>
    <sheet name="应付债券明细表L4-2" sheetId="30" r:id="rId6"/>
    <sheet name="划分为金融负债的其他金融工具明细表L4-3" sheetId="27" r:id="rId7"/>
    <sheet name="调整分录汇总L4-4" sheetId="36" r:id="rId8"/>
    <sheet name="权益与负债划分检查表L4-5" sheetId="32" r:id="rId9"/>
    <sheet name="应付债券初始计量L4-6" sheetId="49" r:id="rId10"/>
    <sheet name="应付债券后续计量(到期一次还本付息)L4-7" sheetId="52" r:id="rId11"/>
    <sheet name="应付债券后续计量(分期付息到期一次还本)L4-7" sheetId="50" r:id="rId12"/>
    <sheet name="应付债券账面核对(到期一次还本付息)L4-8" sheetId="54" r:id="rId13"/>
    <sheet name="应付债券账面核对(分期付息到期一次还本) L4-8" sheetId="53" r:id="rId14"/>
    <sheet name="应付债券检查表L4-9" sheetId="21" r:id="rId15"/>
    <sheet name="GT_Custom" sheetId="24" state="hidden" r:id="rId16"/>
  </sheets>
  <definedNames>
    <definedName name="_xlnm._FilterDatabase" localSheetId="1">'应付债券实质性程序表L4A '!$A$16:$I$27</definedName>
    <definedName name="bs" localSheetId="7">{#N/A,#N/A,FALSE,"BBPREP"}</definedName>
    <definedName name="bs" localSheetId="9">{#N/A,#N/A,FALSE,"BBPREP"}</definedName>
    <definedName name="bs_1" localSheetId="7">{#N/A,#N/A,FALSE,"BBPREP"}</definedName>
    <definedName name="bs_1" localSheetId="9">{#N/A,#N/A,FALSE,"BBPREP"}</definedName>
    <definedName name="OLE_LINK1" localSheetId="3">'附注披露信息核对（上市公司）'!$A$44</definedName>
    <definedName name="_xlnm.Print_Area" localSheetId="0">底稿目录!$A$1:$G$27</definedName>
    <definedName name="_xlnm.Print_Area" localSheetId="7">'调整分录汇总L4-4'!$A$1:$J$20</definedName>
    <definedName name="_xlnm.Print_Area" localSheetId="4">'附注披露信息核对（国企）'!$A$1:$J$61</definedName>
    <definedName name="_xlnm.Print_Area" localSheetId="3">'附注披露信息核对（上市公司）'!$A$1:$J$72</definedName>
    <definedName name="_xlnm.Print_Area" localSheetId="6">'划分为金融负债的其他金融工具明细表L4-3'!$A$1:$AM$23</definedName>
    <definedName name="_xlnm.Print_Area" localSheetId="8">'权益与负债划分检查表L4-5'!$A$1:$N$26</definedName>
    <definedName name="_xlnm.Print_Area" localSheetId="2">'审定表L4-1'!$A$1:$R$24</definedName>
    <definedName name="_xlnm.Print_Area" localSheetId="9">'应付债券初始计量L4-6'!$A$1:$G$48</definedName>
    <definedName name="_xlnm.Print_Area" localSheetId="10">'应付债券后续计量(到期一次还本付息)L4-7'!$A$1:$L$25</definedName>
    <definedName name="_xlnm.Print_Area" localSheetId="11">'应付债券后续计量(分期付息到期一次还本)L4-7'!$A$1:$L$24</definedName>
    <definedName name="_xlnm.Print_Area" localSheetId="14">'应付债券检查表L4-9'!$A$1:$P$30</definedName>
    <definedName name="_xlnm.Print_Area" localSheetId="5">'应付债券明细表L4-2'!$A$1:$CJ$29</definedName>
    <definedName name="_xlnm.Print_Area" localSheetId="1">'应付债券实质性程序表L4A '!$A$1:$I$27</definedName>
    <definedName name="_xlnm.Print_Area" localSheetId="12">'应付债券账面核对(到期一次还本付息)L4-8'!$A$1:$L$36</definedName>
    <definedName name="_xlnm.Print_Area" localSheetId="13">'应付债券账面核对(分期付息到期一次还本) L4-8'!$A$1:$L$36</definedName>
    <definedName name="_xlnm.Print_Titles" localSheetId="6">'划分为金融负债的其他金融工具明细表L4-3'!$A:$B,'划分为金融负债的其他金融工具明细表L4-3'!$10:$12</definedName>
    <definedName name="_xlnm.Print_Titles" localSheetId="5">'应付债券明细表L4-2'!$A:$B,'应付债券明细表L4-2'!$11:$13</definedName>
    <definedName name="_xlnm.Print_Titles" localSheetId="1">'应付债券实质性程序表L4A '!$15:$16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1" l="1"/>
  <c r="F23" i="21"/>
  <c r="BF3" i="30"/>
  <c r="G22" i="21" l="1"/>
  <c r="G24" i="21" s="1"/>
  <c r="F22" i="21"/>
  <c r="F24" i="21" s="1"/>
  <c r="H4" i="21"/>
  <c r="E4" i="21"/>
  <c r="A4" i="21"/>
  <c r="P3" i="21"/>
  <c r="H3" i="21"/>
  <c r="E3" i="21"/>
  <c r="A3" i="21"/>
  <c r="I33" i="53"/>
  <c r="J33" i="53" s="1"/>
  <c r="I32" i="53"/>
  <c r="J32" i="53" s="1"/>
  <c r="I31" i="53"/>
  <c r="J31" i="53" s="1"/>
  <c r="I27" i="53"/>
  <c r="I26" i="53"/>
  <c r="I25" i="53"/>
  <c r="B21" i="53"/>
  <c r="B20" i="53"/>
  <c r="J19" i="53"/>
  <c r="D19" i="53"/>
  <c r="B19" i="53"/>
  <c r="H13" i="53"/>
  <c r="D13" i="53"/>
  <c r="C13" i="53"/>
  <c r="G4" i="53"/>
  <c r="D4" i="53"/>
  <c r="A4" i="53"/>
  <c r="L3" i="53"/>
  <c r="G3" i="53"/>
  <c r="D3" i="53"/>
  <c r="A3" i="53"/>
  <c r="I33" i="54"/>
  <c r="J33" i="54" s="1"/>
  <c r="I32" i="54"/>
  <c r="J32" i="54" s="1"/>
  <c r="I31" i="54"/>
  <c r="J31" i="54" s="1"/>
  <c r="I27" i="54"/>
  <c r="I26" i="54"/>
  <c r="I25" i="54"/>
  <c r="B21" i="54"/>
  <c r="B20" i="54"/>
  <c r="J19" i="54"/>
  <c r="D19" i="54"/>
  <c r="B19" i="54"/>
  <c r="H13" i="54"/>
  <c r="D13" i="54"/>
  <c r="C13" i="54"/>
  <c r="H4" i="54"/>
  <c r="D4" i="54"/>
  <c r="A4" i="54"/>
  <c r="L3" i="54"/>
  <c r="H3" i="54"/>
  <c r="D3" i="54"/>
  <c r="A3" i="54"/>
  <c r="L13" i="50"/>
  <c r="K13" i="50"/>
  <c r="H13" i="50"/>
  <c r="G13" i="50"/>
  <c r="F13" i="50"/>
  <c r="I20" i="50" s="1"/>
  <c r="K20" i="50" s="1"/>
  <c r="E13" i="50"/>
  <c r="D13" i="50"/>
  <c r="C13" i="50"/>
  <c r="B13" i="50"/>
  <c r="D11" i="50"/>
  <c r="B11" i="50"/>
  <c r="H19" i="53" s="1"/>
  <c r="AC9" i="50"/>
  <c r="AD9" i="50" s="1"/>
  <c r="AF9" i="50" s="1"/>
  <c r="AC5" i="50"/>
  <c r="AD5" i="50" s="1"/>
  <c r="AF5" i="50" s="1"/>
  <c r="AC4" i="50"/>
  <c r="AD4" i="50" s="1"/>
  <c r="AF4" i="50" s="1"/>
  <c r="H4" i="50"/>
  <c r="F4" i="50"/>
  <c r="A4" i="50"/>
  <c r="L3" i="50"/>
  <c r="H3" i="50"/>
  <c r="F3" i="50"/>
  <c r="A3" i="50"/>
  <c r="C18" i="52"/>
  <c r="D18" i="52" s="1"/>
  <c r="L13" i="52"/>
  <c r="K13" i="52"/>
  <c r="H13" i="52"/>
  <c r="J13" i="52" s="1"/>
  <c r="G13" i="52"/>
  <c r="F13" i="52"/>
  <c r="E20" i="52" s="1"/>
  <c r="E13" i="52"/>
  <c r="D13" i="52"/>
  <c r="C13" i="52"/>
  <c r="B13" i="52"/>
  <c r="D11" i="52"/>
  <c r="B11" i="52"/>
  <c r="H4" i="52"/>
  <c r="D4" i="52"/>
  <c r="A4" i="52"/>
  <c r="L3" i="52"/>
  <c r="H3" i="52"/>
  <c r="D3" i="52"/>
  <c r="A3" i="52"/>
  <c r="F44" i="49"/>
  <c r="F43" i="49"/>
  <c r="F42" i="49"/>
  <c r="F41" i="49"/>
  <c r="F40" i="49"/>
  <c r="F39" i="49"/>
  <c r="E39" i="49"/>
  <c r="D39" i="49"/>
  <c r="C39" i="49"/>
  <c r="B39" i="49"/>
  <c r="F38" i="49"/>
  <c r="E38" i="49"/>
  <c r="D38" i="49"/>
  <c r="C38" i="49"/>
  <c r="B38" i="49"/>
  <c r="F37" i="49"/>
  <c r="E37" i="49"/>
  <c r="D37" i="49"/>
  <c r="C37" i="49"/>
  <c r="B37" i="49"/>
  <c r="F35" i="49"/>
  <c r="E35" i="49"/>
  <c r="D35" i="49"/>
  <c r="C35" i="49"/>
  <c r="B35" i="49"/>
  <c r="F34" i="49"/>
  <c r="E34" i="49"/>
  <c r="D34" i="49"/>
  <c r="C34" i="49"/>
  <c r="B34" i="49"/>
  <c r="E32" i="49"/>
  <c r="D32" i="49"/>
  <c r="C32" i="49"/>
  <c r="B32" i="49"/>
  <c r="D30" i="49"/>
  <c r="C30" i="49"/>
  <c r="B30" i="49"/>
  <c r="D29" i="49"/>
  <c r="C29" i="49"/>
  <c r="B29" i="49"/>
  <c r="F28" i="49"/>
  <c r="B28" i="49"/>
  <c r="D27" i="49"/>
  <c r="C27" i="49"/>
  <c r="B27" i="49"/>
  <c r="F26" i="49"/>
  <c r="E26" i="49"/>
  <c r="D26" i="49"/>
  <c r="C26" i="49"/>
  <c r="B26" i="49"/>
  <c r="D25" i="49"/>
  <c r="C25" i="49"/>
  <c r="B25" i="49"/>
  <c r="E24" i="49"/>
  <c r="D24" i="49"/>
  <c r="C24" i="49"/>
  <c r="B24" i="49"/>
  <c r="E23" i="49"/>
  <c r="E25" i="49" s="1"/>
  <c r="D23" i="49"/>
  <c r="C23" i="49"/>
  <c r="B23" i="49"/>
  <c r="F20" i="49"/>
  <c r="E20" i="49"/>
  <c r="D20" i="49"/>
  <c r="C20" i="49"/>
  <c r="B20" i="49"/>
  <c r="F19" i="49"/>
  <c r="F18" i="49"/>
  <c r="F16" i="49"/>
  <c r="E4" i="49"/>
  <c r="C4" i="49"/>
  <c r="A4" i="49"/>
  <c r="G3" i="49"/>
  <c r="E3" i="49"/>
  <c r="C3" i="49"/>
  <c r="A3" i="49"/>
  <c r="C20" i="32"/>
  <c r="I4" i="32"/>
  <c r="F4" i="32"/>
  <c r="A4" i="32"/>
  <c r="N3" i="32"/>
  <c r="I3" i="32"/>
  <c r="F3" i="32"/>
  <c r="A3" i="32"/>
  <c r="G4" i="36"/>
  <c r="C4" i="36"/>
  <c r="A4" i="36"/>
  <c r="J3" i="36"/>
  <c r="G3" i="36"/>
  <c r="C3" i="36"/>
  <c r="A3" i="36"/>
  <c r="AM18" i="27"/>
  <c r="AL18" i="27"/>
  <c r="AK18" i="27"/>
  <c r="AJ18" i="27"/>
  <c r="AI18" i="27"/>
  <c r="AH18" i="27"/>
  <c r="AG18" i="27"/>
  <c r="AF18" i="27"/>
  <c r="AE18" i="27"/>
  <c r="AD18" i="27"/>
  <c r="AC18" i="27"/>
  <c r="AB18" i="27"/>
  <c r="AA18" i="27"/>
  <c r="Z18" i="27"/>
  <c r="Y18" i="27"/>
  <c r="X18" i="27"/>
  <c r="W18" i="27"/>
  <c r="V18" i="27"/>
  <c r="U18" i="27"/>
  <c r="T18" i="27"/>
  <c r="S18" i="27"/>
  <c r="R18" i="27"/>
  <c r="Q18" i="27"/>
  <c r="P18" i="27"/>
  <c r="O18" i="27"/>
  <c r="N18" i="27"/>
  <c r="M18" i="27"/>
  <c r="L18" i="27"/>
  <c r="AM17" i="27"/>
  <c r="AL17" i="27"/>
  <c r="AK17" i="27"/>
  <c r="AJ17" i="27"/>
  <c r="AI17" i="27"/>
  <c r="AH17" i="27"/>
  <c r="AG17" i="27"/>
  <c r="AF17" i="27"/>
  <c r="S17" i="27"/>
  <c r="R17" i="27"/>
  <c r="AM16" i="27"/>
  <c r="AL16" i="27"/>
  <c r="AK16" i="27"/>
  <c r="AJ16" i="27"/>
  <c r="AI16" i="27"/>
  <c r="AH16" i="27"/>
  <c r="AG16" i="27"/>
  <c r="AF16" i="27"/>
  <c r="S16" i="27"/>
  <c r="R16" i="27"/>
  <c r="AM15" i="27"/>
  <c r="AL15" i="27"/>
  <c r="AK15" i="27"/>
  <c r="AJ15" i="27"/>
  <c r="AI15" i="27"/>
  <c r="AH15" i="27"/>
  <c r="AG15" i="27"/>
  <c r="AF15" i="27"/>
  <c r="S15" i="27"/>
  <c r="R15" i="27"/>
  <c r="AM14" i="27"/>
  <c r="AL14" i="27"/>
  <c r="AK14" i="27"/>
  <c r="AJ14" i="27"/>
  <c r="AI14" i="27"/>
  <c r="AH14" i="27"/>
  <c r="AG14" i="27"/>
  <c r="AF14" i="27"/>
  <c r="S14" i="27"/>
  <c r="R14" i="27"/>
  <c r="AM13" i="27"/>
  <c r="AL13" i="27"/>
  <c r="AK13" i="27"/>
  <c r="AJ13" i="27"/>
  <c r="AI13" i="27"/>
  <c r="AH13" i="27"/>
  <c r="AG13" i="27"/>
  <c r="AF13" i="27"/>
  <c r="S13" i="27"/>
  <c r="R13" i="27"/>
  <c r="AF4" i="27"/>
  <c r="L4" i="27"/>
  <c r="H4" i="27"/>
  <c r="A4" i="27"/>
  <c r="AF3" i="27"/>
  <c r="Z3" i="27"/>
  <c r="S3" i="27"/>
  <c r="L3" i="27"/>
  <c r="H3" i="27"/>
  <c r="A3" i="27"/>
  <c r="CH22" i="30"/>
  <c r="CG22" i="30"/>
  <c r="CF22" i="30"/>
  <c r="CE22" i="30"/>
  <c r="CD22" i="30"/>
  <c r="CC22" i="30"/>
  <c r="CB22" i="30"/>
  <c r="CA22" i="30"/>
  <c r="BZ22" i="30"/>
  <c r="BY22" i="30"/>
  <c r="BX22" i="30"/>
  <c r="BW22" i="30"/>
  <c r="BV22" i="30"/>
  <c r="BT22" i="30"/>
  <c r="BS22" i="30"/>
  <c r="BR22" i="30"/>
  <c r="BQ22" i="30"/>
  <c r="BP22" i="30"/>
  <c r="BN22" i="30"/>
  <c r="BM22" i="30"/>
  <c r="BL22" i="30"/>
  <c r="BK22" i="30"/>
  <c r="BJ22" i="30"/>
  <c r="BI22" i="30"/>
  <c r="BH22" i="30"/>
  <c r="BF22" i="30"/>
  <c r="BE22" i="30"/>
  <c r="BD22" i="30"/>
  <c r="BC22" i="30"/>
  <c r="BB22" i="30"/>
  <c r="BA22" i="30"/>
  <c r="AZ22" i="30"/>
  <c r="AY22" i="30"/>
  <c r="AX22" i="30"/>
  <c r="AW22" i="30"/>
  <c r="AV22" i="30"/>
  <c r="AU22" i="30"/>
  <c r="AT22" i="30"/>
  <c r="AS22" i="30"/>
  <c r="AR22" i="30"/>
  <c r="AQ22" i="30"/>
  <c r="AP22" i="30"/>
  <c r="AO22" i="30"/>
  <c r="AN22" i="30"/>
  <c r="AM22" i="30"/>
  <c r="AL22" i="30"/>
  <c r="AK22" i="30"/>
  <c r="AJ22" i="30"/>
  <c r="AI22" i="30"/>
  <c r="AH22" i="30"/>
  <c r="AG22" i="30"/>
  <c r="AF22" i="30"/>
  <c r="AE22" i="30"/>
  <c r="AD22" i="30"/>
  <c r="AB22" i="30"/>
  <c r="AA22" i="30"/>
  <c r="Z22" i="30"/>
  <c r="Y22" i="30"/>
  <c r="X22" i="30"/>
  <c r="V22" i="30"/>
  <c r="U22" i="30"/>
  <c r="T22" i="30"/>
  <c r="S22" i="30"/>
  <c r="R22" i="30"/>
  <c r="P22" i="30"/>
  <c r="O22" i="30"/>
  <c r="N22" i="30"/>
  <c r="M22" i="30"/>
  <c r="L22" i="30"/>
  <c r="CH21" i="30"/>
  <c r="CG21" i="30"/>
  <c r="CF21" i="30"/>
  <c r="CE21" i="30"/>
  <c r="CD21" i="30"/>
  <c r="CC21" i="30"/>
  <c r="CB21" i="30"/>
  <c r="CA21" i="30"/>
  <c r="BZ21" i="30"/>
  <c r="BY21" i="30"/>
  <c r="BX21" i="30"/>
  <c r="BW21" i="30"/>
  <c r="BV21" i="30"/>
  <c r="BT21" i="30"/>
  <c r="BS21" i="30"/>
  <c r="BR21" i="30"/>
  <c r="BQ21" i="30"/>
  <c r="BP21" i="30"/>
  <c r="BN21" i="30"/>
  <c r="BM21" i="30"/>
  <c r="BL21" i="30"/>
  <c r="BK21" i="30"/>
  <c r="BJ21" i="30"/>
  <c r="BI21" i="30"/>
  <c r="BH21" i="30"/>
  <c r="BF21" i="30"/>
  <c r="BE21" i="30"/>
  <c r="BD21" i="30"/>
  <c r="BC21" i="30"/>
  <c r="BB21" i="30"/>
  <c r="BA21" i="30"/>
  <c r="AZ21" i="30"/>
  <c r="AY21" i="30"/>
  <c r="AX21" i="30"/>
  <c r="AW21" i="30"/>
  <c r="AV21" i="30"/>
  <c r="AU21" i="30"/>
  <c r="AT21" i="30"/>
  <c r="AS21" i="30"/>
  <c r="AR21" i="30"/>
  <c r="AQ21" i="30"/>
  <c r="AP21" i="30"/>
  <c r="AO21" i="30"/>
  <c r="AN21" i="30"/>
  <c r="AM21" i="30"/>
  <c r="AL21" i="30"/>
  <c r="AK21" i="30"/>
  <c r="AJ21" i="30"/>
  <c r="AI21" i="30"/>
  <c r="AH21" i="30"/>
  <c r="AG21" i="30"/>
  <c r="AF21" i="30"/>
  <c r="AE21" i="30"/>
  <c r="AD21" i="30"/>
  <c r="AB21" i="30"/>
  <c r="AA21" i="30"/>
  <c r="Z21" i="30"/>
  <c r="Y21" i="30"/>
  <c r="X21" i="30"/>
  <c r="V21" i="30"/>
  <c r="U21" i="30"/>
  <c r="T21" i="30"/>
  <c r="S21" i="30"/>
  <c r="R21" i="30"/>
  <c r="P21" i="30"/>
  <c r="O21" i="30"/>
  <c r="N21" i="30"/>
  <c r="M21" i="30"/>
  <c r="L21" i="30"/>
  <c r="CH20" i="30"/>
  <c r="CF20" i="30"/>
  <c r="CE20" i="30"/>
  <c r="CD20" i="30"/>
  <c r="CC20" i="30"/>
  <c r="CB20" i="30"/>
  <c r="CA20" i="30"/>
  <c r="BZ20" i="30"/>
  <c r="BY20" i="30"/>
  <c r="BX20" i="30"/>
  <c r="BW20" i="30"/>
  <c r="BV20" i="30"/>
  <c r="BU20" i="30"/>
  <c r="BT20" i="30"/>
  <c r="BS20" i="30"/>
  <c r="BR20" i="30"/>
  <c r="BQ20" i="30"/>
  <c r="BP20" i="30"/>
  <c r="BO20" i="30"/>
  <c r="BN20" i="30"/>
  <c r="BL20" i="30"/>
  <c r="BK20" i="30"/>
  <c r="BJ20" i="30"/>
  <c r="BI20" i="30"/>
  <c r="BH20" i="30"/>
  <c r="BG20" i="30"/>
  <c r="AH20" i="30"/>
  <c r="AG20" i="30"/>
  <c r="AF20" i="30"/>
  <c r="AE20" i="30"/>
  <c r="AD20" i="30"/>
  <c r="AC20" i="30"/>
  <c r="AB20" i="30"/>
  <c r="W20" i="30"/>
  <c r="V20" i="30"/>
  <c r="Q20" i="30"/>
  <c r="P20" i="30"/>
  <c r="K20" i="30"/>
  <c r="CH19" i="30"/>
  <c r="CF19" i="30"/>
  <c r="CE19" i="30"/>
  <c r="CD19" i="30"/>
  <c r="CC19" i="30"/>
  <c r="CB19" i="30"/>
  <c r="CA19" i="30"/>
  <c r="BZ19" i="30"/>
  <c r="BY19" i="30"/>
  <c r="BX19" i="30"/>
  <c r="BW19" i="30"/>
  <c r="BV19" i="30"/>
  <c r="BU19" i="30"/>
  <c r="BT19" i="30"/>
  <c r="BS19" i="30"/>
  <c r="BR19" i="30"/>
  <c r="BQ19" i="30"/>
  <c r="BP19" i="30"/>
  <c r="BO19" i="30"/>
  <c r="BN19" i="30"/>
  <c r="BL19" i="30"/>
  <c r="BK19" i="30"/>
  <c r="BJ19" i="30"/>
  <c r="BI19" i="30"/>
  <c r="BH19" i="30"/>
  <c r="BG19" i="30"/>
  <c r="AH19" i="30"/>
  <c r="AG19" i="30"/>
  <c r="AF19" i="30"/>
  <c r="AE19" i="30"/>
  <c r="AD19" i="30"/>
  <c r="AC19" i="30"/>
  <c r="AB19" i="30"/>
  <c r="W19" i="30"/>
  <c r="V19" i="30"/>
  <c r="Q19" i="30"/>
  <c r="P19" i="30"/>
  <c r="K19" i="30"/>
  <c r="CH17" i="30"/>
  <c r="CG17" i="30"/>
  <c r="CF17" i="30"/>
  <c r="CE17" i="30"/>
  <c r="CD17" i="30"/>
  <c r="CC17" i="30"/>
  <c r="CB17" i="30"/>
  <c r="CA17" i="30"/>
  <c r="BZ17" i="30"/>
  <c r="BY17" i="30"/>
  <c r="BX17" i="30"/>
  <c r="BW17" i="30"/>
  <c r="BV17" i="30"/>
  <c r="BT17" i="30"/>
  <c r="BS17" i="30"/>
  <c r="BR17" i="30"/>
  <c r="BQ17" i="30"/>
  <c r="BP17" i="30"/>
  <c r="BN17" i="30"/>
  <c r="BM17" i="30"/>
  <c r="BL17" i="30"/>
  <c r="BK17" i="30"/>
  <c r="BJ17" i="30"/>
  <c r="BI17" i="30"/>
  <c r="BH17" i="30"/>
  <c r="BF17" i="30"/>
  <c r="BE17" i="30"/>
  <c r="BD17" i="30"/>
  <c r="BC17" i="30"/>
  <c r="BB17" i="30"/>
  <c r="BA17" i="30"/>
  <c r="AZ17" i="30"/>
  <c r="AY17" i="30"/>
  <c r="AX17" i="30"/>
  <c r="AW17" i="30"/>
  <c r="AV17" i="30"/>
  <c r="AU17" i="30"/>
  <c r="AT17" i="30"/>
  <c r="AS17" i="30"/>
  <c r="AR17" i="30"/>
  <c r="AQ17" i="30"/>
  <c r="AP17" i="30"/>
  <c r="AO17" i="30"/>
  <c r="AN17" i="30"/>
  <c r="AM17" i="30"/>
  <c r="AL17" i="30"/>
  <c r="AK17" i="30"/>
  <c r="AJ17" i="30"/>
  <c r="AI17" i="30"/>
  <c r="AH17" i="30"/>
  <c r="AG17" i="30"/>
  <c r="AF17" i="30"/>
  <c r="AE17" i="30"/>
  <c r="AD17" i="30"/>
  <c r="AB17" i="30"/>
  <c r="AA17" i="30"/>
  <c r="Z17" i="30"/>
  <c r="Y17" i="30"/>
  <c r="X17" i="30"/>
  <c r="V17" i="30"/>
  <c r="U17" i="30"/>
  <c r="T17" i="30"/>
  <c r="S17" i="30"/>
  <c r="R17" i="30"/>
  <c r="P17" i="30"/>
  <c r="O17" i="30"/>
  <c r="N17" i="30"/>
  <c r="M17" i="30"/>
  <c r="L17" i="30"/>
  <c r="CH16" i="30"/>
  <c r="CF16" i="30"/>
  <c r="CE16" i="30"/>
  <c r="CD16" i="30"/>
  <c r="CC16" i="30"/>
  <c r="CB16" i="30"/>
  <c r="CA16" i="30"/>
  <c r="BZ16" i="30"/>
  <c r="BY16" i="30"/>
  <c r="BX16" i="30"/>
  <c r="BW16" i="30"/>
  <c r="BV16" i="30"/>
  <c r="BU16" i="30"/>
  <c r="BT16" i="30"/>
  <c r="BS16" i="30"/>
  <c r="BR16" i="30"/>
  <c r="BQ16" i="30"/>
  <c r="BP16" i="30"/>
  <c r="BO16" i="30"/>
  <c r="BN16" i="30"/>
  <c r="BL16" i="30"/>
  <c r="BK16" i="30"/>
  <c r="BJ16" i="30"/>
  <c r="BI16" i="30"/>
  <c r="BH16" i="30"/>
  <c r="BG16" i="30"/>
  <c r="AH16" i="30"/>
  <c r="AG16" i="30"/>
  <c r="AF16" i="30"/>
  <c r="AE16" i="30"/>
  <c r="AD16" i="30"/>
  <c r="AC16" i="30"/>
  <c r="AB16" i="30"/>
  <c r="W16" i="30"/>
  <c r="V16" i="30"/>
  <c r="Q16" i="30"/>
  <c r="P16" i="30"/>
  <c r="K16" i="30"/>
  <c r="CH15" i="30"/>
  <c r="CF15" i="30"/>
  <c r="CE15" i="30"/>
  <c r="CD15" i="30"/>
  <c r="CC15" i="30"/>
  <c r="CB15" i="30"/>
  <c r="CA15" i="30"/>
  <c r="BZ15" i="30"/>
  <c r="BY15" i="30"/>
  <c r="BX15" i="30"/>
  <c r="BW15" i="30"/>
  <c r="BV15" i="30"/>
  <c r="BU15" i="30"/>
  <c r="BT15" i="30"/>
  <c r="BS15" i="30"/>
  <c r="BR15" i="30"/>
  <c r="BQ15" i="30"/>
  <c r="BP15" i="30"/>
  <c r="BO15" i="30"/>
  <c r="BN15" i="30"/>
  <c r="BL15" i="30"/>
  <c r="BK15" i="30"/>
  <c r="BJ15" i="30"/>
  <c r="BI15" i="30"/>
  <c r="BH15" i="30"/>
  <c r="BG15" i="30"/>
  <c r="AH15" i="30"/>
  <c r="AG15" i="30"/>
  <c r="AF15" i="30"/>
  <c r="AE15" i="30"/>
  <c r="AD15" i="30"/>
  <c r="AC15" i="30"/>
  <c r="AB15" i="30"/>
  <c r="W15" i="30"/>
  <c r="V15" i="30"/>
  <c r="Q15" i="30"/>
  <c r="P15" i="30"/>
  <c r="K15" i="30"/>
  <c r="BZ4" i="30"/>
  <c r="AZ4" i="30"/>
  <c r="W4" i="30"/>
  <c r="K4" i="30"/>
  <c r="A4" i="30"/>
  <c r="CJ3" i="30"/>
  <c r="BZ3" i="30"/>
  <c r="BR3" i="30"/>
  <c r="AZ3" i="30"/>
  <c r="AR3" i="30"/>
  <c r="AH3" i="30"/>
  <c r="W3" i="30"/>
  <c r="K3" i="30"/>
  <c r="A3" i="30"/>
  <c r="Q18" i="19"/>
  <c r="P18" i="19"/>
  <c r="O18" i="19"/>
  <c r="N18" i="19"/>
  <c r="M18" i="19"/>
  <c r="L18" i="19"/>
  <c r="K18" i="19"/>
  <c r="J18" i="19"/>
  <c r="I18" i="19"/>
  <c r="H18" i="19"/>
  <c r="G18" i="19"/>
  <c r="F18" i="19"/>
  <c r="E18" i="19"/>
  <c r="D18" i="19"/>
  <c r="C18" i="19"/>
  <c r="B18" i="19"/>
  <c r="Q17" i="19"/>
  <c r="P17" i="19"/>
  <c r="O17" i="19"/>
  <c r="N17" i="19"/>
  <c r="M17" i="19"/>
  <c r="K17" i="19"/>
  <c r="J17" i="19"/>
  <c r="I17" i="19"/>
  <c r="H17" i="19"/>
  <c r="E17" i="19"/>
  <c r="D17" i="19"/>
  <c r="C17" i="19"/>
  <c r="B17" i="19"/>
  <c r="Q16" i="19"/>
  <c r="P16" i="19"/>
  <c r="O16" i="19"/>
  <c r="N16" i="19"/>
  <c r="M16" i="19"/>
  <c r="L16" i="19"/>
  <c r="K16" i="19"/>
  <c r="J16" i="19"/>
  <c r="I16" i="19"/>
  <c r="H16" i="19"/>
  <c r="G16" i="19"/>
  <c r="F16" i="19"/>
  <c r="E16" i="19"/>
  <c r="D16" i="19"/>
  <c r="C16" i="19"/>
  <c r="B16" i="19"/>
  <c r="Q15" i="19"/>
  <c r="P15" i="19"/>
  <c r="O15" i="19"/>
  <c r="N15" i="19"/>
  <c r="K15" i="19"/>
  <c r="J15" i="19"/>
  <c r="I15" i="19"/>
  <c r="H15" i="19"/>
  <c r="E15" i="19"/>
  <c r="D15" i="19"/>
  <c r="C15" i="19"/>
  <c r="B15" i="19"/>
  <c r="Q14" i="19"/>
  <c r="P14" i="19"/>
  <c r="O14" i="19"/>
  <c r="N14" i="19"/>
  <c r="K14" i="19"/>
  <c r="J14" i="19"/>
  <c r="I14" i="19"/>
  <c r="H14" i="19"/>
  <c r="E14" i="19"/>
  <c r="D14" i="19"/>
  <c r="C14" i="19"/>
  <c r="B14" i="19"/>
  <c r="Q13" i="19"/>
  <c r="P13" i="19"/>
  <c r="O13" i="19"/>
  <c r="N13" i="19"/>
  <c r="K13" i="19"/>
  <c r="J13" i="19"/>
  <c r="I13" i="19"/>
  <c r="H13" i="19"/>
  <c r="E13" i="19"/>
  <c r="D13" i="19"/>
  <c r="C13" i="19"/>
  <c r="B13" i="19"/>
  <c r="Q11" i="19"/>
  <c r="P11" i="19"/>
  <c r="O11" i="19"/>
  <c r="N11" i="19"/>
  <c r="M11" i="19"/>
  <c r="L11" i="19"/>
  <c r="K11" i="19"/>
  <c r="J11" i="19"/>
  <c r="I11" i="19"/>
  <c r="H11" i="19"/>
  <c r="G11" i="19"/>
  <c r="F11" i="19"/>
  <c r="E11" i="19"/>
  <c r="D11" i="19"/>
  <c r="C11" i="19"/>
  <c r="B11" i="19"/>
  <c r="Q10" i="19"/>
  <c r="P10" i="19"/>
  <c r="O10" i="19"/>
  <c r="N10" i="19"/>
  <c r="K10" i="19"/>
  <c r="J10" i="19"/>
  <c r="I10" i="19"/>
  <c r="H10" i="19"/>
  <c r="E10" i="19"/>
  <c r="D10" i="19"/>
  <c r="C10" i="19"/>
  <c r="B10" i="19"/>
  <c r="Q9" i="19"/>
  <c r="P9" i="19"/>
  <c r="O9" i="19"/>
  <c r="N9" i="19"/>
  <c r="K9" i="19"/>
  <c r="J9" i="19"/>
  <c r="I9" i="19"/>
  <c r="H9" i="19"/>
  <c r="E9" i="19"/>
  <c r="D9" i="19"/>
  <c r="C9" i="19"/>
  <c r="B9" i="19"/>
  <c r="Q8" i="19"/>
  <c r="P8" i="19"/>
  <c r="O8" i="19"/>
  <c r="N8" i="19"/>
  <c r="K8" i="19"/>
  <c r="J8" i="19"/>
  <c r="I8" i="19"/>
  <c r="H8" i="19"/>
  <c r="E8" i="19"/>
  <c r="D8" i="19"/>
  <c r="C8" i="19"/>
  <c r="B8" i="19"/>
  <c r="L4" i="19"/>
  <c r="F4" i="19"/>
  <c r="A4" i="19"/>
  <c r="R3" i="19"/>
  <c r="L3" i="19"/>
  <c r="F3" i="19"/>
  <c r="A3" i="19"/>
  <c r="I60" i="26"/>
  <c r="I58" i="26"/>
  <c r="H58" i="26"/>
  <c r="G58" i="26"/>
  <c r="F58" i="26"/>
  <c r="E58" i="26"/>
  <c r="D58" i="26"/>
  <c r="C58" i="26"/>
  <c r="B58" i="26"/>
  <c r="A58" i="26"/>
  <c r="I57" i="26"/>
  <c r="H57" i="26"/>
  <c r="G57" i="26"/>
  <c r="F57" i="26"/>
  <c r="E57" i="26"/>
  <c r="D57" i="26"/>
  <c r="C57" i="26"/>
  <c r="B57" i="26"/>
  <c r="A57" i="26"/>
  <c r="I56" i="26"/>
  <c r="H56" i="26"/>
  <c r="G56" i="26"/>
  <c r="F56" i="26"/>
  <c r="E56" i="26"/>
  <c r="D56" i="26"/>
  <c r="C56" i="26"/>
  <c r="B56" i="26"/>
  <c r="A56" i="26"/>
  <c r="I55" i="26"/>
  <c r="H55" i="26"/>
  <c r="G55" i="26"/>
  <c r="F55" i="26"/>
  <c r="E55" i="26"/>
  <c r="D55" i="26"/>
  <c r="C55" i="26"/>
  <c r="B55" i="26"/>
  <c r="A55" i="26"/>
  <c r="I54" i="26"/>
  <c r="H54" i="26"/>
  <c r="G54" i="26"/>
  <c r="F54" i="26"/>
  <c r="E54" i="26"/>
  <c r="D54" i="26"/>
  <c r="C54" i="26"/>
  <c r="B54" i="26"/>
  <c r="A54" i="26"/>
  <c r="G40" i="26"/>
  <c r="J38" i="26"/>
  <c r="I38" i="26"/>
  <c r="H38" i="26"/>
  <c r="G38" i="26"/>
  <c r="F38" i="26"/>
  <c r="E38" i="26"/>
  <c r="D38" i="26"/>
  <c r="C38" i="26"/>
  <c r="B38" i="26"/>
  <c r="A38" i="26"/>
  <c r="J37" i="26"/>
  <c r="I37" i="26"/>
  <c r="H37" i="26"/>
  <c r="G37" i="26"/>
  <c r="F37" i="26"/>
  <c r="E37" i="26"/>
  <c r="D37" i="26"/>
  <c r="C37" i="26"/>
  <c r="B37" i="26"/>
  <c r="A37" i="26"/>
  <c r="J36" i="26"/>
  <c r="I36" i="26"/>
  <c r="H36" i="26"/>
  <c r="G36" i="26"/>
  <c r="F36" i="26"/>
  <c r="E36" i="26"/>
  <c r="D36" i="26"/>
  <c r="C36" i="26"/>
  <c r="B36" i="26"/>
  <c r="A36" i="26"/>
  <c r="J35" i="26"/>
  <c r="I35" i="26"/>
  <c r="H35" i="26"/>
  <c r="G35" i="26"/>
  <c r="F35" i="26"/>
  <c r="E35" i="26"/>
  <c r="D35" i="26"/>
  <c r="C35" i="26"/>
  <c r="B35" i="26"/>
  <c r="A35" i="26"/>
  <c r="J34" i="26"/>
  <c r="I34" i="26"/>
  <c r="H34" i="26"/>
  <c r="G34" i="26"/>
  <c r="F34" i="26"/>
  <c r="E34" i="26"/>
  <c r="D34" i="26"/>
  <c r="C34" i="26"/>
  <c r="B34" i="26"/>
  <c r="A34" i="26"/>
  <c r="J24" i="26"/>
  <c r="J23" i="26"/>
  <c r="J22" i="26"/>
  <c r="J21" i="26"/>
  <c r="I21" i="26"/>
  <c r="H21" i="26"/>
  <c r="G21" i="26"/>
  <c r="F21" i="26"/>
  <c r="E21" i="26"/>
  <c r="D21" i="26"/>
  <c r="C21" i="26"/>
  <c r="B21" i="26"/>
  <c r="A21" i="26"/>
  <c r="J20" i="26"/>
  <c r="I20" i="26"/>
  <c r="H20" i="26"/>
  <c r="G20" i="26"/>
  <c r="F20" i="26"/>
  <c r="E20" i="26"/>
  <c r="D20" i="26"/>
  <c r="C20" i="26"/>
  <c r="B20" i="26"/>
  <c r="A20" i="26"/>
  <c r="J19" i="26"/>
  <c r="I19" i="26"/>
  <c r="H19" i="26"/>
  <c r="G19" i="26"/>
  <c r="F19" i="26"/>
  <c r="E19" i="26"/>
  <c r="D19" i="26"/>
  <c r="C19" i="26"/>
  <c r="B19" i="26"/>
  <c r="A19" i="26"/>
  <c r="J18" i="26"/>
  <c r="I18" i="26"/>
  <c r="H18" i="26"/>
  <c r="G18" i="26"/>
  <c r="F18" i="26"/>
  <c r="E18" i="26"/>
  <c r="D18" i="26"/>
  <c r="C18" i="26"/>
  <c r="B18" i="26"/>
  <c r="A18" i="26"/>
  <c r="C16" i="26"/>
  <c r="B16" i="26"/>
  <c r="C15" i="26"/>
  <c r="B15" i="26"/>
  <c r="A15" i="26"/>
  <c r="C14" i="26"/>
  <c r="B14" i="26"/>
  <c r="A14" i="26"/>
  <c r="C13" i="26"/>
  <c r="B13" i="26"/>
  <c r="A13" i="26"/>
  <c r="C12" i="26"/>
  <c r="B12" i="26"/>
  <c r="A12" i="26"/>
  <c r="C11" i="26"/>
  <c r="B11" i="26"/>
  <c r="A11" i="26"/>
  <c r="C10" i="26"/>
  <c r="B10" i="26"/>
  <c r="A10" i="26"/>
  <c r="C9" i="26"/>
  <c r="B9" i="26"/>
  <c r="A9" i="26"/>
  <c r="C8" i="26"/>
  <c r="B8" i="26"/>
  <c r="A8" i="26"/>
  <c r="C7" i="26"/>
  <c r="B7" i="26"/>
  <c r="A7" i="26"/>
  <c r="G4" i="26"/>
  <c r="D4" i="26"/>
  <c r="A4" i="26"/>
  <c r="G3" i="26"/>
  <c r="D3" i="26"/>
  <c r="A3" i="26"/>
  <c r="I71" i="23"/>
  <c r="H71" i="23"/>
  <c r="G71" i="23"/>
  <c r="F71" i="23"/>
  <c r="E71" i="23"/>
  <c r="D71" i="23"/>
  <c r="C71" i="23"/>
  <c r="B71" i="23"/>
  <c r="I69" i="23"/>
  <c r="H69" i="23"/>
  <c r="G69" i="23"/>
  <c r="F69" i="23"/>
  <c r="E69" i="23"/>
  <c r="D69" i="23"/>
  <c r="C69" i="23"/>
  <c r="B69" i="23"/>
  <c r="A69" i="23"/>
  <c r="I68" i="23"/>
  <c r="H68" i="23"/>
  <c r="G68" i="23"/>
  <c r="F68" i="23"/>
  <c r="E68" i="23"/>
  <c r="D68" i="23"/>
  <c r="C68" i="23"/>
  <c r="B68" i="23"/>
  <c r="A68" i="23"/>
  <c r="I67" i="23"/>
  <c r="H67" i="23"/>
  <c r="G67" i="23"/>
  <c r="F67" i="23"/>
  <c r="E67" i="23"/>
  <c r="D67" i="23"/>
  <c r="C67" i="23"/>
  <c r="B67" i="23"/>
  <c r="A67" i="23"/>
  <c r="I66" i="23"/>
  <c r="H66" i="23"/>
  <c r="G66" i="23"/>
  <c r="F66" i="23"/>
  <c r="E66" i="23"/>
  <c r="D66" i="23"/>
  <c r="C66" i="23"/>
  <c r="B66" i="23"/>
  <c r="A66" i="23"/>
  <c r="I65" i="23"/>
  <c r="H65" i="23"/>
  <c r="G65" i="23"/>
  <c r="F65" i="23"/>
  <c r="E65" i="23"/>
  <c r="D65" i="23"/>
  <c r="C65" i="23"/>
  <c r="B65" i="23"/>
  <c r="A65" i="23"/>
  <c r="G51" i="23"/>
  <c r="J49" i="23"/>
  <c r="I49" i="23"/>
  <c r="H49" i="23"/>
  <c r="G49" i="23"/>
  <c r="F49" i="23"/>
  <c r="E49" i="23"/>
  <c r="D49" i="23"/>
  <c r="C49" i="23"/>
  <c r="B49" i="23"/>
  <c r="A49" i="23"/>
  <c r="J48" i="23"/>
  <c r="I48" i="23"/>
  <c r="H48" i="23"/>
  <c r="G48" i="23"/>
  <c r="F48" i="23"/>
  <c r="E48" i="23"/>
  <c r="D48" i="23"/>
  <c r="C48" i="23"/>
  <c r="B48" i="23"/>
  <c r="A48" i="23"/>
  <c r="J47" i="23"/>
  <c r="I47" i="23"/>
  <c r="H47" i="23"/>
  <c r="G47" i="23"/>
  <c r="F47" i="23"/>
  <c r="E47" i="23"/>
  <c r="D47" i="23"/>
  <c r="C47" i="23"/>
  <c r="B47" i="23"/>
  <c r="A47" i="23"/>
  <c r="J46" i="23"/>
  <c r="I46" i="23"/>
  <c r="H46" i="23"/>
  <c r="G46" i="23"/>
  <c r="F46" i="23"/>
  <c r="E46" i="23"/>
  <c r="D46" i="23"/>
  <c r="C46" i="23"/>
  <c r="B46" i="23"/>
  <c r="A46" i="23"/>
  <c r="J45" i="23"/>
  <c r="I45" i="23"/>
  <c r="H45" i="23"/>
  <c r="G45" i="23"/>
  <c r="F45" i="23"/>
  <c r="E45" i="23"/>
  <c r="D45" i="23"/>
  <c r="C45" i="23"/>
  <c r="B45" i="23"/>
  <c r="A45" i="23"/>
  <c r="G34" i="23"/>
  <c r="B34" i="23"/>
  <c r="G33" i="23"/>
  <c r="B33" i="23"/>
  <c r="G32" i="23"/>
  <c r="F32" i="23"/>
  <c r="E32" i="23"/>
  <c r="D32" i="23"/>
  <c r="C32" i="23"/>
  <c r="B32" i="23"/>
  <c r="H31" i="23"/>
  <c r="G31" i="23"/>
  <c r="F31" i="23"/>
  <c r="E31" i="23"/>
  <c r="D31" i="23"/>
  <c r="C31" i="23"/>
  <c r="B31" i="23"/>
  <c r="A31" i="23"/>
  <c r="H30" i="23"/>
  <c r="G30" i="23"/>
  <c r="F30" i="23"/>
  <c r="E30" i="23"/>
  <c r="D30" i="23"/>
  <c r="C30" i="23"/>
  <c r="B30" i="23"/>
  <c r="A30" i="23"/>
  <c r="H29" i="23"/>
  <c r="G29" i="23"/>
  <c r="F29" i="23"/>
  <c r="E29" i="23"/>
  <c r="D29" i="23"/>
  <c r="C29" i="23"/>
  <c r="B29" i="23"/>
  <c r="A29" i="23"/>
  <c r="H28" i="23"/>
  <c r="G28" i="23"/>
  <c r="F28" i="23"/>
  <c r="E28" i="23"/>
  <c r="D28" i="23"/>
  <c r="C28" i="23"/>
  <c r="B28" i="23"/>
  <c r="A28" i="23"/>
  <c r="F25" i="23"/>
  <c r="B25" i="23"/>
  <c r="F24" i="23"/>
  <c r="E24" i="23"/>
  <c r="D24" i="23"/>
  <c r="C24" i="23"/>
  <c r="B24" i="23"/>
  <c r="A24" i="23"/>
  <c r="F23" i="23"/>
  <c r="E23" i="23"/>
  <c r="D23" i="23"/>
  <c r="C23" i="23"/>
  <c r="B23" i="23"/>
  <c r="A23" i="23"/>
  <c r="F22" i="23"/>
  <c r="E22" i="23"/>
  <c r="D22" i="23"/>
  <c r="C22" i="23"/>
  <c r="B22" i="23"/>
  <c r="A22" i="23"/>
  <c r="F21" i="23"/>
  <c r="E21" i="23"/>
  <c r="D21" i="23"/>
  <c r="C21" i="23"/>
  <c r="B21" i="23"/>
  <c r="A21" i="23"/>
  <c r="F20" i="23"/>
  <c r="E20" i="23"/>
  <c r="D20" i="23"/>
  <c r="C20" i="23"/>
  <c r="B20" i="23"/>
  <c r="A20" i="23"/>
  <c r="F19" i="23"/>
  <c r="E19" i="23"/>
  <c r="D19" i="23"/>
  <c r="C19" i="23"/>
  <c r="B19" i="23"/>
  <c r="A19" i="23"/>
  <c r="C16" i="23"/>
  <c r="B16" i="23"/>
  <c r="C15" i="23"/>
  <c r="B15" i="23"/>
  <c r="A15" i="23"/>
  <c r="C14" i="23"/>
  <c r="B14" i="23"/>
  <c r="A14" i="23"/>
  <c r="C13" i="23"/>
  <c r="B13" i="23"/>
  <c r="A13" i="23"/>
  <c r="C12" i="23"/>
  <c r="B12" i="23"/>
  <c r="A12" i="23"/>
  <c r="C11" i="23"/>
  <c r="B11" i="23"/>
  <c r="A11" i="23"/>
  <c r="C10" i="23"/>
  <c r="B10" i="23"/>
  <c r="A10" i="23"/>
  <c r="C9" i="23"/>
  <c r="B9" i="23"/>
  <c r="A9" i="23"/>
  <c r="C8" i="23"/>
  <c r="B8" i="23"/>
  <c r="A8" i="23"/>
  <c r="C7" i="23"/>
  <c r="B7" i="23"/>
  <c r="A7" i="23"/>
  <c r="G4" i="23"/>
  <c r="D4" i="23"/>
  <c r="A4" i="23"/>
  <c r="G3" i="23"/>
  <c r="D3" i="23"/>
  <c r="A3" i="23"/>
  <c r="E4" i="37"/>
  <c r="C4" i="37"/>
  <c r="A4" i="37"/>
  <c r="E3" i="37"/>
  <c r="C3" i="37"/>
  <c r="A3" i="37"/>
  <c r="E16" i="1"/>
  <c r="J13" i="50" l="1"/>
  <c r="C18" i="50"/>
  <c r="E18" i="50"/>
  <c r="H18" i="50" s="1"/>
  <c r="E19" i="50"/>
  <c r="H19" i="50" s="1"/>
  <c r="E20" i="50"/>
  <c r="I19" i="53"/>
  <c r="E19" i="52"/>
  <c r="I20" i="52" s="1"/>
  <c r="H19" i="54"/>
  <c r="I19" i="54" s="1"/>
  <c r="F13" i="54" s="1"/>
  <c r="K19" i="54" s="1"/>
  <c r="E18" i="52"/>
  <c r="G18" i="52" s="1"/>
  <c r="D25" i="54" s="1"/>
  <c r="J25" i="54" s="1"/>
  <c r="F18" i="52"/>
  <c r="C19" i="54" s="1"/>
  <c r="E19" i="54" s="1"/>
  <c r="E29" i="49"/>
  <c r="F25" i="49"/>
  <c r="F29" i="49" s="1"/>
  <c r="K19" i="53" l="1"/>
  <c r="F13" i="53"/>
  <c r="H20" i="50"/>
  <c r="D18" i="50"/>
  <c r="F18" i="50" s="1"/>
  <c r="D25" i="53" s="1"/>
  <c r="J25" i="53" s="1"/>
  <c r="G17" i="50"/>
  <c r="C19" i="53" s="1"/>
  <c r="E19" i="53" s="1"/>
  <c r="K20" i="52"/>
  <c r="I18" i="52"/>
  <c r="F27" i="49"/>
  <c r="F30" i="49"/>
  <c r="E27" i="49"/>
  <c r="E30" i="49"/>
  <c r="I18" i="50" l="1"/>
  <c r="C19" i="52"/>
  <c r="K18" i="52"/>
  <c r="E13" i="54" s="1"/>
  <c r="C19" i="50" l="1"/>
  <c r="K18" i="50"/>
  <c r="E13" i="53" s="1"/>
  <c r="G13" i="53" s="1"/>
  <c r="I13" i="53" s="1"/>
  <c r="I13" i="54"/>
  <c r="G13" i="54"/>
  <c r="F19" i="52"/>
  <c r="D19" i="52"/>
  <c r="G19" i="52" s="1"/>
  <c r="D26" i="54" s="1"/>
  <c r="J26" i="54" s="1"/>
  <c r="G18" i="50" l="1"/>
  <c r="D19" i="50"/>
  <c r="F19" i="50" s="1"/>
  <c r="D26" i="53" s="1"/>
  <c r="J26" i="53" s="1"/>
  <c r="I19" i="52"/>
  <c r="I19" i="50" l="1"/>
  <c r="C20" i="52"/>
  <c r="K19" i="52"/>
  <c r="C20" i="50" l="1"/>
  <c r="G19" i="50" s="1"/>
  <c r="F20" i="50" s="1"/>
  <c r="K19" i="50"/>
  <c r="F20" i="52"/>
  <c r="D20" i="52"/>
  <c r="G20" i="52" s="1"/>
  <c r="D27" i="54" s="1"/>
  <c r="J27" i="54" s="1"/>
  <c r="D27" i="53" l="1"/>
  <c r="J27" i="53" s="1"/>
  <c r="D20" i="50"/>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Liufs</author>
  </authors>
  <commentList>
    <comment ref="A16" authorId="0" shapeId="0">
      <text>
        <r>
          <rPr>
            <b/>
            <sz val="9"/>
            <rFont val="宋体"/>
            <family val="3"/>
            <charset val="134"/>
          </rPr>
          <t>Liufs:</t>
        </r>
        <r>
          <rPr>
            <sz val="9"/>
            <rFont val="宋体"/>
            <family val="3"/>
            <charset val="134"/>
          </rPr>
          <t xml:space="preserve">
本金</t>
        </r>
      </text>
    </comment>
    <comment ref="A30" authorId="0" shapeId="0">
      <text>
        <r>
          <rPr>
            <b/>
            <sz val="9"/>
            <rFont val="宋体"/>
            <family val="3"/>
            <charset val="134"/>
          </rPr>
          <t>Liufs:</t>
        </r>
        <r>
          <rPr>
            <sz val="9"/>
            <rFont val="宋体"/>
            <family val="3"/>
            <charset val="134"/>
          </rPr>
          <t xml:space="preserve">
“长期借款/吸收存款—利息调整”</t>
        </r>
      </text>
    </comment>
    <comment ref="B33" authorId="0" shapeId="0">
      <text>
        <r>
          <rPr>
            <b/>
            <sz val="9"/>
            <rFont val="宋体"/>
            <family val="3"/>
            <charset val="134"/>
          </rPr>
          <t>Liufs:</t>
        </r>
        <r>
          <rPr>
            <sz val="9"/>
            <rFont val="宋体"/>
            <family val="3"/>
            <charset val="134"/>
          </rPr>
          <t xml:space="preserve">
由小到大，逐步增大，以使“现值差异（测试1）”趋于零。</t>
        </r>
      </text>
    </comment>
    <comment ref="A35" authorId="0" shapeId="0">
      <text>
        <r>
          <rPr>
            <b/>
            <sz val="9"/>
            <rFont val="宋体"/>
            <family val="3"/>
            <charset val="134"/>
          </rPr>
          <t>Liufs:</t>
        </r>
        <r>
          <rPr>
            <sz val="9"/>
            <rFont val="宋体"/>
            <family val="3"/>
            <charset val="134"/>
          </rPr>
          <t xml:space="preserve">
越小越好。</t>
        </r>
      </text>
    </comment>
    <comment ref="B35" authorId="0" shapeId="0">
      <text>
        <r>
          <rPr>
            <b/>
            <sz val="9"/>
            <rFont val="宋体"/>
            <family val="3"/>
            <charset val="134"/>
          </rPr>
          <t>Liufs:</t>
        </r>
        <r>
          <rPr>
            <sz val="9"/>
            <rFont val="宋体"/>
            <family val="3"/>
            <charset val="134"/>
          </rPr>
          <t xml:space="preserve">
越小越好。</t>
        </r>
      </text>
    </comment>
    <comment ref="B36" authorId="0" shapeId="0">
      <text>
        <r>
          <rPr>
            <b/>
            <sz val="9"/>
            <rFont val="宋体"/>
            <family val="3"/>
            <charset val="134"/>
          </rPr>
          <t>Liufs:</t>
        </r>
        <r>
          <rPr>
            <sz val="9"/>
            <rFont val="宋体"/>
            <family val="3"/>
            <charset val="134"/>
          </rPr>
          <t xml:space="preserve">
由大到小，逐步减小，以使“现值差异（测试2）”趋于零。</t>
        </r>
      </text>
    </comment>
    <comment ref="A38" authorId="0" shapeId="0">
      <text>
        <r>
          <rPr>
            <b/>
            <sz val="9"/>
            <rFont val="宋体"/>
            <family val="3"/>
            <charset val="134"/>
          </rPr>
          <t>Liufs:</t>
        </r>
        <r>
          <rPr>
            <sz val="9"/>
            <rFont val="宋体"/>
            <family val="3"/>
            <charset val="134"/>
          </rPr>
          <t xml:space="preserve">
越小越好。</t>
        </r>
      </text>
    </comment>
    <comment ref="B38" authorId="0" shapeId="0">
      <text>
        <r>
          <rPr>
            <b/>
            <sz val="9"/>
            <rFont val="宋体"/>
            <family val="3"/>
            <charset val="134"/>
          </rPr>
          <t>Liufs:</t>
        </r>
        <r>
          <rPr>
            <sz val="9"/>
            <rFont val="宋体"/>
            <family val="3"/>
            <charset val="134"/>
          </rPr>
          <t xml:space="preserve">
越小越好。</t>
        </r>
      </text>
    </comment>
  </commentList>
</comments>
</file>

<file path=xl/sharedStrings.xml><?xml version="1.0" encoding="utf-8"?>
<sst xmlns="http://schemas.openxmlformats.org/spreadsheetml/2006/main" count="1018" uniqueCount="492">
  <si>
    <r>
      <rPr>
        <b/>
        <sz val="12"/>
        <rFont val="宋体"/>
        <family val="3"/>
        <charset val="134"/>
      </rPr>
      <t>底稿开列时，可先在以下单元格填写有关内容，以便其他底稿引用有关数据：</t>
    </r>
  </si>
  <si>
    <r>
      <rPr>
        <sz val="10"/>
        <rFont val="宋体"/>
        <family val="3"/>
        <charset val="134"/>
      </rPr>
      <t>被审计单位：</t>
    </r>
  </si>
  <si>
    <t>应付债券实质性程序表</t>
  </si>
  <si>
    <t xml:space="preserve">L4A </t>
  </si>
  <si>
    <t>编制人：</t>
  </si>
  <si>
    <t>应付债券审定表</t>
  </si>
  <si>
    <t>L4-1</t>
  </si>
  <si>
    <t>编制日期：</t>
  </si>
  <si>
    <t>附注披露信息(上市公司)</t>
  </si>
  <si>
    <t>无需打印</t>
  </si>
  <si>
    <t>复核人：</t>
  </si>
  <si>
    <t>附注披露信息(国企)</t>
  </si>
  <si>
    <t>复核日期：</t>
  </si>
  <si>
    <t>应付债券明细表</t>
  </si>
  <si>
    <t>L4-2</t>
  </si>
  <si>
    <t>划分为金融负债的其他金融工具明细表</t>
  </si>
  <si>
    <t>L4-3</t>
  </si>
  <si>
    <t>调整分录汇总</t>
  </si>
  <si>
    <t>L4-4</t>
  </si>
  <si>
    <t>权益与负债划分检查表</t>
  </si>
  <si>
    <t>L4-5</t>
  </si>
  <si>
    <t>应付债券初始计量</t>
  </si>
  <si>
    <t>L4-6</t>
  </si>
  <si>
    <t>应付债券后续计量(到期一次还本付息)</t>
  </si>
  <si>
    <t>L4-7</t>
  </si>
  <si>
    <t>应付债券后续计量(分期付息到期一次还本)</t>
  </si>
  <si>
    <t>应付债券账面核对(到期一次还本付息)</t>
  </si>
  <si>
    <t>L4-8</t>
  </si>
  <si>
    <t>应付债券账面核对(分期付息到期一次还本)</t>
  </si>
  <si>
    <t>L4-9</t>
  </si>
  <si>
    <r>
      <rPr>
        <b/>
        <sz val="12"/>
        <rFont val="宋体"/>
        <family val="3"/>
        <charset val="134"/>
      </rPr>
      <t>致同会计师事务所</t>
    </r>
  </si>
  <si>
    <t>应付债券实质性程序</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</si>
  <si>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</si>
  <si>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</si>
  <si>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一、本账户涉及的科目</t>
    </r>
  </si>
  <si>
    <r>
      <rPr>
        <sz val="10"/>
        <color theme="1" tint="0.14993743705557422"/>
        <rFont val="宋体"/>
        <family val="3"/>
        <charset val="134"/>
      </rPr>
      <t>应付债券</t>
    </r>
  </si>
  <si>
    <t>二、审计目标与认定的对应关系</t>
  </si>
  <si>
    <t>审计目标</t>
  </si>
  <si>
    <r>
      <rPr>
        <b/>
        <sz val="10"/>
        <rFont val="宋体"/>
        <family val="3"/>
        <charset val="134"/>
      </rPr>
      <t>财务报表的认定　</t>
    </r>
  </si>
  <si>
    <r>
      <rPr>
        <sz val="10"/>
        <rFont val="Arial Narrow"/>
        <family val="2"/>
      </rPr>
      <t xml:space="preserve">A. </t>
    </r>
    <r>
      <rPr>
        <sz val="10"/>
        <rFont val="宋体"/>
        <family val="3"/>
        <charset val="134"/>
      </rPr>
      <t>资产负债表中记录的应付债券是存在的，且已记录于恰当的账户</t>
    </r>
  </si>
  <si>
    <r>
      <rPr>
        <sz val="10"/>
        <rFont val="宋体"/>
        <family val="3"/>
        <charset val="134"/>
      </rPr>
      <t>存在</t>
    </r>
  </si>
  <si>
    <r>
      <rPr>
        <sz val="10"/>
        <rFont val="Arial Narrow"/>
        <family val="2"/>
      </rPr>
      <t xml:space="preserve">B. </t>
    </r>
    <r>
      <rPr>
        <sz val="10"/>
        <rFont val="宋体"/>
        <family val="3"/>
        <charset val="134"/>
      </rPr>
      <t>所有应记录的应付债券均已记录，所有应当包括在财务报表中的相关披露均已包括</t>
    </r>
  </si>
  <si>
    <r>
      <rPr>
        <sz val="10"/>
        <rFont val="宋体"/>
        <family val="3"/>
        <charset val="134"/>
      </rPr>
      <t>完整性</t>
    </r>
  </si>
  <si>
    <r>
      <rPr>
        <sz val="10"/>
        <rFont val="Arial Narrow"/>
        <family val="2"/>
      </rPr>
      <t xml:space="preserve">C. </t>
    </r>
    <r>
      <rPr>
        <sz val="10"/>
        <rFont val="宋体"/>
        <family val="3"/>
        <charset val="134"/>
      </rPr>
      <t>记录的应付债券是被审计单位应当履行的偿还义务</t>
    </r>
  </si>
  <si>
    <r>
      <rPr>
        <sz val="10"/>
        <rFont val="宋体"/>
        <family val="3"/>
        <charset val="134"/>
      </rPr>
      <t>权利和义务</t>
    </r>
  </si>
  <si>
    <r>
      <rPr>
        <sz val="10"/>
        <rFont val="Arial Narrow"/>
        <family val="2"/>
      </rPr>
      <t xml:space="preserve">D. </t>
    </r>
    <r>
      <rPr>
        <sz val="10"/>
        <rFont val="宋体"/>
        <family val="3"/>
        <charset val="134"/>
      </rPr>
      <t>应付债券以恰当的金额包括在财务报表中，与之相关的计价或分摊调整已恰当记录，相关披露已得到恰当计量和描述</t>
    </r>
    <r>
      <rPr>
        <sz val="10"/>
        <rFont val="Arial Narrow"/>
        <family val="2"/>
      </rPr>
      <t xml:space="preserve"> </t>
    </r>
  </si>
  <si>
    <r>
      <rPr>
        <sz val="10"/>
        <rFont val="宋体"/>
        <family val="3"/>
        <charset val="134"/>
      </rPr>
      <t>准确性、计价和分摊</t>
    </r>
  </si>
  <si>
    <r>
      <rPr>
        <sz val="10"/>
        <rFont val="Arial Narrow"/>
        <family val="2"/>
      </rPr>
      <t xml:space="preserve">E. </t>
    </r>
    <r>
      <rPr>
        <sz val="10"/>
        <rFont val="宋体"/>
        <family val="3"/>
        <charset val="134"/>
      </rPr>
      <t>应付债券已被恰当地汇总或分解且表述清楚，相关披露在按照企业会计准则的编制基础下是相关的、可理解的</t>
    </r>
  </si>
  <si>
    <r>
      <rPr>
        <sz val="10"/>
        <rFont val="宋体"/>
        <family val="3"/>
        <charset val="134"/>
      </rPr>
      <t>列报</t>
    </r>
  </si>
  <si>
    <r>
      <rPr>
        <b/>
        <sz val="10"/>
        <rFont val="宋体"/>
        <family val="3"/>
        <charset val="134"/>
      </rPr>
      <t>三、计划实施的实质性程序</t>
    </r>
  </si>
  <si>
    <r>
      <rPr>
        <b/>
        <sz val="10"/>
        <rFont val="宋体"/>
        <family val="3"/>
        <charset val="134"/>
      </rPr>
      <t>序号</t>
    </r>
  </si>
  <si>
    <r>
      <rPr>
        <b/>
        <sz val="10"/>
        <rFont val="宋体"/>
        <family val="3"/>
        <charset val="134"/>
      </rPr>
      <t>程序分类</t>
    </r>
  </si>
  <si>
    <t>财务报表的认定</t>
  </si>
  <si>
    <r>
      <rPr>
        <b/>
        <sz val="10"/>
        <rFont val="宋体"/>
        <family val="3"/>
        <charset val="134"/>
      </rPr>
      <t>底稿索引号</t>
    </r>
  </si>
  <si>
    <r>
      <rPr>
        <b/>
        <sz val="10"/>
        <rFont val="宋体"/>
        <family val="3"/>
        <charset val="134"/>
      </rPr>
      <t>存在</t>
    </r>
  </si>
  <si>
    <r>
      <rPr>
        <b/>
        <sz val="10"/>
        <rFont val="宋体"/>
        <family val="3"/>
        <charset val="134"/>
      </rPr>
      <t>完整性</t>
    </r>
  </si>
  <si>
    <r>
      <rPr>
        <b/>
        <sz val="10"/>
        <rFont val="宋体"/>
        <family val="3"/>
        <charset val="134"/>
      </rPr>
      <t>权利和
义务</t>
    </r>
  </si>
  <si>
    <r>
      <rPr>
        <b/>
        <sz val="10"/>
        <rFont val="宋体"/>
        <family val="3"/>
        <charset val="134"/>
      </rPr>
      <t>准确性、计价和分摊</t>
    </r>
  </si>
  <si>
    <r>
      <rPr>
        <b/>
        <sz val="10"/>
        <rFont val="宋体"/>
        <family val="3"/>
        <charset val="134"/>
      </rPr>
      <t>列报</t>
    </r>
  </si>
  <si>
    <t>1</t>
  </si>
  <si>
    <r>
      <rPr>
        <sz val="10"/>
        <color theme="1"/>
        <rFont val="宋体"/>
        <family val="3"/>
        <charset val="134"/>
      </rPr>
      <t>获取或编制应付债券的明细表，完成以下工作，并编制审定表
（</t>
    </r>
    <r>
      <rPr>
        <sz val="10"/>
        <color theme="1"/>
        <rFont val="Arial Narrow"/>
        <family val="2"/>
      </rPr>
      <t>1</t>
    </r>
    <r>
      <rPr>
        <sz val="10"/>
        <color theme="1"/>
        <rFont val="宋体"/>
        <family val="3"/>
        <charset val="134"/>
      </rPr>
      <t>）复核加计是否正确，与总账、明细账合计数核对是否相符；
（</t>
    </r>
    <r>
      <rPr>
        <sz val="10"/>
        <color theme="1"/>
        <rFont val="Arial Narrow"/>
        <family val="2"/>
      </rPr>
      <t>2</t>
    </r>
    <r>
      <rPr>
        <sz val="10"/>
        <color theme="1"/>
        <rFont val="宋体"/>
        <family val="3"/>
        <charset val="134"/>
      </rPr>
      <t>）检查非记账本位币债务的折算汇率及折算金额是否正确，折算方法是否前后期一致；
（</t>
    </r>
    <r>
      <rPr>
        <sz val="10"/>
        <color theme="1"/>
        <rFont val="Arial Narrow"/>
        <family val="2"/>
      </rPr>
      <t>3</t>
    </r>
    <r>
      <rPr>
        <sz val="10"/>
        <color theme="1"/>
        <rFont val="宋体"/>
        <family val="3"/>
        <charset val="134"/>
      </rPr>
      <t>）确定流动负债和非流动负债的划分是否正确。</t>
    </r>
  </si>
  <si>
    <r>
      <rPr>
        <sz val="10"/>
        <color theme="1"/>
        <rFont val="宋体"/>
        <family val="3"/>
        <charset val="134"/>
      </rPr>
      <t>常规★</t>
    </r>
  </si>
  <si>
    <r>
      <rPr>
        <sz val="10"/>
        <color theme="1"/>
        <rFont val="宋体"/>
        <family val="3"/>
        <charset val="134"/>
      </rPr>
      <t>√</t>
    </r>
  </si>
  <si>
    <r>
      <rPr>
        <b/>
        <sz val="10"/>
        <color theme="1"/>
        <rFont val="宋体"/>
        <family val="3"/>
        <charset val="134"/>
      </rPr>
      <t>√</t>
    </r>
  </si>
  <si>
    <t>L4-1
/L4-2
/L4-3</t>
  </si>
  <si>
    <t>2</t>
  </si>
  <si>
    <r>
      <rPr>
        <sz val="10"/>
        <color theme="1"/>
        <rFont val="宋体"/>
        <family val="3"/>
        <charset val="134"/>
      </rPr>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r>
  </si>
  <si>
    <t>√</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</si>
  <si>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</si>
  <si>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</si>
  <si>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color theme="1"/>
        <rFont val="宋体"/>
        <family val="3"/>
        <charset val="134"/>
      </rPr>
      <t>对期初余额的审计，取得应付债券期初余额明细表复核加计是否正确，与总账、明细账合计数是否相符，检查上期应付债券在本期转销情况，函证期初余额以及其他必要追加的审计程序。</t>
    </r>
    <r>
      <rPr>
        <sz val="10"/>
        <color rgb="FFFF0000"/>
        <rFont val="宋体"/>
        <family val="3"/>
        <charset val="134"/>
      </rPr>
      <t>（适用于首次承接）</t>
    </r>
  </si>
  <si>
    <t>备选</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</si>
  <si>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</si>
  <si>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</si>
  <si>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检查本期发行的债券：
（1）对于本期发行的应付债券，检查债券发行申请和审批文件、银行单证、协议、募集说明书等支持性文件，确认发行的合法性、合规性及审批流程是否完整；
（2）复核面值、利息、到期日、抵押、规定的付息日及债务契约等关键或重要信息，确定债券的初始确认金额是否正确、会计处理是否正确。</t>
  </si>
  <si>
    <t>5</t>
  </si>
  <si>
    <t>后续计量：
（1）重新计算应付债券溢折价摊销、利息费用计提和债权余额，与账面金额进行核对，检查会计处理是否正确；
（2）结合存货、固定资产等循环审计，关注借款费用资本化是否恰当，资本化的处理是否符合规定，确认全部利息费用已正确区分为资本性支出和收益性支出，并已正确入账。</t>
  </si>
  <si>
    <t>L4-7
/L4-8</t>
  </si>
  <si>
    <t>6</t>
  </si>
  <si>
    <t>检查应付债券记账凭证与相关的支持性文件，确定原始凭证是否齐全、记账凭证与原始凭证是否相符以及账务处理是否正确。</t>
  </si>
  <si>
    <t>7</t>
  </si>
  <si>
    <r>
      <rPr>
        <sz val="10"/>
        <color theme="1"/>
        <rFont val="宋体"/>
        <family val="3"/>
        <charset val="134"/>
      </rPr>
      <t>考虑通过执行下列程序，关注是否存在违反债务协议条款或条件的情况：</t>
    </r>
    <r>
      <rPr>
        <sz val="10"/>
        <color theme="1"/>
        <rFont val="Arial Narrow"/>
        <family val="2"/>
      </rPr>
      <t xml:space="preserve"> 
</t>
    </r>
    <r>
      <rPr>
        <sz val="10"/>
        <color theme="1"/>
        <rFont val="宋体"/>
        <family val="3"/>
        <charset val="134"/>
      </rPr>
      <t>（</t>
    </r>
    <r>
      <rPr>
        <sz val="10"/>
        <color theme="1"/>
        <rFont val="Arial Narrow"/>
        <family val="2"/>
      </rPr>
      <t>1</t>
    </r>
    <r>
      <rPr>
        <sz val="10"/>
        <color theme="1"/>
        <rFont val="宋体"/>
        <family val="3"/>
        <charset val="134"/>
      </rPr>
      <t>）检查债务协议是否存在限定性或者违约条款；
（</t>
    </r>
    <r>
      <rPr>
        <sz val="10"/>
        <color theme="1"/>
        <rFont val="Arial Narrow"/>
        <family val="2"/>
      </rPr>
      <t>2</t>
    </r>
    <r>
      <rPr>
        <sz val="10"/>
        <color theme="1"/>
        <rFont val="宋体"/>
        <family val="3"/>
        <charset val="134"/>
      </rPr>
      <t>）检查函证的回函是否有存在不履约的证据，复核贷款信息的信函，诸如更改、免除及重要事件的通知；
（</t>
    </r>
    <r>
      <rPr>
        <sz val="10"/>
        <color theme="1"/>
        <rFont val="Arial Narrow"/>
        <family val="2"/>
      </rPr>
      <t>3</t>
    </r>
    <r>
      <rPr>
        <sz val="10"/>
        <color theme="1"/>
        <rFont val="宋体"/>
        <family val="3"/>
        <charset val="134"/>
      </rPr>
      <t>）如果存在有违反债务协议约定或者条款的情况：确定和记录任何额外执行的程序、违反相关协议的影响、违约行为是否影响我们对持续经营评价。</t>
    </r>
  </si>
  <si>
    <t>9</t>
  </si>
  <si>
    <t>对于可转换公司债券：
（1）获取发行文件，梳理对发行人的全部合同义务的约定条款；
（2）检查可转换公司债券的负债和权益成份分拆的会计处理是否正确，可转换公司债券持有人行使转换权利，将其持有的债券转为股票时其会计处理是否正确。
（3）根据或有结算条款和结算选择权、可回售工具或清算产生的义务等因素，判断被审计单位选取的会计分类是否符合企业会计准则的要求。</t>
  </si>
  <si>
    <r>
      <rPr>
        <sz val="10"/>
        <color theme="1"/>
        <rFont val="宋体"/>
        <family val="3"/>
        <charset val="134"/>
      </rPr>
      <t>备选</t>
    </r>
  </si>
  <si>
    <t>L5
/</t>
  </si>
  <si>
    <t>10</t>
  </si>
  <si>
    <t>必要时对应付债券向证券承销商、包销商或债券登记机构实施函证程序：
（1）以积极方式对应付债券进行函证，设计询证函、发函前核实被函证单位信息；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</si>
  <si>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L0</t>
  </si>
  <si>
    <t>11</t>
  </si>
  <si>
    <t>根据评估的舞弊风险等因素增加的审计程序。</t>
  </si>
  <si>
    <t>IPO/上市/新三板/重组/舞弊应对</t>
  </si>
  <si>
    <t>12</t>
  </si>
  <si>
    <t>检查应付债券是否已按企业会计准则或其他适用的规定在财务报表中做出恰当列报和披露。</t>
  </si>
  <si>
    <r>
      <rPr>
        <sz val="10"/>
        <rFont val="Arial Narrow"/>
        <family val="2"/>
      </rPr>
      <t>A1-1/</t>
    </r>
    <r>
      <rPr>
        <sz val="10"/>
        <color rgb="FFFF0000"/>
        <rFont val="Arial Narrow"/>
        <family val="2"/>
      </rPr>
      <t>A1-15 /A1-16</t>
    </r>
  </si>
  <si>
    <r>
      <rPr>
        <b/>
        <sz val="14"/>
        <rFont val="宋体"/>
        <family val="3"/>
        <charset val="134"/>
      </rPr>
      <t>应付债券附注披露信息</t>
    </r>
  </si>
  <si>
    <r>
      <rPr>
        <u/>
        <sz val="12"/>
        <color indexed="12"/>
        <rFont val="宋体"/>
        <family val="3"/>
        <charset val="134"/>
      </rPr>
      <t>返回目录</t>
    </r>
  </si>
  <si>
    <r>
      <rPr>
        <sz val="10"/>
        <rFont val="宋体"/>
        <family val="3"/>
        <charset val="134"/>
      </rPr>
      <t>页次：</t>
    </r>
  </si>
  <si>
    <r>
      <rPr>
        <b/>
        <sz val="12"/>
        <rFont val="宋体"/>
        <family val="3"/>
        <charset val="134"/>
      </rPr>
      <t>附注披露信息（上市公司）</t>
    </r>
  </si>
  <si>
    <r>
      <rPr>
        <b/>
        <sz val="12"/>
        <rFont val="宋体"/>
        <family val="3"/>
        <charset val="134"/>
      </rPr>
      <t>项</t>
    </r>
    <r>
      <rPr>
        <b/>
        <sz val="12"/>
        <rFont val="Arial Narrow"/>
        <family val="2"/>
      </rPr>
      <t xml:space="preserve">  </t>
    </r>
    <r>
      <rPr>
        <b/>
        <sz val="12"/>
        <rFont val="宋体"/>
        <family val="3"/>
        <charset val="134"/>
      </rPr>
      <t>目</t>
    </r>
  </si>
  <si>
    <r>
      <rPr>
        <b/>
        <sz val="12"/>
        <color rgb="FF000000"/>
        <rFont val="宋体"/>
        <family val="3"/>
        <charset val="134"/>
      </rPr>
      <t>期末余额</t>
    </r>
  </si>
  <si>
    <r>
      <rPr>
        <b/>
        <sz val="12"/>
        <color rgb="FF000000"/>
        <rFont val="宋体"/>
        <family val="3"/>
        <charset val="134"/>
      </rPr>
      <t>上年年末余额</t>
    </r>
  </si>
  <si>
    <r>
      <rPr>
        <b/>
        <sz val="12"/>
        <rFont val="宋体"/>
        <family val="3"/>
        <charset val="134"/>
      </rPr>
      <t>合</t>
    </r>
    <r>
      <rPr>
        <b/>
        <sz val="12"/>
        <rFont val="Arial Narrow"/>
        <family val="2"/>
      </rPr>
      <t xml:space="preserve">  </t>
    </r>
    <r>
      <rPr>
        <b/>
        <sz val="12"/>
        <rFont val="宋体"/>
        <family val="3"/>
        <charset val="134"/>
      </rPr>
      <t>计</t>
    </r>
  </si>
  <si>
    <r>
      <rPr>
        <sz val="12"/>
        <rFont val="宋体"/>
        <family val="3"/>
        <charset val="134"/>
      </rPr>
      <t>（</t>
    </r>
    <r>
      <rPr>
        <sz val="12"/>
        <rFont val="Arial Narrow"/>
        <family val="2"/>
      </rPr>
      <t>1</t>
    </r>
    <r>
      <rPr>
        <sz val="12"/>
        <rFont val="宋体"/>
        <family val="3"/>
        <charset val="134"/>
      </rPr>
      <t>）应付债券的增减变动</t>
    </r>
    <r>
      <rPr>
        <sz val="12"/>
        <color rgb="FF0000FF"/>
        <rFont val="宋体"/>
        <family val="3"/>
        <charset val="134"/>
      </rPr>
      <t>（不包括划分为金融负债的优先股、永续债等其他金融工具）</t>
    </r>
  </si>
  <si>
    <r>
      <rPr>
        <b/>
        <sz val="12"/>
        <rFont val="宋体"/>
        <family val="3"/>
        <charset val="134"/>
      </rPr>
      <t>债券名称</t>
    </r>
  </si>
  <si>
    <r>
      <rPr>
        <b/>
        <sz val="12"/>
        <rFont val="宋体"/>
        <family val="3"/>
        <charset val="134"/>
      </rPr>
      <t>面值</t>
    </r>
  </si>
  <si>
    <r>
      <rPr>
        <b/>
        <sz val="12"/>
        <rFont val="宋体"/>
        <family val="3"/>
        <charset val="134"/>
      </rPr>
      <t>票面利率</t>
    </r>
  </si>
  <si>
    <r>
      <rPr>
        <b/>
        <sz val="12"/>
        <rFont val="宋体"/>
        <family val="3"/>
        <charset val="134"/>
      </rPr>
      <t>发行日期</t>
    </r>
  </si>
  <si>
    <r>
      <rPr>
        <b/>
        <sz val="12"/>
        <rFont val="宋体"/>
        <family val="3"/>
        <charset val="134"/>
      </rPr>
      <t>债券期限</t>
    </r>
  </si>
  <si>
    <r>
      <rPr>
        <b/>
        <sz val="12"/>
        <rFont val="宋体"/>
        <family val="3"/>
        <charset val="134"/>
      </rPr>
      <t>发行金额</t>
    </r>
  </si>
  <si>
    <r>
      <rPr>
        <b/>
        <sz val="12"/>
        <rFont val="宋体"/>
        <family val="3"/>
        <charset val="134"/>
      </rPr>
      <t>小</t>
    </r>
    <r>
      <rPr>
        <b/>
        <sz val="12"/>
        <rFont val="Arial Narrow"/>
        <family val="2"/>
      </rPr>
      <t xml:space="preserve">  </t>
    </r>
    <r>
      <rPr>
        <b/>
        <sz val="12"/>
        <rFont val="宋体"/>
        <family val="3"/>
        <charset val="134"/>
      </rPr>
      <t>计</t>
    </r>
  </si>
  <si>
    <r>
      <rPr>
        <sz val="12"/>
        <rFont val="宋体"/>
        <family val="3"/>
        <charset val="134"/>
      </rPr>
      <t>应付债券（续）</t>
    </r>
  </si>
  <si>
    <r>
      <rPr>
        <b/>
        <sz val="12"/>
        <rFont val="宋体"/>
        <family val="3"/>
        <charset val="134"/>
      </rPr>
      <t>期初余额</t>
    </r>
  </si>
  <si>
    <r>
      <rPr>
        <b/>
        <sz val="12"/>
        <rFont val="宋体"/>
        <family val="3"/>
        <charset val="134"/>
      </rPr>
      <t>本期发行</t>
    </r>
  </si>
  <si>
    <r>
      <rPr>
        <b/>
        <sz val="12"/>
        <rFont val="宋体"/>
        <family val="3"/>
        <charset val="134"/>
      </rPr>
      <t>按面值计提利息</t>
    </r>
  </si>
  <si>
    <r>
      <rPr>
        <b/>
        <sz val="12"/>
        <rFont val="宋体"/>
        <family val="3"/>
        <charset val="134"/>
      </rPr>
      <t>溢折价摊销</t>
    </r>
  </si>
  <si>
    <r>
      <rPr>
        <b/>
        <sz val="12"/>
        <rFont val="宋体"/>
        <family val="3"/>
        <charset val="134"/>
      </rPr>
      <t>本期偿还</t>
    </r>
  </si>
  <si>
    <r>
      <rPr>
        <b/>
        <sz val="12"/>
        <rFont val="宋体"/>
        <family val="3"/>
        <charset val="134"/>
      </rPr>
      <t>期末余额</t>
    </r>
  </si>
  <si>
    <r>
      <rPr>
        <b/>
        <sz val="12"/>
        <rFont val="宋体"/>
        <family val="3"/>
        <charset val="134"/>
      </rPr>
      <t>是否违约</t>
    </r>
  </si>
  <si>
    <r>
      <rPr>
        <sz val="12"/>
        <color rgb="FF000000"/>
        <rFont val="宋体"/>
        <family val="3"/>
        <charset val="134"/>
      </rPr>
      <t>减：一年内到期的应付债券</t>
    </r>
  </si>
  <si>
    <r>
      <rPr>
        <b/>
        <sz val="12"/>
        <color rgb="FF000000"/>
        <rFont val="宋体"/>
        <family val="3"/>
        <charset val="134"/>
      </rPr>
      <t>合</t>
    </r>
    <r>
      <rPr>
        <b/>
        <sz val="12"/>
        <color rgb="FF000000"/>
        <rFont val="Arial Narrow"/>
        <family val="2"/>
      </rPr>
      <t xml:space="preserve">  </t>
    </r>
    <r>
      <rPr>
        <b/>
        <sz val="12"/>
        <color rgb="FF000000"/>
        <rFont val="宋体"/>
        <family val="3"/>
        <charset val="134"/>
      </rPr>
      <t>计</t>
    </r>
  </si>
  <si>
    <r>
      <rPr>
        <sz val="12"/>
        <rFont val="宋体"/>
        <family val="3"/>
        <charset val="134"/>
      </rPr>
      <t>（</t>
    </r>
    <r>
      <rPr>
        <sz val="12"/>
        <rFont val="Arial Narrow"/>
        <family val="2"/>
      </rPr>
      <t>2</t>
    </r>
    <r>
      <rPr>
        <sz val="12"/>
        <rFont val="宋体"/>
        <family val="3"/>
        <charset val="134"/>
      </rPr>
      <t>）可转换公司债券</t>
    </r>
  </si>
  <si>
    <r>
      <rPr>
        <sz val="12"/>
        <rFont val="宋体"/>
        <family val="3"/>
        <charset val="134"/>
      </rPr>
      <t>说明：</t>
    </r>
    <r>
      <rPr>
        <sz val="12"/>
        <color rgb="FF0000FF"/>
        <rFont val="宋体"/>
        <family val="3"/>
        <charset val="134"/>
      </rPr>
      <t>（披露可转换公司债券的转股条件、转股时间、转股权会计处理及相关判断依据等。（</t>
    </r>
    <r>
      <rPr>
        <sz val="12"/>
        <color rgb="FF0000FF"/>
        <rFont val="Arial Narrow"/>
        <family val="2"/>
      </rPr>
      <t>15</t>
    </r>
    <r>
      <rPr>
        <sz val="12"/>
        <color rgb="FF0000FF"/>
        <rFont val="宋体"/>
        <family val="3"/>
        <charset val="134"/>
      </rPr>
      <t>号文第二十条（十））</t>
    </r>
  </si>
  <si>
    <r>
      <rPr>
        <sz val="12"/>
        <color rgb="FFFF0000"/>
        <rFont val="宋体"/>
        <family val="3"/>
        <charset val="134"/>
      </rPr>
      <t>根据中国证券监督管理委员会证监发行字</t>
    </r>
    <r>
      <rPr>
        <sz val="12"/>
        <color rgb="FFFF0000"/>
        <rFont val="Arial Narrow"/>
        <family val="2"/>
      </rPr>
      <t>[201x]XX</t>
    </r>
    <r>
      <rPr>
        <sz val="12"/>
        <color rgb="FFFF0000"/>
        <rFont val="宋体"/>
        <family val="3"/>
        <charset val="134"/>
      </rPr>
      <t>号核准，本公司于</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日至</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日公开发行</t>
    </r>
    <r>
      <rPr>
        <sz val="12"/>
        <color rgb="FFFF0000"/>
        <rFont val="Arial Narrow"/>
        <family val="2"/>
      </rPr>
      <t>XX</t>
    </r>
    <r>
      <rPr>
        <sz val="12"/>
        <color rgb="FFFF0000"/>
        <rFont val="宋体"/>
        <family val="3"/>
        <charset val="134"/>
      </rPr>
      <t>份可转换公司债券，每份面值</t>
    </r>
    <r>
      <rPr>
        <sz val="12"/>
        <color rgb="FFFF0000"/>
        <rFont val="Arial Narrow"/>
        <family val="2"/>
      </rPr>
      <t>100</t>
    </r>
    <r>
      <rPr>
        <sz val="12"/>
        <color rgb="FFFF0000"/>
        <rFont val="宋体"/>
        <family val="3"/>
        <charset val="134"/>
      </rPr>
      <t>元，发行总额</t>
    </r>
    <r>
      <rPr>
        <sz val="12"/>
        <color rgb="FFFF0000"/>
        <rFont val="Arial Narrow"/>
        <family val="2"/>
      </rPr>
      <t>XXX</t>
    </r>
    <r>
      <rPr>
        <sz val="12"/>
        <color rgb="FFFF0000"/>
        <rFont val="宋体"/>
        <family val="3"/>
        <charset val="134"/>
      </rPr>
      <t>元，债券期限为</t>
    </r>
    <r>
      <rPr>
        <sz val="12"/>
        <color rgb="FFFF0000"/>
        <rFont val="Arial Narrow"/>
        <family val="2"/>
      </rPr>
      <t>X</t>
    </r>
    <r>
      <rPr>
        <sz val="12"/>
        <color rgb="FFFF0000"/>
        <rFont val="宋体"/>
        <family val="3"/>
        <charset val="134"/>
      </rPr>
      <t>年。</t>
    </r>
  </si>
  <si>
    <r>
      <rPr>
        <sz val="12"/>
        <color rgb="FFFF0000"/>
        <rFont val="宋体"/>
        <family val="3"/>
        <charset val="134"/>
      </rPr>
      <t>本公司发行的可转换公司债券的票面利率为</t>
    </r>
    <r>
      <rPr>
        <sz val="12"/>
        <color rgb="FFFF0000"/>
        <rFont val="Arial Narrow"/>
        <family val="2"/>
      </rPr>
      <t>X%</t>
    </r>
    <r>
      <rPr>
        <sz val="12"/>
        <color rgb="FFFF0000"/>
        <rFont val="宋体"/>
        <family val="3"/>
        <charset val="134"/>
      </rPr>
      <t>，利息按季支付，</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日为第一次派息日。转股期自发行之日起</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)X</t>
    </r>
    <r>
      <rPr>
        <sz val="12"/>
        <color rgb="FFFF0000"/>
        <rFont val="宋体"/>
        <family val="3"/>
        <charset val="134"/>
      </rPr>
      <t>个月后的第一个交易日</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起</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，至可转换公司债券到期日</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前一个交易日止</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。持有人可在转股期内申请转股。该转股权符合《企业会计准则第</t>
    </r>
    <r>
      <rPr>
        <sz val="12"/>
        <color rgb="FFFF0000"/>
        <rFont val="Arial Narrow"/>
        <family val="2"/>
      </rPr>
      <t>37</t>
    </r>
    <r>
      <rPr>
        <sz val="12"/>
        <color rgb="FFFF0000"/>
        <rFont val="宋体"/>
        <family val="3"/>
        <charset val="134"/>
      </rPr>
      <t>号</t>
    </r>
    <r>
      <rPr>
        <sz val="12"/>
        <color rgb="FFFF0000"/>
        <rFont val="Arial Narrow"/>
        <family val="2"/>
      </rPr>
      <t>——</t>
    </r>
    <r>
      <rPr>
        <sz val="12"/>
        <color rgb="FFFF0000"/>
        <rFont val="宋体"/>
        <family val="3"/>
        <charset val="134"/>
      </rPr>
      <t>金融工具列报》有关权益工具的定义，即满足</t>
    </r>
    <r>
      <rPr>
        <sz val="12"/>
        <color rgb="FFFF0000"/>
        <rFont val="Arial Narrow"/>
        <family val="2"/>
      </rPr>
      <t>“</t>
    </r>
    <r>
      <rPr>
        <sz val="12"/>
        <color rgb="FFFF0000"/>
        <rFont val="宋体"/>
        <family val="3"/>
        <charset val="134"/>
      </rPr>
      <t>固定换固定</t>
    </r>
    <r>
      <rPr>
        <sz val="12"/>
        <color rgb="FFFF0000"/>
        <rFont val="Arial Narrow"/>
        <family val="2"/>
      </rPr>
      <t>”</t>
    </r>
    <r>
      <rPr>
        <sz val="12"/>
        <color rgb="FFFF0000"/>
        <rFont val="宋体"/>
        <family val="3"/>
        <charset val="134"/>
      </rPr>
      <t>原则，本公司将其确认为一项权益工具（其他权益工具），并以发行价格减去不附认股权且其他条件相同的公司债券公允价值后的净额进行计量。</t>
    </r>
  </si>
  <si>
    <r>
      <rPr>
        <sz val="12"/>
        <color rgb="FFFF0000"/>
        <rFont val="宋体"/>
        <family val="3"/>
        <charset val="134"/>
      </rPr>
      <t>可转换公司债券发行时的初始转股价格为每股</t>
    </r>
    <r>
      <rPr>
        <sz val="12"/>
        <color rgb="FFFF0000"/>
        <rFont val="Arial Narrow"/>
        <family val="2"/>
      </rPr>
      <t>X</t>
    </r>
    <r>
      <rPr>
        <sz val="12"/>
        <color rgb="FFFF0000"/>
        <rFont val="宋体"/>
        <family val="3"/>
        <charset val="134"/>
      </rPr>
      <t>元，本公司在</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日实施</t>
    </r>
    <r>
      <rPr>
        <sz val="12"/>
        <color rgb="FFFF0000"/>
        <rFont val="Arial Narrow"/>
        <family val="2"/>
      </rPr>
      <t>202X</t>
    </r>
    <r>
      <rPr>
        <sz val="12"/>
        <color rgb="FFFF0000"/>
        <rFont val="宋体"/>
        <family val="3"/>
        <charset val="134"/>
      </rPr>
      <t>年度每股派发现金股息</t>
    </r>
    <r>
      <rPr>
        <sz val="12"/>
        <color rgb="FFFF0000"/>
        <rFont val="Arial Narrow"/>
        <family val="2"/>
      </rPr>
      <t>X</t>
    </r>
    <r>
      <rPr>
        <sz val="12"/>
        <color rgb="FFFF0000"/>
        <rFont val="宋体"/>
        <family val="3"/>
        <charset val="134"/>
      </rPr>
      <t>元及用资本公积每十股转增</t>
    </r>
    <r>
      <rPr>
        <sz val="12"/>
        <color rgb="FFFF0000"/>
        <rFont val="Arial Narrow"/>
        <family val="2"/>
      </rPr>
      <t>X</t>
    </r>
    <r>
      <rPr>
        <sz val="12"/>
        <color rgb="FFFF0000"/>
        <rFont val="宋体"/>
        <family val="3"/>
        <charset val="134"/>
      </rPr>
      <t>股的方案后，可转债初始转股价格相应调整为每股</t>
    </r>
    <r>
      <rPr>
        <sz val="12"/>
        <color rgb="FFFF0000"/>
        <rFont val="Arial Narrow"/>
        <family val="2"/>
      </rPr>
      <t>X</t>
    </r>
    <r>
      <rPr>
        <sz val="12"/>
        <color rgb="FFFF0000"/>
        <rFont val="宋体"/>
        <family val="3"/>
        <charset val="134"/>
      </rPr>
      <t>元。</t>
    </r>
  </si>
  <si>
    <r>
      <rPr>
        <sz val="12"/>
        <rFont val="宋体"/>
        <family val="3"/>
        <charset val="134"/>
      </rPr>
      <t>（</t>
    </r>
    <r>
      <rPr>
        <sz val="12"/>
        <rFont val="Arial Narrow"/>
        <family val="2"/>
      </rPr>
      <t>3</t>
    </r>
    <r>
      <rPr>
        <sz val="12"/>
        <rFont val="宋体"/>
        <family val="3"/>
        <charset val="134"/>
      </rPr>
      <t>）划分为金融负债的其他金融工具</t>
    </r>
  </si>
  <si>
    <r>
      <rPr>
        <sz val="12"/>
        <color rgb="FF0000FF"/>
        <rFont val="宋体"/>
        <family val="3"/>
        <charset val="134"/>
      </rPr>
      <t>【公司发行其他金融工具并划分为金融负债的，应分项披露其基本情况、期初余额、期末余额和本期增减变动情况，以及划分至金融负债的依据。】</t>
    </r>
  </si>
  <si>
    <r>
      <rPr>
        <sz val="12"/>
        <color rgb="FF0000FF"/>
        <rFont val="宋体"/>
        <family val="3"/>
        <charset val="134"/>
      </rPr>
      <t>期末发行在外的优先股、永续债等其他金融工具的基本情况：</t>
    </r>
  </si>
  <si>
    <r>
      <rPr>
        <sz val="12"/>
        <color rgb="FF0000FF"/>
        <rFont val="宋体"/>
        <family val="3"/>
        <charset val="134"/>
      </rPr>
      <t>参考披露格式：</t>
    </r>
  </si>
  <si>
    <r>
      <rPr>
        <b/>
        <sz val="12"/>
        <color rgb="FF0000FF"/>
        <rFont val="宋体"/>
        <family val="3"/>
        <charset val="134"/>
      </rPr>
      <t>发行在外的金融工具</t>
    </r>
  </si>
  <si>
    <r>
      <rPr>
        <b/>
        <sz val="12"/>
        <color rgb="FF0000FF"/>
        <rFont val="宋体"/>
        <family val="3"/>
        <charset val="134"/>
      </rPr>
      <t>发行时间</t>
    </r>
  </si>
  <si>
    <r>
      <rPr>
        <b/>
        <sz val="12"/>
        <color rgb="FF0000FF"/>
        <rFont val="宋体"/>
        <family val="3"/>
        <charset val="134"/>
      </rPr>
      <t>会计分类</t>
    </r>
  </si>
  <si>
    <r>
      <rPr>
        <b/>
        <sz val="12"/>
        <color rgb="FF0000FF"/>
        <rFont val="宋体"/>
        <family val="3"/>
        <charset val="134"/>
      </rPr>
      <t>股利率或利息率</t>
    </r>
  </si>
  <si>
    <r>
      <rPr>
        <b/>
        <sz val="12"/>
        <color rgb="FF0000FF"/>
        <rFont val="宋体"/>
        <family val="3"/>
        <charset val="134"/>
      </rPr>
      <t>发行价格</t>
    </r>
  </si>
  <si>
    <r>
      <rPr>
        <b/>
        <sz val="12"/>
        <color rgb="FF0000FF"/>
        <rFont val="宋体"/>
        <family val="3"/>
        <charset val="134"/>
      </rPr>
      <t>数量</t>
    </r>
  </si>
  <si>
    <r>
      <rPr>
        <b/>
        <sz val="12"/>
        <color rgb="FF0000FF"/>
        <rFont val="宋体"/>
        <family val="3"/>
        <charset val="134"/>
      </rPr>
      <t>金额</t>
    </r>
  </si>
  <si>
    <r>
      <rPr>
        <b/>
        <sz val="12"/>
        <color rgb="FF0000FF"/>
        <rFont val="宋体"/>
        <family val="3"/>
        <charset val="134"/>
      </rPr>
      <t>到期日或续期情况</t>
    </r>
  </si>
  <si>
    <r>
      <rPr>
        <b/>
        <sz val="12"/>
        <color rgb="FF0000FF"/>
        <rFont val="宋体"/>
        <family val="3"/>
        <charset val="134"/>
      </rPr>
      <t>转股条件</t>
    </r>
  </si>
  <si>
    <r>
      <rPr>
        <b/>
        <sz val="12"/>
        <color rgb="FF0000FF"/>
        <rFont val="宋体"/>
        <family val="3"/>
        <charset val="134"/>
      </rPr>
      <t>转换情况</t>
    </r>
  </si>
  <si>
    <r>
      <rPr>
        <sz val="12"/>
        <color rgb="FF0000FF"/>
        <rFont val="宋体"/>
        <family val="3"/>
        <charset val="134"/>
      </rPr>
      <t>可无限加行</t>
    </r>
  </si>
  <si>
    <r>
      <rPr>
        <b/>
        <sz val="12"/>
        <color rgb="FF0000FF"/>
        <rFont val="宋体"/>
        <family val="3"/>
        <charset val="134"/>
      </rPr>
      <t>合计</t>
    </r>
  </si>
  <si>
    <r>
      <rPr>
        <sz val="12"/>
        <color rgb="FF0000FF"/>
        <rFont val="宋体"/>
        <family val="3"/>
        <charset val="134"/>
      </rPr>
      <t>【提示：</t>
    </r>
  </si>
  <si>
    <r>
      <rPr>
        <sz val="12"/>
        <color rgb="FF0000FF"/>
        <rFont val="Arial Narrow"/>
        <family val="2"/>
      </rPr>
      <t>1</t>
    </r>
    <r>
      <rPr>
        <sz val="12"/>
        <color rgb="FF0000FF"/>
        <rFont val="宋体"/>
        <family val="3"/>
        <charset val="134"/>
      </rPr>
      <t>、</t>
    </r>
    <r>
      <rPr>
        <sz val="12"/>
        <color rgb="FF0000FF"/>
        <rFont val="Arial Narrow"/>
        <family val="2"/>
      </rPr>
      <t>“</t>
    </r>
    <r>
      <rPr>
        <sz val="12"/>
        <color rgb="FF0000FF"/>
        <rFont val="宋体"/>
        <family val="3"/>
        <charset val="134"/>
      </rPr>
      <t>会计分类</t>
    </r>
    <r>
      <rPr>
        <sz val="12"/>
        <color rgb="FF0000FF"/>
        <rFont val="Arial Narrow"/>
        <family val="2"/>
      </rPr>
      <t>”</t>
    </r>
    <r>
      <rPr>
        <sz val="12"/>
        <color rgb="FF0000FF"/>
        <rFont val="宋体"/>
        <family val="3"/>
        <charset val="134"/>
      </rPr>
      <t>栏应填写</t>
    </r>
    <r>
      <rPr>
        <sz val="12"/>
        <color rgb="FF0000FF"/>
        <rFont val="Arial Narrow"/>
        <family val="2"/>
      </rPr>
      <t>“</t>
    </r>
    <r>
      <rPr>
        <sz val="12"/>
        <color rgb="FF0000FF"/>
        <rFont val="宋体"/>
        <family val="3"/>
        <charset val="134"/>
      </rPr>
      <t>金融负债</t>
    </r>
    <r>
      <rPr>
        <sz val="12"/>
        <color rgb="FF0000FF"/>
        <rFont val="Arial Narrow"/>
        <family val="2"/>
      </rPr>
      <t>”</t>
    </r>
    <r>
      <rPr>
        <sz val="12"/>
        <color rgb="FF0000FF"/>
        <rFont val="宋体"/>
        <family val="3"/>
        <charset val="134"/>
      </rPr>
      <t>、</t>
    </r>
    <r>
      <rPr>
        <sz val="12"/>
        <color rgb="FF0000FF"/>
        <rFont val="Arial Narrow"/>
        <family val="2"/>
      </rPr>
      <t>“</t>
    </r>
    <r>
      <rPr>
        <sz val="12"/>
        <color rgb="FF0000FF"/>
        <rFont val="宋体"/>
        <family val="3"/>
        <charset val="134"/>
      </rPr>
      <t>权益工具</t>
    </r>
    <r>
      <rPr>
        <sz val="12"/>
        <color rgb="FF0000FF"/>
        <rFont val="Arial Narrow"/>
        <family val="2"/>
      </rPr>
      <t>”</t>
    </r>
    <r>
      <rPr>
        <sz val="12"/>
        <color rgb="FF0000FF"/>
        <rFont val="宋体"/>
        <family val="3"/>
        <charset val="134"/>
      </rPr>
      <t>或</t>
    </r>
    <r>
      <rPr>
        <sz val="12"/>
        <color rgb="FF0000FF"/>
        <rFont val="Arial Narrow"/>
        <family val="2"/>
      </rPr>
      <t>“</t>
    </r>
    <r>
      <rPr>
        <sz val="12"/>
        <color rgb="FF0000FF"/>
        <rFont val="宋体"/>
        <family val="3"/>
        <charset val="134"/>
      </rPr>
      <t>复合金融工具</t>
    </r>
    <r>
      <rPr>
        <sz val="12"/>
        <color rgb="FF0000FF"/>
        <rFont val="Arial Narrow"/>
        <family val="2"/>
      </rPr>
      <t>”</t>
    </r>
    <r>
      <rPr>
        <sz val="12"/>
        <color rgb="FF0000FF"/>
        <rFont val="宋体"/>
        <family val="3"/>
        <charset val="134"/>
      </rPr>
      <t>等，对于整体指定以公允价值计量且其变动计入当期损益的金融负债，在</t>
    </r>
    <r>
      <rPr>
        <sz val="12"/>
        <color rgb="FF0000FF"/>
        <rFont val="Arial Narrow"/>
        <family val="2"/>
      </rPr>
      <t>“</t>
    </r>
    <r>
      <rPr>
        <sz val="12"/>
        <color rgb="FF0000FF"/>
        <rFont val="宋体"/>
        <family val="3"/>
        <charset val="134"/>
      </rPr>
      <t>会计分类</t>
    </r>
    <r>
      <rPr>
        <sz val="12"/>
        <color rgb="FF0000FF"/>
        <rFont val="Arial Narrow"/>
        <family val="2"/>
      </rPr>
      <t>”</t>
    </r>
    <r>
      <rPr>
        <sz val="12"/>
        <color rgb="FF0000FF"/>
        <rFont val="宋体"/>
        <family val="3"/>
        <charset val="134"/>
      </rPr>
      <t>栏中只需注明</t>
    </r>
    <r>
      <rPr>
        <sz val="12"/>
        <color rgb="FF0000FF"/>
        <rFont val="Arial Narrow"/>
        <family val="2"/>
      </rPr>
      <t>“</t>
    </r>
    <r>
      <rPr>
        <sz val="12"/>
        <color rgb="FF0000FF"/>
        <rFont val="宋体"/>
        <family val="3"/>
        <charset val="134"/>
      </rPr>
      <t>整体指定</t>
    </r>
    <r>
      <rPr>
        <sz val="12"/>
        <color rgb="FF0000FF"/>
        <rFont val="Arial Narrow"/>
        <family val="2"/>
      </rPr>
      <t>”</t>
    </r>
    <r>
      <rPr>
        <sz val="12"/>
        <color rgb="FF0000FF"/>
        <rFont val="宋体"/>
        <family val="3"/>
        <charset val="134"/>
      </rPr>
      <t>即可。</t>
    </r>
  </si>
  <si>
    <r>
      <rPr>
        <sz val="12"/>
        <color rgb="FF0000FF"/>
        <rFont val="Arial Narrow"/>
        <family val="2"/>
      </rPr>
      <t>2</t>
    </r>
    <r>
      <rPr>
        <sz val="12"/>
        <color rgb="FF0000FF"/>
        <rFont val="宋体"/>
        <family val="3"/>
        <charset val="134"/>
      </rPr>
      <t>、</t>
    </r>
    <r>
      <rPr>
        <sz val="12"/>
        <color rgb="FF0000FF"/>
        <rFont val="Arial Narrow"/>
        <family val="2"/>
      </rPr>
      <t>“</t>
    </r>
    <r>
      <rPr>
        <sz val="12"/>
        <color rgb="FF0000FF"/>
        <rFont val="宋体"/>
        <family val="3"/>
        <charset val="134"/>
      </rPr>
      <t>转股条件</t>
    </r>
    <r>
      <rPr>
        <sz val="12"/>
        <color rgb="FF0000FF"/>
        <rFont val="Arial Narrow"/>
        <family val="2"/>
      </rPr>
      <t>”</t>
    </r>
    <r>
      <rPr>
        <sz val="12"/>
        <color rgb="FF0000FF"/>
        <rFont val="宋体"/>
        <family val="3"/>
        <charset val="134"/>
      </rPr>
      <t>栏应当披露合同中是否包含强制转股、自愿转股等条款。</t>
    </r>
    <r>
      <rPr>
        <sz val="12"/>
        <color rgb="FF0000FF"/>
        <rFont val="Arial Narrow"/>
        <family val="2"/>
      </rPr>
      <t xml:space="preserve"> </t>
    </r>
  </si>
  <si>
    <r>
      <rPr>
        <sz val="12"/>
        <color rgb="FF0000FF"/>
        <rFont val="Arial Narrow"/>
        <family val="2"/>
      </rPr>
      <t>3</t>
    </r>
    <r>
      <rPr>
        <sz val="12"/>
        <color rgb="FF0000FF"/>
        <rFont val="宋体"/>
        <family val="3"/>
        <charset val="134"/>
      </rPr>
      <t>、</t>
    </r>
    <r>
      <rPr>
        <sz val="12"/>
        <color rgb="FF0000FF"/>
        <rFont val="Arial Narrow"/>
        <family val="2"/>
      </rPr>
      <t>“</t>
    </r>
    <r>
      <rPr>
        <sz val="12"/>
        <color rgb="FF0000FF"/>
        <rFont val="宋体"/>
        <family val="3"/>
        <charset val="134"/>
      </rPr>
      <t>金额</t>
    </r>
    <r>
      <rPr>
        <sz val="12"/>
        <color rgb="FF0000FF"/>
        <rFont val="Arial Narrow"/>
        <family val="2"/>
      </rPr>
      <t>”</t>
    </r>
    <r>
      <rPr>
        <sz val="12"/>
        <color rgb="FF0000FF"/>
        <rFont val="宋体"/>
        <family val="3"/>
        <charset val="134"/>
      </rPr>
      <t>栏以发行价格乘以发行数量填列。】</t>
    </r>
  </si>
  <si>
    <r>
      <rPr>
        <sz val="12"/>
        <rFont val="宋体"/>
        <family val="3"/>
        <charset val="134"/>
      </rPr>
      <t>说明：</t>
    </r>
  </si>
  <si>
    <r>
      <rPr>
        <sz val="12"/>
        <color rgb="FF0000FF"/>
        <rFont val="宋体"/>
        <family val="3"/>
        <charset val="134"/>
      </rPr>
      <t>①工具</t>
    </r>
    <r>
      <rPr>
        <sz val="12"/>
        <color rgb="FF0000FF"/>
        <rFont val="Arial Narrow"/>
        <family val="2"/>
      </rPr>
      <t>1</t>
    </r>
    <r>
      <rPr>
        <sz val="12"/>
        <color rgb="FF0000FF"/>
        <rFont val="宋体"/>
        <family val="3"/>
        <charset val="134"/>
      </rPr>
      <t>的主要条款说明以及利息的设定机制：</t>
    </r>
    <r>
      <rPr>
        <sz val="12"/>
        <color rgb="FF0000FF"/>
        <rFont val="Arial Narrow"/>
        <family val="2"/>
      </rPr>
      <t xml:space="preserve"> </t>
    </r>
  </si>
  <si>
    <r>
      <rPr>
        <sz val="12"/>
        <color rgb="FF0000FF"/>
        <rFont val="宋体"/>
        <family val="3"/>
        <charset val="134"/>
      </rPr>
      <t>【包括本金是否可赎回，企业是否有权自主决定股利或利息支付政策，是否可转换为普通股以及发行合同关于转股价格或数量的约定等其他影响该类工具会计分类的重要特征。】</t>
    </r>
    <r>
      <rPr>
        <sz val="12"/>
        <color rgb="FF0000FF"/>
        <rFont val="Arial Narrow"/>
        <family val="2"/>
      </rPr>
      <t xml:space="preserve"> </t>
    </r>
  </si>
  <si>
    <r>
      <rPr>
        <sz val="12"/>
        <color rgb="FF0000FF"/>
        <rFont val="宋体"/>
        <family val="3"/>
        <charset val="134"/>
      </rPr>
      <t>②工具</t>
    </r>
    <r>
      <rPr>
        <sz val="12"/>
        <color rgb="FF0000FF"/>
        <rFont val="Arial Narrow"/>
        <family val="2"/>
      </rPr>
      <t>2</t>
    </r>
    <r>
      <rPr>
        <sz val="12"/>
        <color rgb="FF0000FF"/>
        <rFont val="宋体"/>
        <family val="3"/>
        <charset val="134"/>
      </rPr>
      <t>的主要条款说明以及利息的设定机制：</t>
    </r>
    <r>
      <rPr>
        <sz val="12"/>
        <color rgb="FF0000FF"/>
        <rFont val="Arial Narrow"/>
        <family val="2"/>
      </rPr>
      <t xml:space="preserve"> </t>
    </r>
  </si>
  <si>
    <t>……</t>
  </si>
  <si>
    <r>
      <rPr>
        <sz val="12"/>
        <color rgb="FF0000FF"/>
        <rFont val="宋体"/>
        <family val="3"/>
        <charset val="134"/>
      </rPr>
      <t>【如果企业受特定监管规则约束，还需披露该金融工具是否被相关监管部门认定为合格的监管资本以及对本企业监管资本水平的影响。】</t>
    </r>
  </si>
  <si>
    <r>
      <rPr>
        <sz val="12"/>
        <rFont val="宋体"/>
        <family val="3"/>
        <charset val="134"/>
      </rPr>
      <t>期末发行在外的优先股、永续债等其他金融工具变动情况表：</t>
    </r>
  </si>
  <si>
    <r>
      <rPr>
        <b/>
        <sz val="12"/>
        <color rgb="FF000000"/>
        <rFont val="宋体"/>
        <family val="3"/>
        <charset val="134"/>
      </rPr>
      <t>发行在外的金融工具</t>
    </r>
  </si>
  <si>
    <r>
      <rPr>
        <b/>
        <sz val="12"/>
        <color rgb="FF000000"/>
        <rFont val="宋体"/>
        <family val="3"/>
        <charset val="134"/>
      </rPr>
      <t>期初余额</t>
    </r>
  </si>
  <si>
    <r>
      <rPr>
        <b/>
        <sz val="12"/>
        <color rgb="FF000000"/>
        <rFont val="宋体"/>
        <family val="3"/>
        <charset val="134"/>
      </rPr>
      <t>本期增加</t>
    </r>
  </si>
  <si>
    <r>
      <rPr>
        <b/>
        <sz val="12"/>
        <color rgb="FF000000"/>
        <rFont val="宋体"/>
        <family val="3"/>
        <charset val="134"/>
      </rPr>
      <t>本期减少</t>
    </r>
  </si>
  <si>
    <r>
      <rPr>
        <b/>
        <sz val="12"/>
        <color rgb="FF000000"/>
        <rFont val="宋体"/>
        <family val="3"/>
        <charset val="134"/>
      </rPr>
      <t>数量</t>
    </r>
  </si>
  <si>
    <r>
      <rPr>
        <b/>
        <sz val="12"/>
        <color rgb="FF000000"/>
        <rFont val="宋体"/>
        <family val="3"/>
        <charset val="134"/>
      </rPr>
      <t>账面价值</t>
    </r>
  </si>
  <si>
    <r>
      <rPr>
        <sz val="12"/>
        <rFont val="宋体"/>
        <family val="3"/>
        <charset val="134"/>
      </rPr>
      <t>说明</t>
    </r>
    <r>
      <rPr>
        <sz val="12"/>
        <color rgb="FF0000FF"/>
        <rFont val="宋体"/>
        <family val="3"/>
        <charset val="134"/>
      </rPr>
      <t>：划分至金融负债的依据。</t>
    </r>
  </si>
  <si>
    <r>
      <rPr>
        <b/>
        <sz val="12"/>
        <rFont val="宋体"/>
        <family val="3"/>
        <charset val="134"/>
      </rPr>
      <t>附注披露信息（国企）</t>
    </r>
  </si>
  <si>
    <r>
      <rPr>
        <b/>
        <sz val="12"/>
        <rFont val="宋体"/>
        <family val="3"/>
        <charset val="134"/>
      </rPr>
      <t>年初应付利息</t>
    </r>
  </si>
  <si>
    <r>
      <rPr>
        <b/>
        <sz val="12"/>
        <rFont val="宋体"/>
        <family val="3"/>
        <charset val="134"/>
      </rPr>
      <t>本期应计利息</t>
    </r>
  </si>
  <si>
    <r>
      <rPr>
        <b/>
        <sz val="12"/>
        <rFont val="宋体"/>
        <family val="3"/>
        <charset val="134"/>
      </rPr>
      <t>本期已付利息</t>
    </r>
  </si>
  <si>
    <r>
      <rPr>
        <b/>
        <sz val="12"/>
        <rFont val="宋体"/>
        <family val="3"/>
        <charset val="134"/>
      </rPr>
      <t>期末应付利息</t>
    </r>
  </si>
  <si>
    <r>
      <rPr>
        <b/>
        <sz val="12"/>
        <rFont val="宋体"/>
        <family val="3"/>
        <charset val="134"/>
      </rPr>
      <t>小计</t>
    </r>
  </si>
  <si>
    <t>—</t>
  </si>
  <si>
    <r>
      <rPr>
        <b/>
        <sz val="12"/>
        <rFont val="宋体"/>
        <family val="3"/>
        <charset val="134"/>
      </rPr>
      <t>合计</t>
    </r>
  </si>
  <si>
    <r>
      <rPr>
        <sz val="12"/>
        <color rgb="FF0000FF"/>
        <rFont val="宋体"/>
        <family val="3"/>
        <charset val="134"/>
      </rPr>
      <t>注：企业需说明可转换公司债券的转股条件、转股时间等情况。</t>
    </r>
  </si>
  <si>
    <r>
      <rPr>
        <sz val="12"/>
        <color rgb="FFFF0000"/>
        <rFont val="宋体"/>
        <family val="3"/>
        <charset val="134"/>
      </rPr>
      <t>【根据中国证券监督管理委员会证监发行字</t>
    </r>
    <r>
      <rPr>
        <sz val="12"/>
        <color rgb="FFFF0000"/>
        <rFont val="Arial Narrow"/>
        <family val="2"/>
      </rPr>
      <t>[200x]XX</t>
    </r>
    <r>
      <rPr>
        <sz val="12"/>
        <color rgb="FFFF0000"/>
        <rFont val="宋体"/>
        <family val="3"/>
        <charset val="134"/>
      </rPr>
      <t>号核准，本公司于</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日至</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日公开发行</t>
    </r>
    <r>
      <rPr>
        <sz val="12"/>
        <color rgb="FFFF0000"/>
        <rFont val="Arial Narrow"/>
        <family val="2"/>
      </rPr>
      <t>XX</t>
    </r>
    <r>
      <rPr>
        <sz val="12"/>
        <color rgb="FFFF0000"/>
        <rFont val="宋体"/>
        <family val="3"/>
        <charset val="134"/>
      </rPr>
      <t>份可转换公司债券，每份面值</t>
    </r>
    <r>
      <rPr>
        <sz val="12"/>
        <color rgb="FFFF0000"/>
        <rFont val="Arial Narrow"/>
        <family val="2"/>
      </rPr>
      <t>100</t>
    </r>
    <r>
      <rPr>
        <sz val="12"/>
        <color rgb="FFFF0000"/>
        <rFont val="宋体"/>
        <family val="3"/>
        <charset val="134"/>
      </rPr>
      <t>元，发行总额</t>
    </r>
    <r>
      <rPr>
        <sz val="12"/>
        <color rgb="FFFF0000"/>
        <rFont val="Arial Narrow"/>
        <family val="2"/>
      </rPr>
      <t>XXX</t>
    </r>
    <r>
      <rPr>
        <sz val="12"/>
        <color rgb="FFFF0000"/>
        <rFont val="宋体"/>
        <family val="3"/>
        <charset val="134"/>
      </rPr>
      <t>元，债券期限为</t>
    </r>
    <r>
      <rPr>
        <sz val="12"/>
        <color rgb="FFFF0000"/>
        <rFont val="Arial Narrow"/>
        <family val="2"/>
      </rPr>
      <t>X</t>
    </r>
    <r>
      <rPr>
        <sz val="12"/>
        <color rgb="FFFF0000"/>
        <rFont val="宋体"/>
        <family val="3"/>
        <charset val="134"/>
      </rPr>
      <t>年。</t>
    </r>
  </si>
  <si>
    <r>
      <rPr>
        <sz val="12"/>
        <color rgb="FFFF0000"/>
        <rFont val="宋体"/>
        <family val="3"/>
        <charset val="134"/>
      </rPr>
      <t>本公司发行的可转换公司债券的票面利率为</t>
    </r>
    <r>
      <rPr>
        <sz val="12"/>
        <color rgb="FFFF0000"/>
        <rFont val="Arial Narrow"/>
        <family val="2"/>
      </rPr>
      <t>X%</t>
    </r>
    <r>
      <rPr>
        <sz val="12"/>
        <color rgb="FFFF0000"/>
        <rFont val="宋体"/>
        <family val="3"/>
        <charset val="134"/>
      </rPr>
      <t>，利息按季支付，</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日为第一次派息日。转股期自发行之日起</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)X</t>
    </r>
    <r>
      <rPr>
        <sz val="12"/>
        <color rgb="FFFF0000"/>
        <rFont val="宋体"/>
        <family val="3"/>
        <charset val="134"/>
      </rPr>
      <t>个月后的第一个交易日</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起</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，至可转换公司债券到期日</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前一个交易日止</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。持有人可在转股期内申请转股。</t>
    </r>
  </si>
  <si>
    <r>
      <rPr>
        <sz val="12"/>
        <color rgb="FFFF0000"/>
        <rFont val="宋体"/>
        <family val="3"/>
        <charset val="134"/>
      </rPr>
      <t>可转换公司债券发行时的初始转股价格为每股人民币</t>
    </r>
    <r>
      <rPr>
        <sz val="12"/>
        <color rgb="FFFF0000"/>
        <rFont val="Arial Narrow"/>
        <family val="2"/>
      </rPr>
      <t>X</t>
    </r>
    <r>
      <rPr>
        <sz val="12"/>
        <color rgb="FFFF0000"/>
        <rFont val="宋体"/>
        <family val="3"/>
        <charset val="134"/>
      </rPr>
      <t>元，本公司在</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日实施</t>
    </r>
    <r>
      <rPr>
        <sz val="12"/>
        <color rgb="FFFF0000"/>
        <rFont val="Arial Narrow"/>
        <family val="2"/>
      </rPr>
      <t>200X</t>
    </r>
    <r>
      <rPr>
        <sz val="12"/>
        <color rgb="FFFF0000"/>
        <rFont val="宋体"/>
        <family val="3"/>
        <charset val="134"/>
      </rPr>
      <t>年度每股派发现金股息人民币</t>
    </r>
    <r>
      <rPr>
        <sz val="12"/>
        <color rgb="FFFF0000"/>
        <rFont val="Arial Narrow"/>
        <family val="2"/>
      </rPr>
      <t>X</t>
    </r>
    <r>
      <rPr>
        <sz val="12"/>
        <color rgb="FFFF0000"/>
        <rFont val="宋体"/>
        <family val="3"/>
        <charset val="134"/>
      </rPr>
      <t>元及用资本公积每十股转增</t>
    </r>
    <r>
      <rPr>
        <sz val="12"/>
        <color rgb="FFFF0000"/>
        <rFont val="Arial Narrow"/>
        <family val="2"/>
      </rPr>
      <t>X</t>
    </r>
    <r>
      <rPr>
        <sz val="12"/>
        <color rgb="FFFF0000"/>
        <rFont val="宋体"/>
        <family val="3"/>
        <charset val="134"/>
      </rPr>
      <t>股的方案后，可转债初始转股价格相应调整为每股人民币</t>
    </r>
    <r>
      <rPr>
        <sz val="12"/>
        <color rgb="FFFF0000"/>
        <rFont val="Arial Narrow"/>
        <family val="2"/>
      </rPr>
      <t>X</t>
    </r>
    <r>
      <rPr>
        <sz val="12"/>
        <color rgb="FFFF0000"/>
        <rFont val="宋体"/>
        <family val="3"/>
        <charset val="134"/>
      </rPr>
      <t>元。</t>
    </r>
    <r>
      <rPr>
        <b/>
        <sz val="12"/>
        <color rgb="FFFF0000"/>
        <rFont val="宋体"/>
        <family val="3"/>
        <charset val="134"/>
      </rPr>
      <t>】</t>
    </r>
  </si>
  <si>
    <r>
      <rPr>
        <b/>
        <sz val="12"/>
        <color rgb="FF000000"/>
        <rFont val="宋体"/>
        <family val="3"/>
        <charset val="134"/>
      </rPr>
      <t>期初数</t>
    </r>
  </si>
  <si>
    <r>
      <rPr>
        <b/>
        <sz val="12"/>
        <color rgb="FF000000"/>
        <rFont val="宋体"/>
        <family val="3"/>
        <charset val="134"/>
      </rPr>
      <t>期末数</t>
    </r>
  </si>
  <si>
    <t>索引：</t>
  </si>
  <si>
    <t>页次：</t>
  </si>
  <si>
    <r>
      <rPr>
        <b/>
        <sz val="10"/>
        <rFont val="宋体"/>
        <family val="3"/>
        <charset val="134"/>
      </rPr>
      <t>项目</t>
    </r>
  </si>
  <si>
    <r>
      <rPr>
        <b/>
        <sz val="10"/>
        <rFont val="宋体"/>
        <family val="3"/>
        <charset val="134"/>
      </rPr>
      <t>合计</t>
    </r>
  </si>
  <si>
    <t>致同会计师事务所</t>
  </si>
  <si>
    <t>应付债券明细表(未审数)</t>
  </si>
  <si>
    <t>应付债券明细表(审计调整)</t>
  </si>
  <si>
    <t>应付债券明细表(审定数)</t>
  </si>
  <si>
    <t>返回目录</t>
  </si>
  <si>
    <t>索引号：</t>
  </si>
  <si>
    <r>
      <rPr>
        <b/>
        <sz val="10"/>
        <rFont val="宋体"/>
        <family val="3"/>
        <charset val="134"/>
      </rPr>
      <t>一、审计目标</t>
    </r>
    <r>
      <rPr>
        <b/>
        <sz val="10"/>
        <rFont val="Arial Narrow"/>
        <family val="2"/>
      </rPr>
      <t>:</t>
    </r>
  </si>
  <si>
    <r>
      <rPr>
        <sz val="10"/>
        <rFont val="Arial Narrow"/>
        <family val="2"/>
      </rPr>
      <t>1.</t>
    </r>
    <r>
      <rPr>
        <sz val="10"/>
        <rFont val="宋体"/>
        <family val="3"/>
        <charset val="134"/>
      </rPr>
      <t>资产负债表中记录的应付债券是存在的，且已经记录在恰当的账户中；</t>
    </r>
  </si>
  <si>
    <r>
      <rPr>
        <sz val="10"/>
        <rFont val="Arial Narrow"/>
        <family val="2"/>
      </rPr>
      <t xml:space="preserve">2. </t>
    </r>
    <r>
      <rPr>
        <sz val="10"/>
        <rFont val="宋体"/>
        <family val="3"/>
        <charset val="134"/>
      </rPr>
      <t>所有应记录的短期借款均已记录，所有应当包括在财务报表中的相关披露均已包括；</t>
    </r>
  </si>
  <si>
    <r>
      <rPr>
        <sz val="10"/>
        <rFont val="Arial Narrow"/>
        <family val="2"/>
      </rPr>
      <t>3.</t>
    </r>
    <r>
      <rPr>
        <sz val="10"/>
        <rFont val="宋体"/>
        <family val="3"/>
        <charset val="134"/>
      </rPr>
      <t>应付债券以恰当的金额包括在财务报表中，与之相关的计价或分摊调整已恰当记录，相关披露已得到恰当计量和描述</t>
    </r>
  </si>
  <si>
    <t>二、审计过程：</t>
  </si>
  <si>
    <t>获取发行文件，梳理对发行人的全部合同义务的约定条款；根据或有结算条款和结算选择权、可回售工具或清算产生的义务等因素，判断被审计单位选取的会计分类是否符合企业会计准则的要求；考虑是否需要对复合型金融产品各成分的拆分；如果发现会计分类方面的重大差异，应与管理层沟通，并执行其他补充审计程序。</t>
  </si>
  <si>
    <t>债券名称</t>
  </si>
  <si>
    <t>债券期限</t>
  </si>
  <si>
    <t>票面利率</t>
  </si>
  <si>
    <t>面值</t>
  </si>
  <si>
    <t>发行金额</t>
  </si>
  <si>
    <t>是否违约</t>
  </si>
  <si>
    <t>初始溢(折)价额</t>
  </si>
  <si>
    <t>可转换公司债券</t>
  </si>
  <si>
    <t>起息日</t>
  </si>
  <si>
    <t>到期日</t>
  </si>
  <si>
    <t>期限</t>
  </si>
  <si>
    <t>转股条件</t>
  </si>
  <si>
    <t>转股时间</t>
  </si>
  <si>
    <t>减：一年内到期的应付债券</t>
  </si>
  <si>
    <t>最终审定数</t>
  </si>
  <si>
    <t>（一）普通应付债券</t>
  </si>
  <si>
    <r>
      <rPr>
        <b/>
        <sz val="10"/>
        <rFont val="宋体"/>
        <family val="3"/>
        <charset val="134"/>
      </rPr>
      <t>小计</t>
    </r>
  </si>
  <si>
    <t>--</t>
  </si>
  <si>
    <t>（二）可转换/可交换公司债券</t>
  </si>
  <si>
    <t>小计</t>
  </si>
  <si>
    <t>合计</t>
  </si>
  <si>
    <t>三、审计说明：</t>
  </si>
  <si>
    <t>四、审计结论：</t>
  </si>
  <si>
    <t>提示：</t>
  </si>
  <si>
    <t>1、本科目核算企业为筹集（长期）资金而发行债券的本金和利息。企业发行的可转换公司债券，应将负债和权益成份进行分拆。分拆后形成的负债成份在本科目核算。</t>
  </si>
  <si>
    <t>2、含一年内到期的应付债券。</t>
  </si>
  <si>
    <r>
      <rPr>
        <sz val="10"/>
        <color indexed="12"/>
        <rFont val="宋体"/>
        <family val="3"/>
        <charset val="134"/>
      </rPr>
      <t>3、如新发行债券，应在</t>
    </r>
    <r>
      <rPr>
        <sz val="10"/>
        <color indexed="12"/>
        <rFont val="Arial Narrow"/>
        <family val="2"/>
      </rPr>
      <t>“</t>
    </r>
    <r>
      <rPr>
        <sz val="10"/>
        <color indexed="12"/>
        <rFont val="宋体"/>
        <family val="3"/>
        <charset val="134"/>
      </rPr>
      <t>备注</t>
    </r>
    <r>
      <rPr>
        <sz val="10"/>
        <color indexed="12"/>
        <rFont val="Arial Narrow"/>
        <family val="2"/>
      </rPr>
      <t>”</t>
    </r>
    <r>
      <rPr>
        <sz val="10"/>
        <color indexed="12"/>
        <rFont val="宋体"/>
        <family val="3"/>
        <charset val="134"/>
      </rPr>
      <t>栏中说明证券主管部门批准文号，发行日期、付息日期等内容。</t>
    </r>
  </si>
  <si>
    <r>
      <rPr>
        <sz val="10"/>
        <color indexed="12"/>
        <rFont val="Arial Narrow"/>
        <family val="2"/>
      </rP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</si>
  <si>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</si>
  <si>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t>应付债券明细表-划分为金融负债的其他金融工具（未审数）</t>
  </si>
  <si>
    <t>应付债券明细表（审计调整+审定数）</t>
  </si>
  <si>
    <t>一、审计目标:</t>
  </si>
  <si>
    <t>3.应付债券以恰当的金额包括在财务报表中，与之相关的计价或分摊调整已恰当记录，相关披露已得到恰当计量和描述</t>
  </si>
  <si>
    <t>发行在外的金融工具</t>
  </si>
  <si>
    <t>期初调整</t>
  </si>
  <si>
    <t>账项调整</t>
  </si>
  <si>
    <t>重分类调整</t>
  </si>
  <si>
    <t>审定数</t>
  </si>
  <si>
    <r>
      <rPr>
        <sz val="10"/>
        <color indexed="12"/>
        <rFont val="宋体"/>
        <family val="3"/>
        <charset val="134"/>
      </rPr>
      <t>1、本科目核算企业为筹集（长期）资金而发行债券的本金和利息。企业发行的可转换公司债券，应将负债和权益</t>
    </r>
    <r>
      <rPr>
        <sz val="10"/>
        <color rgb="FF0000FF"/>
        <rFont val="宋体"/>
        <family val="3"/>
        <charset val="134"/>
      </rPr>
      <t>成份进行分拆，分拆后形成的负债成份在本科目核算。</t>
    </r>
  </si>
  <si>
    <r>
      <rPr>
        <sz val="10"/>
        <color indexed="12"/>
        <rFont val="宋体"/>
        <family val="3"/>
        <charset val="134"/>
      </rP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</si>
  <si>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宋体"/>
        <family val="3"/>
        <charset val="134"/>
      </rP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</si>
  <si>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t>应付债券调整分录汇总表</t>
  </si>
  <si>
    <t>调整事项说明</t>
  </si>
  <si>
    <t>类别（报表调整/账项调整/其他）</t>
  </si>
  <si>
    <t>报表项目</t>
  </si>
  <si>
    <t>科目名称</t>
  </si>
  <si>
    <t>附注项目</t>
  </si>
  <si>
    <t>借方调整金额</t>
  </si>
  <si>
    <t>贷方调整金额</t>
  </si>
  <si>
    <t>索引</t>
  </si>
  <si>
    <t>备注</t>
  </si>
  <si>
    <t>注：本底稿适用于调整分录较多、较复杂的项目，且仅列示与本报表项目相关的审计调整。项目组可根据项目实际情况选择是否使用该底稿。</t>
  </si>
  <si>
    <r>
      <rPr>
        <b/>
        <sz val="10"/>
        <color theme="1"/>
        <rFont val="宋体"/>
        <family val="3"/>
        <charset val="134"/>
      </rPr>
      <t>一、审计目标</t>
    </r>
  </si>
  <si>
    <r>
      <rPr>
        <sz val="10"/>
        <color theme="1"/>
        <rFont val="Arial Narrow"/>
        <family val="2"/>
      </rPr>
      <t>1.</t>
    </r>
    <r>
      <rPr>
        <sz val="10"/>
        <color theme="1"/>
        <rFont val="宋体"/>
        <family val="3"/>
        <charset val="134"/>
      </rPr>
      <t>资产负债表中记录的应付债券是存在的，且已经记录在恰当的账户中；</t>
    </r>
    <r>
      <rPr>
        <sz val="10"/>
        <color theme="1"/>
        <rFont val="Arial Narrow"/>
        <family val="2"/>
      </rPr>
      <t>2.</t>
    </r>
    <r>
      <rPr>
        <sz val="10"/>
        <color theme="1"/>
        <rFont val="宋体"/>
        <family val="3"/>
        <charset val="134"/>
      </rPr>
      <t>应付债券以恰当的金额包括在财务报表中，与之相关的计价或分摊调整已恰当记录，相关披露已得到恰当计量和描述</t>
    </r>
  </si>
  <si>
    <r>
      <rPr>
        <b/>
        <sz val="10"/>
        <color theme="1"/>
        <rFont val="宋体"/>
        <family val="3"/>
        <charset val="134"/>
      </rPr>
      <t>二、审计过程</t>
    </r>
  </si>
  <si>
    <t>发行时间</t>
  </si>
  <si>
    <t>期末账面价值</t>
  </si>
  <si>
    <t>发行方的合同义务</t>
  </si>
  <si>
    <t>其他相关因素</t>
  </si>
  <si>
    <t>关于会计分类的结论</t>
  </si>
  <si>
    <t>是否存在差异</t>
  </si>
  <si>
    <t>发行文件索引号</t>
  </si>
  <si>
    <t>关于本金的赎回约定</t>
  </si>
  <si>
    <t>或有支付义务、或有结算条款、结算选择权</t>
  </si>
  <si>
    <t>股息支付条款（强制付息条件）</t>
  </si>
  <si>
    <t>赎回选择权</t>
  </si>
  <si>
    <t>剩余利润分配的条款</t>
  </si>
  <si>
    <r>
      <rPr>
        <b/>
        <sz val="10"/>
        <rFont val="宋体"/>
        <family val="3"/>
        <charset val="134"/>
      </rPr>
      <t>三、审计说明：</t>
    </r>
  </si>
  <si>
    <r>
      <rPr>
        <b/>
        <sz val="10"/>
        <rFont val="宋体"/>
        <family val="3"/>
        <charset val="134"/>
      </rPr>
      <t>四、审计结论</t>
    </r>
  </si>
  <si>
    <t>项目</t>
  </si>
  <si>
    <t>优先股条款</t>
  </si>
  <si>
    <t>倾向性分类</t>
  </si>
  <si>
    <t>本金的赎回</t>
  </si>
  <si>
    <t>本金无需赎回，或发行方可自主决定是否赎回</t>
  </si>
  <si>
    <t>可能表明具有权益特征，但须分析股息的支付机制。若必须支付股息，则负债部分等于支付的永续股利的现值；若自主决定是否支付股息，则属于权益。</t>
  </si>
  <si>
    <t>若发行方可自行选择在某一未来日期赎回，则发行方以现金赎回股票的看涨期权是一项嵌入衍生工具（资产）。</t>
  </si>
  <si>
    <t>需在某固定或未来日期按照固定或可确定的金额强制赎回</t>
  </si>
  <si>
    <t>负债，还需分析股息的支付机制。若必须支付股息，则整体为负债；若自主决定是否支付股息，则负债部分等于赎回金额的现值，权益部分等于发行收入减去负债部分。</t>
  </si>
  <si>
    <t>股息支付</t>
  </si>
  <si>
    <t>发行方可自主决定是否支付或无限期地递延股息而无任何支付义务（即使股息可累积）</t>
  </si>
  <si>
    <t>可能表明具有权益特征，还需分析本金的赎回机制。若本金无需赎回或发行方可自主决定是否赎回，则属于权益；若本金需强制赎回，则负债部分等于赎回金额的现值，权益部分等于发行收入减去负债部分。</t>
  </si>
  <si>
    <t>强制付息——固定股息，发行方不能递延支付</t>
  </si>
  <si>
    <t>负债。若本金无需赎回或发行方可自主决定是否赎回，则负债部分等于支付的永续股利的现值；若本金需强制赎回，则整体为负债。</t>
  </si>
  <si>
    <t>强制付息——浮动股息</t>
  </si>
  <si>
    <t>应分析浮动机制是否构成一项嵌入衍生工具并评估其是否与主合同紧密相关。</t>
  </si>
  <si>
    <t>股息支付与另一项强制付息的金融工具相关联</t>
  </si>
  <si>
    <t>若优先股的股息支付与另一项强制付息的金融工具相关联，即支付另一关联工具的利息时，就必须支付该优先股股息，则仍然形成了支付该优先股股息的合同义务。</t>
  </si>
  <si>
    <t>若必须支付股息，则整体为负债；若自主决定是否支付股息，则负债部分等于赎回金额的现值，权益部分等于发行收入减去负债部分，但若赎回时需支付的金额还包括未支付的股利，则整体上为负债。</t>
  </si>
  <si>
    <t>仅发行方有权选择赎回</t>
  </si>
  <si>
    <t>可能不影响其分类。</t>
  </si>
  <si>
    <t>若必须支付股息，则负债部分等于支付的永续股利的现值, 且发行方以现金赎回股票的看涨期权是一项嵌入衍生工具（资产）；若自主决定是否支付股息，则属于权益。</t>
  </si>
  <si>
    <t>投资方有权选择赎回</t>
  </si>
  <si>
    <t>负债，还需分析股息的支付机制。若必须支付股息，则整体上为负债，且以现金赎回股票的嵌入看跌期权是一项嵌入衍生工具；若自主决定是否支付股息，则负债部分等于赎回金额的现值，权益部分等于发行收入减去负债部分，但若赎回时需支付的金额还包括未支付的股利，则整体上为负债。</t>
  </si>
  <si>
    <t>剩余利润分配</t>
  </si>
  <si>
    <t>无权同普通股股东一起参加剩余利润分配</t>
  </si>
  <si>
    <t>通常不影响根据其他条款划分的类别</t>
  </si>
  <si>
    <t>有权同普通股股东一起参加剩余利润分配</t>
  </si>
  <si>
    <t>通常表明存在权益成分（享有剩余收益），若其他条款表明该优先股需要拆分为负债、权益，则此条款可能影响其负债和权益成分的拆分比例</t>
  </si>
  <si>
    <t>转股权条款</t>
  </si>
  <si>
    <t>固定金额转换固定数量的股份</t>
  </si>
  <si>
    <t>该转股权具有权益特征，通常需要拆分（满足“固定换固定”的要求）</t>
  </si>
  <si>
    <t>固定金额转换可变数量的股份</t>
  </si>
  <si>
    <t>该转股权具有负债特征，需要判断是否需要拆分（不满足“固定换固定”的要求）</t>
  </si>
  <si>
    <t xml:space="preserve">2.优先股划分为权益工具需满足的条件（须同时满足）：
（1）不构成支付义务，即发行方能够无条件避免支付。为满足这一条件，发行方需（不限于）：无需或自主决定分红付息、不存在或有支付义务、不存在或有结算条款、不存在结算选择权。
（2）转股条件（如有）符合“固定换固定”的标准。
（3）仅发行方持有回购权（如有）。
</t>
  </si>
  <si>
    <t xml:space="preserve">3.将一项优先股划分为权益还是金融负债，还需要考虑的其他因素：
（1）以前期间股利发放情况，例如历史上每年均支付自主决定的股利；
（2）未来发放股利的意向，例如持有方合理预期发行方将发放股利；
（3）没有发放优先股股利对发行方普通股的价格可能产生的负面影响，比如因为未向优先股支付股利限制了向普通股支付股利，从而导致普通股价值下跌；
（4）发行方发放股利的或赎回的能力，如亏损或留存收益的金额不足；
（5）发行方对某一期间损益的预期；
（6）发行方影响当期损益的能力。
</t>
  </si>
  <si>
    <t>4.会计提示第78号—优先股永续债可转换公司债券</t>
  </si>
  <si>
    <t>https://www.gt-china.com.cn/article_view.php?id=5951</t>
  </si>
  <si>
    <t>1. 所有应记录的应付债券均已记录，所有应当包括在财务报表中的相关披露均已包括；</t>
  </si>
  <si>
    <t xml:space="preserve">2.应付债券以恰当的金额包括在财务报表中，与之相关的计价或分摊调整已恰当记录，相关披露已得到恰当计量和描述 </t>
  </si>
  <si>
    <r>
      <rPr>
        <sz val="10"/>
        <rFont val="宋体"/>
        <family val="3"/>
        <charset val="134"/>
      </rPr>
      <t>计息期初：</t>
    </r>
  </si>
  <si>
    <r>
      <rPr>
        <sz val="10"/>
        <rFont val="宋体"/>
        <family val="3"/>
        <charset val="134"/>
      </rPr>
      <t>计息期末：</t>
    </r>
  </si>
  <si>
    <r>
      <rPr>
        <b/>
        <sz val="10"/>
        <rFont val="宋体"/>
        <family val="3"/>
        <charset val="134"/>
      </rPr>
      <t>利息费用测算：</t>
    </r>
  </si>
  <si>
    <t>应付债券1</t>
  </si>
  <si>
    <t>应付债券2</t>
  </si>
  <si>
    <t>应付债券3</t>
  </si>
  <si>
    <t>应付债券4</t>
  </si>
  <si>
    <r>
      <rPr>
        <b/>
        <sz val="10"/>
        <rFont val="宋体"/>
        <family val="3"/>
        <charset val="134"/>
      </rPr>
      <t>备注</t>
    </r>
  </si>
  <si>
    <t>后续计量方式</t>
  </si>
  <si>
    <t>——</t>
  </si>
  <si>
    <t>债券种类</t>
  </si>
  <si>
    <t>债权期限</t>
  </si>
  <si>
    <r>
      <rPr>
        <sz val="10"/>
        <rFont val="宋体"/>
        <family val="3"/>
        <charset val="134"/>
      </rPr>
      <t>计息基数</t>
    </r>
    <r>
      <rPr>
        <sz val="10"/>
        <rFont val="Arial Narrow"/>
        <family val="2"/>
      </rPr>
      <t>-</t>
    </r>
    <r>
      <rPr>
        <sz val="10"/>
        <rFont val="宋体"/>
        <family val="3"/>
        <charset val="134"/>
      </rPr>
      <t>面值/本金</t>
    </r>
  </si>
  <si>
    <r>
      <rPr>
        <sz val="10"/>
        <rFont val="宋体"/>
        <family val="3"/>
        <charset val="134"/>
      </rPr>
      <t>合同利率</t>
    </r>
  </si>
  <si>
    <t>发行价格</t>
  </si>
  <si>
    <t>发行费用</t>
  </si>
  <si>
    <t>利息调整初始确认金额</t>
  </si>
  <si>
    <r>
      <rPr>
        <sz val="10"/>
        <rFont val="宋体"/>
        <family val="3"/>
        <charset val="134"/>
      </rPr>
      <t>起息日</t>
    </r>
  </si>
  <si>
    <r>
      <rPr>
        <sz val="10"/>
        <rFont val="宋体"/>
        <family val="3"/>
        <charset val="134"/>
      </rPr>
      <t>到期日</t>
    </r>
  </si>
  <si>
    <r>
      <rPr>
        <sz val="10"/>
        <rFont val="宋体"/>
        <family val="3"/>
        <charset val="134"/>
      </rPr>
      <t>本期计息天数</t>
    </r>
  </si>
  <si>
    <r>
      <rPr>
        <sz val="10"/>
        <rFont val="宋体"/>
        <family val="3"/>
        <charset val="134"/>
      </rPr>
      <t>实际利率</t>
    </r>
  </si>
  <si>
    <t>按合同利率计算的应付利息</t>
  </si>
  <si>
    <r>
      <rPr>
        <sz val="10"/>
        <rFont val="Arial Narrow"/>
        <family val="2"/>
      </rPr>
      <t>“</t>
    </r>
    <r>
      <rPr>
        <sz val="10"/>
        <rFont val="宋体"/>
        <family val="3"/>
        <charset val="134"/>
      </rPr>
      <t>应付利息</t>
    </r>
    <r>
      <rPr>
        <sz val="10"/>
        <rFont val="Arial Narrow"/>
        <family val="2"/>
      </rPr>
      <t>”</t>
    </r>
  </si>
  <si>
    <r>
      <rPr>
        <sz val="10"/>
        <rFont val="宋体"/>
        <family val="3"/>
        <charset val="134"/>
      </rPr>
      <t>期初应付本金余额</t>
    </r>
  </si>
  <si>
    <r>
      <rPr>
        <sz val="10"/>
        <rFont val="宋体"/>
        <family val="3"/>
        <charset val="134"/>
      </rPr>
      <t>期末应付本金余额</t>
    </r>
  </si>
  <si>
    <r>
      <rPr>
        <b/>
        <sz val="10"/>
        <rFont val="宋体"/>
        <family val="3"/>
        <charset val="134"/>
      </rPr>
      <t>确认的利息费用</t>
    </r>
  </si>
  <si>
    <r>
      <rPr>
        <b/>
        <sz val="10"/>
        <rFont val="宋体"/>
        <family val="3"/>
        <charset val="134"/>
      </rPr>
      <t>利息费用</t>
    </r>
  </si>
  <si>
    <r>
      <rPr>
        <sz val="10"/>
        <rFont val="宋体"/>
        <family val="3"/>
        <charset val="134"/>
      </rPr>
      <t>应付本金减少</t>
    </r>
  </si>
  <si>
    <r>
      <rPr>
        <sz val="10"/>
        <rFont val="Arial Narrow"/>
        <family val="2"/>
      </rPr>
      <t>—</t>
    </r>
    <r>
      <rPr>
        <sz val="10"/>
        <rFont val="宋体"/>
        <family val="3"/>
        <charset val="134"/>
      </rPr>
      <t>利息调整</t>
    </r>
  </si>
  <si>
    <r>
      <rPr>
        <b/>
        <sz val="10"/>
        <rFont val="宋体"/>
        <family val="3"/>
        <charset val="134"/>
      </rPr>
      <t>实际利率测算：</t>
    </r>
  </si>
  <si>
    <r>
      <rPr>
        <sz val="10"/>
        <rFont val="宋体"/>
        <family val="3"/>
        <charset val="134"/>
      </rPr>
      <t>实际利率（插值）</t>
    </r>
  </si>
  <si>
    <r>
      <rPr>
        <sz val="10"/>
        <rFont val="宋体"/>
        <family val="3"/>
        <charset val="134"/>
      </rPr>
      <t>实际利率（测试</t>
    </r>
    <r>
      <rPr>
        <sz val="10"/>
        <rFont val="Arial Narrow"/>
        <family val="2"/>
      </rPr>
      <t>1</t>
    </r>
    <r>
      <rPr>
        <sz val="10"/>
        <rFont val="宋体"/>
        <family val="3"/>
        <charset val="134"/>
      </rPr>
      <t>）</t>
    </r>
    <r>
      <rPr>
        <sz val="10"/>
        <rFont val="Arial Narrow"/>
        <family val="2"/>
      </rPr>
      <t>-</t>
    </r>
    <r>
      <rPr>
        <sz val="10"/>
        <rFont val="宋体"/>
        <family val="3"/>
        <charset val="134"/>
      </rPr>
      <t>较小</t>
    </r>
  </si>
  <si>
    <r>
      <rPr>
        <sz val="10"/>
        <rFont val="宋体"/>
        <family val="3"/>
        <charset val="134"/>
      </rPr>
      <t>利息现值（测试</t>
    </r>
    <r>
      <rPr>
        <sz val="10"/>
        <rFont val="Arial Narrow"/>
        <family val="2"/>
      </rPr>
      <t>1</t>
    </r>
    <r>
      <rPr>
        <sz val="10"/>
        <rFont val="宋体"/>
        <family val="3"/>
        <charset val="134"/>
      </rPr>
      <t>）</t>
    </r>
  </si>
  <si>
    <r>
      <rPr>
        <sz val="10"/>
        <rFont val="宋体"/>
        <family val="3"/>
        <charset val="134"/>
      </rPr>
      <t>现值差异（测试</t>
    </r>
    <r>
      <rPr>
        <sz val="10"/>
        <rFont val="Arial Narrow"/>
        <family val="2"/>
      </rPr>
      <t>1</t>
    </r>
    <r>
      <rPr>
        <sz val="10"/>
        <rFont val="宋体"/>
        <family val="3"/>
        <charset val="134"/>
      </rPr>
      <t>）</t>
    </r>
  </si>
  <si>
    <r>
      <rPr>
        <sz val="10"/>
        <rFont val="宋体"/>
        <family val="3"/>
        <charset val="134"/>
      </rPr>
      <t>实际利率（测试</t>
    </r>
    <r>
      <rPr>
        <sz val="10"/>
        <rFont val="Arial Narrow"/>
        <family val="2"/>
      </rPr>
      <t>2</t>
    </r>
    <r>
      <rPr>
        <sz val="10"/>
        <rFont val="宋体"/>
        <family val="3"/>
        <charset val="134"/>
      </rPr>
      <t>）</t>
    </r>
    <r>
      <rPr>
        <sz val="10"/>
        <rFont val="Arial Narrow"/>
        <family val="2"/>
      </rPr>
      <t>-</t>
    </r>
    <r>
      <rPr>
        <sz val="10"/>
        <rFont val="宋体"/>
        <family val="3"/>
        <charset val="134"/>
      </rPr>
      <t>较大</t>
    </r>
  </si>
  <si>
    <r>
      <rPr>
        <sz val="10"/>
        <rFont val="宋体"/>
        <family val="3"/>
        <charset val="134"/>
      </rPr>
      <t>利息现值（测试</t>
    </r>
    <r>
      <rPr>
        <sz val="10"/>
        <rFont val="Arial Narrow"/>
        <family val="2"/>
      </rPr>
      <t>2</t>
    </r>
    <r>
      <rPr>
        <sz val="10"/>
        <rFont val="宋体"/>
        <family val="3"/>
        <charset val="134"/>
      </rPr>
      <t>）</t>
    </r>
  </si>
  <si>
    <r>
      <rPr>
        <sz val="10"/>
        <rFont val="宋体"/>
        <family val="3"/>
        <charset val="134"/>
      </rPr>
      <t>现值差异（测试</t>
    </r>
    <r>
      <rPr>
        <sz val="10"/>
        <rFont val="Arial Narrow"/>
        <family val="2"/>
      </rPr>
      <t>2</t>
    </r>
    <r>
      <rPr>
        <sz val="10"/>
        <rFont val="宋体"/>
        <family val="3"/>
        <charset val="134"/>
      </rPr>
      <t>）</t>
    </r>
  </si>
  <si>
    <r>
      <rPr>
        <sz val="10"/>
        <rFont val="宋体"/>
        <family val="3"/>
        <charset val="134"/>
      </rPr>
      <t>债务现值</t>
    </r>
  </si>
  <si>
    <r>
      <rPr>
        <sz val="10"/>
        <rFont val="宋体"/>
        <family val="3"/>
        <charset val="134"/>
      </rPr>
      <t>按合同利率计算的应付利息</t>
    </r>
    <r>
      <rPr>
        <sz val="10"/>
        <rFont val="Arial Narrow"/>
        <family val="2"/>
      </rPr>
      <t>(1)</t>
    </r>
  </si>
  <si>
    <r>
      <rPr>
        <sz val="10"/>
        <rFont val="宋体"/>
        <family val="3"/>
        <charset val="134"/>
      </rPr>
      <t>按合同利率计算的应付利息</t>
    </r>
    <r>
      <rPr>
        <sz val="10"/>
        <rFont val="Arial Narrow"/>
        <family val="2"/>
      </rPr>
      <t>(2)</t>
    </r>
  </si>
  <si>
    <r>
      <rPr>
        <sz val="10"/>
        <rFont val="宋体"/>
        <family val="3"/>
        <charset val="134"/>
      </rPr>
      <t>按合同利率计算的应付利息</t>
    </r>
    <r>
      <rPr>
        <sz val="10"/>
        <rFont val="Arial Narrow"/>
        <family val="2"/>
      </rPr>
      <t>(3)</t>
    </r>
  </si>
  <si>
    <r>
      <rPr>
        <sz val="10"/>
        <rFont val="宋体"/>
        <family val="3"/>
        <charset val="134"/>
      </rPr>
      <t>按合同利率计算的应付利息</t>
    </r>
    <r>
      <rPr>
        <sz val="10"/>
        <rFont val="Arial Narrow"/>
        <family val="2"/>
      </rPr>
      <t>(4)</t>
    </r>
  </si>
  <si>
    <r>
      <rPr>
        <sz val="10"/>
        <rFont val="宋体"/>
        <family val="3"/>
        <charset val="134"/>
      </rPr>
      <t>按合同利率计算的应付利息</t>
    </r>
    <r>
      <rPr>
        <sz val="10"/>
        <rFont val="Arial Narrow"/>
        <family val="2"/>
      </rPr>
      <t>(5)</t>
    </r>
  </si>
  <si>
    <r>
      <rPr>
        <sz val="10"/>
        <rFont val="宋体"/>
        <family val="3"/>
        <charset val="134"/>
      </rPr>
      <t>本金支付期（第？年末）</t>
    </r>
  </si>
  <si>
    <t>四、审计结论:</t>
  </si>
  <si>
    <t>1.本科目核算企业按照合同约定应支付的利息，包括吸收存款.分期付息到期还本的长期借款.企业债券等应支付的利息。</t>
  </si>
  <si>
    <t>2.资产负债表日，应按摊余成本和实际利率计算确定的利息费用，借记“利息支出”.“在建工程”.“财务费用”.“研发支出”等科目，</t>
  </si>
  <si>
    <t>按合同利率计算确定的应付未付利息，贷记本科目，按其差额，借记或贷记“长期借款——利息调整”.“吸收存款——利息调整”等科目。</t>
  </si>
  <si>
    <t>3.合同利率与实际利率差异较小的，也可以采用合同利率计算确定利息费用。实际支付利息时，借记本科目，贷记“银行存款”等科目。</t>
  </si>
  <si>
    <t>1.资产负债表中记录的应付债券是存在的，且已经记录在恰当的账户中；</t>
  </si>
  <si>
    <t>2.所有应记录的应付债券均已记录，所有应当包括在财务报表中的相关披露均已包括；</t>
  </si>
  <si>
    <t xml:space="preserve">3.应付债券以恰当的金额包括在财务报表中，与之相关的计价或分摊调整已恰当记录，相关披露已得到恰当计量和描述 </t>
  </si>
  <si>
    <t>到期一次还本付息后续计量测算</t>
  </si>
  <si>
    <t>1、债券信息</t>
  </si>
  <si>
    <r>
      <rPr>
        <b/>
        <sz val="10"/>
        <rFont val="宋体"/>
        <family val="3"/>
        <charset val="134"/>
      </rPr>
      <t>计息期初：</t>
    </r>
  </si>
  <si>
    <r>
      <rPr>
        <b/>
        <sz val="10"/>
        <rFont val="宋体"/>
        <family val="3"/>
        <charset val="134"/>
      </rPr>
      <t>计息期末：</t>
    </r>
  </si>
  <si>
    <t>序号：</t>
  </si>
  <si>
    <t>债券种类：</t>
  </si>
  <si>
    <t>债券名称：</t>
  </si>
  <si>
    <t>债券期限：</t>
  </si>
  <si>
    <t>实际利率：</t>
  </si>
  <si>
    <r>
      <rPr>
        <b/>
        <sz val="10"/>
        <rFont val="宋体"/>
        <family val="3"/>
        <charset val="134"/>
      </rPr>
      <t>起息日</t>
    </r>
  </si>
  <si>
    <r>
      <rPr>
        <b/>
        <sz val="10"/>
        <rFont val="宋体"/>
        <family val="3"/>
        <charset val="134"/>
      </rPr>
      <t>到期日</t>
    </r>
  </si>
  <si>
    <t>2、后续计量过程</t>
  </si>
  <si>
    <t>期间</t>
  </si>
  <si>
    <t>截止日</t>
  </si>
  <si>
    <t>适用到期一次还本付息：</t>
  </si>
  <si>
    <t>审计结论</t>
  </si>
  <si>
    <t>期初账面价值</t>
  </si>
  <si>
    <t>利息费用</t>
  </si>
  <si>
    <t>应计利息</t>
  </si>
  <si>
    <t>期末“利息调整”</t>
  </si>
  <si>
    <t>“利息调整”摊销</t>
  </si>
  <si>
    <t>本期已付利息</t>
  </si>
  <si>
    <t>面值归还</t>
  </si>
  <si>
    <t>期末余额</t>
  </si>
  <si>
    <t>第一期</t>
  </si>
  <si>
    <t>第二期</t>
  </si>
  <si>
    <t>最后一期</t>
  </si>
  <si>
    <t>2、本期利息计提情况</t>
  </si>
  <si>
    <t>票面金额</t>
  </si>
  <si>
    <t>票面年利率</t>
  </si>
  <si>
    <t>开始日期</t>
  </si>
  <si>
    <t>结束日期</t>
  </si>
  <si>
    <t>计息天数</t>
  </si>
  <si>
    <t>已计利息</t>
  </si>
  <si>
    <t>差异</t>
  </si>
  <si>
    <t>差异原因</t>
  </si>
  <si>
    <t>分期付息，到期一次还本  后续计量测算</t>
  </si>
  <si>
    <t>适用分期付息，到期一次还本</t>
  </si>
  <si>
    <t>应付利息</t>
  </si>
  <si>
    <t>“利息调整”余额</t>
  </si>
  <si>
    <t>初始计量</t>
  </si>
  <si>
    <r>
      <rPr>
        <b/>
        <sz val="10"/>
        <rFont val="Arial Narrow"/>
        <family val="2"/>
      </rPr>
      <t>1</t>
    </r>
    <r>
      <rPr>
        <b/>
        <sz val="10"/>
        <rFont val="宋体"/>
        <family val="3"/>
        <charset val="134"/>
      </rPr>
      <t>、期末余额测算</t>
    </r>
  </si>
  <si>
    <t>序号</t>
  </si>
  <si>
    <t>本期截止日</t>
  </si>
  <si>
    <t>期数</t>
  </si>
  <si>
    <t>测算数</t>
  </si>
  <si>
    <t>测算期末数</t>
  </si>
  <si>
    <t>账面数</t>
  </si>
  <si>
    <t>是否调整</t>
  </si>
  <si>
    <t>是</t>
  </si>
  <si>
    <r>
      <rPr>
        <b/>
        <sz val="10"/>
        <rFont val="Arial Narrow"/>
        <family val="2"/>
      </rPr>
      <t>2</t>
    </r>
    <r>
      <rPr>
        <b/>
        <sz val="10"/>
        <rFont val="宋体"/>
        <family val="3"/>
        <charset val="134"/>
      </rPr>
      <t>、利息测算</t>
    </r>
  </si>
  <si>
    <t>利息调整</t>
  </si>
  <si>
    <t>最近一次付息日</t>
  </si>
  <si>
    <t>3、“利息调整”摊销分配测算</t>
  </si>
  <si>
    <t>债权期数</t>
  </si>
  <si>
    <t>利息分配数测算</t>
  </si>
  <si>
    <t>财务费用</t>
  </si>
  <si>
    <t>存货</t>
  </si>
  <si>
    <t>长期资产</t>
  </si>
  <si>
    <t>…</t>
  </si>
  <si>
    <t>后续计量测算期末余额</t>
  </si>
  <si>
    <t>应付债券检查底稿</t>
  </si>
  <si>
    <t>1.资产负债表中记录的应付债券是存在的，且已经记录在恰当的账户中；     2.记录的应付债券由被审计单位拥有或控制；</t>
  </si>
  <si>
    <t>二、测试：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</si>
  <si>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</si>
  <si>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</si>
  <si>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</si>
  <si>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</si>
  <si>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索引号</t>
  </si>
  <si>
    <t>是否异常</t>
  </si>
  <si>
    <t>备注说明</t>
  </si>
  <si>
    <t>日期</t>
  </si>
  <si>
    <t>凭证编号</t>
  </si>
  <si>
    <t>业务内容</t>
  </si>
  <si>
    <t>对方科目</t>
  </si>
  <si>
    <t>对方明细科目</t>
  </si>
  <si>
    <t>借方金额</t>
  </si>
  <si>
    <t>贷方金额</t>
  </si>
  <si>
    <t>C1</t>
  </si>
  <si>
    <t>Custom 1</t>
  </si>
  <si>
    <t>C2</t>
  </si>
  <si>
    <t>Custom 2</t>
  </si>
  <si>
    <t>C3</t>
  </si>
  <si>
    <t>Custom 3</t>
  </si>
  <si>
    <t>C4</t>
  </si>
  <si>
    <t>Custom 4</t>
  </si>
  <si>
    <t>C5</t>
  </si>
  <si>
    <t>Custom 5</t>
  </si>
  <si>
    <t>C6</t>
  </si>
  <si>
    <t>Custom 6</t>
  </si>
  <si>
    <t>C7</t>
  </si>
  <si>
    <t>Custom 7</t>
  </si>
  <si>
    <t>C8</t>
  </si>
  <si>
    <t>Custom 8</t>
  </si>
  <si>
    <t>测试原因：大额（）关联方（）大额交易频繁（）异常（）其他（）</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</si>
  <si>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86" type="noConversion"/>
  </si>
  <si>
    <t>关于工作底稿与审计程序索引号对应的说明</t>
    <phoneticPr fontId="86"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</si>
  <si>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6"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</si>
  <si>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86"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</si>
  <si>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86" type="noConversion"/>
  </si>
  <si>
    <t>内容</t>
  </si>
  <si>
    <t>根据被审计单位实际情况和风险评估情况裁剪、修改或增加审计程序</t>
    <phoneticPr fontId="86" type="noConversion"/>
  </si>
  <si>
    <t>审计程序</t>
    <phoneticPr fontId="88" type="noConversion"/>
  </si>
  <si>
    <t>T1
/</t>
    <phoneticPr fontId="86" type="noConversion"/>
  </si>
  <si>
    <t>项目</t>
    <phoneticPr fontId="86" type="noConversion"/>
  </si>
  <si>
    <t>期初数</t>
    <phoneticPr fontId="86" type="noConversion"/>
  </si>
  <si>
    <t>未审数</t>
  </si>
  <si>
    <t>未审数</t>
    <phoneticPr fontId="86" type="noConversion"/>
  </si>
  <si>
    <t>账项调整</t>
    <phoneticPr fontId="86" type="noConversion"/>
  </si>
  <si>
    <t>重分类调整</t>
    <phoneticPr fontId="86" type="noConversion"/>
  </si>
  <si>
    <t>原因分析</t>
  </si>
  <si>
    <t>期末数</t>
  </si>
  <si>
    <t>本期未审数与上期
审定数的比较</t>
  </si>
  <si>
    <t>本期审定数与上期
审定数的比较</t>
  </si>
  <si>
    <t>变动额</t>
  </si>
  <si>
    <t>变动率</t>
  </si>
  <si>
    <t>（1）成本</t>
  </si>
  <si>
    <t>(一)普通应付债券</t>
  </si>
  <si>
    <t>（2）利息调整</t>
  </si>
  <si>
    <t>（3）应计利息</t>
  </si>
  <si>
    <t>（二）可转换公司债券</t>
  </si>
  <si>
    <t>划分为金融负债的其他金融工具</t>
  </si>
  <si>
    <t>1、审计说明：</t>
  </si>
  <si>
    <t>2、审计结论：</t>
  </si>
  <si>
    <t>本期增加</t>
  </si>
  <si>
    <t>数量</t>
  </si>
  <si>
    <t>本期增加调整</t>
  </si>
  <si>
    <t>本期减少调整</t>
  </si>
  <si>
    <t>期初余额</t>
  </si>
  <si>
    <t>本期减少</t>
  </si>
  <si>
    <t>单位面值(净值)</t>
  </si>
  <si>
    <t>会计分类</t>
  </si>
  <si>
    <t>股利率或利息率</t>
  </si>
  <si>
    <t>金额</t>
  </si>
  <si>
    <t>到期日或续期情况</t>
  </si>
  <si>
    <t>转换情况</t>
  </si>
  <si>
    <t>2. 所有应记录的短期借款均已记录，所有应当包括在财务报表中的相关披露均已包括；</t>
  </si>
  <si>
    <t>1.利息费用计入财务费用XX元、计入在建工程XX元，计入存货XX元，……</t>
    <phoneticPr fontId="86" type="noConversion"/>
  </si>
  <si>
    <t>合计</t>
    <phoneticPr fontId="86" type="noConversion"/>
  </si>
  <si>
    <t>本期发生额</t>
    <phoneticPr fontId="86" type="noConversion"/>
  </si>
  <si>
    <t>检查比例</t>
    <phoneticPr fontId="8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</si>
</sst>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quot;\&quot;#,##0.00;[Red]&quot;\&quot;&quot;\&quot;&quot;\&quot;&quot;\&quot;&quot;\&quot;&quot;\&quot;\-#,##0.00"/>
    <numFmt numFmtId="195" formatCode="&quot;\&quot;#,##0.00;[Red]&quot;\&quot;\-#,##0.00"/>
    <numFmt numFmtId="196" formatCode="&quot;\&quot;#,##0;[Red]&quot;\&quot;\-#,##0"/>
    <numFmt numFmtId="197" formatCode="0.00_ "/>
    <numFmt numFmtId="198" formatCode="0.00_);[Red]\(0.00\)"/>
    <numFmt numFmtId="199" formatCode="0.000%"/>
    <numFmt numFmtId="200" formatCode="0.0000%"/>
    <numFmt numFmtId="201" formatCode="#,##0_ "/>
    <numFmt numFmtId="202" formatCode="_ * #,##0_ ;_ * \-#,##0_ ;_ * &quot;-&quot;??_ ;_ @_ "/>
  </numFmts>
  <fonts count="91">
    <font>
      <sz val="12"/>
      <name val="宋体"/>
      <charset val="134"/>
    </font>
    <font>
      <sz val="11"/>
      <color theme="1"/>
      <name val="宋体"/>
      <family val="2"/>
      <charset val="134"/>
      <scheme val="minor"/>
    </font>
    <font>
      <b/>
      <sz val="12"/>
      <name val="Arial Narrow"/>
      <family val="2"/>
    </font>
    <font>
      <sz val="10"/>
      <name val="Arial Narrow"/>
      <family val="2"/>
    </font>
    <font>
      <b/>
      <sz val="10"/>
      <name val="Arial Narrow"/>
      <family val="2"/>
    </font>
    <font>
      <sz val="12"/>
      <name val="Arial Narrow"/>
      <family val="2"/>
    </font>
    <font>
      <b/>
      <sz val="14"/>
      <name val="宋体"/>
      <family val="3"/>
      <charset val="134"/>
    </font>
    <font>
      <b/>
      <sz val="14"/>
      <name val="Arial Narrow"/>
      <family val="2"/>
    </font>
    <font>
      <sz val="10"/>
      <name val="宋体"/>
      <family val="3"/>
      <charset val="134"/>
    </font>
    <font>
      <b/>
      <u/>
      <sz val="10"/>
      <color indexed="10"/>
      <name val="Arial Narrow"/>
      <family val="2"/>
    </font>
    <font>
      <b/>
      <sz val="10"/>
      <name val="宋体"/>
      <family val="3"/>
      <charset val="134"/>
    </font>
    <font>
      <sz val="10"/>
      <color rgb="FFFF0000"/>
      <name val="Arial Narrow"/>
      <family val="2"/>
    </font>
    <font>
      <sz val="10"/>
      <color indexed="12"/>
      <name val="Arial Narrow"/>
      <family val="2"/>
    </font>
    <font>
      <b/>
      <sz val="10"/>
      <name val="宋体"/>
      <family val="3"/>
      <charset val="134"/>
    </font>
    <font>
      <sz val="10"/>
      <color rgb="FFFF0000"/>
      <name val="宋体"/>
      <family val="3"/>
      <charset val="134"/>
    </font>
    <font>
      <u/>
      <sz val="12"/>
      <color indexed="12"/>
      <name val="宋体"/>
      <family val="3"/>
      <charset val="134"/>
    </font>
    <font>
      <sz val="12"/>
      <name val="宋体"/>
      <family val="3"/>
      <charset val="134"/>
      <scheme val="minor"/>
    </font>
    <font>
      <b/>
      <sz val="12"/>
      <name val="宋体"/>
      <family val="3"/>
      <charset val="134"/>
    </font>
    <font>
      <b/>
      <sz val="10"/>
      <name val="宋体"/>
      <family val="3"/>
      <charset val="134"/>
      <scheme val="minor"/>
    </font>
    <font>
      <sz val="10"/>
      <name val="宋体"/>
      <family val="3"/>
      <charset val="134"/>
      <scheme val="minor"/>
    </font>
    <font>
      <sz val="10"/>
      <color theme="1"/>
      <name val="宋体"/>
      <family val="3"/>
      <charset val="134"/>
      <scheme val="minor"/>
    </font>
    <font>
      <u/>
      <sz val="12"/>
      <color indexed="12"/>
      <name val="Arial Narrow"/>
      <family val="2"/>
    </font>
    <font>
      <sz val="10"/>
      <color rgb="FFFF0000"/>
      <name val="宋体"/>
      <family val="3"/>
      <charset val="134"/>
      <scheme val="minor"/>
    </font>
    <font>
      <b/>
      <sz val="10"/>
      <name val="微软雅黑"/>
      <family val="2"/>
      <charset val="134"/>
    </font>
    <font>
      <u/>
      <sz val="10"/>
      <color indexed="12"/>
      <name val="宋体"/>
      <family val="3"/>
      <charset val="134"/>
    </font>
    <font>
      <sz val="10"/>
      <color indexed="12"/>
      <name val="宋体"/>
      <family val="3"/>
      <charset val="134"/>
    </font>
    <font>
      <sz val="10"/>
      <name val="微软雅黑"/>
      <family val="2"/>
      <charset val="134"/>
    </font>
    <font>
      <sz val="10"/>
      <color theme="1"/>
      <name val="Arial Narrow"/>
      <family val="2"/>
    </font>
    <font>
      <sz val="10"/>
      <color rgb="FF0000FF"/>
      <name val="宋体"/>
      <family val="3"/>
      <charset val="134"/>
    </font>
    <font>
      <b/>
      <sz val="10"/>
      <color theme="1"/>
      <name val="Arial Narrow"/>
      <family val="2"/>
    </font>
    <font>
      <sz val="10"/>
      <color theme="1"/>
      <name val="宋体"/>
      <family val="3"/>
      <charset val="134"/>
    </font>
    <font>
      <b/>
      <sz val="10"/>
      <color theme="1"/>
      <name val="宋体"/>
      <family val="3"/>
      <charset val="134"/>
    </font>
    <font>
      <sz val="10"/>
      <color indexed="8"/>
      <name val="Arial Narrow"/>
      <family val="2"/>
    </font>
    <font>
      <b/>
      <sz val="10"/>
      <color indexed="12"/>
      <name val="宋体"/>
      <family val="3"/>
      <charset val="134"/>
    </font>
    <font>
      <b/>
      <sz val="10"/>
      <color rgb="FF0000FF"/>
      <name val="宋体"/>
      <family val="3"/>
      <charset val="134"/>
    </font>
    <font>
      <sz val="12"/>
      <name val="宋体"/>
      <family val="3"/>
      <charset val="134"/>
    </font>
    <font>
      <b/>
      <sz val="10"/>
      <color indexed="8"/>
      <name val="宋体"/>
      <family val="3"/>
      <charset val="134"/>
    </font>
    <font>
      <b/>
      <sz val="10"/>
      <color rgb="FFE92841"/>
      <name val="Arial Narrow"/>
      <family val="2"/>
    </font>
    <font>
      <i/>
      <u/>
      <sz val="10"/>
      <name val="Arial Narrow"/>
      <family val="2"/>
    </font>
    <font>
      <u/>
      <sz val="10"/>
      <name val="Arial Narrow"/>
      <family val="2"/>
    </font>
    <font>
      <sz val="10"/>
      <color indexed="12"/>
      <name val="仿宋_GB2312"/>
      <charset val="134"/>
    </font>
    <font>
      <sz val="14"/>
      <name val="Arial Narrow"/>
      <family val="2"/>
    </font>
    <font>
      <u/>
      <sz val="14"/>
      <color indexed="12"/>
      <name val="宋体"/>
      <family val="3"/>
      <charset val="134"/>
    </font>
    <font>
      <sz val="10"/>
      <name val="仿宋_GB2312"/>
      <charset val="134"/>
    </font>
    <font>
      <sz val="11"/>
      <color theme="1"/>
      <name val="Arial Narrow"/>
      <family val="2"/>
    </font>
    <font>
      <b/>
      <sz val="10"/>
      <color indexed="8"/>
      <name val="Arial Narrow"/>
      <family val="2"/>
    </font>
    <font>
      <i/>
      <u/>
      <sz val="10"/>
      <color indexed="12"/>
      <name val="Arial Narrow"/>
      <family val="2"/>
    </font>
    <font>
      <b/>
      <sz val="12"/>
      <color rgb="FF000000"/>
      <name val="Arial Narrow"/>
      <family val="2"/>
    </font>
    <font>
      <sz val="12"/>
      <color rgb="FF0000FF"/>
      <name val="Arial Narrow"/>
      <family val="2"/>
    </font>
    <font>
      <sz val="12"/>
      <color rgb="FF000000"/>
      <name val="Arial Narrow"/>
      <family val="2"/>
    </font>
    <font>
      <sz val="12"/>
      <color rgb="FFFF0000"/>
      <name val="Arial Narrow"/>
      <family val="2"/>
    </font>
    <font>
      <b/>
      <sz val="12"/>
      <color rgb="FF0000FF"/>
      <name val="Arial Narrow"/>
      <family val="2"/>
    </font>
    <font>
      <sz val="10"/>
      <color theme="1" tint="0.14993743705557422"/>
      <name val="宋体"/>
      <family val="3"/>
      <charset val="134"/>
    </font>
    <font>
      <sz val="10"/>
      <name val="Arial"/>
      <family val="2"/>
    </font>
    <font>
      <sz val="10"/>
      <color theme="1" tint="0.14993743705557422"/>
      <name val="Arial Narrow"/>
      <family val="2"/>
    </font>
    <font>
      <sz val="10"/>
      <color indexed="8"/>
      <name val="宋体"/>
      <family val="3"/>
      <charset val="134"/>
    </font>
    <font>
      <sz val="10"/>
      <color rgb="FF0000FF"/>
      <name val="Arial Narrow"/>
      <family val="2"/>
    </font>
    <font>
      <b/>
      <sz val="10"/>
      <color indexed="10"/>
      <name val="宋体"/>
      <family val="3"/>
      <charset val="134"/>
    </font>
    <font>
      <sz val="10.5"/>
      <name val="Arial Narrow"/>
      <family val="2"/>
    </font>
    <font>
      <u/>
      <sz val="12"/>
      <color rgb="FF800080"/>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1"/>
    </font>
    <font>
      <u/>
      <sz val="7.5"/>
      <color indexed="36"/>
      <name val="Arial"/>
      <family val="2"/>
    </font>
    <font>
      <sz val="8"/>
      <name val="Arial"/>
      <family val="2"/>
    </font>
    <font>
      <b/>
      <sz val="12"/>
      <name val="Arial"/>
      <family val="2"/>
    </font>
    <font>
      <u/>
      <sz val="7.5"/>
      <color indexed="12"/>
      <name val="Arial"/>
      <family val="2"/>
    </font>
    <font>
      <sz val="10"/>
      <name val="Courier"/>
      <family val="3"/>
    </font>
    <font>
      <sz val="7"/>
      <color indexed="10"/>
      <name val="Helv"/>
      <family val="2"/>
    </font>
    <font>
      <sz val="12"/>
      <name val="Times New Roman"/>
      <family val="1"/>
    </font>
    <font>
      <sz val="14"/>
      <name val="柧挬"/>
      <family val="2"/>
    </font>
    <font>
      <sz val="11"/>
      <color theme="1"/>
      <name val="宋体"/>
      <family val="3"/>
      <charset val="134"/>
      <scheme val="minor"/>
    </font>
    <font>
      <sz val="12"/>
      <name val="官帕眉"/>
      <family val="2"/>
    </font>
    <font>
      <sz val="12"/>
      <name val="楷体_GB2312"/>
      <charset val="134"/>
    </font>
    <font>
      <sz val="10"/>
      <name val="奔覆眉"/>
      <family val="2"/>
    </font>
    <font>
      <sz val="12"/>
      <name val="柧挬"/>
      <family val="2"/>
    </font>
    <font>
      <b/>
      <sz val="12"/>
      <color rgb="FF000000"/>
      <name val="宋体"/>
      <family val="3"/>
      <charset val="134"/>
    </font>
    <font>
      <sz val="12"/>
      <color rgb="FF0000FF"/>
      <name val="宋体"/>
      <family val="3"/>
      <charset val="134"/>
    </font>
    <font>
      <b/>
      <sz val="12"/>
      <color rgb="FF0000FF"/>
      <name val="宋体"/>
      <family val="3"/>
      <charset val="134"/>
    </font>
    <font>
      <sz val="12"/>
      <color rgb="FFFF0000"/>
      <name val="宋体"/>
      <family val="3"/>
      <charset val="134"/>
    </font>
    <font>
      <sz val="12"/>
      <color rgb="FF000000"/>
      <name val="宋体"/>
      <family val="3"/>
      <charset val="134"/>
    </font>
    <font>
      <b/>
      <sz val="10"/>
      <color rgb="FFFF0000"/>
      <name val="宋体"/>
      <family val="3"/>
      <charset val="134"/>
    </font>
    <font>
      <b/>
      <sz val="12"/>
      <color rgb="FFFF0000"/>
      <name val="宋体"/>
      <family val="3"/>
      <charset val="134"/>
    </font>
    <font>
      <b/>
      <sz val="9"/>
      <name val="宋体"/>
      <family val="3"/>
      <charset val="134"/>
    </font>
    <font>
      <sz val="9"/>
      <name val="宋体"/>
      <family val="3"/>
      <charset val="134"/>
    </font>
    <font>
      <sz val="10"/>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13">
    <fill>
      <patternFill patternType="none"/>
    </fill>
    <fill>
      <patternFill patternType="gray125"/>
    </fill>
    <fill>
      <patternFill patternType="solid">
        <fgColor theme="7" tint="0.79995117038483843"/>
        <bgColor indexed="64"/>
      </patternFill>
    </fill>
    <fill>
      <patternFill patternType="solid">
        <fgColor theme="7" tint="0.79995117038483843"/>
        <bgColor rgb="FFB7DEE8"/>
      </patternFill>
    </fill>
    <fill>
      <patternFill patternType="solid">
        <fgColor theme="7" tint="0.79992065187536243"/>
        <bgColor indexed="64"/>
      </patternFill>
    </fill>
    <fill>
      <patternFill patternType="solid">
        <fgColor rgb="FFE4DFEC"/>
        <bgColor indexed="64"/>
      </patternFill>
    </fill>
    <fill>
      <patternFill patternType="solid">
        <fgColor rgb="FFE5DFEC"/>
        <bgColor indexed="64"/>
      </patternFill>
    </fill>
    <fill>
      <patternFill patternType="solid">
        <fgColor theme="0" tint="-0.14993743705557422"/>
        <bgColor indexed="64"/>
      </patternFill>
    </fill>
    <fill>
      <patternFill patternType="solid">
        <fgColor rgb="FFD9D9D9"/>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38">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top/>
      <bottom/>
      <diagonal/>
    </border>
    <border>
      <left/>
      <right style="hair">
        <color auto="1"/>
      </right>
      <top/>
      <bottom/>
      <diagonal/>
    </border>
    <border>
      <left style="hair">
        <color indexed="8"/>
      </left>
      <right style="hair">
        <color indexed="8"/>
      </right>
      <top style="hair">
        <color indexed="8"/>
      </top>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s>
  <cellStyleXfs count="79">
    <xf numFmtId="0" fontId="0" fillId="0" borderId="0">
      <protection locked="0"/>
    </xf>
    <xf numFmtId="43" fontId="35" fillId="0" borderId="0" applyFont="0" applyFill="0" applyBorder="0" applyAlignment="0" applyProtection="0"/>
    <xf numFmtId="9" fontId="35" fillId="0" borderId="0" applyFont="0" applyFill="0" applyBorder="0" applyAlignment="0" applyProtection="0"/>
    <xf numFmtId="0" fontId="15" fillId="0" borderId="0" applyNumberFormat="0" applyFill="0" applyBorder="0" applyAlignment="0" applyProtection="0">
      <alignment vertical="top"/>
      <protection locked="0"/>
    </xf>
    <xf numFmtId="49" fontId="60" fillId="0" borderId="0" applyProtection="0">
      <alignment horizontal="left"/>
    </xf>
    <xf numFmtId="176" fontId="60" fillId="0" borderId="0" applyFill="0" applyBorder="0" applyProtection="0">
      <alignment horizontal="right"/>
    </xf>
    <xf numFmtId="177" fontId="60" fillId="0" borderId="0" applyFill="0" applyBorder="0" applyProtection="0">
      <alignment horizontal="right"/>
    </xf>
    <xf numFmtId="178" fontId="61" fillId="0" borderId="0" applyFill="0" applyBorder="0" applyProtection="0">
      <alignment horizontal="center"/>
    </xf>
    <xf numFmtId="179" fontId="61" fillId="0" borderId="0" applyFill="0" applyBorder="0" applyProtection="0">
      <alignment horizontal="center"/>
    </xf>
    <xf numFmtId="180" fontId="62" fillId="0" borderId="0" applyFill="0" applyBorder="0" applyProtection="0">
      <alignment horizontal="right"/>
    </xf>
    <xf numFmtId="181" fontId="60" fillId="0" borderId="0" applyFill="0" applyBorder="0" applyProtection="0">
      <alignment horizontal="right"/>
    </xf>
    <xf numFmtId="182" fontId="60" fillId="0" borderId="0" applyFill="0" applyBorder="0" applyProtection="0">
      <alignment horizontal="right"/>
    </xf>
    <xf numFmtId="183" fontId="60" fillId="0" borderId="0" applyFill="0" applyBorder="0" applyProtection="0">
      <alignment horizontal="right"/>
    </xf>
    <xf numFmtId="184" fontId="60" fillId="0" borderId="0" applyFill="0" applyBorder="0" applyProtection="0">
      <alignment horizontal="right"/>
    </xf>
    <xf numFmtId="3" fontId="63" fillId="0" borderId="0"/>
    <xf numFmtId="185" fontId="64" fillId="0" borderId="36" applyAlignment="0" applyProtection="0"/>
    <xf numFmtId="186" fontId="53" fillId="0" borderId="0" applyFont="0" applyFill="0" applyBorder="0" applyAlignment="0" applyProtection="0"/>
    <xf numFmtId="187" fontId="53"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41" fontId="53" fillId="0" borderId="0" applyFont="0" applyFill="0" applyBorder="0" applyAlignment="0" applyProtection="0"/>
    <xf numFmtId="43" fontId="53" fillId="0" borderId="0" applyFont="0" applyFill="0" applyBorder="0" applyAlignment="0" applyProtection="0"/>
    <xf numFmtId="190" fontId="60" fillId="0" borderId="0" applyFont="0" applyFill="0" applyBorder="0" applyAlignment="0" applyProtection="0"/>
    <xf numFmtId="0" fontId="65" fillId="0" borderId="0" applyNumberFormat="0" applyFill="0" applyBorder="0" applyAlignment="0" applyProtection="0">
      <alignment vertical="top"/>
      <protection locked="0"/>
    </xf>
    <xf numFmtId="38" fontId="66" fillId="10" borderId="0" applyNumberFormat="0" applyBorder="0" applyAlignment="0" applyProtection="0"/>
    <xf numFmtId="0" fontId="67" fillId="0" borderId="16" applyNumberFormat="0" applyAlignment="0" applyProtection="0">
      <alignment horizontal="left" vertical="center"/>
    </xf>
    <xf numFmtId="0" fontId="67" fillId="0" borderId="37">
      <alignment horizontal="left" vertical="center"/>
    </xf>
    <xf numFmtId="0" fontId="68" fillId="0" borderId="0" applyNumberFormat="0" applyFill="0" applyBorder="0" applyAlignment="0" applyProtection="0">
      <alignment vertical="top"/>
      <protection locked="0"/>
    </xf>
    <xf numFmtId="10" fontId="66" fillId="11" borderId="35" applyNumberFormat="0" applyBorder="0" applyAlignment="0" applyProtection="0"/>
    <xf numFmtId="191" fontId="35" fillId="0" borderId="0" applyFont="0" applyFill="0" applyBorder="0" applyAlignment="0" applyProtection="0"/>
    <xf numFmtId="192" fontId="35" fillId="0" borderId="0" applyFont="0" applyFill="0" applyBorder="0" applyAlignment="0" applyProtection="0"/>
    <xf numFmtId="0" fontId="69" fillId="0" borderId="0"/>
    <xf numFmtId="193" fontId="35" fillId="0" borderId="0"/>
    <xf numFmtId="0" fontId="53" fillId="0" borderId="0"/>
    <xf numFmtId="10" fontId="53" fillId="0" borderId="0" applyFont="0" applyFill="0" applyBorder="0" applyAlignment="0" applyProtection="0"/>
    <xf numFmtId="3" fontId="70" fillId="0" borderId="0"/>
    <xf numFmtId="41" fontId="60" fillId="0" borderId="0" applyFont="0" applyFill="0" applyBorder="0" applyAlignment="0" applyProtection="0"/>
    <xf numFmtId="0" fontId="3" fillId="0" borderId="0"/>
    <xf numFmtId="9" fontId="71" fillId="0" borderId="0" applyFont="0" applyFill="0" applyBorder="0" applyAlignment="0" applyProtection="0"/>
    <xf numFmtId="9" fontId="35" fillId="0" borderId="0" applyFont="0" applyFill="0" applyBorder="0" applyAlignment="0" applyProtection="0">
      <alignment vertical="center"/>
    </xf>
    <xf numFmtId="0" fontId="72" fillId="0" borderId="0" applyFont="0" applyFill="0" applyBorder="0" applyAlignment="0" applyProtection="0"/>
    <xf numFmtId="190" fontId="73" fillId="0" borderId="0">
      <alignment vertical="center"/>
    </xf>
    <xf numFmtId="0" fontId="35" fillId="0" borderId="0">
      <alignment vertical="center"/>
    </xf>
    <xf numFmtId="0" fontId="35" fillId="0" borderId="0"/>
    <xf numFmtId="0" fontId="73" fillId="0" borderId="0"/>
    <xf numFmtId="0" fontId="35" fillId="0" borderId="0">
      <protection locked="0"/>
    </xf>
    <xf numFmtId="190" fontId="35" fillId="0" borderId="0">
      <protection locked="0"/>
    </xf>
    <xf numFmtId="190" fontId="73" fillId="0" borderId="0">
      <alignment vertical="center"/>
    </xf>
    <xf numFmtId="0" fontId="35" fillId="0" borderId="0">
      <protection locked="0"/>
    </xf>
    <xf numFmtId="0" fontId="8" fillId="0" borderId="0"/>
    <xf numFmtId="0" fontId="35" fillId="0" borderId="0">
      <protection locked="0"/>
    </xf>
    <xf numFmtId="190" fontId="35" fillId="0" borderId="0"/>
    <xf numFmtId="0" fontId="73" fillId="0" borderId="0">
      <alignment vertical="center"/>
    </xf>
    <xf numFmtId="190" fontId="73" fillId="0" borderId="0">
      <alignment vertical="center"/>
    </xf>
    <xf numFmtId="0" fontId="35" fillId="0" borderId="0">
      <protection locked="0"/>
    </xf>
    <xf numFmtId="190" fontId="73" fillId="0" borderId="0">
      <alignment vertical="center"/>
    </xf>
    <xf numFmtId="0" fontId="35" fillId="0" borderId="0">
      <alignment vertical="center"/>
    </xf>
    <xf numFmtId="0" fontId="35" fillId="0" borderId="0">
      <alignment vertical="center"/>
    </xf>
    <xf numFmtId="190" fontId="35" fillId="0" borderId="0">
      <alignment vertical="center"/>
    </xf>
    <xf numFmtId="0" fontId="71" fillId="0" borderId="0"/>
    <xf numFmtId="0" fontId="60" fillId="0" borderId="0">
      <protection locked="0"/>
    </xf>
    <xf numFmtId="0" fontId="35" fillId="0" borderId="0"/>
    <xf numFmtId="0" fontId="35" fillId="0" borderId="0" applyFill="0" applyBorder="0"/>
    <xf numFmtId="0" fontId="35" fillId="0" borderId="0" applyFill="0" applyBorder="0"/>
    <xf numFmtId="0" fontId="15" fillId="0" borderId="0" applyNumberFormat="0" applyFill="0" applyBorder="0" applyAlignment="0" applyProtection="0">
      <alignment vertical="top"/>
      <protection locked="0"/>
    </xf>
    <xf numFmtId="191" fontId="53" fillId="0" borderId="0" applyFont="0" applyFill="0" applyBorder="0" applyAlignment="0" applyProtection="0"/>
    <xf numFmtId="194" fontId="53" fillId="0" borderId="0" applyFont="0" applyFill="0" applyBorder="0" applyAlignment="0" applyProtection="0"/>
    <xf numFmtId="195" fontId="74" fillId="0" borderId="0" applyFont="0" applyFill="0" applyBorder="0" applyAlignment="0" applyProtection="0"/>
    <xf numFmtId="196" fontId="74" fillId="0" borderId="0" applyFont="0" applyFill="0" applyBorder="0" applyAlignment="0" applyProtection="0"/>
    <xf numFmtId="41" fontId="75" fillId="0" borderId="0" applyFont="0" applyFill="0" applyBorder="0" applyAlignment="0" applyProtection="0"/>
    <xf numFmtId="43" fontId="75" fillId="0" borderId="0" applyFont="0" applyFill="0" applyBorder="0" applyAlignment="0" applyProtection="0"/>
    <xf numFmtId="43" fontId="35" fillId="0" borderId="0" applyFont="0" applyFill="0" applyBorder="0" applyAlignment="0" applyProtection="0">
      <alignment vertical="center"/>
    </xf>
    <xf numFmtId="43" fontId="35" fillId="0" borderId="0" applyFont="0" applyFill="0" applyBorder="0" applyAlignment="0" applyProtection="0"/>
    <xf numFmtId="43" fontId="35" fillId="0" borderId="0" applyFont="0" applyFill="0" applyBorder="0" applyAlignment="0" applyProtection="0">
      <alignment vertical="center"/>
    </xf>
    <xf numFmtId="0" fontId="76" fillId="0" borderId="0"/>
    <xf numFmtId="0" fontId="77" fillId="0" borderId="0"/>
    <xf numFmtId="40" fontId="72" fillId="0" borderId="0" applyFont="0" applyFill="0" applyBorder="0" applyAlignment="0" applyProtection="0"/>
    <xf numFmtId="38" fontId="72" fillId="0" borderId="0" applyFont="0" applyFill="0" applyBorder="0" applyAlignment="0" applyProtection="0"/>
    <xf numFmtId="190" fontId="1" fillId="0" borderId="0">
      <alignment vertical="center"/>
    </xf>
  </cellStyleXfs>
  <cellXfs count="557">
    <xf numFmtId="0" fontId="0" fillId="0" borderId="0" xfId="0">
      <protection locked="0"/>
    </xf>
    <xf numFmtId="0" fontId="2" fillId="0" borderId="0" xfId="0" applyFont="1" applyAlignment="1">
      <alignment vertical="center"/>
      <protection locked="0"/>
    </xf>
    <xf numFmtId="0" fontId="3" fillId="0" borderId="0" xfId="0" applyFont="1" applyAlignment="1">
      <alignment vertical="center"/>
      <protection locked="0"/>
    </xf>
    <xf numFmtId="0" fontId="3" fillId="0" borderId="0" xfId="61" applyFont="1" applyAlignment="1" applyProtection="1">
      <alignment vertical="center"/>
      <protection locked="0"/>
    </xf>
    <xf numFmtId="0" fontId="4" fillId="0" borderId="0" xfId="0" applyFont="1" applyAlignment="1">
      <alignment vertical="center"/>
      <protection locked="0"/>
    </xf>
    <xf numFmtId="0" fontId="5" fillId="0" borderId="0" xfId="0" applyFont="1" applyAlignment="1">
      <alignment vertical="center"/>
      <protection locked="0"/>
    </xf>
    <xf numFmtId="0" fontId="3" fillId="0" borderId="0" xfId="0" applyFont="1" applyAlignment="1">
      <alignment horizontal="left" vertical="center"/>
      <protection locked="0"/>
    </xf>
    <xf numFmtId="14" fontId="3" fillId="0" borderId="0" xfId="0" applyNumberFormat="1" applyFont="1" applyAlignment="1">
      <alignment horizontal="left" vertical="center"/>
      <protection locked="0"/>
    </xf>
    <xf numFmtId="43" fontId="3" fillId="0" borderId="0" xfId="0" applyNumberFormat="1" applyFont="1" applyAlignment="1">
      <alignment horizontal="left" vertical="center"/>
      <protection locked="0"/>
    </xf>
    <xf numFmtId="0" fontId="4" fillId="0" borderId="0" xfId="61" applyFont="1" applyAlignment="1">
      <alignment horizontal="left" vertical="center"/>
    </xf>
    <xf numFmtId="0" fontId="8" fillId="0" borderId="0" xfId="61" applyFont="1" applyAlignment="1">
      <alignment horizontal="left" vertical="center" wrapText="1"/>
    </xf>
    <xf numFmtId="0" fontId="8" fillId="0" borderId="0" xfId="61" applyFont="1" applyAlignment="1">
      <alignment vertical="center"/>
    </xf>
    <xf numFmtId="0" fontId="9" fillId="0" borderId="0" xfId="43" applyFont="1" applyAlignment="1">
      <alignment horizontal="center"/>
    </xf>
    <xf numFmtId="0" fontId="3" fillId="0" borderId="0" xfId="61" applyFont="1" applyAlignment="1">
      <alignment horizontal="left" vertical="center" wrapText="1"/>
    </xf>
    <xf numFmtId="0" fontId="4" fillId="0" borderId="0" xfId="61" applyFont="1" applyAlignment="1">
      <alignment horizontal="left" vertical="center" wrapText="1"/>
    </xf>
    <xf numFmtId="14" fontId="10" fillId="0" borderId="0" xfId="0" applyNumberFormat="1" applyFont="1" applyBorder="1" applyAlignment="1">
      <alignment horizontal="left" vertical="center"/>
      <protection locked="0"/>
    </xf>
    <xf numFmtId="0" fontId="3" fillId="0" borderId="0" xfId="0" applyFont="1" applyBorder="1" applyAlignment="1">
      <alignment horizontal="left" vertical="center"/>
      <protection locked="0"/>
    </xf>
    <xf numFmtId="0" fontId="3" fillId="0" borderId="0" xfId="0" applyFont="1" applyBorder="1" applyAlignment="1">
      <alignment vertical="center" wrapText="1"/>
      <protection locked="0"/>
    </xf>
    <xf numFmtId="43" fontId="3" fillId="0" borderId="0" xfId="1" applyFont="1" applyBorder="1" applyAlignment="1" applyProtection="1">
      <alignment horizontal="left" vertical="center"/>
      <protection locked="0"/>
    </xf>
    <xf numFmtId="0" fontId="3" fillId="0" borderId="0" xfId="0" applyFont="1" applyBorder="1" applyAlignment="1">
      <alignment horizontal="center" vertical="center"/>
      <protection locked="0"/>
    </xf>
    <xf numFmtId="0" fontId="11" fillId="0" borderId="0" xfId="0" applyFont="1" applyFill="1" applyBorder="1" applyAlignment="1">
      <alignment horizontal="left" vertical="center"/>
      <protection locked="0"/>
    </xf>
    <xf numFmtId="0" fontId="3" fillId="0" borderId="1" xfId="61" applyFont="1" applyBorder="1" applyAlignment="1" applyProtection="1">
      <alignment vertical="center"/>
      <protection locked="0"/>
    </xf>
    <xf numFmtId="0" fontId="12" fillId="0" borderId="1" xfId="61" applyFont="1" applyBorder="1" applyAlignment="1" applyProtection="1">
      <alignment horizontal="center" vertical="center"/>
      <protection hidden="1"/>
    </xf>
    <xf numFmtId="0" fontId="8" fillId="0" borderId="0" xfId="0" applyFont="1" applyAlignment="1">
      <alignment vertical="center"/>
      <protection locked="0"/>
    </xf>
    <xf numFmtId="0" fontId="13" fillId="2" borderId="2" xfId="44" applyFont="1" applyFill="1" applyBorder="1" applyAlignment="1" applyProtection="1">
      <alignment horizontal="center" vertical="center"/>
      <protection locked="0"/>
    </xf>
    <xf numFmtId="0" fontId="13" fillId="2" borderId="2" xfId="44" applyFont="1" applyFill="1" applyBorder="1" applyAlignment="1" applyProtection="1">
      <alignment horizontal="center" vertical="center" wrapText="1"/>
      <protection locked="0"/>
    </xf>
    <xf numFmtId="14" fontId="3" fillId="0" borderId="2" xfId="46" applyNumberFormat="1" applyFont="1" applyBorder="1" applyAlignment="1">
      <alignment horizontal="center" vertical="center"/>
      <protection locked="0"/>
    </xf>
    <xf numFmtId="49" fontId="3" fillId="0" borderId="2" xfId="46" applyNumberFormat="1" applyFont="1" applyBorder="1" applyAlignment="1">
      <alignment horizontal="center" vertical="center"/>
      <protection locked="0"/>
    </xf>
    <xf numFmtId="190" fontId="8" fillId="0" borderId="2" xfId="46" applyFont="1" applyBorder="1" applyAlignment="1">
      <alignment vertical="center"/>
      <protection locked="0"/>
    </xf>
    <xf numFmtId="43" fontId="3" fillId="0" borderId="2" xfId="73" applyFont="1" applyBorder="1" applyAlignment="1" applyProtection="1">
      <alignment vertical="center"/>
      <protection locked="0"/>
    </xf>
    <xf numFmtId="49" fontId="14" fillId="0" borderId="2" xfId="46" applyNumberFormat="1" applyFont="1" applyBorder="1" applyAlignment="1">
      <alignment horizontal="left" vertical="center"/>
      <protection locked="0"/>
    </xf>
    <xf numFmtId="49" fontId="8" fillId="0" borderId="2" xfId="46" applyNumberFormat="1" applyFont="1" applyBorder="1" applyAlignment="1">
      <alignment horizontal="center" vertical="center"/>
      <protection locked="0"/>
    </xf>
    <xf numFmtId="0" fontId="10" fillId="0" borderId="0" xfId="61" applyFont="1" applyBorder="1" applyAlignment="1">
      <alignment vertical="center"/>
    </xf>
    <xf numFmtId="0" fontId="3" fillId="0" borderId="0" xfId="0" applyFont="1" applyBorder="1" applyAlignment="1">
      <alignment vertical="center"/>
      <protection locked="0"/>
    </xf>
    <xf numFmtId="0" fontId="10" fillId="0" borderId="0" xfId="0" applyFont="1" applyAlignment="1">
      <alignment vertical="center"/>
      <protection locked="0"/>
    </xf>
    <xf numFmtId="0" fontId="3" fillId="0" borderId="0" xfId="0" applyFont="1" applyAlignment="1">
      <alignment horizontal="center" vertical="center"/>
      <protection locked="0"/>
    </xf>
    <xf numFmtId="190" fontId="15" fillId="0" borderId="0" xfId="3" applyNumberFormat="1" applyFill="1" applyAlignment="1" applyProtection="1">
      <alignment vertical="center"/>
    </xf>
    <xf numFmtId="14" fontId="8" fillId="0" borderId="0" xfId="0" applyNumberFormat="1" applyFont="1" applyAlignment="1">
      <alignment horizontal="left" vertical="center"/>
      <protection locked="0"/>
    </xf>
    <xf numFmtId="0" fontId="4" fillId="0" borderId="0" xfId="61" applyFont="1" applyAlignment="1">
      <alignment vertical="center" wrapText="1"/>
    </xf>
    <xf numFmtId="0" fontId="4" fillId="2" borderId="2" xfId="0" applyFont="1" applyFill="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2" xfId="73" applyNumberFormat="1" applyFont="1" applyBorder="1" applyAlignment="1" applyProtection="1">
      <alignment horizontal="center" vertical="center"/>
      <protection locked="0"/>
    </xf>
    <xf numFmtId="49" fontId="3" fillId="0" borderId="2" xfId="46" applyNumberFormat="1" applyFont="1" applyBorder="1" applyAlignment="1">
      <alignment vertical="center"/>
      <protection locked="0"/>
    </xf>
    <xf numFmtId="0" fontId="4" fillId="0" borderId="0" xfId="0" applyFont="1" applyAlignment="1">
      <alignment horizontal="left" vertical="center"/>
      <protection locked="0"/>
    </xf>
    <xf numFmtId="0" fontId="5" fillId="0" borderId="0" xfId="57" applyFont="1">
      <alignment vertical="center"/>
    </xf>
    <xf numFmtId="0" fontId="5" fillId="0" borderId="0" xfId="0" applyFont="1">
      <protection locked="0"/>
    </xf>
    <xf numFmtId="0" fontId="16" fillId="0" borderId="0" xfId="42" applyFont="1" applyAlignment="1">
      <alignment vertical="center"/>
    </xf>
    <xf numFmtId="0" fontId="16" fillId="0" borderId="0" xfId="42" applyFont="1">
      <alignment vertical="center"/>
    </xf>
    <xf numFmtId="0" fontId="17" fillId="0" borderId="0" xfId="57" applyFont="1" applyAlignment="1">
      <alignment horizontal="center" vertical="center"/>
    </xf>
    <xf numFmtId="43" fontId="8" fillId="0" borderId="0" xfId="0" applyNumberFormat="1" applyFont="1" applyAlignment="1">
      <alignment horizontal="left" vertical="center"/>
      <protection locked="0"/>
    </xf>
    <xf numFmtId="43" fontId="4" fillId="0" borderId="0" xfId="1" applyFont="1" applyBorder="1" applyAlignment="1" applyProtection="1">
      <alignment vertical="center"/>
      <protection locked="0"/>
    </xf>
    <xf numFmtId="0" fontId="8" fillId="0" borderId="0" xfId="61" applyFont="1" applyAlignment="1">
      <alignment horizontal="left" vertical="center"/>
    </xf>
    <xf numFmtId="43" fontId="8" fillId="0" borderId="0" xfId="1" applyFont="1" applyAlignment="1" applyProtection="1">
      <alignment vertical="center" wrapText="1"/>
      <protection locked="0"/>
    </xf>
    <xf numFmtId="0" fontId="18" fillId="4" borderId="1" xfId="42" applyFont="1" applyFill="1" applyBorder="1" applyAlignment="1">
      <alignment horizontal="center" vertical="center" wrapText="1"/>
    </xf>
    <xf numFmtId="0" fontId="18" fillId="4" borderId="2" xfId="42" applyFont="1" applyFill="1" applyBorder="1" applyAlignment="1">
      <alignment horizontal="center" vertical="center" wrapText="1"/>
    </xf>
    <xf numFmtId="0" fontId="16" fillId="0" borderId="2" xfId="42" applyFont="1" applyBorder="1" applyAlignment="1">
      <alignment vertical="center"/>
    </xf>
    <xf numFmtId="14" fontId="3" fillId="4" borderId="2" xfId="42" applyNumberFormat="1" applyFont="1" applyFill="1" applyBorder="1">
      <alignment vertical="center"/>
    </xf>
    <xf numFmtId="0" fontId="19" fillId="4" borderId="2" xfId="42" applyFont="1" applyFill="1" applyBorder="1">
      <alignment vertical="center"/>
    </xf>
    <xf numFmtId="43" fontId="3" fillId="5" borderId="2" xfId="1" applyFont="1" applyFill="1" applyBorder="1" applyAlignment="1" applyProtection="1">
      <alignment vertical="center"/>
      <protection locked="0"/>
    </xf>
    <xf numFmtId="0" fontId="16" fillId="0" borderId="2" xfId="42" applyFont="1" applyBorder="1">
      <alignment vertical="center"/>
    </xf>
    <xf numFmtId="0" fontId="19" fillId="0" borderId="0" xfId="42" applyFont="1" applyAlignment="1">
      <alignment horizontal="left" vertical="center"/>
    </xf>
    <xf numFmtId="0" fontId="19" fillId="0" borderId="0" xfId="42" applyFont="1">
      <alignment vertical="center"/>
    </xf>
    <xf numFmtId="197" fontId="19" fillId="0" borderId="0" xfId="42" applyNumberFormat="1" applyFont="1" applyAlignment="1">
      <alignment horizontal="center" vertical="center"/>
    </xf>
    <xf numFmtId="43" fontId="19" fillId="4" borderId="2" xfId="1" applyFont="1" applyFill="1" applyBorder="1" applyAlignment="1">
      <alignment vertical="center"/>
    </xf>
    <xf numFmtId="0" fontId="20" fillId="0" borderId="2" xfId="44" applyFont="1" applyBorder="1" applyAlignment="1">
      <alignment horizontal="center" vertical="center"/>
    </xf>
    <xf numFmtId="14" fontId="3" fillId="0" borderId="2" xfId="42" applyNumberFormat="1" applyFont="1" applyFill="1" applyBorder="1">
      <alignment vertical="center"/>
    </xf>
    <xf numFmtId="0" fontId="18" fillId="0" borderId="0" xfId="42" applyFont="1" applyAlignment="1">
      <alignment horizontal="left" vertical="center"/>
    </xf>
    <xf numFmtId="0" fontId="13" fillId="4" borderId="6" xfId="0" applyFont="1" applyFill="1" applyBorder="1" applyAlignment="1">
      <alignment horizontal="center" vertical="center" wrapText="1"/>
      <protection locked="0"/>
    </xf>
    <xf numFmtId="0" fontId="13" fillId="4" borderId="2" xfId="0" applyFont="1" applyFill="1" applyBorder="1" applyAlignment="1">
      <alignment horizontal="center" vertical="center" wrapText="1"/>
      <protection locked="0"/>
    </xf>
    <xf numFmtId="0" fontId="19" fillId="0" borderId="2" xfId="42" applyFont="1" applyFill="1" applyBorder="1">
      <alignment vertical="center"/>
    </xf>
    <xf numFmtId="43" fontId="3" fillId="4" borderId="2" xfId="42" applyNumberFormat="1" applyFont="1" applyFill="1" applyBorder="1">
      <alignment vertical="center"/>
    </xf>
    <xf numFmtId="43" fontId="3" fillId="0" borderId="2" xfId="1" applyFont="1" applyFill="1" applyBorder="1" applyAlignment="1">
      <alignment horizontal="right" vertical="center" wrapText="1"/>
    </xf>
    <xf numFmtId="43" fontId="13" fillId="0" borderId="0" xfId="1" applyFont="1" applyFill="1" applyAlignment="1">
      <alignment vertical="center"/>
    </xf>
    <xf numFmtId="198" fontId="19" fillId="0" borderId="0" xfId="42" applyNumberFormat="1" applyFont="1" applyAlignment="1">
      <alignment horizontal="center" vertical="center"/>
    </xf>
    <xf numFmtId="0" fontId="8" fillId="0" borderId="0" xfId="0" applyFont="1" applyAlignment="1">
      <alignment horizontal="right" vertical="center"/>
      <protection locked="0"/>
    </xf>
    <xf numFmtId="190" fontId="21" fillId="0" borderId="0" xfId="3" applyNumberFormat="1" applyFont="1" applyAlignment="1" applyProtection="1">
      <alignment vertical="center" wrapText="1"/>
      <protection locked="0"/>
    </xf>
    <xf numFmtId="190" fontId="15" fillId="0" borderId="0" xfId="3" applyNumberFormat="1" applyFont="1" applyFill="1" applyAlignment="1" applyProtection="1">
      <alignment vertical="center"/>
    </xf>
    <xf numFmtId="43" fontId="16" fillId="0" borderId="0" xfId="42" applyNumberFormat="1" applyFont="1">
      <alignment vertical="center"/>
    </xf>
    <xf numFmtId="43" fontId="3" fillId="5" borderId="2" xfId="1" applyFont="1" applyFill="1" applyBorder="1" applyAlignment="1">
      <alignment horizontal="center" vertical="center"/>
    </xf>
    <xf numFmtId="14" fontId="3" fillId="0" borderId="0" xfId="0" applyNumberFormat="1" applyFont="1" applyFill="1" applyBorder="1" applyAlignment="1">
      <alignment horizontal="left" vertical="center"/>
      <protection locked="0"/>
    </xf>
    <xf numFmtId="43" fontId="3" fillId="0" borderId="0" xfId="1" applyFont="1" applyFill="1" applyBorder="1" applyAlignment="1" applyProtection="1">
      <alignment horizontal="left" vertical="center"/>
      <protection locked="0"/>
    </xf>
    <xf numFmtId="0" fontId="3" fillId="0" borderId="0" xfId="0" applyFont="1" applyFill="1" applyBorder="1" applyAlignment="1">
      <alignment horizontal="center" vertical="center"/>
      <protection locked="0"/>
    </xf>
    <xf numFmtId="0" fontId="3" fillId="0" borderId="0" xfId="0" applyFont="1" applyFill="1" applyBorder="1" applyAlignment="1">
      <alignment horizontal="left" vertical="center"/>
      <protection locked="0"/>
    </xf>
    <xf numFmtId="43" fontId="16" fillId="0" borderId="0" xfId="1" applyFont="1" applyAlignment="1">
      <alignment vertical="center"/>
    </xf>
    <xf numFmtId="0" fontId="3" fillId="0" borderId="0" xfId="0" applyFont="1" applyFill="1" applyBorder="1" applyAlignment="1">
      <alignment vertical="center" wrapText="1"/>
      <protection locked="0"/>
    </xf>
    <xf numFmtId="43" fontId="8" fillId="0" borderId="0" xfId="0" applyNumberFormat="1" applyFont="1" applyAlignment="1">
      <alignment vertical="center"/>
      <protection locked="0"/>
    </xf>
    <xf numFmtId="14" fontId="19" fillId="4" borderId="2" xfId="42" applyNumberFormat="1" applyFont="1" applyFill="1" applyBorder="1">
      <alignment vertical="center"/>
    </xf>
    <xf numFmtId="0" fontId="18" fillId="0" borderId="11" xfId="42" applyFont="1" applyFill="1" applyBorder="1" applyAlignment="1">
      <alignment horizontal="right" vertical="center" wrapText="1"/>
    </xf>
    <xf numFmtId="43" fontId="3" fillId="0" borderId="2" xfId="1" applyFont="1" applyBorder="1" applyAlignment="1">
      <alignment horizontal="right" vertical="center" wrapText="1"/>
    </xf>
    <xf numFmtId="0" fontId="13" fillId="0" borderId="0" xfId="57" applyFont="1" applyAlignment="1">
      <alignment horizontal="center" vertical="center"/>
    </xf>
    <xf numFmtId="43" fontId="8" fillId="0" borderId="0" xfId="1" applyFont="1" applyAlignment="1" applyProtection="1">
      <alignment horizontal="left" vertical="center" wrapText="1"/>
      <protection locked="0"/>
    </xf>
    <xf numFmtId="0" fontId="16" fillId="0" borderId="0" xfId="42" applyFont="1" applyAlignment="1">
      <alignment horizontal="center" vertical="center"/>
    </xf>
    <xf numFmtId="0" fontId="4" fillId="5" borderId="2" xfId="1" applyNumberFormat="1" applyFont="1" applyFill="1" applyBorder="1" applyAlignment="1">
      <alignment horizontal="center" vertical="center" wrapText="1"/>
    </xf>
    <xf numFmtId="14" fontId="3" fillId="5" borderId="2" xfId="1" applyNumberFormat="1" applyFont="1" applyFill="1" applyBorder="1" applyAlignment="1" applyProtection="1">
      <alignment vertical="center"/>
      <protection locked="0"/>
    </xf>
    <xf numFmtId="0" fontId="18" fillId="4" borderId="2" xfId="42" applyFont="1" applyFill="1" applyBorder="1" applyAlignment="1">
      <alignment horizontal="center" vertical="center"/>
    </xf>
    <xf numFmtId="0" fontId="19" fillId="0" borderId="2" xfId="42" applyFont="1" applyFill="1" applyBorder="1" applyAlignment="1">
      <alignment horizontal="left" vertical="center"/>
    </xf>
    <xf numFmtId="0" fontId="19" fillId="4" borderId="2" xfId="42" applyFont="1" applyFill="1" applyBorder="1" applyAlignment="1">
      <alignment horizontal="center" vertical="center"/>
    </xf>
    <xf numFmtId="10" fontId="3" fillId="5" borderId="11" xfId="2" applyNumberFormat="1" applyFont="1" applyFill="1" applyBorder="1" applyAlignment="1">
      <alignment horizontal="center" vertical="center"/>
    </xf>
    <xf numFmtId="14" fontId="18" fillId="0" borderId="10" xfId="42" applyNumberFormat="1" applyFont="1" applyFill="1" applyBorder="1" applyAlignment="1">
      <alignment horizontal="left" vertical="center" wrapText="1"/>
    </xf>
    <xf numFmtId="14" fontId="19" fillId="0" borderId="2" xfId="42" applyNumberFormat="1" applyFont="1" applyFill="1" applyBorder="1" applyAlignment="1">
      <alignment horizontal="left" vertical="center"/>
    </xf>
    <xf numFmtId="0" fontId="19" fillId="5" borderId="2" xfId="42" applyFont="1" applyFill="1" applyBorder="1">
      <alignment vertical="center"/>
    </xf>
    <xf numFmtId="0" fontId="22" fillId="0" borderId="0" xfId="42" applyFont="1" applyAlignment="1">
      <alignment horizontal="left" vertical="center"/>
    </xf>
    <xf numFmtId="0" fontId="4" fillId="4" borderId="2" xfId="0" applyFont="1" applyFill="1" applyBorder="1" applyAlignment="1">
      <alignment horizontal="center" vertical="center" wrapText="1"/>
      <protection locked="0"/>
    </xf>
    <xf numFmtId="14" fontId="3" fillId="5" borderId="2" xfId="1" applyNumberFormat="1" applyFont="1" applyFill="1" applyBorder="1" applyAlignment="1" applyProtection="1">
      <alignment horizontal="center" vertical="center"/>
      <protection locked="0"/>
    </xf>
    <xf numFmtId="0" fontId="23" fillId="0" borderId="0" xfId="0" applyFont="1" applyFill="1" applyBorder="1" applyAlignment="1">
      <alignment horizontal="left" vertical="center"/>
      <protection locked="0"/>
    </xf>
    <xf numFmtId="0" fontId="4" fillId="0" borderId="2" xfId="0" applyFont="1" applyFill="1" applyBorder="1" applyAlignment="1">
      <alignment horizontal="center" vertical="center"/>
      <protection locked="0"/>
    </xf>
    <xf numFmtId="0" fontId="3" fillId="0" borderId="2" xfId="0" applyFont="1" applyFill="1" applyBorder="1" applyAlignment="1">
      <alignment horizontal="left" vertical="center"/>
      <protection locked="0"/>
    </xf>
    <xf numFmtId="0" fontId="19" fillId="0" borderId="0" xfId="42" applyFont="1" applyAlignment="1">
      <alignment horizontal="center" vertical="center"/>
    </xf>
    <xf numFmtId="14" fontId="3" fillId="0" borderId="0" xfId="0" applyNumberFormat="1" applyFont="1" applyFill="1" applyBorder="1" applyAlignment="1">
      <alignment horizontal="center" vertical="center"/>
      <protection locked="0"/>
    </xf>
    <xf numFmtId="43" fontId="8" fillId="0" borderId="2" xfId="45" applyNumberFormat="1" applyFont="1" applyFill="1" applyBorder="1" applyAlignment="1">
      <alignment horizontal="left" vertical="center" wrapText="1"/>
      <protection locked="0"/>
    </xf>
    <xf numFmtId="0" fontId="3" fillId="0" borderId="0" xfId="0" applyFont="1" applyFill="1" applyBorder="1" applyAlignment="1">
      <alignment horizontal="center" vertical="center" wrapText="1"/>
      <protection locked="0"/>
    </xf>
    <xf numFmtId="43" fontId="3" fillId="0" borderId="0" xfId="1" applyFont="1" applyFill="1" applyBorder="1" applyAlignment="1" applyProtection="1">
      <alignment horizontal="center" vertical="center"/>
      <protection locked="0"/>
    </xf>
    <xf numFmtId="0" fontId="13" fillId="0" borderId="2" xfId="0" applyFont="1" applyFill="1" applyBorder="1" applyAlignment="1">
      <alignment horizontal="center" vertical="center"/>
      <protection locked="0"/>
    </xf>
    <xf numFmtId="0" fontId="3" fillId="0" borderId="0" xfId="0" applyFont="1">
      <protection locked="0"/>
    </xf>
    <xf numFmtId="10" fontId="3" fillId="5" borderId="11" xfId="2" applyNumberFormat="1" applyFont="1" applyFill="1" applyBorder="1" applyAlignment="1">
      <alignment horizontal="right" vertical="center"/>
    </xf>
    <xf numFmtId="0" fontId="18" fillId="0" borderId="11" xfId="42" applyFont="1" applyFill="1" applyBorder="1" applyAlignment="1">
      <alignment horizontal="left" vertical="center" wrapText="1"/>
    </xf>
    <xf numFmtId="190" fontId="24" fillId="0" borderId="0" xfId="3" applyNumberFormat="1" applyFont="1" applyFill="1" applyAlignment="1" applyProtection="1">
      <alignment vertical="center"/>
    </xf>
    <xf numFmtId="43" fontId="19" fillId="0" borderId="0" xfId="42" applyNumberFormat="1" applyFont="1">
      <alignment vertical="center"/>
    </xf>
    <xf numFmtId="0" fontId="3" fillId="0" borderId="0" xfId="57" applyFont="1">
      <alignment vertical="center"/>
    </xf>
    <xf numFmtId="0" fontId="19" fillId="0" borderId="0" xfId="42" applyFont="1" applyAlignment="1">
      <alignment vertical="center"/>
    </xf>
    <xf numFmtId="0" fontId="3" fillId="0" borderId="0" xfId="45" applyFont="1" applyAlignment="1">
      <alignment vertical="center"/>
      <protection locked="0"/>
    </xf>
    <xf numFmtId="0" fontId="3" fillId="0" borderId="0" xfId="45" applyFont="1">
      <protection locked="0"/>
    </xf>
    <xf numFmtId="0" fontId="3" fillId="0" borderId="0" xfId="45" applyFont="1" applyFill="1">
      <protection locked="0"/>
    </xf>
    <xf numFmtId="0" fontId="8" fillId="0" borderId="0" xfId="60" applyFont="1">
      <protection locked="0"/>
    </xf>
    <xf numFmtId="0" fontId="25" fillId="0" borderId="0" xfId="45" applyFont="1">
      <protection locked="0"/>
    </xf>
    <xf numFmtId="0" fontId="12" fillId="0" borderId="0" xfId="45" applyFont="1">
      <protection locked="0"/>
    </xf>
    <xf numFmtId="0" fontId="5" fillId="0" borderId="0" xfId="45" applyFont="1">
      <protection locked="0"/>
    </xf>
    <xf numFmtId="0" fontId="4" fillId="0" borderId="0" xfId="57" applyFont="1">
      <alignment vertical="center"/>
    </xf>
    <xf numFmtId="43" fontId="3" fillId="0" borderId="0" xfId="62" applyNumberFormat="1" applyFont="1" applyBorder="1" applyAlignment="1">
      <alignment horizontal="left" vertical="center"/>
    </xf>
    <xf numFmtId="14" fontId="3" fillId="0" borderId="0" xfId="45" applyNumberFormat="1" applyFont="1" applyAlignment="1">
      <alignment vertical="center"/>
      <protection locked="0"/>
    </xf>
    <xf numFmtId="0" fontId="3" fillId="0" borderId="0" xfId="45" applyFont="1" applyAlignment="1">
      <alignment horizontal="left" vertical="center"/>
      <protection locked="0"/>
    </xf>
    <xf numFmtId="0" fontId="13" fillId="0" borderId="0" xfId="45" applyFont="1" applyAlignment="1">
      <alignment vertical="center"/>
      <protection locked="0"/>
    </xf>
    <xf numFmtId="0" fontId="8" fillId="0" borderId="0" xfId="45" applyFont="1" applyAlignment="1">
      <alignment horizontal="left" vertical="center" wrapText="1"/>
      <protection locked="0"/>
    </xf>
    <xf numFmtId="0" fontId="8" fillId="0" borderId="0" xfId="45" applyFont="1" applyAlignment="1">
      <alignment horizontal="left" vertical="center"/>
      <protection locked="0"/>
    </xf>
    <xf numFmtId="0" fontId="3" fillId="5" borderId="2" xfId="1" applyNumberFormat="1" applyFont="1" applyFill="1" applyBorder="1" applyAlignment="1">
      <alignment horizontal="center" vertical="center"/>
    </xf>
    <xf numFmtId="14" fontId="3" fillId="0" borderId="2" xfId="1" applyNumberFormat="1" applyFont="1" applyFill="1" applyBorder="1" applyAlignment="1">
      <alignment vertical="center" shrinkToFit="1"/>
    </xf>
    <xf numFmtId="0" fontId="4" fillId="0" borderId="1" xfId="1" applyNumberFormat="1" applyFont="1" applyFill="1" applyBorder="1" applyAlignment="1">
      <alignment horizontal="left" vertical="center"/>
    </xf>
    <xf numFmtId="14" fontId="3" fillId="0" borderId="1" xfId="1" applyNumberFormat="1" applyFont="1" applyFill="1" applyBorder="1" applyAlignment="1">
      <alignment vertical="center" shrinkToFit="1"/>
    </xf>
    <xf numFmtId="0" fontId="3" fillId="0" borderId="1" xfId="1" applyNumberFormat="1" applyFont="1" applyFill="1" applyBorder="1" applyAlignment="1">
      <alignment horizontal="center" vertical="center"/>
    </xf>
    <xf numFmtId="0" fontId="3" fillId="0" borderId="1" xfId="45" applyFont="1" applyBorder="1" applyAlignment="1">
      <alignment vertical="center"/>
      <protection locked="0"/>
    </xf>
    <xf numFmtId="0" fontId="4" fillId="4" borderId="3" xfId="45" applyFont="1" applyFill="1" applyBorder="1" applyAlignment="1">
      <alignment horizontal="center" vertical="center" wrapText="1"/>
      <protection locked="0"/>
    </xf>
    <xf numFmtId="0" fontId="13" fillId="4" borderId="2" xfId="45" applyFont="1" applyFill="1" applyBorder="1" applyAlignment="1">
      <alignment horizontal="center" vertical="center" wrapText="1"/>
      <protection locked="0"/>
    </xf>
    <xf numFmtId="0" fontId="4" fillId="4" borderId="2" xfId="45" applyFont="1" applyFill="1" applyBorder="1" applyAlignment="1">
      <alignment horizontal="center" vertical="center" wrapText="1"/>
      <protection locked="0"/>
    </xf>
    <xf numFmtId="0" fontId="26" fillId="0" borderId="3" xfId="45" applyFont="1" applyBorder="1" applyAlignment="1">
      <alignment vertical="center"/>
      <protection locked="0"/>
    </xf>
    <xf numFmtId="0" fontId="3" fillId="0" borderId="11" xfId="45" applyFont="1" applyFill="1" applyBorder="1" applyAlignment="1">
      <alignment horizontal="center" vertical="center" wrapText="1"/>
      <protection locked="0"/>
    </xf>
    <xf numFmtId="0" fontId="3" fillId="0" borderId="2" xfId="45" applyFont="1" applyFill="1" applyBorder="1" applyAlignment="1">
      <alignment horizontal="center" vertical="center" wrapText="1"/>
      <protection locked="0"/>
    </xf>
    <xf numFmtId="0" fontId="3" fillId="0" borderId="3" xfId="45" applyFont="1" applyBorder="1" applyAlignment="1">
      <alignment vertical="center"/>
      <protection locked="0"/>
    </xf>
    <xf numFmtId="0" fontId="8" fillId="0" borderId="3" xfId="45" applyFont="1" applyBorder="1" applyAlignment="1">
      <alignment vertical="center"/>
      <protection locked="0"/>
    </xf>
    <xf numFmtId="43" fontId="3" fillId="0" borderId="11" xfId="1" applyFont="1" applyBorder="1" applyAlignment="1">
      <alignment horizontal="right" vertical="center"/>
    </xf>
    <xf numFmtId="14" fontId="3" fillId="0" borderId="2" xfId="45" applyNumberFormat="1" applyFont="1" applyBorder="1" applyAlignment="1">
      <alignment horizontal="center" vertical="center"/>
      <protection locked="0"/>
    </xf>
    <xf numFmtId="43" fontId="4" fillId="5" borderId="2" xfId="1" applyFont="1" applyFill="1" applyBorder="1" applyAlignment="1">
      <alignment horizontal="center" vertical="center" wrapText="1"/>
    </xf>
    <xf numFmtId="0" fontId="3" fillId="0" borderId="2" xfId="45" applyFont="1" applyBorder="1" applyAlignment="1">
      <alignment horizontal="center" vertical="center" wrapText="1"/>
      <protection locked="0"/>
    </xf>
    <xf numFmtId="199" fontId="3" fillId="0" borderId="11" xfId="1" applyNumberFormat="1" applyFont="1" applyBorder="1" applyAlignment="1">
      <alignment horizontal="center" vertical="center"/>
    </xf>
    <xf numFmtId="43" fontId="3" fillId="0" borderId="11" xfId="1" applyFont="1" applyBorder="1" applyAlignment="1">
      <alignment horizontal="center" vertical="center"/>
    </xf>
    <xf numFmtId="43" fontId="3" fillId="5" borderId="11" xfId="1" applyFont="1" applyFill="1" applyBorder="1" applyAlignment="1">
      <alignment horizontal="right" vertical="center"/>
    </xf>
    <xf numFmtId="14" fontId="3" fillId="0" borderId="11" xfId="1" applyNumberFormat="1" applyFont="1" applyBorder="1" applyAlignment="1">
      <alignment horizontal="center" vertical="center"/>
    </xf>
    <xf numFmtId="200" fontId="3" fillId="5" borderId="11" xfId="2" applyNumberFormat="1" applyFont="1" applyFill="1" applyBorder="1" applyAlignment="1">
      <alignment horizontal="center" vertical="center"/>
    </xf>
    <xf numFmtId="43" fontId="3" fillId="5" borderId="2" xfId="1" applyFont="1" applyFill="1" applyBorder="1" applyAlignment="1">
      <alignment horizontal="right" vertical="center"/>
    </xf>
    <xf numFmtId="0" fontId="4" fillId="0" borderId="3" xfId="45" applyFont="1" applyBorder="1" applyAlignment="1">
      <alignment vertical="center"/>
      <protection locked="0"/>
    </xf>
    <xf numFmtId="43" fontId="4" fillId="5" borderId="11" xfId="1" applyFont="1" applyFill="1" applyBorder="1" applyAlignment="1">
      <alignment horizontal="right" vertical="center"/>
    </xf>
    <xf numFmtId="14" fontId="4" fillId="5" borderId="2" xfId="45" applyNumberFormat="1" applyFont="1" applyFill="1" applyBorder="1" applyAlignment="1">
      <alignment horizontal="center" vertical="center"/>
      <protection locked="0"/>
    </xf>
    <xf numFmtId="43" fontId="4" fillId="5" borderId="2" xfId="45" applyNumberFormat="1" applyFont="1" applyFill="1" applyBorder="1" applyAlignment="1">
      <alignment horizontal="center" vertical="center"/>
      <protection locked="0"/>
    </xf>
    <xf numFmtId="0" fontId="4" fillId="0" borderId="2" xfId="45" applyFont="1" applyBorder="1" applyAlignment="1">
      <alignment horizontal="center" vertical="center" wrapText="1"/>
      <protection locked="0"/>
    </xf>
    <xf numFmtId="43" fontId="3" fillId="0" borderId="1" xfId="1" applyFont="1" applyFill="1" applyBorder="1" applyAlignment="1">
      <alignment horizontal="right" vertical="center"/>
    </xf>
    <xf numFmtId="14" fontId="3" fillId="0" borderId="1" xfId="45" applyNumberFormat="1" applyFont="1" applyBorder="1" applyAlignment="1">
      <alignment horizontal="center" vertical="center"/>
      <protection locked="0"/>
    </xf>
    <xf numFmtId="43" fontId="4" fillId="0" borderId="1" xfId="1" applyFont="1" applyFill="1" applyBorder="1" applyAlignment="1">
      <alignment horizontal="center" vertical="center" wrapText="1"/>
    </xf>
    <xf numFmtId="0" fontId="3" fillId="0" borderId="10" xfId="45" applyFont="1" applyBorder="1" applyAlignment="1">
      <alignment horizontal="center" vertical="center" wrapText="1"/>
      <protection locked="0"/>
    </xf>
    <xf numFmtId="199" fontId="3" fillId="0" borderId="11" xfId="1" applyNumberFormat="1" applyFont="1" applyFill="1" applyBorder="1" applyAlignment="1">
      <alignment horizontal="center" vertical="center"/>
    </xf>
    <xf numFmtId="43" fontId="3" fillId="0" borderId="11" xfId="1" applyFont="1" applyFill="1" applyBorder="1" applyAlignment="1">
      <alignment horizontal="right" vertical="center"/>
    </xf>
    <xf numFmtId="0" fontId="3" fillId="0" borderId="11" xfId="1" applyNumberFormat="1" applyFont="1" applyBorder="1" applyAlignment="1">
      <alignment horizontal="center" vertical="center"/>
    </xf>
    <xf numFmtId="0" fontId="4" fillId="0" borderId="0" xfId="45" applyFont="1" applyAlignment="1">
      <alignment vertical="center"/>
      <protection locked="0"/>
    </xf>
    <xf numFmtId="0" fontId="25" fillId="0" borderId="0" xfId="0" applyFont="1" applyAlignment="1">
      <alignment vertical="center"/>
      <protection locked="0"/>
    </xf>
    <xf numFmtId="0" fontId="2" fillId="0" borderId="0" xfId="57" applyFont="1">
      <alignment vertical="center"/>
    </xf>
    <xf numFmtId="0" fontId="3" fillId="0" borderId="0" xfId="45" applyFont="1" applyAlignment="1">
      <alignment horizontal="justify" vertical="center" wrapText="1"/>
      <protection locked="0"/>
    </xf>
    <xf numFmtId="0" fontId="27" fillId="0" borderId="0" xfId="0" applyFont="1" applyAlignment="1" applyProtection="1">
      <alignment vertical="center"/>
    </xf>
    <xf numFmtId="0" fontId="27" fillId="0" borderId="0" xfId="0" applyFont="1" applyAlignment="1" applyProtection="1">
      <alignment horizontal="center" vertical="center"/>
    </xf>
    <xf numFmtId="0" fontId="28" fillId="0" borderId="0" xfId="0" applyFont="1" applyAlignment="1">
      <alignment vertical="center"/>
      <protection locked="0"/>
    </xf>
    <xf numFmtId="0" fontId="0" fillId="0" borderId="0" xfId="0" applyAlignment="1">
      <alignment vertical="center"/>
      <protection locked="0"/>
    </xf>
    <xf numFmtId="0" fontId="29" fillId="0" borderId="0" xfId="0" applyFont="1" applyAlignment="1" applyProtection="1">
      <alignment vertical="center"/>
    </xf>
    <xf numFmtId="0" fontId="30" fillId="0" borderId="0" xfId="0" applyFont="1" applyAlignment="1" applyProtection="1">
      <alignment vertical="center"/>
    </xf>
    <xf numFmtId="0" fontId="31" fillId="4" borderId="2" xfId="0" applyFont="1" applyFill="1" applyBorder="1" applyAlignment="1" applyProtection="1">
      <alignment horizontal="center" vertical="center" wrapText="1"/>
    </xf>
    <xf numFmtId="201" fontId="3" fillId="0" borderId="2" xfId="56" applyNumberFormat="1" applyFont="1" applyBorder="1" applyAlignment="1">
      <alignment horizontal="left" vertical="center"/>
    </xf>
    <xf numFmtId="14" fontId="3" fillId="0" borderId="2" xfId="56" applyNumberFormat="1" applyFont="1" applyBorder="1" applyAlignment="1">
      <alignment horizontal="left" vertical="center"/>
    </xf>
    <xf numFmtId="43" fontId="32" fillId="0" borderId="2" xfId="72" applyFont="1" applyFill="1" applyBorder="1" applyAlignment="1">
      <alignment horizontal="right" vertical="center"/>
    </xf>
    <xf numFmtId="43" fontId="30" fillId="0" borderId="2" xfId="0" applyNumberFormat="1" applyFont="1" applyBorder="1" applyAlignment="1" applyProtection="1">
      <alignment horizontal="center" vertical="center"/>
    </xf>
    <xf numFmtId="201" fontId="8" fillId="0" borderId="2" xfId="56" applyNumberFormat="1" applyFont="1" applyBorder="1" applyAlignment="1">
      <alignment horizontal="left" vertical="center"/>
    </xf>
    <xf numFmtId="43" fontId="27" fillId="0" borderId="2" xfId="0" applyNumberFormat="1" applyFont="1" applyBorder="1" applyAlignment="1" applyProtection="1">
      <alignment horizontal="center" vertical="center"/>
    </xf>
    <xf numFmtId="0" fontId="4" fillId="5" borderId="2" xfId="1" applyNumberFormat="1" applyFont="1" applyFill="1" applyBorder="1" applyAlignment="1">
      <alignment horizontal="center" vertical="center"/>
    </xf>
    <xf numFmtId="0" fontId="8" fillId="0" borderId="0" xfId="50" applyFont="1" applyAlignment="1">
      <alignment vertical="center"/>
      <protection locked="0"/>
    </xf>
    <xf numFmtId="0" fontId="4" fillId="0" borderId="0" xfId="50" applyFont="1" applyAlignment="1">
      <alignment vertical="center"/>
      <protection locked="0"/>
    </xf>
    <xf numFmtId="0" fontId="3" fillId="0" borderId="0" xfId="50" applyFont="1" applyAlignment="1">
      <alignment vertical="center"/>
      <protection locked="0"/>
    </xf>
    <xf numFmtId="0" fontId="33" fillId="0" borderId="0" xfId="0" applyFont="1" applyAlignment="1">
      <alignment vertical="center"/>
      <protection locked="0"/>
    </xf>
    <xf numFmtId="0" fontId="28" fillId="0" borderId="0" xfId="0" applyFont="1" applyAlignment="1">
      <alignment horizontal="left" vertical="center"/>
      <protection locked="0"/>
    </xf>
    <xf numFmtId="0" fontId="34" fillId="6" borderId="13" xfId="0" applyFont="1" applyFill="1" applyBorder="1" applyAlignment="1">
      <alignment horizontal="center" vertical="center" wrapText="1"/>
      <protection locked="0"/>
    </xf>
    <xf numFmtId="0" fontId="34" fillId="6" borderId="14" xfId="0" applyFont="1" applyFill="1" applyBorder="1" applyAlignment="1">
      <alignment horizontal="center" vertical="center" wrapText="1"/>
      <protection locked="0"/>
    </xf>
    <xf numFmtId="0" fontId="28" fillId="0" borderId="25" xfId="0" applyFont="1" applyBorder="1" applyAlignment="1">
      <alignment horizontal="justify" vertical="center" wrapText="1"/>
      <protection locked="0"/>
    </xf>
    <xf numFmtId="0" fontId="24" fillId="0" borderId="0" xfId="3" applyFont="1" applyAlignment="1">
      <alignment vertical="center"/>
      <protection locked="0"/>
    </xf>
    <xf numFmtId="14" fontId="3" fillId="0" borderId="0" xfId="0" applyNumberFormat="1" applyFont="1" applyAlignment="1">
      <alignment vertical="center"/>
      <protection locked="0"/>
    </xf>
    <xf numFmtId="0" fontId="3" fillId="0" borderId="0" xfId="0" applyFont="1" applyAlignment="1">
      <alignment horizontal="right" vertical="center"/>
      <protection locked="0"/>
    </xf>
    <xf numFmtId="14" fontId="8" fillId="0" borderId="0" xfId="0" applyNumberFormat="1" applyFont="1" applyAlignment="1">
      <alignment vertical="center"/>
      <protection locked="0"/>
    </xf>
    <xf numFmtId="43" fontId="3" fillId="0" borderId="0" xfId="62" applyNumberFormat="1" applyFont="1" applyFill="1" applyBorder="1" applyAlignment="1">
      <alignment vertical="center"/>
    </xf>
    <xf numFmtId="43" fontId="27" fillId="0" borderId="2" xfId="0" applyNumberFormat="1" applyFont="1" applyBorder="1" applyAlignment="1">
      <alignment horizontal="center" vertical="center"/>
      <protection locked="0"/>
    </xf>
    <xf numFmtId="0" fontId="27" fillId="0" borderId="2" xfId="0" applyFont="1" applyBorder="1" applyAlignment="1" applyProtection="1">
      <alignment vertical="center"/>
    </xf>
    <xf numFmtId="0" fontId="35" fillId="0" borderId="0" xfId="54">
      <protection locked="0"/>
    </xf>
    <xf numFmtId="43" fontId="3" fillId="0" borderId="0" xfId="63" applyNumberFormat="1" applyFont="1" applyBorder="1" applyAlignment="1">
      <alignment vertical="center"/>
    </xf>
    <xf numFmtId="43" fontId="3" fillId="0" borderId="0" xfId="63" applyNumberFormat="1" applyFont="1" applyBorder="1" applyAlignment="1">
      <alignment horizontal="left" vertical="center"/>
    </xf>
    <xf numFmtId="0" fontId="36" fillId="4" borderId="2" xfId="54" applyFont="1" applyFill="1" applyBorder="1" applyAlignment="1" applyProtection="1">
      <alignment horizontal="center" vertical="center"/>
    </xf>
    <xf numFmtId="0" fontId="36" fillId="4" borderId="2" xfId="54" applyFont="1" applyFill="1" applyBorder="1" applyAlignment="1" applyProtection="1">
      <alignment horizontal="center" vertical="center" wrapText="1"/>
    </xf>
    <xf numFmtId="190" fontId="13" fillId="4" borderId="2" xfId="51" applyFont="1" applyFill="1" applyBorder="1" applyAlignment="1" applyProtection="1">
      <alignment horizontal="center" vertical="center" wrapText="1"/>
      <protection locked="0"/>
    </xf>
    <xf numFmtId="190" fontId="37" fillId="4" borderId="2" xfId="51" applyFont="1" applyFill="1" applyBorder="1" applyAlignment="1" applyProtection="1">
      <alignment horizontal="center" vertical="center" wrapText="1"/>
      <protection locked="0"/>
    </xf>
    <xf numFmtId="0" fontId="8" fillId="0" borderId="2" xfId="54" applyFont="1" applyBorder="1" applyAlignment="1" applyProtection="1">
      <alignment vertical="center"/>
    </xf>
    <xf numFmtId="43" fontId="3" fillId="0" borderId="2" xfId="1" applyFont="1" applyBorder="1" applyAlignment="1" applyProtection="1">
      <alignment vertical="center"/>
    </xf>
    <xf numFmtId="0" fontId="8" fillId="0" borderId="2" xfId="54" applyFont="1" applyBorder="1" applyAlignment="1" applyProtection="1">
      <alignment horizontal="left" vertical="center" indent="1"/>
    </xf>
    <xf numFmtId="0" fontId="4" fillId="0" borderId="2" xfId="54" applyFont="1" applyBorder="1" applyAlignment="1" applyProtection="1">
      <alignment horizontal="center" vertical="center"/>
    </xf>
    <xf numFmtId="43" fontId="4" fillId="0" borderId="7" xfId="63" applyNumberFormat="1" applyFont="1" applyBorder="1" applyAlignment="1">
      <alignment horizontal="left" vertical="center"/>
    </xf>
    <xf numFmtId="43" fontId="3" fillId="0" borderId="7" xfId="63" applyNumberFormat="1" applyFont="1" applyBorder="1" applyAlignment="1">
      <alignment horizontal="left" vertical="center"/>
    </xf>
    <xf numFmtId="43" fontId="38" fillId="0" borderId="7" xfId="64" applyNumberFormat="1" applyFont="1" applyBorder="1" applyAlignment="1" applyProtection="1">
      <alignment horizontal="center" vertical="center"/>
    </xf>
    <xf numFmtId="0" fontId="3" fillId="0" borderId="0" xfId="59" applyFont="1" applyAlignment="1">
      <alignment vertical="center"/>
    </xf>
    <xf numFmtId="9" fontId="39" fillId="0" borderId="0" xfId="2" applyFont="1" applyBorder="1" applyAlignment="1">
      <alignment horizontal="left" vertical="center"/>
    </xf>
    <xf numFmtId="0" fontId="3" fillId="0" borderId="0" xfId="59" applyFont="1" applyAlignment="1">
      <alignment horizontal="left" vertical="center"/>
    </xf>
    <xf numFmtId="10" fontId="39" fillId="0" borderId="0" xfId="2" applyNumberFormat="1" applyFont="1" applyBorder="1" applyAlignment="1">
      <alignment horizontal="left" vertical="center"/>
    </xf>
    <xf numFmtId="43" fontId="8" fillId="0" borderId="0" xfId="63" applyNumberFormat="1" applyFont="1" applyBorder="1" applyAlignment="1">
      <alignment horizontal="right" vertical="center"/>
    </xf>
    <xf numFmtId="0" fontId="4" fillId="0" borderId="0" xfId="59" applyFont="1" applyAlignment="1">
      <alignment vertical="center"/>
    </xf>
    <xf numFmtId="0" fontId="41" fillId="0" borderId="0" xfId="57" applyFont="1">
      <alignment vertical="center"/>
    </xf>
    <xf numFmtId="43" fontId="3" fillId="0" borderId="0" xfId="1" applyFont="1" applyAlignment="1" applyProtection="1">
      <alignment vertical="center"/>
      <protection locked="0"/>
    </xf>
    <xf numFmtId="0" fontId="35" fillId="0" borderId="0" xfId="0" applyFont="1" applyAlignment="1">
      <alignment vertical="center"/>
      <protection locked="0"/>
    </xf>
    <xf numFmtId="0" fontId="8" fillId="0" borderId="0" xfId="0" applyFont="1" applyAlignment="1">
      <alignment vertical="center" wrapText="1"/>
      <protection locked="0"/>
    </xf>
    <xf numFmtId="202" fontId="3" fillId="0" borderId="3" xfId="1" applyNumberFormat="1" applyFont="1" applyBorder="1" applyAlignment="1" applyProtection="1">
      <alignment vertical="center" wrapText="1"/>
      <protection locked="0"/>
    </xf>
    <xf numFmtId="202" fontId="8" fillId="0" borderId="11" xfId="1" applyNumberFormat="1" applyFont="1" applyBorder="1" applyAlignment="1" applyProtection="1">
      <alignment vertical="center" wrapText="1"/>
      <protection locked="0"/>
    </xf>
    <xf numFmtId="14" fontId="3" fillId="0" borderId="2" xfId="1" applyNumberFormat="1" applyFont="1" applyBorder="1" applyAlignment="1" applyProtection="1">
      <alignment vertical="center"/>
      <protection locked="0"/>
    </xf>
    <xf numFmtId="43" fontId="3" fillId="0" borderId="2" xfId="1" applyFont="1" applyBorder="1" applyAlignment="1" applyProtection="1">
      <alignment vertical="center"/>
      <protection locked="0"/>
    </xf>
    <xf numFmtId="9" fontId="3" fillId="0" borderId="2" xfId="1" applyNumberFormat="1" applyFont="1" applyBorder="1" applyAlignment="1" applyProtection="1">
      <alignment horizontal="center" vertical="center"/>
      <protection locked="0"/>
    </xf>
    <xf numFmtId="9" fontId="3" fillId="0" borderId="2" xfId="2" applyFont="1" applyBorder="1" applyAlignment="1" applyProtection="1">
      <alignment horizontal="center" vertical="center"/>
      <protection locked="0"/>
    </xf>
    <xf numFmtId="202" fontId="3" fillId="0" borderId="11" xfId="1" applyNumberFormat="1" applyFont="1" applyBorder="1" applyAlignment="1" applyProtection="1">
      <alignment vertical="center" wrapText="1"/>
      <protection locked="0"/>
    </xf>
    <xf numFmtId="43" fontId="3" fillId="0" borderId="2" xfId="1" applyFont="1" applyBorder="1" applyAlignment="1" applyProtection="1">
      <alignment horizontal="center" vertical="center"/>
      <protection locked="0"/>
    </xf>
    <xf numFmtId="43" fontId="25" fillId="0" borderId="0" xfId="62" applyNumberFormat="1" applyFont="1" applyBorder="1" applyAlignment="1">
      <alignment vertical="center"/>
    </xf>
    <xf numFmtId="43" fontId="3" fillId="0" borderId="2" xfId="1" applyFont="1" applyBorder="1" applyAlignment="1" applyProtection="1">
      <alignment horizontal="left" vertical="center"/>
      <protection locked="0"/>
    </xf>
    <xf numFmtId="43" fontId="3" fillId="0" borderId="2" xfId="1" applyFont="1" applyFill="1" applyBorder="1" applyAlignment="1" applyProtection="1">
      <alignment vertical="center"/>
      <protection locked="0"/>
    </xf>
    <xf numFmtId="190" fontId="42" fillId="0" borderId="0" xfId="3" applyNumberFormat="1" applyFont="1" applyFill="1" applyAlignment="1" applyProtection="1">
      <alignment vertical="center"/>
    </xf>
    <xf numFmtId="0" fontId="43" fillId="0" borderId="0" xfId="0" applyFont="1" applyAlignment="1">
      <alignment vertical="center"/>
      <protection locked="0"/>
    </xf>
    <xf numFmtId="0" fontId="27" fillId="0" borderId="0" xfId="0" applyFont="1" applyAlignment="1" applyProtection="1">
      <alignment horizontal="center" vertical="center" wrapText="1"/>
    </xf>
    <xf numFmtId="0" fontId="44" fillId="0" borderId="0" xfId="0" applyFont="1" applyAlignment="1" applyProtection="1">
      <alignment vertical="center"/>
    </xf>
    <xf numFmtId="0" fontId="3" fillId="0" borderId="0" xfId="60" applyFont="1">
      <protection locked="0"/>
    </xf>
    <xf numFmtId="43" fontId="3" fillId="0" borderId="0" xfId="1" applyFont="1" applyBorder="1" applyAlignment="1" applyProtection="1">
      <alignment vertical="center"/>
      <protection locked="0"/>
    </xf>
    <xf numFmtId="43" fontId="43" fillId="0" borderId="0" xfId="1" applyFont="1" applyBorder="1" applyAlignment="1" applyProtection="1">
      <alignment vertical="center"/>
      <protection locked="0"/>
    </xf>
    <xf numFmtId="202" fontId="4" fillId="0" borderId="0" xfId="1" applyNumberFormat="1" applyFont="1" applyBorder="1" applyAlignment="1" applyProtection="1">
      <alignment vertical="center"/>
      <protection locked="0"/>
    </xf>
    <xf numFmtId="0" fontId="4" fillId="4" borderId="2" xfId="0" applyFont="1" applyFill="1" applyBorder="1" applyAlignment="1" applyProtection="1">
      <alignment horizontal="center" vertical="center"/>
    </xf>
    <xf numFmtId="0" fontId="13" fillId="4" borderId="2" xfId="0" applyFont="1" applyFill="1" applyBorder="1" applyAlignment="1" applyProtection="1">
      <alignment horizontal="center" vertical="center"/>
    </xf>
    <xf numFmtId="0" fontId="36" fillId="4" borderId="2" xfId="0" applyFont="1" applyFill="1" applyBorder="1" applyAlignment="1">
      <alignment horizontal="center" vertical="center" wrapText="1"/>
      <protection locked="0"/>
    </xf>
    <xf numFmtId="0" fontId="45" fillId="4" borderId="2" xfId="0" applyFont="1" applyFill="1" applyBorder="1" applyAlignment="1">
      <alignment horizontal="center" vertical="center" wrapText="1"/>
      <protection locked="0"/>
    </xf>
    <xf numFmtId="0" fontId="13" fillId="4" borderId="2" xfId="0" applyFont="1" applyFill="1" applyBorder="1" applyAlignment="1" applyProtection="1">
      <alignment horizontal="left" vertical="center"/>
    </xf>
    <xf numFmtId="0" fontId="3" fillId="0" borderId="2" xfId="0" applyFont="1" applyBorder="1" applyAlignment="1" applyProtection="1">
      <alignment horizontal="center" vertical="center" wrapText="1"/>
    </xf>
    <xf numFmtId="0" fontId="8" fillId="0" borderId="2" xfId="0" applyFont="1" applyBorder="1" applyAlignment="1" applyProtection="1">
      <alignment horizontal="left" vertical="center"/>
    </xf>
    <xf numFmtId="14" fontId="3" fillId="0" borderId="2" xfId="0" applyNumberFormat="1" applyFont="1" applyBorder="1" applyAlignment="1" applyProtection="1">
      <alignment horizontal="left" vertical="center"/>
    </xf>
    <xf numFmtId="0" fontId="3" fillId="0" borderId="2" xfId="0" applyFont="1" applyBorder="1" applyAlignment="1" applyProtection="1">
      <alignment horizontal="left" vertical="center"/>
    </xf>
    <xf numFmtId="9" fontId="3" fillId="0" borderId="2" xfId="0" applyNumberFormat="1" applyFont="1" applyBorder="1" applyAlignment="1" applyProtection="1">
      <alignment horizontal="left" vertical="center"/>
    </xf>
    <xf numFmtId="43" fontId="3" fillId="0" borderId="2" xfId="1" applyFont="1" applyBorder="1" applyAlignment="1" applyProtection="1">
      <alignment horizontal="left" vertical="center"/>
    </xf>
    <xf numFmtId="0" fontId="4" fillId="0" borderId="2" xfId="0" applyFont="1" applyBorder="1" applyAlignment="1" applyProtection="1">
      <alignment horizontal="center" vertical="center"/>
    </xf>
    <xf numFmtId="43" fontId="4" fillId="0" borderId="2" xfId="1" applyFont="1" applyBorder="1" applyAlignment="1" applyProtection="1">
      <alignment horizontal="center" vertical="center"/>
    </xf>
    <xf numFmtId="43" fontId="4" fillId="4" borderId="2" xfId="1" applyFont="1" applyFill="1" applyBorder="1" applyAlignment="1" applyProtection="1">
      <alignment horizontal="center" vertical="center"/>
    </xf>
    <xf numFmtId="43" fontId="13" fillId="0" borderId="0" xfId="1" applyFont="1" applyAlignment="1" applyProtection="1">
      <alignment vertical="center"/>
      <protection locked="0"/>
    </xf>
    <xf numFmtId="0" fontId="12" fillId="0" borderId="0" xfId="0" applyFont="1" applyAlignment="1">
      <alignment vertical="center"/>
      <protection locked="0"/>
    </xf>
    <xf numFmtId="0" fontId="43" fillId="0" borderId="0" xfId="0" applyFont="1" applyAlignment="1">
      <alignment horizontal="right" vertical="center"/>
      <protection locked="0"/>
    </xf>
    <xf numFmtId="43" fontId="8" fillId="0" borderId="0" xfId="1" applyFont="1" applyAlignment="1" applyProtection="1">
      <alignment vertical="center"/>
      <protection locked="0"/>
    </xf>
    <xf numFmtId="0" fontId="4" fillId="4" borderId="2" xfId="0" applyFont="1" applyFill="1" applyBorder="1" applyAlignment="1" applyProtection="1">
      <alignment horizontal="center" vertical="center" wrapText="1"/>
    </xf>
    <xf numFmtId="43" fontId="4" fillId="4" borderId="2" xfId="1" applyFont="1" applyFill="1" applyBorder="1" applyAlignment="1">
      <alignment horizontal="center" vertical="center" wrapText="1"/>
    </xf>
    <xf numFmtId="0" fontId="13" fillId="4" borderId="2" xfId="0" applyFont="1" applyFill="1" applyBorder="1" applyAlignment="1" applyProtection="1">
      <alignment horizontal="center" vertical="center" wrapText="1"/>
    </xf>
    <xf numFmtId="43" fontId="3" fillId="0" borderId="2" xfId="1" applyFont="1" applyFill="1" applyBorder="1" applyAlignment="1">
      <alignment horizontal="right" vertical="center"/>
    </xf>
    <xf numFmtId="0" fontId="3" fillId="4" borderId="2" xfId="0" applyFont="1" applyFill="1" applyBorder="1" applyAlignment="1" applyProtection="1">
      <alignment horizontal="right" vertical="center"/>
    </xf>
    <xf numFmtId="43" fontId="3" fillId="4" borderId="2" xfId="1" applyFont="1" applyFill="1" applyBorder="1" applyAlignment="1">
      <alignment horizontal="right" vertical="center"/>
    </xf>
    <xf numFmtId="43" fontId="0" fillId="0" borderId="0" xfId="1" applyFont="1" applyAlignment="1" applyProtection="1">
      <alignment vertical="center"/>
      <protection locked="0"/>
    </xf>
    <xf numFmtId="43" fontId="43" fillId="0" borderId="0" xfId="62" applyNumberFormat="1" applyFont="1" applyFill="1" applyBorder="1" applyAlignment="1">
      <alignment vertical="center"/>
    </xf>
    <xf numFmtId="202" fontId="4" fillId="0" borderId="0" xfId="0" applyNumberFormat="1" applyFont="1" applyAlignment="1">
      <alignment vertical="center"/>
      <protection locked="0"/>
    </xf>
    <xf numFmtId="43" fontId="3" fillId="0" borderId="0" xfId="1" applyFont="1" applyBorder="1" applyAlignment="1" applyProtection="1">
      <alignment vertical="center" wrapText="1"/>
      <protection locked="0"/>
    </xf>
    <xf numFmtId="43" fontId="3" fillId="0" borderId="2" xfId="1" applyFont="1" applyFill="1" applyBorder="1" applyAlignment="1">
      <alignment vertical="center"/>
    </xf>
    <xf numFmtId="43" fontId="3" fillId="0" borderId="0" xfId="0" applyNumberFormat="1" applyFont="1" applyAlignment="1">
      <alignment vertical="center"/>
      <protection locked="0"/>
    </xf>
    <xf numFmtId="43" fontId="3" fillId="5" borderId="2" xfId="1" applyFont="1" applyFill="1" applyBorder="1" applyAlignment="1">
      <alignment vertical="center"/>
    </xf>
    <xf numFmtId="43" fontId="3" fillId="4" borderId="2" xfId="1" applyFont="1" applyFill="1" applyBorder="1" applyAlignment="1">
      <alignment horizontal="center" vertical="center"/>
    </xf>
    <xf numFmtId="0" fontId="13" fillId="4" borderId="2" xfId="0" applyFont="1" applyFill="1" applyBorder="1" applyAlignment="1">
      <alignment horizontal="center" vertical="center"/>
      <protection locked="0"/>
    </xf>
    <xf numFmtId="0" fontId="30" fillId="0" borderId="2" xfId="0" applyFont="1" applyBorder="1" applyAlignment="1" applyProtection="1">
      <alignment vertical="center"/>
    </xf>
    <xf numFmtId="0" fontId="44" fillId="0" borderId="2" xfId="0" applyFont="1" applyBorder="1" applyAlignment="1" applyProtection="1">
      <alignment vertical="center"/>
    </xf>
    <xf numFmtId="43" fontId="5" fillId="0" borderId="0" xfId="62" applyNumberFormat="1" applyFont="1" applyBorder="1" applyAlignment="1">
      <alignment vertical="center"/>
    </xf>
    <xf numFmtId="43" fontId="4" fillId="0" borderId="0" xfId="62" applyNumberFormat="1" applyFont="1" applyBorder="1" applyAlignment="1">
      <alignment vertical="center"/>
    </xf>
    <xf numFmtId="43" fontId="12" fillId="0" borderId="0" xfId="62" applyNumberFormat="1" applyFont="1" applyBorder="1" applyAlignment="1">
      <alignment vertical="center"/>
    </xf>
    <xf numFmtId="43" fontId="3" fillId="0" borderId="0" xfId="62" applyNumberFormat="1" applyFont="1" applyBorder="1" applyAlignment="1">
      <alignment vertical="center"/>
    </xf>
    <xf numFmtId="49" fontId="3" fillId="0" borderId="0" xfId="62" applyNumberFormat="1" applyFont="1" applyBorder="1" applyAlignment="1">
      <alignment vertical="center"/>
    </xf>
    <xf numFmtId="43" fontId="3" fillId="4" borderId="2" xfId="1" applyFont="1" applyFill="1" applyBorder="1" applyAlignment="1">
      <alignment horizontal="right" vertical="center" wrapText="1"/>
    </xf>
    <xf numFmtId="43" fontId="3" fillId="5" borderId="2" xfId="1" applyFont="1" applyFill="1" applyBorder="1" applyAlignment="1">
      <alignment horizontal="right" vertical="center" wrapText="1"/>
    </xf>
    <xf numFmtId="43" fontId="4" fillId="5" borderId="34" xfId="1" applyFont="1" applyFill="1" applyBorder="1" applyAlignment="1">
      <alignment horizontal="center" vertical="center"/>
    </xf>
    <xf numFmtId="43" fontId="46" fillId="0" borderId="0" xfId="3" applyNumberFormat="1" applyFont="1" applyBorder="1" applyAlignment="1" applyProtection="1">
      <alignment horizontal="center" vertical="center"/>
    </xf>
    <xf numFmtId="14" fontId="3" fillId="0" borderId="0" xfId="62" applyNumberFormat="1" applyFont="1" applyBorder="1" applyAlignment="1">
      <alignment vertical="center"/>
    </xf>
    <xf numFmtId="190" fontId="21" fillId="0" borderId="0" xfId="3" applyNumberFormat="1" applyFont="1" applyFill="1" applyAlignment="1" applyProtection="1">
      <alignment vertical="center"/>
    </xf>
    <xf numFmtId="43" fontId="8" fillId="0" borderId="0" xfId="62" applyNumberFormat="1" applyFont="1" applyBorder="1" applyAlignment="1">
      <alignment horizontal="center" vertical="center"/>
    </xf>
    <xf numFmtId="43" fontId="8" fillId="0" borderId="0" xfId="62" applyNumberFormat="1" applyFont="1" applyBorder="1" applyAlignment="1">
      <alignment vertical="center"/>
    </xf>
    <xf numFmtId="43" fontId="3" fillId="4" borderId="34" xfId="1" applyFont="1" applyFill="1" applyBorder="1" applyAlignment="1">
      <alignment vertical="center"/>
    </xf>
    <xf numFmtId="43" fontId="3" fillId="0" borderId="34" xfId="1" applyFont="1" applyBorder="1" applyAlignment="1">
      <alignment vertical="center"/>
    </xf>
    <xf numFmtId="43" fontId="4" fillId="0" borderId="34" xfId="1" applyFont="1" applyBorder="1" applyAlignment="1">
      <alignment vertical="center"/>
    </xf>
    <xf numFmtId="0" fontId="2" fillId="0" borderId="16" xfId="0" applyFont="1" applyBorder="1" applyAlignment="1">
      <alignment horizontal="justify" vertical="center" wrapText="1"/>
      <protection locked="0"/>
    </xf>
    <xf numFmtId="0" fontId="47" fillId="0" borderId="16" xfId="0" applyFont="1" applyBorder="1" applyAlignment="1">
      <alignment horizontal="right" vertical="center" wrapText="1"/>
      <protection locked="0"/>
    </xf>
    <xf numFmtId="0" fontId="5" fillId="0" borderId="0" xfId="0" applyFont="1" applyAlignment="1">
      <alignment horizontal="justify" vertical="center" wrapText="1"/>
      <protection locked="0"/>
    </xf>
    <xf numFmtId="43" fontId="5" fillId="0" borderId="0" xfId="0" applyNumberFormat="1" applyFont="1" applyAlignment="1">
      <alignment horizontal="right" vertical="center" wrapText="1"/>
      <protection locked="0"/>
    </xf>
    <xf numFmtId="43" fontId="48" fillId="0" borderId="0" xfId="0" applyNumberFormat="1" applyFont="1" applyAlignment="1">
      <alignment horizontal="justify" vertical="center" wrapText="1"/>
      <protection locked="0"/>
    </xf>
    <xf numFmtId="43" fontId="2" fillId="0" borderId="16" xfId="0" applyNumberFormat="1" applyFont="1" applyBorder="1" applyAlignment="1">
      <alignment horizontal="right" vertical="center" wrapText="1"/>
      <protection locked="0"/>
    </xf>
    <xf numFmtId="0" fontId="2" fillId="0" borderId="16" xfId="0" applyFont="1" applyBorder="1" applyAlignment="1">
      <alignment horizontal="center" vertical="center" wrapText="1"/>
      <protection locked="0"/>
    </xf>
    <xf numFmtId="0" fontId="2" fillId="0" borderId="16" xfId="0" applyFont="1" applyBorder="1" applyAlignment="1">
      <alignment vertical="center" wrapText="1"/>
      <protection locked="0"/>
    </xf>
    <xf numFmtId="43" fontId="5" fillId="0" borderId="0" xfId="1" applyFont="1" applyAlignment="1" applyProtection="1">
      <alignment horizontal="right" vertical="center" wrapText="1"/>
      <protection locked="0"/>
    </xf>
    <xf numFmtId="0" fontId="2" fillId="0" borderId="24" xfId="0" applyFont="1" applyBorder="1" applyAlignment="1">
      <alignment horizontal="justify" vertical="center" wrapText="1"/>
      <protection locked="0"/>
    </xf>
    <xf numFmtId="0" fontId="2" fillId="0" borderId="24" xfId="0" applyFont="1" applyBorder="1" applyAlignment="1">
      <alignment horizontal="right" vertical="center" wrapText="1"/>
      <protection locked="0"/>
    </xf>
    <xf numFmtId="0" fontId="49" fillId="0" borderId="24" xfId="0" applyFont="1" applyBorder="1" applyAlignment="1">
      <alignment horizontal="justify" vertical="center" wrapText="1"/>
      <protection locked="0"/>
    </xf>
    <xf numFmtId="0" fontId="5" fillId="0" borderId="24" xfId="0" applyFont="1" applyBorder="1" applyAlignment="1">
      <alignment horizontal="right" vertical="center" wrapText="1"/>
      <protection locked="0"/>
    </xf>
    <xf numFmtId="0" fontId="48" fillId="0" borderId="0" xfId="0" applyFont="1" applyAlignment="1">
      <alignment horizontal="left" vertical="center" wrapText="1"/>
      <protection locked="0"/>
    </xf>
    <xf numFmtId="0" fontId="48" fillId="0" borderId="0" xfId="0" applyFont="1" applyAlignment="1">
      <alignment horizontal="justify" vertical="center"/>
      <protection locked="0"/>
    </xf>
    <xf numFmtId="0" fontId="51" fillId="0" borderId="16" xfId="0" applyFont="1" applyBorder="1" applyAlignment="1">
      <alignment horizontal="left" vertical="center" wrapText="1"/>
      <protection locked="0"/>
    </xf>
    <xf numFmtId="0" fontId="51" fillId="0" borderId="16" xfId="0" applyFont="1" applyBorder="1" applyAlignment="1">
      <alignment horizontal="right" vertical="center" wrapText="1"/>
      <protection locked="0"/>
    </xf>
    <xf numFmtId="0" fontId="51" fillId="0" borderId="16" xfId="0" applyFont="1" applyBorder="1" applyAlignment="1">
      <alignment vertical="center" wrapText="1"/>
      <protection locked="0"/>
    </xf>
    <xf numFmtId="43" fontId="48" fillId="0" borderId="0" xfId="0" applyNumberFormat="1" applyFont="1" applyAlignment="1">
      <alignment horizontal="left" vertical="center" wrapText="1"/>
      <protection locked="0"/>
    </xf>
    <xf numFmtId="0" fontId="48" fillId="0" borderId="0" xfId="0" applyFont="1" applyAlignment="1">
      <alignment horizontal="right" vertical="center" wrapText="1"/>
      <protection locked="0"/>
    </xf>
    <xf numFmtId="43" fontId="51" fillId="0" borderId="16" xfId="0" applyNumberFormat="1" applyFont="1" applyBorder="1" applyAlignment="1">
      <alignment horizontal="right" vertical="center" wrapText="1"/>
      <protection locked="0"/>
    </xf>
    <xf numFmtId="0" fontId="5" fillId="0" borderId="0" xfId="0" applyFont="1" applyAlignment="1">
      <alignment horizontal="justify" vertical="center"/>
      <protection locked="0"/>
    </xf>
    <xf numFmtId="0" fontId="47" fillId="0" borderId="24" xfId="0" applyFont="1" applyBorder="1" applyAlignment="1">
      <alignment horizontal="justify" vertical="center" wrapText="1"/>
      <protection locked="0"/>
    </xf>
    <xf numFmtId="0" fontId="47" fillId="0" borderId="24" xfId="0" applyFont="1" applyBorder="1" applyAlignment="1">
      <alignment horizontal="right" vertical="center" wrapText="1"/>
      <protection locked="0"/>
    </xf>
    <xf numFmtId="0" fontId="49" fillId="0" borderId="0" xfId="0" applyFont="1" applyAlignment="1">
      <alignment horizontal="justify" vertical="center" wrapText="1"/>
      <protection locked="0"/>
    </xf>
    <xf numFmtId="43" fontId="49" fillId="0" borderId="0" xfId="0" applyNumberFormat="1" applyFont="1" applyAlignment="1">
      <alignment horizontal="right" vertical="center" wrapText="1"/>
      <protection locked="0"/>
    </xf>
    <xf numFmtId="0" fontId="49" fillId="0" borderId="24" xfId="0" applyFont="1" applyBorder="1" applyAlignment="1">
      <alignment horizontal="right" vertical="center" wrapText="1"/>
      <protection locked="0"/>
    </xf>
    <xf numFmtId="43" fontId="2" fillId="0" borderId="24" xfId="0" applyNumberFormat="1" applyFont="1" applyBorder="1" applyAlignment="1">
      <alignment horizontal="right" vertical="center" wrapText="1"/>
      <protection locked="0"/>
    </xf>
    <xf numFmtId="43" fontId="5" fillId="0" borderId="24" xfId="0" applyNumberFormat="1" applyFont="1" applyBorder="1" applyAlignment="1">
      <alignment horizontal="right" vertical="center" wrapText="1"/>
      <protection locked="0"/>
    </xf>
    <xf numFmtId="43" fontId="49" fillId="0" borderId="24" xfId="0" applyNumberFormat="1" applyFont="1" applyBorder="1" applyAlignment="1">
      <alignment horizontal="right" vertical="center" wrapText="1"/>
      <protection locked="0"/>
    </xf>
    <xf numFmtId="0" fontId="2" fillId="0" borderId="16" xfId="0" applyFont="1" applyBorder="1" applyAlignment="1">
      <alignment horizontal="right" vertical="center" wrapText="1"/>
      <protection locked="0"/>
    </xf>
    <xf numFmtId="43" fontId="47" fillId="0" borderId="16" xfId="1" applyFont="1" applyBorder="1" applyAlignment="1" applyProtection="1">
      <alignment horizontal="right" vertical="center" wrapText="1"/>
      <protection locked="0"/>
    </xf>
    <xf numFmtId="43" fontId="2" fillId="0" borderId="16" xfId="1" applyFont="1" applyBorder="1" applyAlignment="1" applyProtection="1">
      <alignment horizontal="right" vertical="center" wrapText="1"/>
      <protection locked="0"/>
    </xf>
    <xf numFmtId="43" fontId="47" fillId="0" borderId="16" xfId="0" applyNumberFormat="1" applyFont="1" applyBorder="1" applyAlignment="1">
      <alignment horizontal="right" vertical="center" wrapText="1"/>
      <protection locked="0"/>
    </xf>
    <xf numFmtId="43" fontId="47" fillId="0" borderId="24" xfId="0" applyNumberFormat="1" applyFont="1" applyBorder="1" applyAlignment="1">
      <alignment horizontal="right" vertical="center" wrapText="1"/>
      <protection locked="0"/>
    </xf>
    <xf numFmtId="190" fontId="44" fillId="0" borderId="0" xfId="47" applyFont="1">
      <alignment vertical="center"/>
    </xf>
    <xf numFmtId="190" fontId="3" fillId="0" borderId="0" xfId="47" applyFont="1" applyProtection="1">
      <alignment vertical="center"/>
      <protection locked="0"/>
    </xf>
    <xf numFmtId="0" fontId="3" fillId="0" borderId="0" xfId="48" applyFont="1" applyAlignment="1">
      <alignment horizontal="left" vertical="center"/>
      <protection locked="0"/>
    </xf>
    <xf numFmtId="14" fontId="3" fillId="0" borderId="0" xfId="47" applyNumberFormat="1" applyFont="1" applyProtection="1">
      <alignment vertical="center"/>
      <protection locked="0"/>
    </xf>
    <xf numFmtId="190" fontId="4" fillId="0" borderId="0" xfId="47" applyFont="1" applyAlignment="1" applyProtection="1">
      <alignment horizontal="justify" vertical="center"/>
      <protection locked="0"/>
    </xf>
    <xf numFmtId="0" fontId="27" fillId="0" borderId="2" xfId="47" applyNumberFormat="1" applyFont="1" applyBorder="1" applyAlignment="1">
      <alignment horizontal="center" vertical="center" wrapText="1"/>
    </xf>
    <xf numFmtId="190" fontId="27" fillId="0" borderId="2" xfId="47" applyFont="1" applyBorder="1" applyAlignment="1">
      <alignment horizontal="center" vertical="center" wrapText="1" shrinkToFit="1"/>
    </xf>
    <xf numFmtId="190" fontId="44" fillId="0" borderId="0" xfId="47" applyFont="1" applyAlignment="1">
      <alignment vertical="center"/>
    </xf>
    <xf numFmtId="190" fontId="3" fillId="0" borderId="0" xfId="47" applyFont="1" applyAlignment="1" applyProtection="1">
      <alignment vertical="center"/>
      <protection locked="0"/>
    </xf>
    <xf numFmtId="190" fontId="4" fillId="0" borderId="0" xfId="53" applyFont="1" applyAlignment="1" applyProtection="1">
      <alignment vertical="center"/>
      <protection locked="0"/>
    </xf>
    <xf numFmtId="190" fontId="54" fillId="0" borderId="0" xfId="47" applyFont="1" applyAlignment="1" applyProtection="1">
      <alignment vertical="center"/>
      <protection locked="0"/>
    </xf>
    <xf numFmtId="49" fontId="13" fillId="0" borderId="0" xfId="53" applyNumberFormat="1" applyFont="1" applyFill="1" applyAlignment="1" applyProtection="1">
      <alignment horizontal="left" vertical="center"/>
      <protection locked="0"/>
    </xf>
    <xf numFmtId="49" fontId="4" fillId="0" borderId="0" xfId="47" applyNumberFormat="1" applyFont="1" applyAlignment="1" applyProtection="1">
      <alignment vertical="center"/>
      <protection locked="0"/>
    </xf>
    <xf numFmtId="190" fontId="4" fillId="4" borderId="2" xfId="53" applyFont="1" applyFill="1" applyBorder="1" applyAlignment="1" applyProtection="1">
      <alignment horizontal="center" vertical="center"/>
      <protection locked="0"/>
    </xf>
    <xf numFmtId="190" fontId="4" fillId="4" borderId="2" xfId="53" applyFont="1" applyFill="1" applyBorder="1" applyAlignment="1" applyProtection="1">
      <alignment horizontal="center" vertical="center" wrapText="1"/>
      <protection locked="0"/>
    </xf>
    <xf numFmtId="49" fontId="3" fillId="0" borderId="2" xfId="42" applyNumberFormat="1" applyFont="1" applyBorder="1" applyAlignment="1" applyProtection="1">
      <alignment horizontal="center" vertical="center"/>
      <protection locked="0"/>
    </xf>
    <xf numFmtId="190" fontId="27" fillId="0" borderId="3" xfId="53" applyFont="1" applyBorder="1" applyAlignment="1">
      <alignment vertical="center" wrapText="1"/>
    </xf>
    <xf numFmtId="0" fontId="27" fillId="0" borderId="2" xfId="42" applyFont="1" applyBorder="1" applyAlignment="1">
      <alignment horizontal="center" vertical="center" wrapText="1"/>
    </xf>
    <xf numFmtId="0" fontId="29" fillId="0" borderId="2" xfId="47" applyNumberFormat="1" applyFont="1" applyBorder="1" applyAlignment="1">
      <alignment horizontal="center" vertical="center" wrapText="1"/>
    </xf>
    <xf numFmtId="190" fontId="27" fillId="0" borderId="2" xfId="53" applyFont="1" applyBorder="1" applyAlignment="1">
      <alignment horizontal="center" vertical="center" wrapText="1"/>
    </xf>
    <xf numFmtId="0" fontId="32" fillId="0" borderId="2" xfId="0" applyNumberFormat="1" applyFont="1" applyFill="1" applyBorder="1" applyAlignment="1" applyProtection="1">
      <alignment horizontal="center" vertical="center" wrapText="1"/>
    </xf>
    <xf numFmtId="0" fontId="36" fillId="0" borderId="2" xfId="0" applyNumberFormat="1" applyFont="1" applyFill="1" applyBorder="1" applyAlignment="1" applyProtection="1">
      <alignment horizontal="center" vertical="center" wrapText="1"/>
    </xf>
    <xf numFmtId="0" fontId="55" fillId="0" borderId="2" xfId="0" applyNumberFormat="1" applyFont="1" applyFill="1" applyBorder="1" applyAlignment="1" applyProtection="1">
      <alignment horizontal="center" vertical="center" wrapText="1"/>
    </xf>
    <xf numFmtId="190" fontId="30" fillId="0" borderId="2" xfId="53" applyFont="1" applyBorder="1" applyAlignment="1">
      <alignment vertical="center" wrapText="1"/>
    </xf>
    <xf numFmtId="190" fontId="30" fillId="0" borderId="2" xfId="53" applyFont="1" applyBorder="1" applyAlignment="1">
      <alignment horizontal="center" vertical="center" wrapText="1"/>
    </xf>
    <xf numFmtId="190" fontId="8" fillId="0" borderId="3" xfId="53" applyFont="1" applyBorder="1" applyAlignment="1">
      <alignment vertical="center" wrapText="1"/>
    </xf>
    <xf numFmtId="0" fontId="36" fillId="0" borderId="0" xfId="0" applyNumberFormat="1" applyFont="1" applyFill="1" applyBorder="1" applyAlignment="1" applyProtection="1">
      <alignment horizontal="center" vertical="center" wrapText="1"/>
    </xf>
    <xf numFmtId="0" fontId="55" fillId="0" borderId="0" xfId="0" applyNumberFormat="1" applyFont="1" applyFill="1" applyBorder="1" applyAlignment="1" applyProtection="1">
      <alignment horizontal="center" vertical="center" wrapText="1"/>
    </xf>
    <xf numFmtId="0" fontId="32" fillId="0" borderId="0" xfId="0" applyNumberFormat="1" applyFont="1" applyFill="1" applyBorder="1" applyAlignment="1" applyProtection="1">
      <alignment horizontal="center" vertical="center" wrapText="1"/>
    </xf>
    <xf numFmtId="190" fontId="30" fillId="0" borderId="3" xfId="53" applyFont="1" applyBorder="1" applyAlignment="1">
      <alignment vertical="center" wrapText="1"/>
    </xf>
    <xf numFmtId="0" fontId="30" fillId="0" borderId="2" xfId="47" applyNumberFormat="1" applyFont="1" applyBorder="1" applyAlignment="1">
      <alignment vertical="center" wrapText="1"/>
    </xf>
    <xf numFmtId="190" fontId="55" fillId="0" borderId="2" xfId="0" applyNumberFormat="1" applyFont="1" applyFill="1" applyBorder="1" applyAlignment="1" applyProtection="1">
      <alignment vertical="center" wrapText="1"/>
    </xf>
    <xf numFmtId="0" fontId="27" fillId="0" borderId="2" xfId="47" applyNumberFormat="1" applyFont="1" applyFill="1" applyBorder="1" applyAlignment="1">
      <alignment horizontal="center" vertical="center" wrapText="1"/>
    </xf>
    <xf numFmtId="190" fontId="27" fillId="0" borderId="2" xfId="53" applyFont="1" applyFill="1" applyBorder="1" applyAlignment="1">
      <alignment horizontal="center" vertical="center" wrapText="1"/>
    </xf>
    <xf numFmtId="0" fontId="11" fillId="0" borderId="2" xfId="47" applyNumberFormat="1" applyFont="1" applyBorder="1" applyAlignment="1">
      <alignment horizontal="center" vertical="center" wrapText="1"/>
    </xf>
    <xf numFmtId="190" fontId="57" fillId="8" borderId="0" xfId="0" applyNumberFormat="1" applyFont="1" applyFill="1" applyBorder="1" applyAlignment="1" applyProtection="1">
      <alignment horizontal="left" vertical="center"/>
      <protection locked="0"/>
    </xf>
    <xf numFmtId="190" fontId="3" fillId="0" borderId="2" xfId="53" applyFont="1" applyBorder="1" applyAlignment="1">
      <alignment horizontal="center" vertical="center" wrapText="1"/>
    </xf>
    <xf numFmtId="0" fontId="3" fillId="9" borderId="0" xfId="0" applyFont="1" applyFill="1" applyAlignment="1">
      <alignment horizontal="justify" vertical="center" wrapText="1"/>
      <protection locked="0"/>
    </xf>
    <xf numFmtId="0" fontId="58" fillId="0" borderId="0" xfId="0" applyFont="1" applyAlignment="1">
      <alignment horizontal="justify" wrapText="1"/>
      <protection locked="0"/>
    </xf>
    <xf numFmtId="0" fontId="45" fillId="0" borderId="35" xfId="0" applyFont="1" applyBorder="1" applyAlignment="1" applyProtection="1">
      <alignment horizontal="center" vertical="center"/>
    </xf>
    <xf numFmtId="0" fontId="15" fillId="0" borderId="35" xfId="3" applyFont="1" applyBorder="1" applyAlignment="1">
      <alignment vertical="center"/>
      <protection locked="0"/>
    </xf>
    <xf numFmtId="0" fontId="58" fillId="0" borderId="0" xfId="0" applyFont="1" applyAlignment="1">
      <alignment horizontal="justify" vertical="top" wrapText="1"/>
      <protection locked="0"/>
    </xf>
    <xf numFmtId="0" fontId="8" fillId="9" borderId="0" xfId="0" applyFont="1" applyFill="1" applyAlignment="1">
      <alignment horizontal="justify" vertical="center" wrapText="1"/>
      <protection locked="0"/>
    </xf>
    <xf numFmtId="0" fontId="2" fillId="0" borderId="0" xfId="0" applyFont="1" applyAlignment="1">
      <alignment horizontal="justify"/>
      <protection locked="0"/>
    </xf>
    <xf numFmtId="0" fontId="59" fillId="0" borderId="35" xfId="3" applyFont="1" applyBorder="1" applyAlignment="1">
      <alignment vertical="center"/>
      <protection locked="0"/>
    </xf>
    <xf numFmtId="0" fontId="3" fillId="5" borderId="2" xfId="0" quotePrefix="1" applyFont="1" applyFill="1" applyBorder="1" applyAlignment="1" applyProtection="1">
      <alignment horizontal="right" vertical="center"/>
    </xf>
    <xf numFmtId="43" fontId="3" fillId="5" borderId="2" xfId="1" quotePrefix="1" applyFont="1" applyFill="1" applyBorder="1" applyAlignment="1">
      <alignment horizontal="center" vertical="center"/>
    </xf>
    <xf numFmtId="43" fontId="3" fillId="0" borderId="2" xfId="1" quotePrefix="1" applyFont="1" applyFill="1" applyBorder="1" applyAlignment="1">
      <alignment horizontal="center" vertical="center"/>
    </xf>
    <xf numFmtId="0" fontId="3" fillId="5" borderId="2" xfId="0" quotePrefix="1" applyFont="1" applyFill="1" applyBorder="1" applyAlignment="1" applyProtection="1">
      <alignment horizontal="centerContinuous" vertical="center"/>
    </xf>
    <xf numFmtId="0" fontId="3" fillId="0" borderId="3" xfId="45" quotePrefix="1" applyFont="1" applyBorder="1" applyAlignment="1">
      <alignment vertical="center"/>
      <protection locked="0"/>
    </xf>
    <xf numFmtId="0" fontId="4" fillId="0" borderId="3" xfId="45" quotePrefix="1" applyFont="1" applyBorder="1" applyAlignment="1">
      <alignment vertical="center"/>
      <protection locked="0"/>
    </xf>
    <xf numFmtId="0" fontId="87" fillId="0" borderId="0" xfId="61" applyFont="1" applyBorder="1" applyAlignment="1">
      <alignment vertical="center"/>
    </xf>
    <xf numFmtId="0" fontId="6" fillId="0" borderId="0" xfId="0" applyFont="1" applyAlignment="1">
      <alignment horizontal="center" vertical="center"/>
      <protection locked="0"/>
    </xf>
    <xf numFmtId="0" fontId="3" fillId="9" borderId="0" xfId="0" applyFont="1" applyFill="1" applyBorder="1" applyAlignment="1">
      <alignment horizontal="justify" vertical="center" wrapText="1"/>
      <protection locked="0"/>
    </xf>
    <xf numFmtId="190" fontId="45" fillId="0" borderId="35" xfId="0" applyNumberFormat="1" applyFont="1" applyBorder="1" applyAlignment="1" applyProtection="1">
      <alignment horizontal="center" vertical="center"/>
    </xf>
    <xf numFmtId="0" fontId="32" fillId="0" borderId="35" xfId="0" applyFont="1" applyBorder="1" applyAlignment="1" applyProtection="1">
      <alignment horizontal="center" vertical="center"/>
    </xf>
    <xf numFmtId="190" fontId="28" fillId="0" borderId="0" xfId="78" applyFont="1" applyFill="1" applyAlignment="1">
      <alignment horizontal="left" vertical="center"/>
    </xf>
    <xf numFmtId="190" fontId="11" fillId="0" borderId="2" xfId="0" applyNumberFormat="1" applyFont="1" applyFill="1" applyBorder="1" applyAlignment="1" applyProtection="1">
      <alignment horizontal="center" vertical="center" wrapText="1"/>
    </xf>
    <xf numFmtId="190" fontId="12" fillId="0" borderId="0" xfId="3" applyNumberFormat="1" applyFont="1" applyAlignment="1" applyProtection="1">
      <alignment vertical="center" wrapText="1"/>
      <protection locked="0"/>
    </xf>
    <xf numFmtId="43" fontId="10" fillId="4" borderId="34" xfId="1" applyFont="1" applyFill="1" applyBorder="1" applyAlignment="1" applyProtection="1">
      <alignment horizontal="center" vertical="center" wrapText="1"/>
      <protection locked="0"/>
    </xf>
    <xf numFmtId="43" fontId="10" fillId="4" borderId="34" xfId="1" applyFont="1" applyFill="1" applyBorder="1" applyAlignment="1" applyProtection="1">
      <alignment horizontal="center" vertical="center"/>
      <protection locked="0"/>
    </xf>
    <xf numFmtId="43" fontId="10" fillId="0" borderId="0" xfId="62" applyNumberFormat="1" applyFont="1" applyBorder="1" applyAlignment="1">
      <alignment vertical="center"/>
    </xf>
    <xf numFmtId="43" fontId="10" fillId="4" borderId="34" xfId="1" applyFont="1" applyFill="1" applyBorder="1" applyAlignment="1">
      <alignment horizontal="left" vertical="center"/>
    </xf>
    <xf numFmtId="43" fontId="8" fillId="0" borderId="34" xfId="1" applyFont="1" applyFill="1" applyBorder="1" applyAlignment="1">
      <alignment horizontal="left" vertical="center"/>
    </xf>
    <xf numFmtId="43" fontId="10" fillId="4" borderId="34" xfId="1" applyFont="1" applyFill="1" applyBorder="1" applyAlignment="1">
      <alignment horizontal="left" vertical="center" wrapText="1"/>
    </xf>
    <xf numFmtId="43" fontId="10" fillId="0" borderId="34" xfId="1" applyFont="1" applyFill="1" applyBorder="1" applyAlignment="1">
      <alignment vertical="center"/>
    </xf>
    <xf numFmtId="43" fontId="10" fillId="0" borderId="0" xfId="62" applyNumberFormat="1" applyFont="1" applyBorder="1" applyAlignment="1">
      <alignment horizontal="left" vertical="center"/>
    </xf>
    <xf numFmtId="43" fontId="10" fillId="4" borderId="2" xfId="1" applyFont="1" applyFill="1" applyBorder="1" applyAlignment="1">
      <alignment horizontal="center" vertical="center" wrapText="1"/>
    </xf>
    <xf numFmtId="0" fontId="10" fillId="4" borderId="2" xfId="0" applyFont="1" applyFill="1" applyBorder="1" applyAlignment="1" applyProtection="1">
      <alignment horizontal="center" vertical="center" wrapText="1"/>
    </xf>
    <xf numFmtId="0" fontId="30" fillId="0" borderId="0" xfId="0" applyFont="1" applyAlignment="1" applyProtection="1">
      <alignment horizontal="center" vertical="center" wrapText="1"/>
    </xf>
    <xf numFmtId="0" fontId="12" fillId="0" borderId="0" xfId="3" applyFont="1" applyAlignment="1">
      <alignment vertical="center"/>
      <protection locked="0"/>
    </xf>
    <xf numFmtId="0" fontId="18" fillId="0" borderId="0" xfId="0" applyFont="1" applyAlignment="1">
      <alignment vertical="center"/>
      <protection locked="0"/>
    </xf>
    <xf numFmtId="43" fontId="18" fillId="4" borderId="2" xfId="1" applyFont="1" applyFill="1" applyBorder="1" applyAlignment="1" applyProtection="1">
      <alignment horizontal="center" vertical="center" wrapText="1"/>
      <protection locked="0"/>
    </xf>
    <xf numFmtId="43" fontId="3" fillId="5" borderId="2" xfId="1" applyFont="1" applyFill="1" applyBorder="1" applyAlignment="1" applyProtection="1">
      <alignment horizontal="center" vertical="center"/>
      <protection locked="0"/>
    </xf>
    <xf numFmtId="43" fontId="3" fillId="5" borderId="0" xfId="1" applyFont="1" applyFill="1" applyAlignment="1" applyProtection="1">
      <alignment vertical="center"/>
      <protection locked="0"/>
    </xf>
    <xf numFmtId="14" fontId="8" fillId="0" borderId="0" xfId="45" applyNumberFormat="1" applyFont="1" applyAlignment="1">
      <alignment horizontal="right" vertical="center"/>
      <protection locked="0"/>
    </xf>
    <xf numFmtId="0" fontId="3" fillId="0" borderId="0" xfId="45" applyFont="1" applyAlignment="1">
      <alignment horizontal="right" vertical="center"/>
      <protection locked="0"/>
    </xf>
    <xf numFmtId="43" fontId="14" fillId="0" borderId="0" xfId="1" applyFont="1" applyFill="1" applyAlignment="1">
      <alignment vertical="center"/>
    </xf>
    <xf numFmtId="0" fontId="5" fillId="0" borderId="2" xfId="42" applyFont="1" applyBorder="1" applyAlignment="1">
      <alignment horizontal="center" vertical="center"/>
    </xf>
    <xf numFmtId="0" fontId="18" fillId="4" borderId="2" xfId="42" applyFont="1" applyFill="1" applyBorder="1" applyAlignment="1">
      <alignment vertical="center" wrapText="1"/>
    </xf>
    <xf numFmtId="190" fontId="10" fillId="12" borderId="2" xfId="46" applyFont="1" applyFill="1" applyBorder="1" applyAlignment="1">
      <alignment vertical="center"/>
      <protection locked="0"/>
    </xf>
    <xf numFmtId="43" fontId="4" fillId="12" borderId="2" xfId="73" applyFont="1" applyFill="1" applyBorder="1" applyAlignment="1" applyProtection="1">
      <alignment vertical="center"/>
      <protection locked="0"/>
    </xf>
    <xf numFmtId="49" fontId="10" fillId="12" borderId="2" xfId="46" applyNumberFormat="1" applyFont="1" applyFill="1" applyBorder="1" applyAlignment="1">
      <alignment horizontal="center" vertical="center"/>
      <protection locked="0"/>
    </xf>
    <xf numFmtId="0" fontId="4" fillId="12" borderId="2" xfId="0" applyFont="1" applyFill="1" applyBorder="1" applyAlignment="1" applyProtection="1">
      <alignment horizontal="center" vertical="center"/>
      <protection locked="0"/>
    </xf>
    <xf numFmtId="0" fontId="4" fillId="12" borderId="2" xfId="73" applyNumberFormat="1" applyFont="1" applyFill="1" applyBorder="1" applyAlignment="1" applyProtection="1">
      <alignment horizontal="center" vertical="center"/>
      <protection locked="0"/>
    </xf>
    <xf numFmtId="49" fontId="4" fillId="12" borderId="2" xfId="46" applyNumberFormat="1" applyFont="1" applyFill="1" applyBorder="1" applyAlignment="1">
      <alignment vertical="center"/>
      <protection locked="0"/>
    </xf>
    <xf numFmtId="0" fontId="4" fillId="12" borderId="0" xfId="61" applyFont="1" applyFill="1" applyAlignment="1" applyProtection="1">
      <alignment vertical="center"/>
      <protection locked="0"/>
    </xf>
    <xf numFmtId="0" fontId="4" fillId="12" borderId="0" xfId="0" applyFont="1" applyFill="1" applyAlignment="1">
      <alignment vertical="center"/>
      <protection locked="0"/>
    </xf>
    <xf numFmtId="0" fontId="4" fillId="12" borderId="2" xfId="0" applyFont="1" applyFill="1" applyBorder="1" applyAlignment="1">
      <alignment horizontal="left" vertical="center"/>
      <protection locked="0"/>
    </xf>
    <xf numFmtId="10" fontId="4" fillId="12" borderId="2" xfId="2" applyNumberFormat="1" applyFont="1" applyFill="1" applyBorder="1" applyAlignment="1" applyProtection="1">
      <alignment horizontal="right" vertical="center"/>
      <protection locked="0"/>
    </xf>
    <xf numFmtId="0" fontId="4" fillId="12" borderId="2" xfId="0" applyFont="1" applyFill="1" applyBorder="1" applyAlignment="1">
      <alignment horizontal="center" vertical="center"/>
      <protection locked="0"/>
    </xf>
    <xf numFmtId="0" fontId="4" fillId="12" borderId="2" xfId="61" applyFont="1" applyFill="1" applyBorder="1" applyAlignment="1" applyProtection="1">
      <alignment vertical="center"/>
      <protection locked="0"/>
    </xf>
    <xf numFmtId="0" fontId="2" fillId="0" borderId="0" xfId="0" applyFont="1" applyAlignment="1">
      <alignment horizontal="left" vertical="center" wrapText="1"/>
      <protection locked="0"/>
    </xf>
    <xf numFmtId="0" fontId="5" fillId="0" borderId="0" xfId="0" applyFont="1" applyAlignment="1">
      <alignment horizontal="left" vertical="center" wrapText="1"/>
      <protection locked="0"/>
    </xf>
    <xf numFmtId="0" fontId="13" fillId="5" borderId="3" xfId="0" applyNumberFormat="1" applyFont="1" applyFill="1" applyBorder="1" applyAlignment="1" applyProtection="1">
      <alignment horizontal="center" vertical="center"/>
      <protection locked="0"/>
    </xf>
    <xf numFmtId="0" fontId="13" fillId="5" borderId="4" xfId="0" applyNumberFormat="1" applyFont="1" applyFill="1" applyBorder="1" applyAlignment="1" applyProtection="1">
      <alignment horizontal="center" vertical="center"/>
      <protection locked="0"/>
    </xf>
    <xf numFmtId="0" fontId="13" fillId="5" borderId="11" xfId="0" applyNumberFormat="1" applyFont="1" applyFill="1" applyBorder="1" applyAlignment="1" applyProtection="1">
      <alignment horizontal="center" vertical="center"/>
      <protection locked="0"/>
    </xf>
    <xf numFmtId="190" fontId="56" fillId="7" borderId="27" xfId="53" applyFont="1" applyFill="1" applyBorder="1" applyAlignment="1" applyProtection="1">
      <alignment horizontal="left" vertical="center" wrapText="1"/>
      <protection locked="0"/>
    </xf>
    <xf numFmtId="190" fontId="56" fillId="7" borderId="0" xfId="53" applyFont="1" applyFill="1" applyAlignment="1" applyProtection="1">
      <alignment horizontal="left" vertical="center" wrapText="1"/>
      <protection locked="0"/>
    </xf>
    <xf numFmtId="190" fontId="56" fillId="7" borderId="0" xfId="53" applyFont="1" applyFill="1" applyBorder="1" applyAlignment="1" applyProtection="1">
      <alignment horizontal="left" vertical="center" wrapText="1"/>
      <protection locked="0"/>
    </xf>
    <xf numFmtId="49" fontId="4" fillId="4" borderId="5" xfId="47" applyNumberFormat="1" applyFont="1" applyFill="1" applyBorder="1" applyAlignment="1" applyProtection="1">
      <alignment vertical="center"/>
      <protection locked="0"/>
    </xf>
    <xf numFmtId="49" fontId="4" fillId="4" borderId="6" xfId="47" applyNumberFormat="1" applyFont="1" applyFill="1" applyBorder="1" applyAlignment="1" applyProtection="1">
      <alignment vertical="center"/>
      <protection locked="0"/>
    </xf>
    <xf numFmtId="190" fontId="10" fillId="12" borderId="2" xfId="53" applyFont="1" applyFill="1" applyBorder="1" applyAlignment="1" applyProtection="1">
      <alignment horizontal="center" vertical="center" wrapText="1"/>
      <protection locked="0"/>
    </xf>
    <xf numFmtId="190" fontId="4" fillId="4" borderId="5" xfId="47" applyFont="1" applyFill="1" applyBorder="1" applyAlignment="1" applyProtection="1">
      <alignment horizontal="center" vertical="center" wrapText="1"/>
      <protection locked="0"/>
    </xf>
    <xf numFmtId="190" fontId="4" fillId="4" borderId="6" xfId="47" applyFont="1" applyFill="1" applyBorder="1" applyAlignment="1" applyProtection="1">
      <alignment horizontal="center" vertical="center" wrapText="1"/>
      <protection locked="0"/>
    </xf>
    <xf numFmtId="190" fontId="4" fillId="4" borderId="5" xfId="53" applyFont="1" applyFill="1" applyBorder="1" applyAlignment="1" applyProtection="1">
      <alignment horizontal="center" vertical="center" wrapText="1"/>
      <protection locked="0"/>
    </xf>
    <xf numFmtId="190" fontId="4" fillId="4" borderId="6" xfId="53" applyFont="1" applyFill="1" applyBorder="1" applyAlignment="1" applyProtection="1">
      <alignment horizontal="center" vertical="center" wrapText="1"/>
      <protection locked="0"/>
    </xf>
    <xf numFmtId="190" fontId="3" fillId="0" borderId="2" xfId="53" applyFont="1" applyBorder="1" applyAlignment="1" applyProtection="1">
      <alignment horizontal="center" vertical="center" wrapText="1"/>
      <protection locked="0"/>
    </xf>
    <xf numFmtId="190" fontId="2" fillId="0" borderId="0" xfId="58" applyFont="1" applyAlignment="1">
      <alignment horizontal="center" vertical="center"/>
    </xf>
    <xf numFmtId="190" fontId="6" fillId="0" borderId="0" xfId="58" applyFont="1" applyAlignment="1">
      <alignment horizontal="center" vertical="center"/>
    </xf>
    <xf numFmtId="190" fontId="7" fillId="0" borderId="0" xfId="58" applyFont="1" applyAlignment="1">
      <alignment horizontal="center" vertical="center"/>
    </xf>
    <xf numFmtId="0" fontId="13" fillId="2" borderId="2" xfId="53" applyNumberFormat="1" applyFont="1" applyFill="1" applyBorder="1" applyAlignment="1" applyProtection="1">
      <alignment horizontal="center" vertical="center" wrapText="1"/>
      <protection locked="0"/>
    </xf>
    <xf numFmtId="190" fontId="3" fillId="0" borderId="2" xfId="47" applyFont="1" applyBorder="1" applyAlignment="1" applyProtection="1">
      <alignment horizontal="left" vertical="center" wrapText="1"/>
      <protection locked="0"/>
    </xf>
    <xf numFmtId="190" fontId="4" fillId="2" borderId="2" xfId="53" applyFont="1" applyFill="1" applyBorder="1" applyAlignment="1" applyProtection="1">
      <alignment horizontal="center" vertical="center"/>
      <protection locked="0"/>
    </xf>
    <xf numFmtId="43" fontId="17" fillId="0" borderId="0" xfId="62" applyNumberFormat="1" applyFont="1" applyBorder="1" applyAlignment="1">
      <alignment horizontal="center" vertical="center"/>
    </xf>
    <xf numFmtId="43" fontId="6" fillId="0" borderId="0" xfId="62" applyNumberFormat="1" applyFont="1" applyBorder="1" applyAlignment="1">
      <alignment horizontal="center" vertical="center"/>
    </xf>
    <xf numFmtId="43" fontId="10" fillId="4" borderId="30" xfId="1" applyFont="1" applyFill="1" applyBorder="1" applyAlignment="1" applyProtection="1">
      <alignment horizontal="center" vertical="center" wrapText="1"/>
      <protection locked="0"/>
    </xf>
    <xf numFmtId="43" fontId="10" fillId="4" borderId="31" xfId="1" applyFont="1" applyFill="1" applyBorder="1" applyAlignment="1" applyProtection="1">
      <alignment horizontal="center" vertical="center" wrapText="1"/>
      <protection locked="0"/>
    </xf>
    <xf numFmtId="43" fontId="10" fillId="4" borderId="32" xfId="1" applyFont="1" applyFill="1" applyBorder="1" applyAlignment="1" applyProtection="1">
      <alignment horizontal="center" vertical="center" wrapText="1"/>
      <protection locked="0"/>
    </xf>
    <xf numFmtId="43" fontId="10" fillId="4" borderId="34" xfId="1" applyFont="1" applyFill="1" applyBorder="1" applyAlignment="1" applyProtection="1">
      <alignment horizontal="center" vertical="center" wrapText="1"/>
      <protection locked="0"/>
    </xf>
    <xf numFmtId="43" fontId="10" fillId="4" borderId="29" xfId="1" applyFont="1" applyFill="1" applyBorder="1" applyAlignment="1">
      <alignment horizontal="center" vertical="center"/>
    </xf>
    <xf numFmtId="43" fontId="10" fillId="4" borderId="33" xfId="1" applyFont="1" applyFill="1" applyBorder="1" applyAlignment="1">
      <alignment horizontal="center" vertical="center"/>
    </xf>
    <xf numFmtId="0" fontId="48" fillId="0" borderId="0" xfId="0" applyFont="1" applyAlignment="1">
      <alignment horizontal="left" vertical="center" wrapText="1"/>
      <protection locked="0"/>
    </xf>
    <xf numFmtId="0" fontId="47" fillId="0" borderId="19" xfId="0" applyFont="1" applyBorder="1" applyAlignment="1">
      <alignment horizontal="justify" vertical="center" wrapText="1"/>
      <protection locked="0"/>
    </xf>
    <xf numFmtId="0" fontId="47" fillId="0" borderId="24" xfId="0" applyFont="1" applyBorder="1" applyAlignment="1">
      <alignment horizontal="justify" vertical="center" wrapText="1"/>
      <protection locked="0"/>
    </xf>
    <xf numFmtId="0" fontId="5" fillId="0" borderId="24" xfId="0" applyFont="1" applyBorder="1" applyAlignment="1">
      <alignment horizontal="center" vertical="center"/>
      <protection locked="0"/>
    </xf>
    <xf numFmtId="0" fontId="47" fillId="0" borderId="19" xfId="0" applyFont="1" applyBorder="1" applyAlignment="1">
      <alignment horizontal="center" vertical="center" wrapText="1"/>
      <protection locked="0"/>
    </xf>
    <xf numFmtId="0" fontId="50" fillId="0" borderId="0" xfId="0" applyFont="1" applyAlignment="1">
      <alignment horizontal="left" vertical="center" wrapText="1"/>
      <protection locked="0"/>
    </xf>
    <xf numFmtId="0" fontId="5" fillId="0" borderId="0" xfId="0" applyFont="1" applyAlignment="1">
      <alignment horizontal="left" vertical="center"/>
      <protection locked="0"/>
    </xf>
    <xf numFmtId="0" fontId="48" fillId="0" borderId="0" xfId="0" applyFont="1" applyAlignment="1">
      <alignment vertical="center" wrapText="1"/>
      <protection locked="0"/>
    </xf>
    <xf numFmtId="0" fontId="2" fillId="0" borderId="0" xfId="57" applyFont="1" applyAlignment="1">
      <alignment horizontal="center" vertical="center"/>
    </xf>
    <xf numFmtId="0" fontId="7" fillId="0" borderId="0" xfId="57" applyFont="1" applyAlignment="1">
      <alignment horizontal="center" vertical="center"/>
    </xf>
    <xf numFmtId="0" fontId="5" fillId="0" borderId="24" xfId="0" applyFont="1" applyBorder="1" applyAlignment="1">
      <alignment horizontal="left" vertical="center"/>
      <protection locked="0"/>
    </xf>
    <xf numFmtId="0" fontId="48" fillId="0" borderId="19" xfId="0" applyFont="1" applyBorder="1" applyAlignment="1">
      <alignment horizontal="left" vertical="center"/>
      <protection locked="0"/>
    </xf>
    <xf numFmtId="0" fontId="10" fillId="4" borderId="2" xfId="0" applyFont="1" applyFill="1" applyBorder="1" applyAlignment="1">
      <alignment horizontal="center" vertical="center"/>
      <protection locked="0"/>
    </xf>
    <xf numFmtId="0" fontId="8" fillId="0" borderId="2" xfId="0" applyFont="1" applyBorder="1" applyAlignment="1">
      <alignment vertical="center"/>
      <protection locked="0"/>
    </xf>
    <xf numFmtId="0" fontId="36" fillId="4" borderId="2" xfId="0" applyFont="1" applyFill="1" applyBorder="1" applyAlignment="1">
      <alignment horizontal="center" vertical="center" wrapText="1"/>
      <protection locked="0"/>
    </xf>
    <xf numFmtId="0" fontId="10" fillId="4" borderId="2" xfId="0" applyFont="1" applyFill="1" applyBorder="1" applyAlignment="1" applyProtection="1">
      <alignment horizontal="center" vertical="center"/>
    </xf>
    <xf numFmtId="0" fontId="10" fillId="4" borderId="2" xfId="0" applyFont="1" applyFill="1" applyBorder="1" applyAlignment="1" applyProtection="1">
      <alignment horizontal="center" vertical="center" wrapText="1"/>
    </xf>
    <xf numFmtId="0" fontId="4" fillId="0" borderId="2" xfId="0" applyFont="1" applyBorder="1" applyAlignment="1" applyProtection="1">
      <alignment horizontal="center" vertical="center"/>
    </xf>
    <xf numFmtId="0" fontId="13" fillId="0" borderId="2" xfId="0" applyFont="1" applyBorder="1" applyAlignment="1" applyProtection="1">
      <alignment horizontal="center" vertical="center"/>
    </xf>
    <xf numFmtId="43" fontId="10" fillId="4" borderId="2" xfId="1" applyFont="1" applyFill="1" applyBorder="1" applyAlignment="1">
      <alignment horizontal="center" vertical="center" wrapText="1"/>
    </xf>
    <xf numFmtId="0" fontId="17" fillId="0" borderId="0" xfId="57" applyFont="1" applyAlignment="1">
      <alignment horizontal="center" vertical="center"/>
    </xf>
    <xf numFmtId="0" fontId="6" fillId="0" borderId="0" xfId="57" applyFont="1" applyAlignment="1">
      <alignment horizontal="center" vertical="center"/>
    </xf>
    <xf numFmtId="43" fontId="18" fillId="4" borderId="2" xfId="1" applyFont="1" applyFill="1" applyBorder="1" applyAlignment="1" applyProtection="1">
      <alignment horizontal="center" vertical="center" wrapText="1"/>
      <protection locked="0"/>
    </xf>
    <xf numFmtId="43" fontId="10" fillId="5" borderId="3" xfId="1" applyFont="1" applyFill="1" applyBorder="1" applyAlignment="1" applyProtection="1">
      <alignment horizontal="center" vertical="center"/>
      <protection locked="0"/>
    </xf>
    <xf numFmtId="43" fontId="10" fillId="5" borderId="11" xfId="1" applyFont="1" applyFill="1" applyBorder="1" applyAlignment="1" applyProtection="1">
      <alignment horizontal="center" vertical="center"/>
      <protection locked="0"/>
    </xf>
    <xf numFmtId="43" fontId="18" fillId="4" borderId="26" xfId="1" applyFont="1" applyFill="1" applyBorder="1" applyAlignment="1" applyProtection="1">
      <alignment horizontal="center" vertical="center"/>
      <protection locked="0"/>
    </xf>
    <xf numFmtId="43" fontId="18" fillId="4" borderId="8" xfId="1" applyFont="1" applyFill="1" applyBorder="1" applyAlignment="1" applyProtection="1">
      <alignment horizontal="center" vertical="center"/>
      <protection locked="0"/>
    </xf>
    <xf numFmtId="43" fontId="18" fillId="4" borderId="27" xfId="1" applyFont="1" applyFill="1" applyBorder="1" applyAlignment="1" applyProtection="1">
      <alignment horizontal="center" vertical="center"/>
      <protection locked="0"/>
    </xf>
    <xf numFmtId="43" fontId="18" fillId="4" borderId="28" xfId="1" applyFont="1" applyFill="1" applyBorder="1" applyAlignment="1" applyProtection="1">
      <alignment horizontal="center" vertical="center"/>
      <protection locked="0"/>
    </xf>
    <xf numFmtId="43" fontId="18" fillId="4" borderId="9" xfId="1" applyFont="1" applyFill="1" applyBorder="1" applyAlignment="1" applyProtection="1">
      <alignment horizontal="center" vertical="center"/>
      <protection locked="0"/>
    </xf>
    <xf numFmtId="43" fontId="18" fillId="4" borderId="10" xfId="1" applyFont="1" applyFill="1" applyBorder="1" applyAlignment="1" applyProtection="1">
      <alignment horizontal="center" vertical="center"/>
      <protection locked="0"/>
    </xf>
    <xf numFmtId="43" fontId="18" fillId="4" borderId="2" xfId="1" applyFont="1" applyFill="1" applyBorder="1" applyAlignment="1" applyProtection="1">
      <alignment horizontal="center" vertical="center"/>
      <protection locked="0"/>
    </xf>
    <xf numFmtId="43" fontId="17" fillId="0" borderId="0" xfId="63" applyNumberFormat="1" applyFont="1" applyBorder="1" applyAlignment="1">
      <alignment horizontal="center" vertical="center"/>
    </xf>
    <xf numFmtId="43" fontId="6" fillId="0" borderId="0" xfId="63" applyNumberFormat="1" applyFont="1" applyBorder="1" applyAlignment="1">
      <alignment horizontal="center" vertical="center"/>
    </xf>
    <xf numFmtId="0" fontId="40" fillId="0" borderId="0" xfId="43" applyFont="1" applyAlignment="1" applyProtection="1">
      <alignment horizontal="left" vertical="center" wrapText="1"/>
      <protection locked="0"/>
    </xf>
    <xf numFmtId="0" fontId="3" fillId="0" borderId="0" xfId="43" applyFont="1" applyAlignment="1" applyProtection="1">
      <alignment horizontal="left" vertical="center" wrapText="1"/>
      <protection locked="0"/>
    </xf>
    <xf numFmtId="0" fontId="28" fillId="0" borderId="0" xfId="0" applyFont="1" applyAlignment="1">
      <alignment vertical="center" wrapText="1"/>
      <protection locked="0"/>
    </xf>
    <xf numFmtId="0" fontId="28" fillId="0" borderId="0" xfId="0" applyFont="1" applyAlignment="1">
      <alignment vertical="center"/>
      <protection locked="0"/>
    </xf>
    <xf numFmtId="0" fontId="28" fillId="0" borderId="17" xfId="0" applyFont="1" applyBorder="1" applyAlignment="1">
      <alignment horizontal="justify" vertical="center" wrapText="1"/>
      <protection locked="0"/>
    </xf>
    <xf numFmtId="0" fontId="28" fillId="0" borderId="21" xfId="0" applyFont="1" applyBorder="1" applyAlignment="1">
      <alignment horizontal="justify" vertical="center" wrapText="1"/>
      <protection locked="0"/>
    </xf>
    <xf numFmtId="0" fontId="28" fillId="0" borderId="22" xfId="0" applyFont="1" applyBorder="1" applyAlignment="1">
      <alignment horizontal="justify" vertical="center" wrapText="1"/>
      <protection locked="0"/>
    </xf>
    <xf numFmtId="0" fontId="28" fillId="0" borderId="15" xfId="0" applyFont="1" applyBorder="1" applyAlignment="1">
      <alignment vertical="center" wrapText="1"/>
      <protection locked="0"/>
    </xf>
    <xf numFmtId="0" fontId="28" fillId="0" borderId="16" xfId="0" applyFont="1" applyBorder="1" applyAlignment="1">
      <alignment vertical="center" wrapText="1"/>
      <protection locked="0"/>
    </xf>
    <xf numFmtId="0" fontId="28" fillId="0" borderId="14" xfId="0" applyFont="1" applyBorder="1" applyAlignment="1">
      <alignment vertical="center" wrapText="1"/>
      <protection locked="0"/>
    </xf>
    <xf numFmtId="0" fontId="28" fillId="0" borderId="18" xfId="0" applyFont="1" applyBorder="1" applyAlignment="1">
      <alignment vertical="center" wrapText="1"/>
      <protection locked="0"/>
    </xf>
    <xf numFmtId="0" fontId="28" fillId="0" borderId="19" xfId="0" applyFont="1" applyBorder="1" applyAlignment="1">
      <alignment vertical="center" wrapText="1"/>
      <protection locked="0"/>
    </xf>
    <xf numFmtId="0" fontId="28" fillId="0" borderId="20" xfId="0" applyFont="1" applyBorder="1" applyAlignment="1">
      <alignment vertical="center" wrapText="1"/>
      <protection locked="0"/>
    </xf>
    <xf numFmtId="0" fontId="28" fillId="0" borderId="23" xfId="0" applyFont="1" applyBorder="1" applyAlignment="1">
      <alignment vertical="center" wrapText="1"/>
      <protection locked="0"/>
    </xf>
    <xf numFmtId="0" fontId="28" fillId="0" borderId="24" xfId="0" applyFont="1" applyBorder="1" applyAlignment="1">
      <alignment vertical="center" wrapText="1"/>
      <protection locked="0"/>
    </xf>
    <xf numFmtId="0" fontId="28" fillId="0" borderId="25" xfId="0" applyFont="1" applyBorder="1" applyAlignment="1">
      <alignment vertical="center" wrapText="1"/>
      <protection locked="0"/>
    </xf>
    <xf numFmtId="0" fontId="31" fillId="4" borderId="3" xfId="0" applyFont="1" applyFill="1" applyBorder="1" applyAlignment="1" applyProtection="1">
      <alignment horizontal="center" vertical="center" wrapText="1"/>
    </xf>
    <xf numFmtId="0" fontId="29" fillId="4" borderId="4" xfId="0" applyFont="1" applyFill="1" applyBorder="1" applyAlignment="1" applyProtection="1">
      <alignment horizontal="center" vertical="center" wrapText="1"/>
    </xf>
    <xf numFmtId="0" fontId="0" fillId="0" borderId="4" xfId="0" applyBorder="1" applyAlignment="1" applyProtection="1">
      <alignment horizontal="center" vertical="center" wrapText="1"/>
    </xf>
    <xf numFmtId="0" fontId="0" fillId="0" borderId="11" xfId="0" applyBorder="1" applyAlignment="1" applyProtection="1">
      <alignment horizontal="center" vertical="center" wrapText="1"/>
    </xf>
    <xf numFmtId="0" fontId="34" fillId="6" borderId="15" xfId="0" applyFont="1" applyFill="1" applyBorder="1" applyAlignment="1">
      <alignment horizontal="center" vertical="center" wrapText="1"/>
      <protection locked="0"/>
    </xf>
    <xf numFmtId="0" fontId="34" fillId="6" borderId="16" xfId="0" applyFont="1" applyFill="1" applyBorder="1" applyAlignment="1">
      <alignment horizontal="center" vertical="center" wrapText="1"/>
      <protection locked="0"/>
    </xf>
    <xf numFmtId="0" fontId="34" fillId="6" borderId="14" xfId="0" applyFont="1" applyFill="1" applyBorder="1" applyAlignment="1">
      <alignment horizontal="center" vertical="center" wrapText="1"/>
      <protection locked="0"/>
    </xf>
    <xf numFmtId="0" fontId="13" fillId="4" borderId="2" xfId="50" applyFont="1" applyFill="1" applyBorder="1" applyAlignment="1">
      <alignment horizontal="center" vertical="center" wrapText="1"/>
      <protection locked="0"/>
    </xf>
    <xf numFmtId="0" fontId="4" fillId="4" borderId="2" xfId="50" applyFont="1" applyFill="1" applyBorder="1" applyAlignment="1">
      <alignment horizontal="center" vertical="center" wrapText="1"/>
      <protection locked="0"/>
    </xf>
    <xf numFmtId="0" fontId="13" fillId="4" borderId="5" xfId="50" applyFont="1" applyFill="1" applyBorder="1" applyAlignment="1">
      <alignment horizontal="center" vertical="center" wrapText="1"/>
      <protection locked="0"/>
    </xf>
    <xf numFmtId="0" fontId="4" fillId="4" borderId="6" xfId="50" applyFont="1" applyFill="1" applyBorder="1" applyAlignment="1">
      <alignment horizontal="center" vertical="center" wrapText="1"/>
      <protection locked="0"/>
    </xf>
    <xf numFmtId="0" fontId="31" fillId="4" borderId="5" xfId="0" applyFont="1" applyFill="1" applyBorder="1" applyAlignment="1" applyProtection="1">
      <alignment horizontal="center" vertical="center" wrapText="1"/>
    </xf>
    <xf numFmtId="0" fontId="31" fillId="4" borderId="6" xfId="0" applyFont="1" applyFill="1" applyBorder="1" applyAlignment="1" applyProtection="1">
      <alignment horizontal="center" vertical="center" wrapText="1"/>
    </xf>
    <xf numFmtId="0" fontId="29" fillId="4" borderId="6" xfId="0" applyFont="1" applyFill="1" applyBorder="1" applyAlignment="1" applyProtection="1">
      <alignment horizontal="center" vertical="center" wrapText="1"/>
    </xf>
    <xf numFmtId="0" fontId="31" fillId="4" borderId="2" xfId="0" applyFont="1" applyFill="1" applyBorder="1" applyAlignment="1" applyProtection="1">
      <alignment horizontal="center" vertical="center" wrapText="1"/>
    </xf>
    <xf numFmtId="0" fontId="29" fillId="4" borderId="2" xfId="0" applyFont="1" applyFill="1" applyBorder="1" applyAlignment="1" applyProtection="1">
      <alignment horizontal="center" vertical="center" wrapText="1"/>
    </xf>
    <xf numFmtId="0" fontId="8" fillId="0" borderId="0" xfId="45" applyFont="1" applyAlignment="1">
      <alignment horizontal="left" vertical="center" wrapText="1"/>
      <protection locked="0"/>
    </xf>
    <xf numFmtId="0" fontId="8" fillId="0" borderId="0" xfId="61" applyFont="1" applyAlignment="1">
      <alignment horizontal="left" vertical="center" wrapText="1"/>
    </xf>
    <xf numFmtId="0" fontId="18" fillId="4" borderId="3" xfId="42" applyFont="1" applyFill="1" applyBorder="1" applyAlignment="1">
      <alignment horizontal="center" vertical="center" wrapText="1"/>
    </xf>
    <xf numFmtId="0" fontId="18" fillId="4" borderId="4" xfId="42" applyFont="1" applyFill="1" applyBorder="1" applyAlignment="1">
      <alignment horizontal="center" vertical="center" wrapText="1"/>
    </xf>
    <xf numFmtId="0" fontId="18" fillId="4" borderId="11" xfId="42" applyFont="1" applyFill="1" applyBorder="1" applyAlignment="1">
      <alignment horizontal="center" vertical="center" wrapText="1"/>
    </xf>
    <xf numFmtId="0" fontId="18" fillId="4" borderId="7" xfId="42" applyFont="1" applyFill="1" applyBorder="1" applyAlignment="1">
      <alignment horizontal="center" vertical="center" wrapText="1"/>
    </xf>
    <xf numFmtId="0" fontId="18" fillId="4" borderId="1" xfId="42" applyFont="1" applyFill="1" applyBorder="1" applyAlignment="1">
      <alignment horizontal="center" vertical="center" wrapText="1"/>
    </xf>
    <xf numFmtId="0" fontId="18" fillId="4" borderId="8" xfId="42" applyFont="1" applyFill="1" applyBorder="1" applyAlignment="1">
      <alignment horizontal="center" vertical="center" wrapText="1"/>
    </xf>
    <xf numFmtId="0" fontId="18" fillId="4" borderId="10" xfId="42" applyFont="1" applyFill="1" applyBorder="1" applyAlignment="1">
      <alignment horizontal="center" vertical="center" wrapText="1"/>
    </xf>
    <xf numFmtId="0" fontId="13" fillId="4" borderId="5" xfId="0" applyFont="1" applyFill="1" applyBorder="1" applyAlignment="1">
      <alignment horizontal="center" vertical="center" wrapText="1"/>
      <protection locked="0"/>
    </xf>
    <xf numFmtId="0" fontId="13" fillId="4" borderId="6" xfId="0" applyFont="1" applyFill="1" applyBorder="1" applyAlignment="1">
      <alignment horizontal="center" vertical="center" wrapText="1"/>
      <protection locked="0"/>
    </xf>
    <xf numFmtId="0" fontId="18" fillId="4" borderId="2" xfId="42" applyFont="1" applyFill="1" applyBorder="1" applyAlignment="1">
      <alignment horizontal="center" vertical="center" wrapText="1"/>
    </xf>
    <xf numFmtId="0" fontId="16" fillId="0" borderId="5" xfId="42" applyFont="1" applyBorder="1" applyAlignment="1">
      <alignment horizontal="center" vertical="center"/>
    </xf>
    <xf numFmtId="0" fontId="16" fillId="0" borderId="12" xfId="42" applyFont="1" applyBorder="1" applyAlignment="1">
      <alignment horizontal="center" vertical="center"/>
    </xf>
    <xf numFmtId="0" fontId="16" fillId="0" borderId="6" xfId="42" applyFont="1" applyBorder="1" applyAlignment="1">
      <alignment horizontal="center" vertical="center"/>
    </xf>
    <xf numFmtId="0" fontId="13" fillId="4" borderId="3" xfId="0" applyFont="1" applyFill="1" applyBorder="1" applyAlignment="1">
      <alignment horizontal="center" vertical="center"/>
      <protection locked="0"/>
    </xf>
    <xf numFmtId="0" fontId="13" fillId="4" borderId="4" xfId="0" applyFont="1" applyFill="1" applyBorder="1" applyAlignment="1">
      <alignment horizontal="center" vertical="center"/>
      <protection locked="0"/>
    </xf>
    <xf numFmtId="0" fontId="13" fillId="4" borderId="11" xfId="0" applyFont="1" applyFill="1" applyBorder="1" applyAlignment="1">
      <alignment horizontal="center" vertical="center"/>
      <protection locked="0"/>
    </xf>
    <xf numFmtId="0" fontId="18" fillId="4" borderId="5" xfId="42" applyFont="1" applyFill="1" applyBorder="1" applyAlignment="1">
      <alignment horizontal="center" vertical="center" wrapText="1"/>
    </xf>
    <xf numFmtId="0" fontId="18" fillId="4" borderId="6" xfId="42" applyFont="1" applyFill="1" applyBorder="1" applyAlignment="1">
      <alignment horizontal="center" vertical="center" wrapText="1"/>
    </xf>
    <xf numFmtId="0" fontId="18" fillId="4" borderId="9" xfId="42" applyFont="1" applyFill="1" applyBorder="1" applyAlignment="1">
      <alignment horizontal="center" vertical="center" wrapText="1"/>
    </xf>
    <xf numFmtId="0" fontId="13" fillId="4" borderId="2" xfId="0" applyFont="1" applyFill="1" applyBorder="1" applyAlignment="1">
      <alignment horizontal="center" vertical="center" wrapText="1"/>
      <protection locked="0"/>
    </xf>
    <xf numFmtId="0" fontId="16" fillId="0" borderId="2" xfId="42" applyFont="1" applyBorder="1" applyAlignment="1">
      <alignment horizontal="center" vertical="center"/>
    </xf>
    <xf numFmtId="0" fontId="13" fillId="4" borderId="2" xfId="0" applyFont="1" applyFill="1" applyBorder="1" applyAlignment="1">
      <alignment horizontal="center" vertical="center"/>
      <protection locked="0"/>
    </xf>
    <xf numFmtId="14" fontId="10" fillId="12" borderId="2" xfId="46" applyNumberFormat="1" applyFont="1" applyFill="1" applyBorder="1" applyAlignment="1">
      <alignment horizontal="center" vertical="center"/>
      <protection locked="0"/>
    </xf>
    <xf numFmtId="0" fontId="17" fillId="0" borderId="0" xfId="0" applyFont="1" applyAlignment="1">
      <alignment horizontal="center" vertical="center"/>
      <protection locked="0"/>
    </xf>
    <xf numFmtId="0" fontId="6" fillId="0" borderId="0" xfId="0" applyFont="1" applyAlignment="1">
      <alignment horizontal="center" vertical="center"/>
      <protection locked="0"/>
    </xf>
    <xf numFmtId="0" fontId="13" fillId="3" borderId="2" xfId="44" applyFont="1" applyFill="1" applyBorder="1" applyAlignment="1" applyProtection="1">
      <alignment horizontal="center" vertical="center" wrapText="1"/>
    </xf>
    <xf numFmtId="0" fontId="13" fillId="3" borderId="5" xfId="44" applyFont="1" applyFill="1" applyBorder="1" applyAlignment="1" applyProtection="1">
      <alignment horizontal="center" vertical="center" wrapText="1"/>
    </xf>
    <xf numFmtId="0" fontId="13" fillId="3" borderId="6" xfId="44" applyFont="1" applyFill="1" applyBorder="1" applyAlignment="1" applyProtection="1">
      <alignment horizontal="center" vertical="center" wrapText="1"/>
    </xf>
    <xf numFmtId="0" fontId="13" fillId="2" borderId="2" xfId="43" applyFont="1" applyFill="1" applyBorder="1" applyAlignment="1" applyProtection="1">
      <alignment horizontal="center" vertical="center"/>
      <protection locked="0"/>
    </xf>
    <xf numFmtId="0" fontId="4" fillId="2" borderId="2" xfId="43" applyFont="1" applyFill="1" applyBorder="1" applyAlignment="1" applyProtection="1">
      <alignment horizontal="center" vertical="center"/>
      <protection locked="0"/>
    </xf>
    <xf numFmtId="0" fontId="13" fillId="2" borderId="2" xfId="44"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13" fillId="2" borderId="2" xfId="43" applyFont="1" applyFill="1" applyBorder="1" applyAlignment="1" applyProtection="1">
      <alignment horizontal="center" vertical="center" wrapText="1"/>
      <protection locked="0"/>
    </xf>
    <xf numFmtId="0" fontId="4" fillId="2" borderId="2" xfId="43" applyFont="1" applyFill="1" applyBorder="1" applyAlignment="1" applyProtection="1">
      <alignment horizontal="center" vertical="center" wrapText="1"/>
      <protection locked="0"/>
    </xf>
  </cellXfs>
  <cellStyles count="79">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Black" xfId="14"/>
    <cellStyle name="Border" xfId="15"/>
    <cellStyle name="Comma [0]_1995" xfId="16"/>
    <cellStyle name="Comma_1995" xfId="17"/>
    <cellStyle name="Currency [0]_1995" xfId="18"/>
    <cellStyle name="Currency_1995" xfId="19"/>
    <cellStyle name="Dezimal [0]_laroux" xfId="20"/>
    <cellStyle name="Dezimal_laroux" xfId="21"/>
    <cellStyle name="Euro" xfId="22"/>
    <cellStyle name="Followed Hyperlink_AheadBehind.xls Chart 23" xfId="23"/>
    <cellStyle name="Grey" xfId="24"/>
    <cellStyle name="Header1" xfId="25"/>
    <cellStyle name="Header2" xfId="26"/>
    <cellStyle name="Hyperlink_AheadBehind.xls Chart 23" xfId="27"/>
    <cellStyle name="Input [yellow]" xfId="28"/>
    <cellStyle name="Milliers [0]_laroux" xfId="29"/>
    <cellStyle name="Milliers_laroux" xfId="30"/>
    <cellStyle name="Non défini" xfId="31"/>
    <cellStyle name="Normal - Style1" xfId="32"/>
    <cellStyle name="Normal_ SG&amp;A Bridge " xfId="33"/>
    <cellStyle name="Percent [2]" xfId="34"/>
    <cellStyle name="Red" xfId="35"/>
    <cellStyle name="row_def_array" xfId="36"/>
    <cellStyle name="_laroux" xfId="37"/>
    <cellStyle name="だ_laroux" xfId="38"/>
    <cellStyle name="百分比" xfId="2" builtinId="5"/>
    <cellStyle name="百分比 2" xfId="39"/>
    <cellStyle name="捠壿 [0.00]_PRODUCT DETAIL Q1" xfId="40"/>
    <cellStyle name="常规" xfId="0" builtinId="0"/>
    <cellStyle name="常规 11 5" xfId="78"/>
    <cellStyle name="常规 13" xfId="41"/>
    <cellStyle name="常规 2" xfId="42"/>
    <cellStyle name="常规 2 2" xfId="43"/>
    <cellStyle name="常规 2 2 4" xfId="44"/>
    <cellStyle name="常规 2 8" xfId="45"/>
    <cellStyle name="常规 2 8 2" xfId="46"/>
    <cellStyle name="常规 3" xfId="47"/>
    <cellStyle name="常规 3 2" xfId="48"/>
    <cellStyle name="常规 3 2 2" xfId="49"/>
    <cellStyle name="常规 4" xfId="50"/>
    <cellStyle name="常规 4 2" xfId="51"/>
    <cellStyle name="常规 6 2" xfId="52"/>
    <cellStyle name="常规 7" xfId="53"/>
    <cellStyle name="常规 7 2" xfId="54"/>
    <cellStyle name="常规 9" xfId="55"/>
    <cellStyle name="常规_2-1项目审定表－模板" xfId="56"/>
    <cellStyle name="常规_Book1" xfId="57"/>
    <cellStyle name="常规_Book1 2" xfId="58"/>
    <cellStyle name="常规_c-资产类 2" xfId="59"/>
    <cellStyle name="常规_sheet" xfId="60"/>
    <cellStyle name="常规_进一步审计程序--销售与收款循环" xfId="61"/>
    <cellStyle name="常规_新审定表" xfId="62"/>
    <cellStyle name="常规_新审定表 2" xfId="63"/>
    <cellStyle name="超链接" xfId="3" builtinId="8"/>
    <cellStyle name="超链接 2" xfId="64"/>
    <cellStyle name="霓付 [0]_1202" xfId="65"/>
    <cellStyle name="霓付_1202" xfId="66"/>
    <cellStyle name="烹拳 [0]_1202" xfId="67"/>
    <cellStyle name="烹拳_1202" xfId="68"/>
    <cellStyle name="千位[0]_laroux" xfId="69"/>
    <cellStyle name="千位_laroux" xfId="70"/>
    <cellStyle name="千位分隔" xfId="1" builtinId="3"/>
    <cellStyle name="千位分隔 2 3" xfId="71"/>
    <cellStyle name="千位分隔 3" xfId="72"/>
    <cellStyle name="千位分隔 6" xfId="73"/>
    <cellStyle name="钎霖_(沥焊何巩)岿喊牢盔拌裙" xfId="74"/>
    <cellStyle name="昗弨_BOOKSHIP" xfId="75"/>
    <cellStyle name="寘嬫愗傝 [0.00]_PRODUCT DETAIL Q1" xfId="76"/>
    <cellStyle name="寘嬫愗傝_PRODUCT DETAIL Q1" xfId="7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33</xdr:col>
      <xdr:colOff>0</xdr:colOff>
      <xdr:row>16</xdr:row>
      <xdr:rowOff>0</xdr:rowOff>
    </xdr:from>
    <xdr:ext cx="18531" cy="418704"/>
    <xdr:sp macro="" textlink="">
      <xdr:nvSpPr>
        <xdr:cNvPr id="112" name="Text Box 745"/>
        <xdr:cNvSpPr txBox="1">
          <a:spLocks noChangeArrowheads="1"/>
        </xdr:cNvSpPr>
      </xdr:nvSpPr>
      <xdr:spPr>
        <a:xfrm>
          <a:off x="22631400" y="4318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20</xdr:row>
      <xdr:rowOff>0</xdr:rowOff>
    </xdr:from>
    <xdr:ext cx="18531" cy="418704"/>
    <xdr:sp macro="" textlink="">
      <xdr:nvSpPr>
        <xdr:cNvPr id="921" name="Text Box 745"/>
        <xdr:cNvSpPr txBox="1">
          <a:spLocks noChangeArrowheads="1"/>
        </xdr:cNvSpPr>
      </xdr:nvSpPr>
      <xdr:spPr>
        <a:xfrm>
          <a:off x="22631400" y="5334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20</xdr:row>
      <xdr:rowOff>114300</xdr:rowOff>
    </xdr:from>
    <xdr:ext cx="18531" cy="418704"/>
    <xdr:sp macro="" textlink="">
      <xdr:nvSpPr>
        <xdr:cNvPr id="1184" name="Text Box 745"/>
        <xdr:cNvSpPr txBox="1">
          <a:spLocks noChangeArrowheads="1"/>
        </xdr:cNvSpPr>
      </xdr:nvSpPr>
      <xdr:spPr>
        <a:xfrm>
          <a:off x="22631400" y="54483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21</xdr:row>
      <xdr:rowOff>0</xdr:rowOff>
    </xdr:from>
    <xdr:ext cx="18531" cy="418704"/>
    <xdr:sp macro="" textlink="">
      <xdr:nvSpPr>
        <xdr:cNvPr id="1334" name="Text Box 745"/>
        <xdr:cNvSpPr txBox="1">
          <a:spLocks noChangeArrowheads="1"/>
        </xdr:cNvSpPr>
      </xdr:nvSpPr>
      <xdr:spPr>
        <a:xfrm>
          <a:off x="22631400" y="5588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21</xdr:row>
      <xdr:rowOff>0</xdr:rowOff>
    </xdr:from>
    <xdr:ext cx="18531" cy="418704"/>
    <xdr:sp macro="" textlink="">
      <xdr:nvSpPr>
        <xdr:cNvPr id="1663" name="Text Box 745"/>
        <xdr:cNvSpPr txBox="1">
          <a:spLocks noChangeArrowheads="1"/>
        </xdr:cNvSpPr>
      </xdr:nvSpPr>
      <xdr:spPr>
        <a:xfrm>
          <a:off x="22631400" y="5588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3"/>
  <sheetViews>
    <sheetView tabSelected="1" view="pageBreakPreview" zoomScaleNormal="100" workbookViewId="0"/>
  </sheetViews>
  <sheetFormatPr defaultColWidth="8.796875" defaultRowHeight="19.95" customHeight="1"/>
  <cols>
    <col min="1" max="1" width="77.59765625" style="45" customWidth="1"/>
    <col min="2" max="2" width="2" style="45" customWidth="1"/>
    <col min="3" max="3" width="2.09765625" style="45" customWidth="1"/>
    <col min="4" max="4" width="6.09765625" style="45" customWidth="1"/>
    <col min="5" max="5" width="44" style="5" customWidth="1"/>
    <col min="6" max="6" width="6.69921875" style="45" customWidth="1"/>
    <col min="7" max="16384" width="8.796875" style="45"/>
  </cols>
  <sheetData>
    <row r="1" spans="1:7" s="5" customFormat="1" ht="19.95" customHeight="1">
      <c r="A1" s="1" t="s">
        <v>0</v>
      </c>
    </row>
    <row r="2" spans="1:7" ht="19.95" customHeight="1">
      <c r="A2" s="369" t="s">
        <v>1</v>
      </c>
      <c r="B2" s="370"/>
      <c r="C2" s="370"/>
      <c r="D2" s="386" t="s">
        <v>393</v>
      </c>
      <c r="E2" s="386" t="s">
        <v>451</v>
      </c>
      <c r="F2" s="386" t="s">
        <v>419</v>
      </c>
      <c r="G2" s="370"/>
    </row>
    <row r="3" spans="1:7" ht="19.95" customHeight="1">
      <c r="A3" s="385" t="s">
        <v>446</v>
      </c>
      <c r="B3" s="370"/>
      <c r="C3" s="370"/>
      <c r="D3" s="371">
        <v>1</v>
      </c>
      <c r="E3" s="372" t="s">
        <v>2</v>
      </c>
      <c r="F3" s="387" t="s">
        <v>3</v>
      </c>
      <c r="G3" s="373"/>
    </row>
    <row r="4" spans="1:7" ht="19.95" customHeight="1">
      <c r="A4" s="374" t="s">
        <v>4</v>
      </c>
      <c r="B4" s="370"/>
      <c r="D4" s="371">
        <v>2</v>
      </c>
      <c r="E4" s="372" t="s">
        <v>5</v>
      </c>
      <c r="F4" s="387" t="s">
        <v>6</v>
      </c>
      <c r="G4" s="373"/>
    </row>
    <row r="5" spans="1:7" ht="19.95" customHeight="1">
      <c r="A5" s="374" t="s">
        <v>7</v>
      </c>
      <c r="C5" s="370"/>
      <c r="D5" s="371">
        <v>3</v>
      </c>
      <c r="E5" s="372" t="s">
        <v>8</v>
      </c>
      <c r="F5" s="387"/>
      <c r="G5" s="177" t="s">
        <v>9</v>
      </c>
    </row>
    <row r="6" spans="1:7" ht="19.95" customHeight="1">
      <c r="A6" s="374" t="s">
        <v>10</v>
      </c>
      <c r="D6" s="371">
        <v>4</v>
      </c>
      <c r="E6" s="372" t="s">
        <v>11</v>
      </c>
      <c r="F6" s="387"/>
      <c r="G6" s="177" t="s">
        <v>9</v>
      </c>
    </row>
    <row r="7" spans="1:7" ht="19.95" customHeight="1">
      <c r="A7" s="374" t="s">
        <v>12</v>
      </c>
      <c r="D7" s="371">
        <v>5</v>
      </c>
      <c r="E7" s="372" t="s">
        <v>13</v>
      </c>
      <c r="F7" s="387" t="s">
        <v>14</v>
      </c>
    </row>
    <row r="8" spans="1:7" ht="19.95" customHeight="1">
      <c r="A8" s="375"/>
      <c r="D8" s="371">
        <v>6</v>
      </c>
      <c r="E8" s="372" t="s">
        <v>15</v>
      </c>
      <c r="F8" s="387" t="s">
        <v>16</v>
      </c>
    </row>
    <row r="9" spans="1:7" ht="19.95" customHeight="1">
      <c r="A9" s="384" t="s">
        <v>447</v>
      </c>
      <c r="D9" s="371">
        <v>7</v>
      </c>
      <c r="E9" s="372" t="s">
        <v>17</v>
      </c>
      <c r="F9" s="387" t="s">
        <v>18</v>
      </c>
    </row>
    <row r="10" spans="1:7" ht="19.95" customHeight="1">
      <c r="A10" s="424" t="s">
        <v>448</v>
      </c>
      <c r="D10" s="371">
        <v>8</v>
      </c>
      <c r="E10" s="372" t="s">
        <v>19</v>
      </c>
      <c r="F10" s="387" t="s">
        <v>20</v>
      </c>
    </row>
    <row r="11" spans="1:7" ht="19.95" customHeight="1">
      <c r="A11" s="424"/>
      <c r="D11" s="371">
        <v>9</v>
      </c>
      <c r="E11" s="372" t="s">
        <v>21</v>
      </c>
      <c r="F11" s="387" t="s">
        <v>22</v>
      </c>
    </row>
    <row r="12" spans="1:7" ht="19.95" customHeight="1">
      <c r="A12" s="424"/>
      <c r="D12" s="371">
        <v>10</v>
      </c>
      <c r="E12" s="372" t="s">
        <v>23</v>
      </c>
      <c r="F12" s="387" t="s">
        <v>24</v>
      </c>
    </row>
    <row r="13" spans="1:7" ht="19.95" customHeight="1">
      <c r="A13" s="424"/>
      <c r="D13" s="371">
        <v>11</v>
      </c>
      <c r="E13" s="372" t="s">
        <v>25</v>
      </c>
      <c r="F13" s="387" t="s">
        <v>24</v>
      </c>
    </row>
    <row r="14" spans="1:7" ht="19.95" customHeight="1">
      <c r="A14" s="424" t="s">
        <v>449</v>
      </c>
      <c r="D14" s="371">
        <v>12</v>
      </c>
      <c r="E14" s="372" t="s">
        <v>26</v>
      </c>
      <c r="F14" s="387" t="s">
        <v>27</v>
      </c>
    </row>
    <row r="15" spans="1:7" ht="19.95" customHeight="1">
      <c r="A15" s="424"/>
      <c r="D15" s="371">
        <v>13</v>
      </c>
      <c r="E15" s="372" t="s">
        <v>28</v>
      </c>
      <c r="F15" s="387" t="s">
        <v>27</v>
      </c>
    </row>
    <row r="16" spans="1:7" ht="19.95" customHeight="1">
      <c r="A16" s="424"/>
      <c r="D16" s="371">
        <v>14</v>
      </c>
      <c r="E16" s="376" t="str">
        <f>'应付债券检查表L4-9'!A2</f>
        <v>应付债券检查底稿</v>
      </c>
      <c r="F16" s="387" t="s">
        <v>29</v>
      </c>
    </row>
    <row r="17" spans="1:3" ht="19.95" customHeight="1">
      <c r="A17" s="425" t="s">
        <v>450</v>
      </c>
    </row>
    <row r="18" spans="1:3" s="5" customFormat="1" ht="19.95" customHeight="1">
      <c r="A18" s="425"/>
      <c r="C18" s="45"/>
    </row>
    <row r="19" spans="1:3" s="5" customFormat="1" ht="19.95" customHeight="1">
      <c r="A19" s="425"/>
    </row>
    <row r="20" spans="1:3" s="5" customFormat="1" ht="15.6">
      <c r="A20" s="299"/>
    </row>
    <row r="21" spans="1:3" s="5" customFormat="1" ht="19.95" customHeight="1"/>
    <row r="22" spans="1:3" s="5" customFormat="1" ht="19.95" customHeight="1"/>
    <row r="23" spans="1:3" ht="19.95" customHeight="1">
      <c r="C23" s="5"/>
    </row>
  </sheetData>
  <mergeCells count="3">
    <mergeCell ref="A10:A13"/>
    <mergeCell ref="A14:A16"/>
    <mergeCell ref="A17:A19"/>
  </mergeCells>
  <phoneticPr fontId="86" type="noConversion"/>
  <hyperlinks>
    <hyperlink ref="E9" location="'调整分录汇总L4-4'!A1" display="调整分录汇总"/>
    <hyperlink ref="E3" location="'应付债券实质性程序表P4A '!A1" display="应付债券实质性程序表"/>
    <hyperlink ref="E10" location="'权益与负债划分检查表L4-5'!A1" display="权益与负债划分检查表"/>
    <hyperlink ref="E6" location="'附注披露信息核对（国企）'!A1" display="附注披露信息(国企)"/>
    <hyperlink ref="E5" location="'附注披露信息核对（上市公司）'!A1" display="附注披露信息(上市公司)"/>
    <hyperlink ref="E16" location="'应付债券检查表L4-9'!A1" display="='应付债券检查表L4-9'!A2"/>
    <hyperlink ref="E8" location="'划分为金融负债的其他金融工具明细表L4-3'!A1" display="划分为金融负债的其他金融工具明细表"/>
    <hyperlink ref="E7" location="'应付债券明细表L4-2'!A1" display="应付债券明细表"/>
    <hyperlink ref="E4" location="'审定表L4-1'!A1" display="应付债券审定表"/>
    <hyperlink ref="E11" location="'应付债券初始计量L4-6'!A1" display="应付债券初始计量"/>
    <hyperlink ref="E12" location="'应付债券后续计量(到期一次还本付息)L4-7'!A1" display="应付债券后续计量(到期一次还本付息)"/>
    <hyperlink ref="E13" location="'应付债券后续计量(分期付息到期一次还本)L4-7'!A1" display="应付债券后续计量(分期付息到期一次还本)"/>
    <hyperlink ref="E14" location="'应付债券账面核对(到期一次还本付息)L4-8'!A1" display="应付债券账面核对(到期一次还本付息)"/>
    <hyperlink ref="E15" location="'应付债券账面核对(分期付息到期一次还本) L4-8'!A1" display="应付债券账面核对(分期付息到期一次还本)"/>
  </hyperlinks>
  <pageMargins left="0.75" right="0.75" top="1" bottom="1" header="0.5" footer="0.5"/>
  <pageSetup paperSize="9" scale="52"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S27"/>
  <sheetViews>
    <sheetView view="pageBreakPreview" zoomScaleNormal="100" workbookViewId="0">
      <selection sqref="A1:I1"/>
    </sheetView>
  </sheetViews>
  <sheetFormatPr defaultColWidth="9" defaultRowHeight="19.95" customHeight="1"/>
  <cols>
    <col min="1" max="1" width="4" style="339" customWidth="1"/>
    <col min="2" max="2" width="64" style="332" customWidth="1"/>
    <col min="3" max="3" width="10.3984375" style="332" customWidth="1"/>
    <col min="4" max="4" width="5.5" style="332" customWidth="1"/>
    <col min="5" max="5" width="5.8984375" style="332" customWidth="1"/>
    <col min="6" max="6" width="6.69921875" style="332" customWidth="1"/>
    <col min="7" max="7" width="7.19921875" style="332" customWidth="1"/>
    <col min="8" max="8" width="5.5" style="332" customWidth="1"/>
    <col min="9" max="9" width="6.8984375" style="332" customWidth="1"/>
    <col min="10" max="16384" width="9" style="332"/>
  </cols>
  <sheetData>
    <row r="1" spans="1:10" ht="19.95" customHeight="1">
      <c r="A1" s="440" t="s">
        <v>30</v>
      </c>
      <c r="B1" s="440"/>
      <c r="C1" s="440"/>
      <c r="D1" s="440"/>
      <c r="E1" s="440"/>
      <c r="F1" s="440"/>
      <c r="G1" s="440"/>
      <c r="H1" s="440"/>
      <c r="I1" s="440"/>
    </row>
    <row r="2" spans="1:10" ht="19.95" customHeight="1">
      <c r="A2" s="441" t="s">
        <v>31</v>
      </c>
      <c r="B2" s="442"/>
      <c r="C2" s="442"/>
      <c r="D2" s="442"/>
      <c r="E2" s="442"/>
      <c r="F2" s="442"/>
      <c r="G2" s="442"/>
      <c r="H2" s="442"/>
      <c r="I2" s="442"/>
      <c r="J2" s="291"/>
    </row>
    <row r="3" spans="1:10" ht="19.95" customHeight="1">
      <c r="A3" s="340" t="str">
        <f>底稿目录!A2</f>
        <v>被审计单位：</v>
      </c>
      <c r="B3" s="333"/>
      <c r="C3" s="334" t="str">
        <f>底稿目录!A4</f>
        <v>编制人：</v>
      </c>
      <c r="D3" s="333"/>
      <c r="E3" s="333" t="str">
        <f>底稿目录!A5</f>
        <v>编制日期：</v>
      </c>
      <c r="F3" s="335"/>
      <c r="H3" s="333" t="s">
        <v>32</v>
      </c>
      <c r="I3" s="390" t="s">
        <v>3</v>
      </c>
    </row>
    <row r="4" spans="1:10" ht="19.95" customHeight="1">
      <c r="A4" s="340" t="str">
        <f>底稿目录!A3</f>
        <v>截止日：202X年12月31日</v>
      </c>
      <c r="B4" s="333"/>
      <c r="C4" s="334" t="str">
        <f>底稿目录!A6</f>
        <v>复核人：</v>
      </c>
      <c r="D4" s="333"/>
      <c r="E4" s="333" t="str">
        <f>底稿目录!A7</f>
        <v>复核日期：</v>
      </c>
      <c r="F4" s="335"/>
      <c r="H4" s="333" t="s">
        <v>33</v>
      </c>
      <c r="I4" s="333"/>
    </row>
    <row r="5" spans="1:10" ht="19.95" customHeight="1">
      <c r="A5" s="341" t="s">
        <v>34</v>
      </c>
      <c r="B5" s="333"/>
      <c r="C5" s="333"/>
      <c r="D5" s="333"/>
      <c r="E5" s="333"/>
      <c r="F5" s="333"/>
      <c r="G5" s="333"/>
      <c r="H5" s="333"/>
      <c r="I5" s="333"/>
    </row>
    <row r="6" spans="1:10" ht="19.95" customHeight="1">
      <c r="A6" s="342" t="s">
        <v>35</v>
      </c>
      <c r="C6" s="333"/>
      <c r="D6" s="333"/>
      <c r="E6" s="333"/>
      <c r="F6" s="333"/>
      <c r="G6" s="333"/>
      <c r="H6" s="333"/>
      <c r="I6" s="333"/>
    </row>
    <row r="7" spans="1:10" ht="19.95" customHeight="1">
      <c r="A7" s="343" t="s">
        <v>36</v>
      </c>
      <c r="B7" s="336"/>
      <c r="C7" s="336"/>
      <c r="D7" s="333"/>
      <c r="E7" s="333"/>
      <c r="F7" s="333"/>
      <c r="G7" s="333"/>
      <c r="H7" s="333"/>
      <c r="I7" s="333"/>
    </row>
    <row r="8" spans="1:10" ht="19.95" customHeight="1">
      <c r="A8" s="443" t="s">
        <v>37</v>
      </c>
      <c r="B8" s="443"/>
      <c r="C8" s="443"/>
      <c r="D8" s="443"/>
      <c r="E8" s="443"/>
      <c r="F8" s="443"/>
      <c r="G8" s="445" t="s">
        <v>38</v>
      </c>
      <c r="H8" s="445"/>
      <c r="I8" s="445"/>
    </row>
    <row r="9" spans="1:10" ht="19.95" customHeight="1">
      <c r="A9" s="444" t="s">
        <v>39</v>
      </c>
      <c r="B9" s="444"/>
      <c r="C9" s="444"/>
      <c r="D9" s="444"/>
      <c r="E9" s="444"/>
      <c r="F9" s="444"/>
      <c r="G9" s="439" t="s">
        <v>40</v>
      </c>
      <c r="H9" s="439"/>
      <c r="I9" s="439"/>
    </row>
    <row r="10" spans="1:10" ht="19.95" customHeight="1">
      <c r="A10" s="444" t="s">
        <v>41</v>
      </c>
      <c r="B10" s="444"/>
      <c r="C10" s="444"/>
      <c r="D10" s="444"/>
      <c r="E10" s="444"/>
      <c r="F10" s="444"/>
      <c r="G10" s="439" t="s">
        <v>42</v>
      </c>
      <c r="H10" s="439"/>
      <c r="I10" s="439"/>
    </row>
    <row r="11" spans="1:10" ht="19.95" customHeight="1">
      <c r="A11" s="444" t="s">
        <v>43</v>
      </c>
      <c r="B11" s="444"/>
      <c r="C11" s="444"/>
      <c r="D11" s="444"/>
      <c r="E11" s="444"/>
      <c r="F11" s="444"/>
      <c r="G11" s="439" t="s">
        <v>44</v>
      </c>
      <c r="H11" s="439"/>
      <c r="I11" s="439"/>
    </row>
    <row r="12" spans="1:10" ht="19.95" customHeight="1">
      <c r="A12" s="444" t="s">
        <v>45</v>
      </c>
      <c r="B12" s="444"/>
      <c r="C12" s="444"/>
      <c r="D12" s="444"/>
      <c r="E12" s="444"/>
      <c r="F12" s="444"/>
      <c r="G12" s="439" t="s">
        <v>46</v>
      </c>
      <c r="H12" s="439"/>
      <c r="I12" s="439"/>
    </row>
    <row r="13" spans="1:10" ht="19.95" customHeight="1">
      <c r="A13" s="444" t="s">
        <v>47</v>
      </c>
      <c r="B13" s="444"/>
      <c r="C13" s="444"/>
      <c r="D13" s="444"/>
      <c r="E13" s="444"/>
      <c r="F13" s="444"/>
      <c r="G13" s="439" t="s">
        <v>48</v>
      </c>
      <c r="H13" s="439"/>
      <c r="I13" s="439"/>
    </row>
    <row r="14" spans="1:10" ht="19.95" customHeight="1">
      <c r="A14" s="344" t="s">
        <v>49</v>
      </c>
    </row>
    <row r="15" spans="1:10" ht="19.95" customHeight="1">
      <c r="A15" s="432" t="s">
        <v>50</v>
      </c>
      <c r="B15" s="434" t="s">
        <v>453</v>
      </c>
      <c r="C15" s="435" t="s">
        <v>51</v>
      </c>
      <c r="D15" s="426" t="s">
        <v>52</v>
      </c>
      <c r="E15" s="427"/>
      <c r="F15" s="427"/>
      <c r="G15" s="427"/>
      <c r="H15" s="428"/>
      <c r="I15" s="437" t="s">
        <v>53</v>
      </c>
    </row>
    <row r="16" spans="1:10" ht="44.4" customHeight="1">
      <c r="A16" s="433"/>
      <c r="B16" s="434"/>
      <c r="C16" s="436"/>
      <c r="D16" s="345" t="s">
        <v>54</v>
      </c>
      <c r="E16" s="345" t="s">
        <v>55</v>
      </c>
      <c r="F16" s="346" t="s">
        <v>56</v>
      </c>
      <c r="G16" s="346" t="s">
        <v>57</v>
      </c>
      <c r="H16" s="346" t="s">
        <v>58</v>
      </c>
      <c r="I16" s="438"/>
      <c r="J16" s="388" t="s">
        <v>452</v>
      </c>
    </row>
    <row r="17" spans="1:19" ht="69" customHeight="1">
      <c r="A17" s="347" t="s">
        <v>59</v>
      </c>
      <c r="B17" s="348" t="s">
        <v>60</v>
      </c>
      <c r="C17" s="349" t="s">
        <v>61</v>
      </c>
      <c r="D17" s="337" t="s">
        <v>62</v>
      </c>
      <c r="E17" s="337" t="s">
        <v>62</v>
      </c>
      <c r="F17" s="337"/>
      <c r="G17" s="350" t="s">
        <v>63</v>
      </c>
      <c r="H17" s="337"/>
      <c r="I17" s="337" t="s">
        <v>64</v>
      </c>
    </row>
    <row r="18" spans="1:19" ht="43.8" customHeight="1">
      <c r="A18" s="347" t="s">
        <v>65</v>
      </c>
      <c r="B18" s="348" t="s">
        <v>66</v>
      </c>
      <c r="C18" s="351" t="s">
        <v>61</v>
      </c>
      <c r="D18" s="352"/>
      <c r="E18" s="353" t="s">
        <v>67</v>
      </c>
      <c r="F18" s="352"/>
      <c r="G18" s="354" t="s">
        <v>67</v>
      </c>
      <c r="H18" s="337"/>
      <c r="I18" s="389" t="s">
        <v>454</v>
      </c>
      <c r="J18" s="429" t="s">
        <v>68</v>
      </c>
      <c r="K18" s="430"/>
      <c r="L18" s="430"/>
      <c r="M18" s="430"/>
      <c r="N18" s="430"/>
      <c r="O18" s="430"/>
      <c r="P18" s="430"/>
      <c r="Q18" s="430"/>
      <c r="R18" s="430"/>
      <c r="S18" s="430"/>
    </row>
    <row r="19" spans="1:19" ht="43.2" customHeight="1">
      <c r="A19" s="347" t="s">
        <v>69</v>
      </c>
      <c r="B19" s="355" t="s">
        <v>70</v>
      </c>
      <c r="C19" s="356" t="s">
        <v>71</v>
      </c>
      <c r="D19" s="354" t="s">
        <v>67</v>
      </c>
      <c r="E19" s="353" t="s">
        <v>67</v>
      </c>
      <c r="F19" s="354" t="s">
        <v>67</v>
      </c>
      <c r="G19" s="354" t="s">
        <v>67</v>
      </c>
      <c r="H19" s="337"/>
      <c r="I19" s="337"/>
      <c r="J19" s="429" t="s">
        <v>72</v>
      </c>
      <c r="K19" s="431"/>
      <c r="L19" s="431"/>
      <c r="M19" s="431"/>
      <c r="N19" s="431"/>
      <c r="O19" s="431"/>
      <c r="P19" s="431"/>
      <c r="Q19" s="431"/>
      <c r="R19" s="431"/>
      <c r="S19" s="431"/>
    </row>
    <row r="20" spans="1:19" ht="68.400000000000006" customHeight="1">
      <c r="A20" s="347" t="s">
        <v>73</v>
      </c>
      <c r="B20" s="357" t="s">
        <v>74</v>
      </c>
      <c r="C20" s="351" t="s">
        <v>61</v>
      </c>
      <c r="D20" s="354" t="s">
        <v>67</v>
      </c>
      <c r="E20" s="353" t="s">
        <v>67</v>
      </c>
      <c r="F20" s="354" t="s">
        <v>67</v>
      </c>
      <c r="G20" s="353" t="s">
        <v>67</v>
      </c>
      <c r="H20" s="354"/>
      <c r="I20" s="337" t="s">
        <v>22</v>
      </c>
    </row>
    <row r="21" spans="1:19" ht="79.2" customHeight="1">
      <c r="A21" s="347" t="s">
        <v>75</v>
      </c>
      <c r="B21" s="357" t="s">
        <v>76</v>
      </c>
      <c r="C21" s="351" t="s">
        <v>61</v>
      </c>
      <c r="D21" s="358"/>
      <c r="E21" s="359"/>
      <c r="F21" s="360"/>
      <c r="G21" s="353" t="s">
        <v>67</v>
      </c>
      <c r="H21" s="337"/>
      <c r="I21" s="337" t="s">
        <v>77</v>
      </c>
    </row>
    <row r="22" spans="1:19" ht="32.4" customHeight="1">
      <c r="A22" s="347" t="s">
        <v>78</v>
      </c>
      <c r="B22" s="361" t="s">
        <v>79</v>
      </c>
      <c r="C22" s="351" t="s">
        <v>61</v>
      </c>
      <c r="D22" s="354" t="s">
        <v>67</v>
      </c>
      <c r="E22" s="353" t="s">
        <v>67</v>
      </c>
      <c r="F22" s="354" t="s">
        <v>67</v>
      </c>
      <c r="G22" s="354" t="s">
        <v>67</v>
      </c>
      <c r="H22" s="354"/>
      <c r="I22" s="337" t="s">
        <v>29</v>
      </c>
    </row>
    <row r="23" spans="1:19" ht="83.4" customHeight="1">
      <c r="A23" s="347" t="s">
        <v>80</v>
      </c>
      <c r="B23" s="348" t="s">
        <v>81</v>
      </c>
      <c r="C23" s="351" t="s">
        <v>61</v>
      </c>
      <c r="D23" s="337"/>
      <c r="E23" s="337"/>
      <c r="F23" s="350" t="s">
        <v>63</v>
      </c>
      <c r="G23" s="337" t="s">
        <v>62</v>
      </c>
      <c r="H23" s="337"/>
      <c r="I23" s="337"/>
    </row>
    <row r="24" spans="1:19" ht="79.2" customHeight="1">
      <c r="A24" s="347" t="s">
        <v>82</v>
      </c>
      <c r="B24" s="362" t="s">
        <v>83</v>
      </c>
      <c r="C24" s="338" t="s">
        <v>84</v>
      </c>
      <c r="D24" s="353" t="s">
        <v>67</v>
      </c>
      <c r="E24" s="354"/>
      <c r="F24" s="353" t="s">
        <v>67</v>
      </c>
      <c r="G24" s="353" t="s">
        <v>67</v>
      </c>
      <c r="H24" s="337"/>
      <c r="I24" s="366" t="s">
        <v>85</v>
      </c>
    </row>
    <row r="25" spans="1:19" ht="159.6" customHeight="1">
      <c r="A25" s="347" t="s">
        <v>86</v>
      </c>
      <c r="B25" s="362" t="s">
        <v>87</v>
      </c>
      <c r="C25" s="338" t="s">
        <v>84</v>
      </c>
      <c r="D25" s="353" t="s">
        <v>67</v>
      </c>
      <c r="E25" s="354" t="s">
        <v>67</v>
      </c>
      <c r="F25" s="353" t="s">
        <v>67</v>
      </c>
      <c r="G25" s="354" t="s">
        <v>67</v>
      </c>
      <c r="H25" s="337"/>
      <c r="I25" s="337" t="s">
        <v>88</v>
      </c>
    </row>
    <row r="26" spans="1:19" ht="36">
      <c r="A26" s="347" t="s">
        <v>89</v>
      </c>
      <c r="B26" s="363" t="s">
        <v>90</v>
      </c>
      <c r="C26" s="354" t="s">
        <v>91</v>
      </c>
      <c r="D26" s="364"/>
      <c r="E26" s="364"/>
      <c r="F26" s="364"/>
      <c r="G26" s="364"/>
      <c r="H26" s="365"/>
      <c r="I26" s="365"/>
      <c r="J26" s="367"/>
    </row>
    <row r="27" spans="1:19" ht="27.6">
      <c r="A27" s="347" t="s">
        <v>92</v>
      </c>
      <c r="B27" s="362" t="s">
        <v>93</v>
      </c>
      <c r="C27" s="351" t="s">
        <v>61</v>
      </c>
      <c r="D27" s="337"/>
      <c r="E27" s="337"/>
      <c r="F27" s="337"/>
      <c r="G27" s="337"/>
      <c r="H27" s="337" t="s">
        <v>62</v>
      </c>
      <c r="I27" s="368" t="s">
        <v>94</v>
      </c>
    </row>
  </sheetData>
  <mergeCells count="21">
    <mergeCell ref="G13:I13"/>
    <mergeCell ref="A1:I1"/>
    <mergeCell ref="A2:I2"/>
    <mergeCell ref="A8:F8"/>
    <mergeCell ref="A9:F9"/>
    <mergeCell ref="A10:F10"/>
    <mergeCell ref="A11:F11"/>
    <mergeCell ref="A12:F12"/>
    <mergeCell ref="A13:F13"/>
    <mergeCell ref="G8:I8"/>
    <mergeCell ref="G9:I9"/>
    <mergeCell ref="G10:I10"/>
    <mergeCell ref="G11:I11"/>
    <mergeCell ref="G12:I12"/>
    <mergeCell ref="D15:H15"/>
    <mergeCell ref="J18:S18"/>
    <mergeCell ref="J19:S19"/>
    <mergeCell ref="A15:A16"/>
    <mergeCell ref="B15:B16"/>
    <mergeCell ref="C15:C16"/>
    <mergeCell ref="I15:I16"/>
  </mergeCells>
  <phoneticPr fontId="86" type="noConversion"/>
  <hyperlinks>
    <hyperlink ref="I3" location="底稿目录!A1" display="L4A "/>
  </hyperlinks>
  <printOptions horizontalCentered="1"/>
  <pageMargins left="0.70866141732283505" right="0.70866141732283505" top="0.74803149606299202" bottom="0.74803149606299202" header="0.31496062992126" footer="0.31496062992126"/>
  <pageSetup paperSize="9" scale="70" fitToWidth="0" fitToHeight="0" orientation="portrait" blackAndWhite="1" cellComments="atEnd" r:id="rId1"/>
  <headerFooter alignWithMargins="0">
    <oddFooter>&amp;C&amp;P/&amp;N&amp;R&amp;10&amp;P/&amp;N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S29"/>
  <sheetViews>
    <sheetView view="pageBreakPreview" zoomScaleNormal="100" workbookViewId="0">
      <selection sqref="A1:R1"/>
    </sheetView>
  </sheetViews>
  <sheetFormatPr defaultColWidth="9" defaultRowHeight="19.95" customHeight="1"/>
  <cols>
    <col min="1" max="1" width="16.59765625" style="284" customWidth="1"/>
    <col min="2" max="2" width="10.09765625" style="284" customWidth="1"/>
    <col min="3" max="3" width="13.09765625" style="284" customWidth="1"/>
    <col min="4" max="4" width="11" style="284" customWidth="1"/>
    <col min="5" max="5" width="11.09765625" style="284" customWidth="1"/>
    <col min="6" max="6" width="12.5" style="284" customWidth="1"/>
    <col min="7" max="7" width="11.09765625" style="284" customWidth="1"/>
    <col min="8" max="8" width="12.09765625" style="284" customWidth="1"/>
    <col min="9" max="10" width="9.59765625" style="284" customWidth="1"/>
    <col min="11" max="11" width="9" style="284"/>
    <col min="12" max="12" width="11.5" style="284" customWidth="1"/>
    <col min="13" max="13" width="10.296875" style="284" customWidth="1"/>
    <col min="14" max="17" width="9" style="284"/>
    <col min="18" max="18" width="10.796875" style="284" customWidth="1"/>
    <col min="19" max="16384" width="9" style="284"/>
  </cols>
  <sheetData>
    <row r="1" spans="1:19" s="281" customFormat="1" ht="19.95" customHeight="1">
      <c r="A1" s="446" t="s">
        <v>178</v>
      </c>
      <c r="B1" s="446"/>
      <c r="C1" s="446"/>
      <c r="D1" s="446"/>
      <c r="E1" s="446"/>
      <c r="F1" s="446"/>
      <c r="G1" s="446"/>
      <c r="H1" s="446"/>
      <c r="I1" s="446"/>
      <c r="J1" s="446"/>
      <c r="K1" s="446"/>
      <c r="L1" s="446"/>
      <c r="M1" s="446"/>
      <c r="N1" s="446"/>
      <c r="O1" s="446"/>
      <c r="P1" s="446"/>
      <c r="Q1" s="446"/>
      <c r="R1" s="446"/>
    </row>
    <row r="2" spans="1:19" s="281" customFormat="1" ht="19.95" customHeight="1">
      <c r="A2" s="447" t="s">
        <v>5</v>
      </c>
      <c r="B2" s="447"/>
      <c r="C2" s="447"/>
      <c r="D2" s="447"/>
      <c r="E2" s="447"/>
      <c r="F2" s="447"/>
      <c r="G2" s="447"/>
      <c r="H2" s="447"/>
      <c r="I2" s="447"/>
      <c r="J2" s="447"/>
      <c r="K2" s="447"/>
      <c r="L2" s="447"/>
      <c r="M2" s="447"/>
      <c r="N2" s="447"/>
      <c r="O2" s="447"/>
      <c r="P2" s="447"/>
      <c r="Q2" s="447"/>
      <c r="R2" s="447"/>
      <c r="S2" s="291"/>
    </row>
    <row r="3" spans="1:19" ht="19.95" customHeight="1">
      <c r="A3" s="284" t="str">
        <f>底稿目录!A2</f>
        <v>被审计单位：</v>
      </c>
      <c r="F3" s="128" t="str">
        <f>底稿目录!A4</f>
        <v>编制人：</v>
      </c>
      <c r="L3" s="290" t="str">
        <f>底稿目录!A5</f>
        <v>编制日期：</v>
      </c>
      <c r="M3" s="290"/>
      <c r="Q3" s="292" t="s">
        <v>174</v>
      </c>
      <c r="R3" s="390" t="str">
        <f>底稿目录!F4</f>
        <v>L4-1</v>
      </c>
    </row>
    <row r="4" spans="1:19" ht="19.95" customHeight="1">
      <c r="A4" s="284" t="str">
        <f>底稿目录!A3</f>
        <v>截止日：202X年12月31日</v>
      </c>
      <c r="B4" s="285"/>
      <c r="F4" s="128" t="str">
        <f>底稿目录!A6</f>
        <v>复核人：</v>
      </c>
      <c r="L4" s="290" t="str">
        <f>底稿目录!A7</f>
        <v>复核日期：</v>
      </c>
      <c r="M4" s="290"/>
      <c r="Q4" s="293" t="s">
        <v>175</v>
      </c>
    </row>
    <row r="5" spans="1:19" s="393" customFormat="1" ht="29.55" customHeight="1">
      <c r="A5" s="452" t="s">
        <v>455</v>
      </c>
      <c r="B5" s="448" t="s">
        <v>456</v>
      </c>
      <c r="C5" s="449"/>
      <c r="D5" s="449"/>
      <c r="E5" s="449"/>
      <c r="F5" s="449"/>
      <c r="G5" s="450"/>
      <c r="H5" s="448" t="s">
        <v>462</v>
      </c>
      <c r="I5" s="449"/>
      <c r="J5" s="449"/>
      <c r="K5" s="449"/>
      <c r="L5" s="449"/>
      <c r="M5" s="450"/>
      <c r="N5" s="451" t="s">
        <v>463</v>
      </c>
      <c r="O5" s="451"/>
      <c r="P5" s="451" t="s">
        <v>464</v>
      </c>
      <c r="Q5" s="451"/>
      <c r="R5" s="451" t="s">
        <v>461</v>
      </c>
    </row>
    <row r="6" spans="1:19" s="393" customFormat="1" ht="31.5" customHeight="1">
      <c r="A6" s="453"/>
      <c r="B6" s="391" t="s">
        <v>458</v>
      </c>
      <c r="C6" s="391" t="s">
        <v>459</v>
      </c>
      <c r="D6" s="391" t="s">
        <v>460</v>
      </c>
      <c r="E6" s="391" t="s">
        <v>227</v>
      </c>
      <c r="F6" s="391" t="s">
        <v>203</v>
      </c>
      <c r="G6" s="391" t="s">
        <v>204</v>
      </c>
      <c r="H6" s="391" t="s">
        <v>457</v>
      </c>
      <c r="I6" s="391" t="s">
        <v>225</v>
      </c>
      <c r="J6" s="391" t="s">
        <v>226</v>
      </c>
      <c r="K6" s="391" t="s">
        <v>227</v>
      </c>
      <c r="L6" s="391" t="s">
        <v>203</v>
      </c>
      <c r="M6" s="391" t="s">
        <v>204</v>
      </c>
      <c r="N6" s="392" t="s">
        <v>465</v>
      </c>
      <c r="O6" s="392" t="s">
        <v>466</v>
      </c>
      <c r="P6" s="392" t="s">
        <v>465</v>
      </c>
      <c r="Q6" s="391" t="s">
        <v>466</v>
      </c>
      <c r="R6" s="451"/>
    </row>
    <row r="7" spans="1:19" ht="19.95" customHeight="1">
      <c r="A7" s="394" t="s">
        <v>468</v>
      </c>
      <c r="B7" s="286"/>
      <c r="C7" s="286"/>
      <c r="D7" s="286"/>
      <c r="E7" s="286"/>
      <c r="F7" s="286"/>
      <c r="G7" s="286"/>
      <c r="H7" s="286"/>
      <c r="I7" s="286"/>
      <c r="J7" s="286"/>
      <c r="K7" s="286"/>
      <c r="L7" s="286"/>
      <c r="M7" s="286"/>
      <c r="N7" s="286"/>
      <c r="O7" s="286"/>
      <c r="P7" s="286"/>
      <c r="Q7" s="286"/>
      <c r="R7" s="294"/>
    </row>
    <row r="8" spans="1:19" ht="19.95" customHeight="1">
      <c r="A8" s="395" t="s">
        <v>467</v>
      </c>
      <c r="B8" s="287">
        <f>'应付债券明细表L4-2'!M17</f>
        <v>0</v>
      </c>
      <c r="C8" s="287">
        <f>'应付债券明细表L4-2'!AJ17</f>
        <v>0</v>
      </c>
      <c r="D8" s="287">
        <f>'应付债券明细表L4-2'!AN17</f>
        <v>0</v>
      </c>
      <c r="E8" s="287">
        <f>SUM(B8:D8)</f>
        <v>0</v>
      </c>
      <c r="F8" s="71"/>
      <c r="G8" s="71"/>
      <c r="H8" s="287">
        <f>'应付债券明细表L4-2'!AE17</f>
        <v>0</v>
      </c>
      <c r="I8" s="287">
        <f>'应付债券明细表L4-2'!AJ17+'应付债券明细表L4-2'!AR17-'应付债券明细表L4-2'!AZ17</f>
        <v>0</v>
      </c>
      <c r="J8" s="287">
        <f>'应付债券明细表L4-2'!AN17+'应付债券明细表L4-2'!AV17-'应付债券明细表L4-2'!BD17</f>
        <v>0</v>
      </c>
      <c r="K8" s="287">
        <f>SUM(H8:J8)</f>
        <v>0</v>
      </c>
      <c r="L8" s="71"/>
      <c r="M8" s="71"/>
      <c r="N8" s="287">
        <f>H8-B8</f>
        <v>0</v>
      </c>
      <c r="O8" s="287">
        <f>IF(AND(B8=0,N8=0),0,IF(AND(B8=0,N8&gt;0),1,N8/B8))</f>
        <v>0</v>
      </c>
      <c r="P8" s="287">
        <f>K8-E8</f>
        <v>0</v>
      </c>
      <c r="Q8" s="287">
        <f>IF(AND(E8=0,P8=0),0,IF(AND(E8=0,P8&gt;0),1,P8/E8))</f>
        <v>0</v>
      </c>
      <c r="R8" s="295"/>
    </row>
    <row r="9" spans="1:19" ht="19.95" customHeight="1">
      <c r="A9" s="395" t="s">
        <v>469</v>
      </c>
      <c r="B9" s="287">
        <f>'应付债券明细表L4-2'!N17</f>
        <v>0</v>
      </c>
      <c r="C9" s="287">
        <f>'应付债券明细表L4-2'!AK17</f>
        <v>0</v>
      </c>
      <c r="D9" s="287">
        <f>'应付债券明细表L4-2'!AO17</f>
        <v>0</v>
      </c>
      <c r="E9" s="287">
        <f>SUM(B9:D9)</f>
        <v>0</v>
      </c>
      <c r="F9" s="71"/>
      <c r="G9" s="71"/>
      <c r="H9" s="287">
        <f>'应付债券明细表L4-2'!AF17</f>
        <v>0</v>
      </c>
      <c r="I9" s="287">
        <f>'应付债券明细表L4-2'!AK17+'应付债券明细表L4-2'!AS17-'应付债券明细表L4-2'!BA17</f>
        <v>0</v>
      </c>
      <c r="J9" s="287">
        <f>'应付债券明细表L4-2'!AO17+'应付债券明细表L4-2'!AW17-'应付债券明细表L4-2'!BE17</f>
        <v>0</v>
      </c>
      <c r="K9" s="287">
        <f>SUM(H9:J9)</f>
        <v>0</v>
      </c>
      <c r="L9" s="71"/>
      <c r="M9" s="71"/>
      <c r="N9" s="287">
        <f t="shared" ref="N9:N17" si="0">H9-B9</f>
        <v>0</v>
      </c>
      <c r="O9" s="287">
        <f t="shared" ref="O9:O18" si="1">IF(AND(B9=0,N9=0),0,IF(AND(B9=0,N9&gt;0),1,N9/B9))</f>
        <v>0</v>
      </c>
      <c r="P9" s="287">
        <f t="shared" ref="P9:P17" si="2">K9-E9</f>
        <v>0</v>
      </c>
      <c r="Q9" s="287">
        <f t="shared" ref="Q9:Q18" si="3">IF(AND(E9=0,P9=0),0,IF(AND(E9=0,P9&gt;0),1,P9/E9))</f>
        <v>0</v>
      </c>
      <c r="R9" s="295"/>
    </row>
    <row r="10" spans="1:19" ht="19.95" customHeight="1">
      <c r="A10" s="395" t="s">
        <v>470</v>
      </c>
      <c r="B10" s="287">
        <f>'应付债券明细表L4-2'!O17</f>
        <v>0</v>
      </c>
      <c r="C10" s="287">
        <f>'应付债券明细表L4-2'!AL17</f>
        <v>0</v>
      </c>
      <c r="D10" s="287">
        <f>'应付债券明细表L4-2'!AP17</f>
        <v>0</v>
      </c>
      <c r="E10" s="287">
        <f>SUM(B10:D10)</f>
        <v>0</v>
      </c>
      <c r="F10" s="71"/>
      <c r="G10" s="71"/>
      <c r="H10" s="287">
        <f>'应付债券明细表L4-2'!AG17</f>
        <v>0</v>
      </c>
      <c r="I10" s="287">
        <f>'应付债券明细表L4-2'!AL17+'应付债券明细表L4-2'!AT17-'应付债券明细表L4-2'!BB17</f>
        <v>0</v>
      </c>
      <c r="J10" s="287">
        <f>'应付债券明细表L4-2'!AP17+'应付债券明细表L4-2'!AX17-'应付债券明细表L4-2'!BF17</f>
        <v>0</v>
      </c>
      <c r="K10" s="287">
        <f>SUM(H10:J10)</f>
        <v>0</v>
      </c>
      <c r="L10" s="71"/>
      <c r="M10" s="71"/>
      <c r="N10" s="287">
        <f t="shared" si="0"/>
        <v>0</v>
      </c>
      <c r="O10" s="287">
        <f t="shared" si="1"/>
        <v>0</v>
      </c>
      <c r="P10" s="287">
        <f t="shared" si="2"/>
        <v>0</v>
      </c>
      <c r="Q10" s="287">
        <f t="shared" si="3"/>
        <v>0</v>
      </c>
      <c r="R10" s="295"/>
    </row>
    <row r="11" spans="1:19" ht="19.95" customHeight="1">
      <c r="A11" s="395" t="s">
        <v>209</v>
      </c>
      <c r="B11" s="287">
        <f>SUM(B8:B10)</f>
        <v>0</v>
      </c>
      <c r="C11" s="287">
        <f>SUM(C8:C10)</f>
        <v>0</v>
      </c>
      <c r="D11" s="287">
        <f t="shared" ref="D11:K11" si="4">SUM(D8:D10)</f>
        <v>0</v>
      </c>
      <c r="E11" s="287">
        <f t="shared" si="4"/>
        <v>0</v>
      </c>
      <c r="F11" s="287">
        <f>'应付债券明细表L4-2'!BM17</f>
        <v>0</v>
      </c>
      <c r="G11" s="287">
        <f>E11-F11</f>
        <v>0</v>
      </c>
      <c r="H11" s="287">
        <f t="shared" si="4"/>
        <v>0</v>
      </c>
      <c r="I11" s="287">
        <f t="shared" si="4"/>
        <v>0</v>
      </c>
      <c r="J11" s="287">
        <f t="shared" si="4"/>
        <v>0</v>
      </c>
      <c r="K11" s="287">
        <f t="shared" si="4"/>
        <v>0</v>
      </c>
      <c r="L11" s="287">
        <f>'应付债券明细表L4-2'!CG17</f>
        <v>0</v>
      </c>
      <c r="M11" s="287">
        <f>K11-L11</f>
        <v>0</v>
      </c>
      <c r="N11" s="287">
        <f t="shared" si="0"/>
        <v>0</v>
      </c>
      <c r="O11" s="287">
        <f t="shared" si="1"/>
        <v>0</v>
      </c>
      <c r="P11" s="287">
        <f t="shared" si="2"/>
        <v>0</v>
      </c>
      <c r="Q11" s="287">
        <f t="shared" si="3"/>
        <v>0</v>
      </c>
      <c r="R11" s="295"/>
    </row>
    <row r="12" spans="1:19" ht="19.95" customHeight="1">
      <c r="A12" s="394" t="s">
        <v>471</v>
      </c>
      <c r="B12" s="286"/>
      <c r="C12" s="286"/>
      <c r="D12" s="286"/>
      <c r="E12" s="286"/>
      <c r="F12" s="286"/>
      <c r="G12" s="286"/>
      <c r="H12" s="286"/>
      <c r="I12" s="286"/>
      <c r="J12" s="286"/>
      <c r="K12" s="286"/>
      <c r="L12" s="286"/>
      <c r="M12" s="286"/>
      <c r="N12" s="286"/>
      <c r="O12" s="286"/>
      <c r="P12" s="286"/>
      <c r="Q12" s="286"/>
      <c r="R12" s="295"/>
    </row>
    <row r="13" spans="1:19" ht="19.95" customHeight="1">
      <c r="A13" s="395" t="s">
        <v>467</v>
      </c>
      <c r="B13" s="287">
        <f>'应付债券明细表L4-2'!M21</f>
        <v>0</v>
      </c>
      <c r="C13" s="287">
        <f>'应付债券明细表L4-2'!AJ21</f>
        <v>0</v>
      </c>
      <c r="D13" s="287">
        <f>'应付债券明细表L4-2'!AN21</f>
        <v>0</v>
      </c>
      <c r="E13" s="287">
        <f>SUM(B13:D13)</f>
        <v>0</v>
      </c>
      <c r="F13" s="71"/>
      <c r="G13" s="71"/>
      <c r="H13" s="287">
        <f>'应付债券明细表L4-2'!AE21</f>
        <v>0</v>
      </c>
      <c r="I13" s="287">
        <f>'应付债券明细表L4-2'!AJ21+'应付债券明细表L4-2'!AR21-'应付债券明细表L4-2'!AZ21</f>
        <v>0</v>
      </c>
      <c r="J13" s="287">
        <f>'应付债券明细表L4-2'!AN21+'应付债券明细表L4-2'!AV21-'应付债券明细表L4-2'!BD21</f>
        <v>0</v>
      </c>
      <c r="K13" s="287">
        <f>SUM(H13:J13)</f>
        <v>0</v>
      </c>
      <c r="L13" s="71"/>
      <c r="M13" s="71"/>
      <c r="N13" s="287">
        <f t="shared" si="0"/>
        <v>0</v>
      </c>
      <c r="O13" s="287">
        <f t="shared" si="1"/>
        <v>0</v>
      </c>
      <c r="P13" s="287">
        <f t="shared" si="2"/>
        <v>0</v>
      </c>
      <c r="Q13" s="287">
        <f t="shared" si="3"/>
        <v>0</v>
      </c>
      <c r="R13" s="295"/>
    </row>
    <row r="14" spans="1:19" ht="19.95" customHeight="1">
      <c r="A14" s="395" t="s">
        <v>469</v>
      </c>
      <c r="B14" s="287">
        <f>'应付债券明细表L4-2'!N21</f>
        <v>0</v>
      </c>
      <c r="C14" s="287">
        <f>'应付债券明细表L4-2'!AK21</f>
        <v>0</v>
      </c>
      <c r="D14" s="287">
        <f>'应付债券明细表L4-2'!AO21</f>
        <v>0</v>
      </c>
      <c r="E14" s="287">
        <f>SUM(B14:D14)</f>
        <v>0</v>
      </c>
      <c r="F14" s="71"/>
      <c r="G14" s="71"/>
      <c r="H14" s="287">
        <f>'应付债券明细表L4-2'!AF21</f>
        <v>0</v>
      </c>
      <c r="I14" s="287">
        <f>'应付债券明细表L4-2'!AK21+'应付债券明细表L4-2'!AS21-'应付债券明细表L4-2'!BA21</f>
        <v>0</v>
      </c>
      <c r="J14" s="287">
        <f>'应付债券明细表L4-2'!AO21+'应付债券明细表L4-2'!AW21-'应付债券明细表L4-2'!BE21</f>
        <v>0</v>
      </c>
      <c r="K14" s="287">
        <f>SUM(H14:J14)</f>
        <v>0</v>
      </c>
      <c r="L14" s="71"/>
      <c r="M14" s="71"/>
      <c r="N14" s="287">
        <f t="shared" si="0"/>
        <v>0</v>
      </c>
      <c r="O14" s="287">
        <f t="shared" si="1"/>
        <v>0</v>
      </c>
      <c r="P14" s="287">
        <f t="shared" si="2"/>
        <v>0</v>
      </c>
      <c r="Q14" s="287">
        <f t="shared" si="3"/>
        <v>0</v>
      </c>
      <c r="R14" s="295"/>
    </row>
    <row r="15" spans="1:19" ht="19.95" customHeight="1">
      <c r="A15" s="395" t="s">
        <v>470</v>
      </c>
      <c r="B15" s="287">
        <f>'应付债券明细表L4-2'!O21</f>
        <v>0</v>
      </c>
      <c r="C15" s="287">
        <f>'应付债券明细表L4-2'!AL21</f>
        <v>0</v>
      </c>
      <c r="D15" s="287">
        <f>'应付债券明细表L4-2'!AP21</f>
        <v>0</v>
      </c>
      <c r="E15" s="287">
        <f>SUM(B15:D15)</f>
        <v>0</v>
      </c>
      <c r="F15" s="71"/>
      <c r="G15" s="71"/>
      <c r="H15" s="287">
        <f>'应付债券明细表L4-2'!AG21</f>
        <v>0</v>
      </c>
      <c r="I15" s="287">
        <f>'应付债券明细表L4-2'!AL21+'应付债券明细表L4-2'!AT21-'应付债券明细表L4-2'!BB21</f>
        <v>0</v>
      </c>
      <c r="J15" s="287">
        <f>'应付债券明细表L4-2'!AP21+'应付债券明细表L4-2'!AX21-'应付债券明细表L4-2'!BF21</f>
        <v>0</v>
      </c>
      <c r="K15" s="287">
        <f>SUM(H15:J15)</f>
        <v>0</v>
      </c>
      <c r="L15" s="71"/>
      <c r="M15" s="71"/>
      <c r="N15" s="287">
        <f t="shared" si="0"/>
        <v>0</v>
      </c>
      <c r="O15" s="287">
        <f t="shared" si="1"/>
        <v>0</v>
      </c>
      <c r="P15" s="287">
        <f t="shared" si="2"/>
        <v>0</v>
      </c>
      <c r="Q15" s="287">
        <f t="shared" si="3"/>
        <v>0</v>
      </c>
      <c r="R15" s="295"/>
    </row>
    <row r="16" spans="1:19" ht="19.95" customHeight="1">
      <c r="A16" s="395" t="s">
        <v>209</v>
      </c>
      <c r="B16" s="287">
        <f>SUM(B13:B15)</f>
        <v>0</v>
      </c>
      <c r="C16" s="287">
        <f>SUM(C13:C15)</f>
        <v>0</v>
      </c>
      <c r="D16" s="287">
        <f>SUM(D13:D15)</f>
        <v>0</v>
      </c>
      <c r="E16" s="287">
        <f>SUM(E13:E15)</f>
        <v>0</v>
      </c>
      <c r="F16" s="287">
        <f>'应付债券明细表L4-2'!BM21</f>
        <v>0</v>
      </c>
      <c r="G16" s="287">
        <f>E16-F16</f>
        <v>0</v>
      </c>
      <c r="H16" s="287">
        <f>SUM(H13:H15)</f>
        <v>0</v>
      </c>
      <c r="I16" s="287">
        <f>SUM(I13:I15)</f>
        <v>0</v>
      </c>
      <c r="J16" s="287">
        <f>SUM(J13:J15)</f>
        <v>0</v>
      </c>
      <c r="K16" s="287">
        <f>SUM(K13:K15)</f>
        <v>0</v>
      </c>
      <c r="L16" s="287">
        <f>'应付债券明细表L4-2'!CG21</f>
        <v>0</v>
      </c>
      <c r="M16" s="287">
        <f>K16-L16</f>
        <v>0</v>
      </c>
      <c r="N16" s="287">
        <f t="shared" si="0"/>
        <v>0</v>
      </c>
      <c r="O16" s="287">
        <f t="shared" si="1"/>
        <v>0</v>
      </c>
      <c r="P16" s="287">
        <f t="shared" si="2"/>
        <v>0</v>
      </c>
      <c r="Q16" s="287">
        <f t="shared" si="3"/>
        <v>0</v>
      </c>
      <c r="R16" s="295"/>
    </row>
    <row r="17" spans="1:18" ht="30" customHeight="1">
      <c r="A17" s="396" t="s">
        <v>472</v>
      </c>
      <c r="B17" s="287">
        <f>'划分为金融负债的其他金融工具明细表L4-3'!M18</f>
        <v>0</v>
      </c>
      <c r="C17" s="287">
        <f>'划分为金融负债的其他金融工具明细表L4-3'!U18</f>
        <v>0</v>
      </c>
      <c r="D17" s="287">
        <f>'划分为金融负债的其他金融工具明细表L4-3'!W18</f>
        <v>0</v>
      </c>
      <c r="E17" s="287">
        <f>B17+C17+D17</f>
        <v>0</v>
      </c>
      <c r="F17" s="71"/>
      <c r="G17" s="71"/>
      <c r="H17" s="287">
        <f>'划分为金融负债的其他金融工具明细表L4-3'!S18</f>
        <v>0</v>
      </c>
      <c r="I17" s="287">
        <f>'划分为金融负债的其他金融工具明细表L4-3'!U18+'划分为金融负债的其他金融工具明细表L4-3'!Y18-'划分为金融负债的其他金融工具明细表L4-3'!AA18</f>
        <v>0</v>
      </c>
      <c r="J17" s="287">
        <f>'划分为金融负债的其他金融工具明细表L4-3'!W18+'划分为金融负债的其他金融工具明细表L4-3'!AC18-'划分为金融负债的其他金融工具明细表L4-3'!AE18</f>
        <v>0</v>
      </c>
      <c r="K17" s="287">
        <f>H17+I17+J17</f>
        <v>0</v>
      </c>
      <c r="L17" s="71"/>
      <c r="M17" s="287">
        <f>K17-L17</f>
        <v>0</v>
      </c>
      <c r="N17" s="287">
        <f t="shared" si="0"/>
        <v>0</v>
      </c>
      <c r="O17" s="287">
        <f t="shared" si="1"/>
        <v>0</v>
      </c>
      <c r="P17" s="287">
        <f t="shared" si="2"/>
        <v>0</v>
      </c>
      <c r="Q17" s="287">
        <f t="shared" si="3"/>
        <v>0</v>
      </c>
      <c r="R17" s="295"/>
    </row>
    <row r="18" spans="1:18" s="282" customFormat="1" ht="19.95" customHeight="1">
      <c r="A18" s="397" t="s">
        <v>210</v>
      </c>
      <c r="B18" s="288">
        <f t="shared" ref="B18:N18" si="5">B11+B16+B17</f>
        <v>0</v>
      </c>
      <c r="C18" s="288">
        <f t="shared" si="5"/>
        <v>0</v>
      </c>
      <c r="D18" s="288">
        <f t="shared" si="5"/>
        <v>0</v>
      </c>
      <c r="E18" s="288">
        <f t="shared" si="5"/>
        <v>0</v>
      </c>
      <c r="F18" s="288">
        <f t="shared" si="5"/>
        <v>0</v>
      </c>
      <c r="G18" s="288">
        <f t="shared" si="5"/>
        <v>0</v>
      </c>
      <c r="H18" s="288">
        <f t="shared" si="5"/>
        <v>0</v>
      </c>
      <c r="I18" s="288">
        <f t="shared" si="5"/>
        <v>0</v>
      </c>
      <c r="J18" s="288">
        <f t="shared" si="5"/>
        <v>0</v>
      </c>
      <c r="K18" s="288">
        <f t="shared" si="5"/>
        <v>0</v>
      </c>
      <c r="L18" s="288">
        <f t="shared" si="5"/>
        <v>0</v>
      </c>
      <c r="M18" s="288">
        <f t="shared" si="5"/>
        <v>0</v>
      </c>
      <c r="N18" s="288">
        <f t="shared" si="5"/>
        <v>0</v>
      </c>
      <c r="O18" s="287">
        <f t="shared" si="1"/>
        <v>0</v>
      </c>
      <c r="P18" s="288">
        <f>P11+P16+P17</f>
        <v>0</v>
      </c>
      <c r="Q18" s="287">
        <f t="shared" si="3"/>
        <v>0</v>
      </c>
      <c r="R18" s="296"/>
    </row>
    <row r="19" spans="1:18" ht="19.95" customHeight="1">
      <c r="A19" s="398" t="s">
        <v>473</v>
      </c>
      <c r="B19" s="128"/>
      <c r="C19" s="128"/>
      <c r="D19" s="128"/>
      <c r="E19" s="128"/>
      <c r="F19" s="128"/>
      <c r="G19" s="128"/>
      <c r="H19" s="289"/>
      <c r="I19" s="128"/>
      <c r="J19" s="128"/>
    </row>
    <row r="20" spans="1:18" ht="19.95" customHeight="1">
      <c r="A20" s="293"/>
    </row>
    <row r="21" spans="1:18" ht="19.95" customHeight="1">
      <c r="A21" s="293"/>
    </row>
    <row r="22" spans="1:18" ht="19.95" customHeight="1">
      <c r="A22" s="393" t="s">
        <v>474</v>
      </c>
    </row>
    <row r="27" spans="1:18" s="283" customFormat="1" ht="19.95" customHeight="1"/>
    <row r="28" spans="1:18" s="283" customFormat="1" ht="19.95" customHeight="1"/>
    <row r="29" spans="1:18" s="283" customFormat="1" ht="19.95" customHeight="1"/>
  </sheetData>
  <mergeCells count="8">
    <mergeCell ref="A1:R1"/>
    <mergeCell ref="A2:R2"/>
    <mergeCell ref="B5:G5"/>
    <mergeCell ref="H5:M5"/>
    <mergeCell ref="N5:O5"/>
    <mergeCell ref="P5:Q5"/>
    <mergeCell ref="A5:A6"/>
    <mergeCell ref="R5:R6"/>
  </mergeCells>
  <phoneticPr fontId="86" type="noConversion"/>
  <hyperlinks>
    <hyperlink ref="R3" location="底稿目录!A1" display="=底稿目录!F4"/>
  </hyperlinks>
  <printOptions horizontalCentered="1"/>
  <pageMargins left="0.70866141732283505" right="0.70866141732283505" top="0.74803149606299202" bottom="0.74803149606299202" header="0.31496062992126" footer="0.31496062992126"/>
  <pageSetup paperSize="9" scale="63"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S72"/>
  <sheetViews>
    <sheetView view="pageBreakPreview" topLeftCell="A19" zoomScaleNormal="100" workbookViewId="0">
      <selection activeCell="G16" sqref="G16"/>
    </sheetView>
  </sheetViews>
  <sheetFormatPr defaultColWidth="9" defaultRowHeight="19.95" customHeight="1"/>
  <cols>
    <col min="1" max="1" width="26.09765625" style="5" customWidth="1"/>
    <col min="2" max="5" width="15.796875" style="5" customWidth="1"/>
    <col min="6" max="6" width="15" style="5" customWidth="1"/>
    <col min="7" max="7" width="14.5" style="5" customWidth="1"/>
    <col min="8" max="9" width="10.59765625" style="5" customWidth="1"/>
    <col min="10" max="10" width="13.09765625" style="5" customWidth="1"/>
    <col min="11" max="16384" width="9" style="5"/>
  </cols>
  <sheetData>
    <row r="1" spans="1:19" s="44" customFormat="1" ht="19.95" customHeight="1">
      <c r="A1" s="462" t="s">
        <v>30</v>
      </c>
      <c r="B1" s="462"/>
      <c r="C1" s="462"/>
      <c r="D1" s="462"/>
      <c r="E1" s="462"/>
      <c r="F1" s="462"/>
      <c r="G1" s="462"/>
      <c r="H1" s="462"/>
      <c r="I1" s="462"/>
      <c r="J1" s="462"/>
      <c r="K1" s="172"/>
      <c r="L1" s="172"/>
      <c r="M1" s="172"/>
      <c r="N1" s="172"/>
      <c r="O1" s="172"/>
      <c r="P1" s="172"/>
      <c r="Q1" s="172"/>
      <c r="R1" s="172"/>
      <c r="S1" s="172"/>
    </row>
    <row r="2" spans="1:19" s="44" customFormat="1" ht="19.95" customHeight="1">
      <c r="A2" s="463" t="s">
        <v>95</v>
      </c>
      <c r="B2" s="463"/>
      <c r="C2" s="463"/>
      <c r="D2" s="463"/>
      <c r="E2" s="463"/>
      <c r="F2" s="463"/>
      <c r="G2" s="463"/>
      <c r="H2" s="463"/>
      <c r="I2" s="463"/>
      <c r="J2" s="463"/>
      <c r="K2" s="291" t="s">
        <v>96</v>
      </c>
      <c r="L2" s="172"/>
      <c r="M2" s="172"/>
      <c r="N2" s="172"/>
      <c r="O2" s="172"/>
      <c r="P2" s="172"/>
      <c r="Q2" s="172"/>
      <c r="R2" s="172"/>
      <c r="S2" s="172"/>
    </row>
    <row r="3" spans="1:19" s="2" customFormat="1" ht="19.95" customHeight="1">
      <c r="A3" s="2" t="str">
        <f>底稿目录!A2</f>
        <v>被审计单位：</v>
      </c>
      <c r="D3" s="2" t="str">
        <f>底稿目录!A4</f>
        <v>编制人：</v>
      </c>
      <c r="G3" s="197" t="str">
        <f>底稿目录!A5</f>
        <v>编制日期：</v>
      </c>
      <c r="H3" s="197"/>
      <c r="I3" s="2" t="s">
        <v>32</v>
      </c>
    </row>
    <row r="4" spans="1:19" s="2" customFormat="1" ht="19.95" customHeight="1">
      <c r="A4" s="2" t="str">
        <f>底稿目录!A3</f>
        <v>截止日：202X年12月31日</v>
      </c>
      <c r="D4" s="275" t="str">
        <f>底稿目录!A6</f>
        <v>复核人：</v>
      </c>
      <c r="G4" s="197" t="str">
        <f>底稿目录!A7</f>
        <v>复核日期：</v>
      </c>
      <c r="H4" s="197"/>
      <c r="I4" s="2" t="s">
        <v>97</v>
      </c>
    </row>
    <row r="5" spans="1:19" ht="19.95" customHeight="1">
      <c r="A5" s="1" t="s">
        <v>98</v>
      </c>
    </row>
    <row r="6" spans="1:19" ht="19.95" customHeight="1">
      <c r="A6" s="297" t="s">
        <v>99</v>
      </c>
      <c r="B6" s="298" t="s">
        <v>100</v>
      </c>
      <c r="C6" s="298" t="s">
        <v>101</v>
      </c>
    </row>
    <row r="7" spans="1:19" ht="19.95" customHeight="1">
      <c r="A7" s="299">
        <f>'应付债券明细表L4-2'!B15</f>
        <v>0</v>
      </c>
      <c r="B7" s="300">
        <f>'应付债券明细表L4-2'!CH15</f>
        <v>0</v>
      </c>
      <c r="C7" s="300">
        <f>'应付债券明细表L4-2'!BN15</f>
        <v>0</v>
      </c>
    </row>
    <row r="8" spans="1:19" ht="19.95" customHeight="1">
      <c r="A8" s="299">
        <f>'应付债券明细表L4-2'!B16</f>
        <v>0</v>
      </c>
      <c r="B8" s="300">
        <f>'应付债券明细表L4-2'!CH16</f>
        <v>0</v>
      </c>
      <c r="C8" s="300">
        <f>'应付债券明细表L4-2'!BN16</f>
        <v>0</v>
      </c>
    </row>
    <row r="9" spans="1:19" ht="19.95" customHeight="1">
      <c r="A9" s="299">
        <f>'应付债券明细表L4-2'!B19</f>
        <v>0</v>
      </c>
      <c r="B9" s="300">
        <f>'应付债券明细表L4-2'!CH19</f>
        <v>0</v>
      </c>
      <c r="C9" s="300">
        <f>'应付债券明细表L4-2'!BN19</f>
        <v>0</v>
      </c>
    </row>
    <row r="10" spans="1:19" ht="19.95" customHeight="1">
      <c r="A10" s="299">
        <f>'应付债券明细表L4-2'!B20</f>
        <v>0</v>
      </c>
      <c r="B10" s="300">
        <f>'应付债券明细表L4-2'!CH20</f>
        <v>0</v>
      </c>
      <c r="C10" s="300">
        <f>'应付债券明细表L4-2'!BN20</f>
        <v>0</v>
      </c>
    </row>
    <row r="11" spans="1:19" ht="19.95" customHeight="1">
      <c r="A11" s="299">
        <f>'划分为金融负债的其他金融工具明细表L4-3'!A13</f>
        <v>0</v>
      </c>
      <c r="B11" s="301">
        <f>'划分为金融负债的其他金融工具明细表L4-3'!AM13</f>
        <v>0</v>
      </c>
      <c r="C11" s="300">
        <f>'划分为金融负债的其他金融工具明细表L4-3'!AG13</f>
        <v>0</v>
      </c>
    </row>
    <row r="12" spans="1:19" ht="19.95" customHeight="1">
      <c r="A12" s="299">
        <f>'划分为金融负债的其他金融工具明细表L4-3'!A14</f>
        <v>0</v>
      </c>
      <c r="B12" s="301">
        <f>'划分为金融负债的其他金融工具明细表L4-3'!AM14</f>
        <v>0</v>
      </c>
      <c r="C12" s="300">
        <f>'划分为金融负债的其他金融工具明细表L4-3'!AG14</f>
        <v>0</v>
      </c>
    </row>
    <row r="13" spans="1:19" ht="19.95" customHeight="1">
      <c r="A13" s="299">
        <f>'划分为金融负债的其他金融工具明细表L4-3'!A15</f>
        <v>0</v>
      </c>
      <c r="B13" s="301">
        <f>'划分为金融负债的其他金融工具明细表L4-3'!AM15</f>
        <v>0</v>
      </c>
      <c r="C13" s="300">
        <f>'划分为金融负债的其他金融工具明细表L4-3'!AG15</f>
        <v>0</v>
      </c>
    </row>
    <row r="14" spans="1:19" ht="19.95" customHeight="1">
      <c r="A14" s="299">
        <f>'划分为金融负债的其他金融工具明细表L4-3'!A16</f>
        <v>0</v>
      </c>
      <c r="B14" s="301">
        <f>'划分为金融负债的其他金融工具明细表L4-3'!AM16</f>
        <v>0</v>
      </c>
      <c r="C14" s="300">
        <f>'划分为金融负债的其他金融工具明细表L4-3'!AG16</f>
        <v>0</v>
      </c>
    </row>
    <row r="15" spans="1:19" ht="19.95" customHeight="1">
      <c r="A15" s="299">
        <f>'划分为金融负债的其他金融工具明细表L4-3'!A17</f>
        <v>0</v>
      </c>
      <c r="B15" s="301">
        <f>'划分为金融负债的其他金融工具明细表L4-3'!AM17</f>
        <v>0</v>
      </c>
      <c r="C15" s="300">
        <f>'划分为金融负债的其他金融工具明细表L4-3'!AG17</f>
        <v>0</v>
      </c>
    </row>
    <row r="16" spans="1:19" ht="19.95" customHeight="1">
      <c r="A16" s="297" t="s">
        <v>102</v>
      </c>
      <c r="B16" s="302">
        <f>SUM(B7:B15)</f>
        <v>0</v>
      </c>
      <c r="C16" s="302">
        <f>SUM(C7:C15)</f>
        <v>0</v>
      </c>
    </row>
    <row r="17" spans="1:8" ht="19.95" customHeight="1">
      <c r="A17" s="464" t="s">
        <v>103</v>
      </c>
      <c r="B17" s="464"/>
      <c r="C17" s="464"/>
      <c r="D17" s="464"/>
      <c r="E17" s="464"/>
    </row>
    <row r="18" spans="1:8" ht="19.95" customHeight="1">
      <c r="A18" s="297" t="s">
        <v>104</v>
      </c>
      <c r="B18" s="327" t="s">
        <v>105</v>
      </c>
      <c r="C18" s="303" t="s">
        <v>106</v>
      </c>
      <c r="D18" s="327" t="s">
        <v>107</v>
      </c>
      <c r="E18" s="327" t="s">
        <v>108</v>
      </c>
      <c r="F18" s="327" t="s">
        <v>109</v>
      </c>
    </row>
    <row r="19" spans="1:8" ht="19.95" customHeight="1">
      <c r="A19" s="299">
        <f>'应付债券明细表L4-2'!B15</f>
        <v>0</v>
      </c>
      <c r="B19" s="305">
        <f>'应付债券明细表L4-2'!G15</f>
        <v>0</v>
      </c>
      <c r="C19" s="305">
        <f>'应付债券明细表L4-2'!F15</f>
        <v>0</v>
      </c>
      <c r="D19" s="305">
        <f>'应付债券明细表L4-2'!C15</f>
        <v>0</v>
      </c>
      <c r="E19" s="305">
        <f>'应付债券明细表L4-2'!E15</f>
        <v>0</v>
      </c>
      <c r="F19" s="305">
        <f>'应付债券明细表L4-2'!H15</f>
        <v>0</v>
      </c>
    </row>
    <row r="20" spans="1:8" ht="19.95" customHeight="1">
      <c r="A20" s="299">
        <f>'应付债券明细表L4-2'!B16</f>
        <v>0</v>
      </c>
      <c r="B20" s="305">
        <f>'应付债券明细表L4-2'!G16</f>
        <v>0</v>
      </c>
      <c r="C20" s="305">
        <f>'应付债券明细表L4-2'!F16</f>
        <v>0</v>
      </c>
      <c r="D20" s="305">
        <f>'应付债券明细表L4-2'!C16</f>
        <v>0</v>
      </c>
      <c r="E20" s="305">
        <f>'应付债券明细表L4-2'!E16</f>
        <v>0</v>
      </c>
      <c r="F20" s="305">
        <f>'应付债券明细表L4-2'!H16</f>
        <v>0</v>
      </c>
    </row>
    <row r="21" spans="1:8" ht="19.95" customHeight="1">
      <c r="A21" s="299">
        <f>'应付债券明细表L4-2'!B17</f>
        <v>0</v>
      </c>
      <c r="B21" s="305">
        <f>'应付债券明细表L4-2'!G17</f>
        <v>0</v>
      </c>
      <c r="C21" s="305">
        <f>'应付债券明细表L4-2'!F17</f>
        <v>0</v>
      </c>
      <c r="D21" s="305">
        <f>'应付债券明细表L4-2'!C17</f>
        <v>0</v>
      </c>
      <c r="E21" s="305">
        <f>'应付债券明细表L4-2'!E17</f>
        <v>0</v>
      </c>
      <c r="F21" s="305">
        <f>'应付债券明细表L4-2'!H17</f>
        <v>0</v>
      </c>
    </row>
    <row r="22" spans="1:8" ht="19.95" customHeight="1">
      <c r="A22" s="299">
        <f>'应付债券明细表L4-2'!B18</f>
        <v>0</v>
      </c>
      <c r="B22" s="305">
        <f>'应付债券明细表L4-2'!G18</f>
        <v>0</v>
      </c>
      <c r="C22" s="305">
        <f>'应付债券明细表L4-2'!F18</f>
        <v>0</v>
      </c>
      <c r="D22" s="305">
        <f>'应付债券明细表L4-2'!C18</f>
        <v>0</v>
      </c>
      <c r="E22" s="305">
        <f>'应付债券明细表L4-2'!E18</f>
        <v>0</v>
      </c>
      <c r="F22" s="305">
        <f>'应付债券明细表L4-2'!H18</f>
        <v>0</v>
      </c>
    </row>
    <row r="23" spans="1:8" ht="19.95" customHeight="1">
      <c r="A23" s="299">
        <f>'应付债券明细表L4-2'!B19</f>
        <v>0</v>
      </c>
      <c r="B23" s="305">
        <f>'应付债券明细表L4-2'!G19</f>
        <v>0</v>
      </c>
      <c r="C23" s="305">
        <f>'应付债券明细表L4-2'!F19</f>
        <v>0</v>
      </c>
      <c r="D23" s="305">
        <f>'应付债券明细表L4-2'!C19</f>
        <v>0</v>
      </c>
      <c r="E23" s="305">
        <f>'应付债券明细表L4-2'!E19</f>
        <v>0</v>
      </c>
      <c r="F23" s="305">
        <f>'应付债券明细表L4-2'!H19</f>
        <v>0</v>
      </c>
    </row>
    <row r="24" spans="1:8" ht="19.95" customHeight="1">
      <c r="A24" s="299">
        <f>'应付债券明细表L4-2'!B20</f>
        <v>0</v>
      </c>
      <c r="B24" s="305">
        <f>'应付债券明细表L4-2'!G20</f>
        <v>0</v>
      </c>
      <c r="C24" s="305">
        <f>'应付债券明细表L4-2'!F20</f>
        <v>0</v>
      </c>
      <c r="D24" s="305">
        <f>'应付债券明细表L4-2'!C20</f>
        <v>0</v>
      </c>
      <c r="E24" s="305">
        <f>'应付债券明细表L4-2'!E20</f>
        <v>0</v>
      </c>
      <c r="F24" s="305">
        <f>'应付债券明细表L4-2'!H20</f>
        <v>0</v>
      </c>
    </row>
    <row r="25" spans="1:8" ht="19.95" customHeight="1">
      <c r="A25" s="297" t="s">
        <v>110</v>
      </c>
      <c r="B25" s="328">
        <f>SUM(B19:B24)</f>
        <v>0</v>
      </c>
      <c r="C25" s="329"/>
      <c r="D25" s="329"/>
      <c r="E25" s="329"/>
      <c r="F25" s="328">
        <f>SUM(F19:F24)</f>
        <v>0</v>
      </c>
    </row>
    <row r="26" spans="1:8" ht="19.95" customHeight="1">
      <c r="A26" s="318" t="s">
        <v>111</v>
      </c>
    </row>
    <row r="27" spans="1:8" ht="19.95" customHeight="1">
      <c r="A27" s="297" t="s">
        <v>104</v>
      </c>
      <c r="B27" s="327" t="s">
        <v>112</v>
      </c>
      <c r="C27" s="327" t="s">
        <v>113</v>
      </c>
      <c r="D27" s="327" t="s">
        <v>114</v>
      </c>
      <c r="E27" s="327" t="s">
        <v>115</v>
      </c>
      <c r="F27" s="327" t="s">
        <v>116</v>
      </c>
      <c r="G27" s="327" t="s">
        <v>117</v>
      </c>
      <c r="H27" s="327" t="s">
        <v>118</v>
      </c>
    </row>
    <row r="28" spans="1:8" ht="19.95" customHeight="1">
      <c r="A28" s="299">
        <f>'应付债券明细表L4-2'!B15</f>
        <v>0</v>
      </c>
      <c r="B28" s="300">
        <f>'应付债券明细表L4-2'!BN15</f>
        <v>0</v>
      </c>
      <c r="C28" s="300">
        <f>'应付债券明细表L4-2'!BQ15</f>
        <v>0</v>
      </c>
      <c r="D28" s="300">
        <f>'应付债券明细表L4-2'!BS15</f>
        <v>0</v>
      </c>
      <c r="E28" s="300">
        <f>'应付债券明细表L4-2'!BR15-'应付债券明细表L4-2'!BX15</f>
        <v>0</v>
      </c>
      <c r="F28" s="300">
        <f>'应付债券明细表L4-2'!BW15+'应付债券明细表L4-2'!BY15</f>
        <v>0</v>
      </c>
      <c r="G28" s="300">
        <f>B28+C28+D28+E28-F28</f>
        <v>0</v>
      </c>
      <c r="H28" s="300">
        <f>'应付债券明细表L4-2'!I15</f>
        <v>0</v>
      </c>
    </row>
    <row r="29" spans="1:8" ht="19.95" customHeight="1">
      <c r="A29" s="299">
        <f>'应付债券明细表L4-2'!B16</f>
        <v>0</v>
      </c>
      <c r="B29" s="300">
        <f>'应付债券明细表L4-2'!BN16</f>
        <v>0</v>
      </c>
      <c r="C29" s="300">
        <f>'应付债券明细表L4-2'!BQ16</f>
        <v>0</v>
      </c>
      <c r="D29" s="300">
        <f>'应付债券明细表L4-2'!BS16</f>
        <v>0</v>
      </c>
      <c r="E29" s="300">
        <f>'应付债券明细表L4-2'!BR16-'应付债券明细表L4-2'!BX16</f>
        <v>0</v>
      </c>
      <c r="F29" s="300">
        <f>'应付债券明细表L4-2'!BW16+'应付债券明细表L4-2'!BY16</f>
        <v>0</v>
      </c>
      <c r="G29" s="300">
        <f t="shared" ref="G29:G31" si="0">B29+C29+D29+E29-F29</f>
        <v>0</v>
      </c>
      <c r="H29" s="300">
        <f>'应付债券明细表L4-2'!I16</f>
        <v>0</v>
      </c>
    </row>
    <row r="30" spans="1:8" ht="19.95" customHeight="1">
      <c r="A30" s="299">
        <f>'应付债券明细表L4-2'!B19</f>
        <v>0</v>
      </c>
      <c r="B30" s="300">
        <f>'应付债券明细表L4-2'!BN19</f>
        <v>0</v>
      </c>
      <c r="C30" s="300">
        <f>'应付债券明细表L4-2'!BQ19</f>
        <v>0</v>
      </c>
      <c r="D30" s="300">
        <f>'应付债券明细表L4-2'!BS19</f>
        <v>0</v>
      </c>
      <c r="E30" s="300">
        <f>'应付债券明细表L4-2'!BR19-'应付债券明细表L4-2'!BX19</f>
        <v>0</v>
      </c>
      <c r="F30" s="300">
        <f>'应付债券明细表L4-2'!BW19+'应付债券明细表L4-2'!BY19</f>
        <v>0</v>
      </c>
      <c r="G30" s="300">
        <f t="shared" si="0"/>
        <v>0</v>
      </c>
      <c r="H30" s="300">
        <f>'应付债券明细表L4-2'!I19</f>
        <v>0</v>
      </c>
    </row>
    <row r="31" spans="1:8" ht="19.95" customHeight="1">
      <c r="A31" s="299">
        <f>'应付债券明细表L4-2'!B20</f>
        <v>0</v>
      </c>
      <c r="B31" s="300">
        <f>'应付债券明细表L4-2'!BN20</f>
        <v>0</v>
      </c>
      <c r="C31" s="300">
        <f>'应付债券明细表L4-2'!BQ20</f>
        <v>0</v>
      </c>
      <c r="D31" s="300">
        <f>'应付债券明细表L4-2'!BS20</f>
        <v>0</v>
      </c>
      <c r="E31" s="300">
        <f>'应付债券明细表L4-2'!BR20-'应付债券明细表L4-2'!BX20</f>
        <v>0</v>
      </c>
      <c r="F31" s="300">
        <f>'应付债券明细表L4-2'!BW20+'应付债券明细表L4-2'!BY20</f>
        <v>0</v>
      </c>
      <c r="G31" s="300">
        <f t="shared" si="0"/>
        <v>0</v>
      </c>
      <c r="H31" s="300">
        <f>'应付债券明细表L4-2'!I20</f>
        <v>0</v>
      </c>
    </row>
    <row r="32" spans="1:8" ht="19.95" customHeight="1">
      <c r="A32" s="297" t="s">
        <v>110</v>
      </c>
      <c r="B32" s="330">
        <f t="shared" ref="B32:G32" si="1">SUM(B28:B31)</f>
        <v>0</v>
      </c>
      <c r="C32" s="330">
        <f t="shared" si="1"/>
        <v>0</v>
      </c>
      <c r="D32" s="330">
        <f t="shared" si="1"/>
        <v>0</v>
      </c>
      <c r="E32" s="330">
        <f t="shared" si="1"/>
        <v>0</v>
      </c>
      <c r="F32" s="330">
        <f t="shared" si="1"/>
        <v>0</v>
      </c>
      <c r="G32" s="330">
        <f t="shared" si="1"/>
        <v>0</v>
      </c>
      <c r="H32" s="330"/>
    </row>
    <row r="33" spans="1:10" ht="19.95" customHeight="1">
      <c r="A33" s="308" t="s">
        <v>119</v>
      </c>
      <c r="B33" s="331">
        <f>'应付债券明细表L4-2'!BM22</f>
        <v>0</v>
      </c>
      <c r="C33" s="323"/>
      <c r="D33" s="320"/>
      <c r="E33" s="320"/>
      <c r="F33" s="320"/>
      <c r="G33" s="326">
        <f>'应付债券明细表L4-2'!CG22</f>
        <v>0</v>
      </c>
      <c r="H33" s="326"/>
    </row>
    <row r="34" spans="1:10" ht="19.95" customHeight="1">
      <c r="A34" s="319" t="s">
        <v>120</v>
      </c>
      <c r="B34" s="331">
        <f>B32-B33</f>
        <v>0</v>
      </c>
      <c r="C34" s="323"/>
      <c r="D34" s="320"/>
      <c r="E34" s="320"/>
      <c r="F34" s="320"/>
      <c r="G34" s="331">
        <f>G32-G33</f>
        <v>0</v>
      </c>
      <c r="H34" s="331"/>
    </row>
    <row r="35" spans="1:10" ht="19.95" customHeight="1">
      <c r="A35" s="318" t="s">
        <v>121</v>
      </c>
    </row>
    <row r="36" spans="1:10" ht="19.95" customHeight="1">
      <c r="A36" s="460" t="s">
        <v>122</v>
      </c>
      <c r="B36" s="460"/>
      <c r="C36" s="460"/>
      <c r="D36" s="460"/>
      <c r="E36" s="460"/>
      <c r="F36" s="460"/>
      <c r="G36" s="460"/>
    </row>
    <row r="37" spans="1:10" ht="28.95" customHeight="1">
      <c r="A37" s="459" t="s">
        <v>123</v>
      </c>
      <c r="B37" s="459"/>
      <c r="C37" s="459"/>
      <c r="D37" s="459"/>
      <c r="E37" s="459"/>
      <c r="F37" s="459"/>
      <c r="G37" s="459"/>
    </row>
    <row r="38" spans="1:10" ht="74.55" customHeight="1">
      <c r="A38" s="459" t="s">
        <v>124</v>
      </c>
      <c r="B38" s="459"/>
      <c r="C38" s="459"/>
      <c r="D38" s="459"/>
      <c r="E38" s="459"/>
      <c r="F38" s="459"/>
      <c r="G38" s="459"/>
    </row>
    <row r="39" spans="1:10" ht="28.95" customHeight="1">
      <c r="A39" s="459" t="s">
        <v>125</v>
      </c>
      <c r="B39" s="459"/>
      <c r="C39" s="459"/>
      <c r="D39" s="459"/>
      <c r="E39" s="459"/>
      <c r="F39" s="459"/>
      <c r="G39" s="459"/>
    </row>
    <row r="40" spans="1:10" ht="19.95" customHeight="1">
      <c r="A40" s="460" t="s">
        <v>126</v>
      </c>
      <c r="B40" s="460"/>
    </row>
    <row r="41" spans="1:10" ht="39" customHeight="1">
      <c r="A41" s="454" t="s">
        <v>127</v>
      </c>
      <c r="B41" s="454"/>
      <c r="C41" s="454"/>
      <c r="D41" s="454"/>
      <c r="E41" s="454"/>
      <c r="F41" s="454"/>
      <c r="G41" s="454"/>
    </row>
    <row r="42" spans="1:10" ht="19.95" customHeight="1">
      <c r="A42" s="461" t="s">
        <v>128</v>
      </c>
      <c r="B42" s="461"/>
      <c r="C42" s="461"/>
      <c r="D42" s="461"/>
      <c r="E42" s="461"/>
      <c r="F42" s="461"/>
      <c r="G42" s="461"/>
    </row>
    <row r="43" spans="1:10" ht="19.95" customHeight="1">
      <c r="A43" s="311" t="s">
        <v>129</v>
      </c>
    </row>
    <row r="44" spans="1:10" ht="39" customHeight="1">
      <c r="A44" s="312" t="s">
        <v>130</v>
      </c>
      <c r="B44" s="313" t="s">
        <v>131</v>
      </c>
      <c r="C44" s="313" t="s">
        <v>132</v>
      </c>
      <c r="D44" s="313" t="s">
        <v>133</v>
      </c>
      <c r="E44" s="313" t="s">
        <v>134</v>
      </c>
      <c r="F44" s="314" t="s">
        <v>135</v>
      </c>
      <c r="G44" s="314" t="s">
        <v>136</v>
      </c>
      <c r="H44" s="313" t="s">
        <v>137</v>
      </c>
      <c r="I44" s="314" t="s">
        <v>138</v>
      </c>
      <c r="J44" s="313" t="s">
        <v>139</v>
      </c>
    </row>
    <row r="45" spans="1:10" ht="19.95" customHeight="1">
      <c r="A45" s="310">
        <f>'划分为金融负债的其他金融工具明细表L4-3'!A13</f>
        <v>0</v>
      </c>
      <c r="B45" s="315">
        <f>'划分为金融负债的其他金融工具明细表L4-3'!C13</f>
        <v>0</v>
      </c>
      <c r="C45" s="315">
        <f>'划分为金融负债的其他金融工具明细表L4-3'!D13</f>
        <v>0</v>
      </c>
      <c r="D45" s="315">
        <f>'划分为金融负债的其他金融工具明细表L4-3'!E13</f>
        <v>0</v>
      </c>
      <c r="E45" s="315">
        <f>'划分为金融负债的其他金融工具明细表L4-3'!F13</f>
        <v>0</v>
      </c>
      <c r="F45" s="315">
        <f>'划分为金融负债的其他金融工具明细表L4-3'!G13</f>
        <v>0</v>
      </c>
      <c r="G45" s="315">
        <f>'划分为金融负债的其他金融工具明细表L4-3'!H13</f>
        <v>0</v>
      </c>
      <c r="H45" s="315">
        <f>'划分为金融负债的其他金融工具明细表L4-3'!I13</f>
        <v>0</v>
      </c>
      <c r="I45" s="315">
        <f>'划分为金融负债的其他金融工具明细表L4-3'!J13</f>
        <v>0</v>
      </c>
      <c r="J45" s="315">
        <f>'划分为金融负债的其他金融工具明细表L4-3'!K13</f>
        <v>0</v>
      </c>
    </row>
    <row r="46" spans="1:10" ht="19.95" customHeight="1">
      <c r="A46" s="310">
        <f>'划分为金融负债的其他金融工具明细表L4-3'!A14</f>
        <v>0</v>
      </c>
      <c r="B46" s="315">
        <f>'划分为金融负债的其他金融工具明细表L4-3'!C14</f>
        <v>0</v>
      </c>
      <c r="C46" s="315">
        <f>'划分为金融负债的其他金融工具明细表L4-3'!D14</f>
        <v>0</v>
      </c>
      <c r="D46" s="315">
        <f>'划分为金融负债的其他金融工具明细表L4-3'!E14</f>
        <v>0</v>
      </c>
      <c r="E46" s="315">
        <f>'划分为金融负债的其他金融工具明细表L4-3'!F14</f>
        <v>0</v>
      </c>
      <c r="F46" s="315">
        <f>'划分为金融负债的其他金融工具明细表L4-3'!G14</f>
        <v>0</v>
      </c>
      <c r="G46" s="315">
        <f>'划分为金融负债的其他金融工具明细表L4-3'!H14</f>
        <v>0</v>
      </c>
      <c r="H46" s="315">
        <f>'划分为金融负债的其他金融工具明细表L4-3'!I14</f>
        <v>0</v>
      </c>
      <c r="I46" s="315">
        <f>'划分为金融负债的其他金融工具明细表L4-3'!J14</f>
        <v>0</v>
      </c>
      <c r="J46" s="315">
        <f>'划分为金融负债的其他金融工具明细表L4-3'!K14</f>
        <v>0</v>
      </c>
    </row>
    <row r="47" spans="1:10" ht="19.95" customHeight="1">
      <c r="A47" s="310">
        <f>'划分为金融负债的其他金融工具明细表L4-3'!A15</f>
        <v>0</v>
      </c>
      <c r="B47" s="315">
        <f>'划分为金融负债的其他金融工具明细表L4-3'!C15</f>
        <v>0</v>
      </c>
      <c r="C47" s="315">
        <f>'划分为金融负债的其他金融工具明细表L4-3'!D15</f>
        <v>0</v>
      </c>
      <c r="D47" s="315">
        <f>'划分为金融负债的其他金融工具明细表L4-3'!E15</f>
        <v>0</v>
      </c>
      <c r="E47" s="315">
        <f>'划分为金融负债的其他金融工具明细表L4-3'!F15</f>
        <v>0</v>
      </c>
      <c r="F47" s="315">
        <f>'划分为金融负债的其他金融工具明细表L4-3'!G15</f>
        <v>0</v>
      </c>
      <c r="G47" s="315">
        <f>'划分为金融负债的其他金融工具明细表L4-3'!H15</f>
        <v>0</v>
      </c>
      <c r="H47" s="315">
        <f>'划分为金融负债的其他金融工具明细表L4-3'!I15</f>
        <v>0</v>
      </c>
      <c r="I47" s="315">
        <f>'划分为金融负债的其他金融工具明细表L4-3'!J15</f>
        <v>0</v>
      </c>
      <c r="J47" s="315">
        <f>'划分为金融负债的其他金融工具明细表L4-3'!K15</f>
        <v>0</v>
      </c>
    </row>
    <row r="48" spans="1:10" ht="19.95" customHeight="1">
      <c r="A48" s="310">
        <f>'划分为金融负债的其他金融工具明细表L4-3'!A16</f>
        <v>0</v>
      </c>
      <c r="B48" s="315">
        <f>'划分为金融负债的其他金融工具明细表L4-3'!C16</f>
        <v>0</v>
      </c>
      <c r="C48" s="315">
        <f>'划分为金融负债的其他金融工具明细表L4-3'!D16</f>
        <v>0</v>
      </c>
      <c r="D48" s="315">
        <f>'划分为金融负债的其他金融工具明细表L4-3'!E16</f>
        <v>0</v>
      </c>
      <c r="E48" s="315">
        <f>'划分为金融负债的其他金融工具明细表L4-3'!F16</f>
        <v>0</v>
      </c>
      <c r="F48" s="315">
        <f>'划分为金融负债的其他金融工具明细表L4-3'!G16</f>
        <v>0</v>
      </c>
      <c r="G48" s="315">
        <f>'划分为金融负债的其他金融工具明细表L4-3'!H16</f>
        <v>0</v>
      </c>
      <c r="H48" s="315">
        <f>'划分为金融负债的其他金融工具明细表L4-3'!I16</f>
        <v>0</v>
      </c>
      <c r="I48" s="315">
        <f>'划分为金融负债的其他金融工具明细表L4-3'!J16</f>
        <v>0</v>
      </c>
      <c r="J48" s="315">
        <f>'划分为金融负债的其他金融工具明细表L4-3'!K16</f>
        <v>0</v>
      </c>
    </row>
    <row r="49" spans="1:10" ht="19.95" customHeight="1">
      <c r="A49" s="310">
        <f>'划分为金融负债的其他金融工具明细表L4-3'!A17</f>
        <v>0</v>
      </c>
      <c r="B49" s="315">
        <f>'划分为金融负债的其他金融工具明细表L4-3'!C17</f>
        <v>0</v>
      </c>
      <c r="C49" s="315">
        <f>'划分为金融负债的其他金融工具明细表L4-3'!D17</f>
        <v>0</v>
      </c>
      <c r="D49" s="315">
        <f>'划分为金融负债的其他金融工具明细表L4-3'!E17</f>
        <v>0</v>
      </c>
      <c r="E49" s="315">
        <f>'划分为金融负债的其他金融工具明细表L4-3'!F17</f>
        <v>0</v>
      </c>
      <c r="F49" s="315">
        <f>'划分为金融负债的其他金融工具明细表L4-3'!G17</f>
        <v>0</v>
      </c>
      <c r="G49" s="315">
        <f>'划分为金融负债的其他金融工具明细表L4-3'!H17</f>
        <v>0</v>
      </c>
      <c r="H49" s="315">
        <f>'划分为金融负债的其他金融工具明细表L4-3'!I17</f>
        <v>0</v>
      </c>
      <c r="I49" s="315">
        <f>'划分为金融负债的其他金融工具明细表L4-3'!J17</f>
        <v>0</v>
      </c>
      <c r="J49" s="315">
        <f>'划分为金融负债的其他金融工具明细表L4-3'!K17</f>
        <v>0</v>
      </c>
    </row>
    <row r="50" spans="1:10" ht="19.95" customHeight="1">
      <c r="A50" s="310" t="s">
        <v>140</v>
      </c>
      <c r="B50" s="315"/>
      <c r="C50" s="310"/>
      <c r="D50" s="310"/>
      <c r="E50" s="310"/>
      <c r="F50" s="316"/>
      <c r="G50" s="316"/>
      <c r="H50" s="310"/>
      <c r="I50" s="310"/>
      <c r="J50" s="310"/>
    </row>
    <row r="51" spans="1:10" ht="19.95" customHeight="1">
      <c r="A51" s="312" t="s">
        <v>141</v>
      </c>
      <c r="B51" s="312"/>
      <c r="C51" s="312"/>
      <c r="D51" s="312"/>
      <c r="E51" s="312"/>
      <c r="F51" s="313"/>
      <c r="G51" s="317">
        <f>SUM(G45:G50)</f>
        <v>0</v>
      </c>
      <c r="H51" s="312"/>
      <c r="I51" s="312"/>
      <c r="J51" s="312"/>
    </row>
    <row r="52" spans="1:10" ht="19.95" customHeight="1">
      <c r="A52" s="311" t="s">
        <v>142</v>
      </c>
    </row>
    <row r="53" spans="1:10" ht="41.55" customHeight="1">
      <c r="A53" s="454" t="s">
        <v>143</v>
      </c>
      <c r="B53" s="454"/>
      <c r="C53" s="454"/>
      <c r="D53" s="454"/>
      <c r="E53" s="454"/>
      <c r="F53" s="454"/>
      <c r="G53" s="454"/>
      <c r="H53" s="454"/>
      <c r="I53" s="454"/>
      <c r="J53" s="454"/>
    </row>
    <row r="54" spans="1:10" ht="19.95" customHeight="1">
      <c r="A54" s="454" t="s">
        <v>144</v>
      </c>
      <c r="B54" s="454"/>
      <c r="C54" s="454"/>
      <c r="D54" s="454"/>
      <c r="E54" s="454"/>
      <c r="F54" s="454"/>
      <c r="G54" s="454"/>
      <c r="H54" s="454"/>
      <c r="I54" s="454"/>
      <c r="J54" s="454"/>
    </row>
    <row r="55" spans="1:10" ht="19.95" customHeight="1">
      <c r="A55" s="454" t="s">
        <v>145</v>
      </c>
      <c r="B55" s="454"/>
      <c r="C55" s="454"/>
      <c r="D55" s="454"/>
      <c r="E55" s="454"/>
      <c r="F55" s="454"/>
      <c r="G55" s="454"/>
      <c r="H55" s="454"/>
      <c r="I55" s="454"/>
      <c r="J55" s="454"/>
    </row>
    <row r="56" spans="1:10" ht="19.95" customHeight="1">
      <c r="A56" s="318" t="s">
        <v>146</v>
      </c>
    </row>
    <row r="57" spans="1:10" ht="19.95" customHeight="1">
      <c r="A57" s="454" t="s">
        <v>147</v>
      </c>
      <c r="B57" s="454"/>
      <c r="C57" s="454"/>
      <c r="D57" s="454"/>
      <c r="E57" s="454"/>
      <c r="F57" s="454"/>
      <c r="G57" s="454"/>
      <c r="H57" s="454"/>
      <c r="I57" s="454"/>
      <c r="J57" s="454"/>
    </row>
    <row r="58" spans="1:10" ht="34.950000000000003" customHeight="1">
      <c r="A58" s="454" t="s">
        <v>148</v>
      </c>
      <c r="B58" s="454"/>
      <c r="C58" s="454"/>
      <c r="D58" s="454"/>
      <c r="E58" s="454"/>
      <c r="F58" s="454"/>
      <c r="G58" s="454"/>
      <c r="H58" s="454"/>
      <c r="I58" s="454"/>
      <c r="J58" s="454"/>
    </row>
    <row r="59" spans="1:10" ht="19.95" customHeight="1">
      <c r="A59" s="454" t="s">
        <v>149</v>
      </c>
      <c r="B59" s="454"/>
      <c r="C59" s="454"/>
      <c r="D59" s="454"/>
      <c r="E59" s="454"/>
      <c r="F59" s="454"/>
      <c r="G59" s="454"/>
      <c r="H59" s="454"/>
      <c r="I59" s="454"/>
      <c r="J59" s="454"/>
    </row>
    <row r="60" spans="1:10" ht="19.95" customHeight="1">
      <c r="A60" s="311" t="s">
        <v>150</v>
      </c>
    </row>
    <row r="61" spans="1:10" ht="19.95" customHeight="1">
      <c r="A61" s="454" t="s">
        <v>151</v>
      </c>
      <c r="B61" s="454"/>
      <c r="C61" s="454"/>
      <c r="D61" s="454"/>
      <c r="E61" s="454"/>
      <c r="F61" s="454"/>
      <c r="G61" s="454"/>
      <c r="H61" s="454"/>
      <c r="I61" s="454"/>
      <c r="J61" s="454"/>
    </row>
    <row r="62" spans="1:10" ht="19.95" customHeight="1">
      <c r="A62" s="457" t="s">
        <v>152</v>
      </c>
      <c r="B62" s="457"/>
      <c r="C62" s="457"/>
    </row>
    <row r="63" spans="1:10" ht="19.95" customHeight="1">
      <c r="A63" s="455" t="s">
        <v>153</v>
      </c>
      <c r="B63" s="458" t="s">
        <v>154</v>
      </c>
      <c r="C63" s="458"/>
      <c r="D63" s="458" t="s">
        <v>155</v>
      </c>
      <c r="E63" s="458"/>
      <c r="F63" s="458" t="s">
        <v>156</v>
      </c>
      <c r="G63" s="458"/>
      <c r="H63" s="458" t="s">
        <v>100</v>
      </c>
      <c r="I63" s="458"/>
    </row>
    <row r="64" spans="1:10" ht="19.95" customHeight="1">
      <c r="A64" s="456"/>
      <c r="B64" s="320" t="s">
        <v>157</v>
      </c>
      <c r="C64" s="320" t="s">
        <v>158</v>
      </c>
      <c r="D64" s="320" t="s">
        <v>157</v>
      </c>
      <c r="E64" s="320" t="s">
        <v>158</v>
      </c>
      <c r="F64" s="320" t="s">
        <v>157</v>
      </c>
      <c r="G64" s="320" t="s">
        <v>158</v>
      </c>
      <c r="H64" s="320" t="s">
        <v>157</v>
      </c>
      <c r="I64" s="320" t="s">
        <v>158</v>
      </c>
    </row>
    <row r="65" spans="1:10" ht="19.95" customHeight="1">
      <c r="A65" s="321">
        <f>'划分为金融负债的其他金融工具明细表L4-3'!A13</f>
        <v>0</v>
      </c>
      <c r="B65" s="322">
        <f>'划分为金融负债的其他金融工具明细表L4-3'!AF13</f>
        <v>0</v>
      </c>
      <c r="C65" s="322">
        <f>'划分为金融负债的其他金融工具明细表L4-3'!AG13</f>
        <v>0</v>
      </c>
      <c r="D65" s="322">
        <f>'划分为金融负债的其他金融工具明细表L4-3'!AH13</f>
        <v>0</v>
      </c>
      <c r="E65" s="322">
        <f>'划分为金融负债的其他金融工具明细表L4-3'!AI13</f>
        <v>0</v>
      </c>
      <c r="F65" s="322">
        <f>'划分为金融负债的其他金融工具明细表L4-3'!AJ13</f>
        <v>0</v>
      </c>
      <c r="G65" s="322">
        <f>'划分为金融负债的其他金融工具明细表L4-3'!AK13</f>
        <v>0</v>
      </c>
      <c r="H65" s="322">
        <f>'划分为金融负债的其他金融工具明细表L4-3'!AL13</f>
        <v>0</v>
      </c>
      <c r="I65" s="322">
        <f>'划分为金融负债的其他金融工具明细表L4-3'!AM13</f>
        <v>0</v>
      </c>
    </row>
    <row r="66" spans="1:10" ht="19.95" customHeight="1">
      <c r="A66" s="321">
        <f>'划分为金融负债的其他金融工具明细表L4-3'!A14</f>
        <v>0</v>
      </c>
      <c r="B66" s="322">
        <f>'划分为金融负债的其他金融工具明细表L4-3'!AF14</f>
        <v>0</v>
      </c>
      <c r="C66" s="322">
        <f>'划分为金融负债的其他金融工具明细表L4-3'!AG14</f>
        <v>0</v>
      </c>
      <c r="D66" s="322">
        <f>'划分为金融负债的其他金融工具明细表L4-3'!AH14</f>
        <v>0</v>
      </c>
      <c r="E66" s="322">
        <f>'划分为金融负债的其他金融工具明细表L4-3'!AI14</f>
        <v>0</v>
      </c>
      <c r="F66" s="322">
        <f>'划分为金融负债的其他金融工具明细表L4-3'!AJ14</f>
        <v>0</v>
      </c>
      <c r="G66" s="322">
        <f>'划分为金融负债的其他金融工具明细表L4-3'!AK14</f>
        <v>0</v>
      </c>
      <c r="H66" s="322">
        <f>'划分为金融负债的其他金融工具明细表L4-3'!AL14</f>
        <v>0</v>
      </c>
      <c r="I66" s="322">
        <f>'划分为金融负债的其他金融工具明细表L4-3'!AM14</f>
        <v>0</v>
      </c>
    </row>
    <row r="67" spans="1:10" ht="19.95" customHeight="1">
      <c r="A67" s="321">
        <f>'划分为金融负债的其他金融工具明细表L4-3'!A15</f>
        <v>0</v>
      </c>
      <c r="B67" s="322">
        <f>'划分为金融负债的其他金融工具明细表L4-3'!AF15</f>
        <v>0</v>
      </c>
      <c r="C67" s="322">
        <f>'划分为金融负债的其他金融工具明细表L4-3'!AG15</f>
        <v>0</v>
      </c>
      <c r="D67" s="322">
        <f>'划分为金融负债的其他金融工具明细表L4-3'!AH15</f>
        <v>0</v>
      </c>
      <c r="E67" s="322">
        <f>'划分为金融负债的其他金融工具明细表L4-3'!AI15</f>
        <v>0</v>
      </c>
      <c r="F67" s="322">
        <f>'划分为金融负债的其他金融工具明细表L4-3'!AJ15</f>
        <v>0</v>
      </c>
      <c r="G67" s="322">
        <f>'划分为金融负债的其他金融工具明细表L4-3'!AK15</f>
        <v>0</v>
      </c>
      <c r="H67" s="322">
        <f>'划分为金融负债的其他金融工具明细表L4-3'!AL15</f>
        <v>0</v>
      </c>
      <c r="I67" s="322">
        <f>'划分为金融负债的其他金融工具明细表L4-3'!AM15</f>
        <v>0</v>
      </c>
    </row>
    <row r="68" spans="1:10" ht="19.95" customHeight="1">
      <c r="A68" s="321">
        <f>'划分为金融负债的其他金融工具明细表L4-3'!A16</f>
        <v>0</v>
      </c>
      <c r="B68" s="322">
        <f>'划分为金融负债的其他金融工具明细表L4-3'!AF16</f>
        <v>0</v>
      </c>
      <c r="C68" s="322">
        <f>'划分为金融负债的其他金融工具明细表L4-3'!AG16</f>
        <v>0</v>
      </c>
      <c r="D68" s="322">
        <f>'划分为金融负债的其他金融工具明细表L4-3'!AH16</f>
        <v>0</v>
      </c>
      <c r="E68" s="322">
        <f>'划分为金融负债的其他金融工具明细表L4-3'!AI16</f>
        <v>0</v>
      </c>
      <c r="F68" s="322">
        <f>'划分为金融负债的其他金融工具明细表L4-3'!AJ16</f>
        <v>0</v>
      </c>
      <c r="G68" s="322">
        <f>'划分为金融负债的其他金融工具明细表L4-3'!AK16</f>
        <v>0</v>
      </c>
      <c r="H68" s="322">
        <f>'划分为金融负债的其他金融工具明细表L4-3'!AL16</f>
        <v>0</v>
      </c>
      <c r="I68" s="322">
        <f>'划分为金融负债的其他金融工具明细表L4-3'!AM16</f>
        <v>0</v>
      </c>
    </row>
    <row r="69" spans="1:10" ht="19.95" customHeight="1">
      <c r="A69" s="321">
        <f>'划分为金融负债的其他金融工具明细表L4-3'!A17</f>
        <v>0</v>
      </c>
      <c r="B69" s="322">
        <f>'划分为金融负债的其他金融工具明细表L4-3'!AF17</f>
        <v>0</v>
      </c>
      <c r="C69" s="322">
        <f>'划分为金融负债的其他金融工具明细表L4-3'!AG17</f>
        <v>0</v>
      </c>
      <c r="D69" s="322">
        <f>'划分为金融负债的其他金融工具明细表L4-3'!AH17</f>
        <v>0</v>
      </c>
      <c r="E69" s="322">
        <f>'划分为金融负债的其他金融工具明细表L4-3'!AI17</f>
        <v>0</v>
      </c>
      <c r="F69" s="322">
        <f>'划分为金融负债的其他金融工具明细表L4-3'!AJ17</f>
        <v>0</v>
      </c>
      <c r="G69" s="322">
        <f>'划分为金融负债的其他金融工具明细表L4-3'!AK17</f>
        <v>0</v>
      </c>
      <c r="H69" s="322">
        <f>'划分为金融负债的其他金融工具明细表L4-3'!AL17</f>
        <v>0</v>
      </c>
      <c r="I69" s="322">
        <f>'划分为金融负债的其他金融工具明细表L4-3'!AM17</f>
        <v>0</v>
      </c>
    </row>
    <row r="70" spans="1:10" ht="19.95" customHeight="1">
      <c r="A70" s="310"/>
      <c r="B70" s="322"/>
      <c r="C70" s="322"/>
      <c r="D70" s="322"/>
      <c r="E70" s="322"/>
      <c r="F70" s="322"/>
      <c r="G70" s="322"/>
      <c r="H70" s="322"/>
      <c r="I70" s="322"/>
    </row>
    <row r="71" spans="1:10" ht="19.95" customHeight="1">
      <c r="A71" s="319" t="s">
        <v>120</v>
      </c>
      <c r="B71" s="331">
        <f>SUM(B65:B70)</f>
        <v>0</v>
      </c>
      <c r="C71" s="331">
        <f t="shared" ref="C71:I71" si="2">SUM(C65:C70)</f>
        <v>0</v>
      </c>
      <c r="D71" s="331">
        <f t="shared" si="2"/>
        <v>0</v>
      </c>
      <c r="E71" s="331">
        <f t="shared" si="2"/>
        <v>0</v>
      </c>
      <c r="F71" s="331">
        <f t="shared" si="2"/>
        <v>0</v>
      </c>
      <c r="G71" s="331">
        <f t="shared" si="2"/>
        <v>0</v>
      </c>
      <c r="H71" s="331">
        <f t="shared" si="2"/>
        <v>0</v>
      </c>
      <c r="I71" s="331">
        <f t="shared" si="2"/>
        <v>0</v>
      </c>
    </row>
    <row r="72" spans="1:10" ht="19.95" customHeight="1">
      <c r="A72" s="454" t="s">
        <v>159</v>
      </c>
      <c r="B72" s="454"/>
      <c r="C72" s="454"/>
      <c r="D72" s="454"/>
      <c r="E72" s="454"/>
      <c r="F72" s="454"/>
      <c r="G72" s="454"/>
      <c r="H72" s="454"/>
      <c r="I72" s="454"/>
      <c r="J72" s="454"/>
    </row>
  </sheetData>
  <mergeCells count="24">
    <mergeCell ref="A1:J1"/>
    <mergeCell ref="A2:J2"/>
    <mergeCell ref="A17:E17"/>
    <mergeCell ref="A36:G36"/>
    <mergeCell ref="A37:G37"/>
    <mergeCell ref="A38:G38"/>
    <mergeCell ref="A39:G39"/>
    <mergeCell ref="A40:B40"/>
    <mergeCell ref="A41:G41"/>
    <mergeCell ref="A42:G42"/>
    <mergeCell ref="A53:J53"/>
    <mergeCell ref="A54:J54"/>
    <mergeCell ref="A55:J55"/>
    <mergeCell ref="A57:J57"/>
    <mergeCell ref="A58:J58"/>
    <mergeCell ref="A72:J72"/>
    <mergeCell ref="A63:A64"/>
    <mergeCell ref="A59:J59"/>
    <mergeCell ref="A61:J61"/>
    <mergeCell ref="A62:C62"/>
    <mergeCell ref="B63:C63"/>
    <mergeCell ref="D63:E63"/>
    <mergeCell ref="F63:G63"/>
    <mergeCell ref="H63:I63"/>
  </mergeCells>
  <phoneticPr fontId="86" type="noConversion"/>
  <hyperlinks>
    <hyperlink ref="K2" location="底稿目录!A1" display="返回目录"/>
  </hyperlinks>
  <pageMargins left="0.70866141732283505" right="0.70866141732283505" top="0.74803149606299202" bottom="0.74803149606299202" header="0.31496062992126" footer="0.31496062992126"/>
  <pageSetup paperSize="9" scale="80" fitToHeight="0" orientation="landscape" blackAndWhite="1" r:id="rId1"/>
  <rowBreaks count="1" manualBreakCount="1">
    <brk id="6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S61"/>
  <sheetViews>
    <sheetView view="pageBreakPreview" zoomScaleNormal="100" workbookViewId="0">
      <selection activeCell="G16" sqref="G16"/>
    </sheetView>
  </sheetViews>
  <sheetFormatPr defaultColWidth="9" defaultRowHeight="19.95" customHeight="1"/>
  <cols>
    <col min="1" max="1" width="27.09765625" style="5" customWidth="1"/>
    <col min="2" max="5" width="15.796875" style="5" customWidth="1"/>
    <col min="6" max="6" width="15" style="5" customWidth="1"/>
    <col min="7" max="7" width="14.5" style="5" customWidth="1"/>
    <col min="8" max="9" width="14" style="5" customWidth="1"/>
    <col min="10" max="10" width="12.796875" style="5" customWidth="1"/>
    <col min="11" max="16384" width="9" style="5"/>
  </cols>
  <sheetData>
    <row r="1" spans="1:19" s="44" customFormat="1" ht="19.95" customHeight="1">
      <c r="A1" s="462" t="s">
        <v>30</v>
      </c>
      <c r="B1" s="462"/>
      <c r="C1" s="462"/>
      <c r="D1" s="462"/>
      <c r="E1" s="462"/>
      <c r="F1" s="462"/>
      <c r="G1" s="462"/>
      <c r="H1" s="462"/>
      <c r="I1" s="462"/>
      <c r="J1" s="462"/>
      <c r="K1" s="172"/>
      <c r="L1" s="172"/>
      <c r="M1" s="172"/>
      <c r="N1" s="172"/>
      <c r="O1" s="172"/>
      <c r="P1" s="172"/>
      <c r="Q1" s="172"/>
      <c r="R1" s="172"/>
      <c r="S1" s="172"/>
    </row>
    <row r="2" spans="1:19" s="44" customFormat="1" ht="19.95" customHeight="1">
      <c r="A2" s="463" t="s">
        <v>95</v>
      </c>
      <c r="B2" s="463"/>
      <c r="C2" s="463"/>
      <c r="D2" s="463"/>
      <c r="E2" s="463"/>
      <c r="F2" s="463"/>
      <c r="G2" s="463"/>
      <c r="H2" s="463"/>
      <c r="I2" s="463"/>
      <c r="J2" s="463"/>
      <c r="K2" s="291" t="s">
        <v>96</v>
      </c>
      <c r="L2" s="172"/>
      <c r="M2" s="172"/>
      <c r="N2" s="172"/>
      <c r="O2" s="172"/>
      <c r="P2" s="172"/>
      <c r="Q2" s="172"/>
      <c r="R2" s="172"/>
      <c r="S2" s="172"/>
    </row>
    <row r="3" spans="1:19" s="2" customFormat="1" ht="19.95" customHeight="1">
      <c r="A3" s="2" t="str">
        <f>底稿目录!A2</f>
        <v>被审计单位：</v>
      </c>
      <c r="D3" s="2" t="str">
        <f>底稿目录!A4</f>
        <v>编制人：</v>
      </c>
      <c r="G3" s="197" t="str">
        <f>底稿目录!A5</f>
        <v>编制日期：</v>
      </c>
      <c r="H3" s="197"/>
      <c r="J3" s="2" t="s">
        <v>32</v>
      </c>
    </row>
    <row r="4" spans="1:19" s="2" customFormat="1" ht="19.95" customHeight="1">
      <c r="A4" s="2" t="str">
        <f>底稿目录!A3</f>
        <v>截止日：202X年12月31日</v>
      </c>
      <c r="D4" s="275" t="str">
        <f>底稿目录!A6</f>
        <v>复核人：</v>
      </c>
      <c r="G4" s="197" t="str">
        <f>底稿目录!A7</f>
        <v>复核日期：</v>
      </c>
      <c r="H4" s="197"/>
      <c r="J4" s="2" t="s">
        <v>97</v>
      </c>
    </row>
    <row r="5" spans="1:19" ht="19.95" customHeight="1">
      <c r="A5" s="1" t="s">
        <v>160</v>
      </c>
    </row>
    <row r="6" spans="1:19" ht="19.95" customHeight="1">
      <c r="A6" s="297" t="s">
        <v>99</v>
      </c>
      <c r="B6" s="298" t="s">
        <v>100</v>
      </c>
      <c r="C6" s="298" t="s">
        <v>154</v>
      </c>
    </row>
    <row r="7" spans="1:19" ht="19.95" customHeight="1">
      <c r="A7" s="299">
        <f>'应付债券明细表L4-2'!B15</f>
        <v>0</v>
      </c>
      <c r="B7" s="300">
        <f>'应付债券明细表L4-2'!CH15</f>
        <v>0</v>
      </c>
      <c r="C7" s="300">
        <f>'应付债券明细表L4-2'!BN15</f>
        <v>0</v>
      </c>
    </row>
    <row r="8" spans="1:19" ht="19.95" customHeight="1">
      <c r="A8" s="299">
        <f>'应付债券明细表L4-2'!B16</f>
        <v>0</v>
      </c>
      <c r="B8" s="300">
        <f>'应付债券明细表L4-2'!CH16</f>
        <v>0</v>
      </c>
      <c r="C8" s="300">
        <f>'应付债券明细表L4-2'!BN16</f>
        <v>0</v>
      </c>
    </row>
    <row r="9" spans="1:19" ht="19.95" customHeight="1">
      <c r="A9" s="299">
        <f>'应付债券明细表L4-2'!B19</f>
        <v>0</v>
      </c>
      <c r="B9" s="300">
        <f>'应付债券明细表L4-2'!CH19</f>
        <v>0</v>
      </c>
      <c r="C9" s="300">
        <f>'应付债券明细表L4-2'!BN19</f>
        <v>0</v>
      </c>
    </row>
    <row r="10" spans="1:19" ht="19.95" customHeight="1">
      <c r="A10" s="299">
        <f>'应付债券明细表L4-2'!B20</f>
        <v>0</v>
      </c>
      <c r="B10" s="300">
        <f>'应付债券明细表L4-2'!CH20</f>
        <v>0</v>
      </c>
      <c r="C10" s="300">
        <f>'应付债券明细表L4-2'!BN20</f>
        <v>0</v>
      </c>
    </row>
    <row r="11" spans="1:19" ht="19.95" customHeight="1">
      <c r="A11" s="299">
        <f>'划分为金融负债的其他金融工具明细表L4-3'!A13</f>
        <v>0</v>
      </c>
      <c r="B11" s="301">
        <f>'划分为金融负债的其他金融工具明细表L4-3'!AM13</f>
        <v>0</v>
      </c>
      <c r="C11" s="300">
        <f>'划分为金融负债的其他金融工具明细表L4-3'!AG13</f>
        <v>0</v>
      </c>
    </row>
    <row r="12" spans="1:19" ht="19.95" customHeight="1">
      <c r="A12" s="299">
        <f>'划分为金融负债的其他金融工具明细表L4-3'!A14</f>
        <v>0</v>
      </c>
      <c r="B12" s="301">
        <f>'划分为金融负债的其他金融工具明细表L4-3'!AM14</f>
        <v>0</v>
      </c>
      <c r="C12" s="300">
        <f>'划分为金融负债的其他金融工具明细表L4-3'!AG14</f>
        <v>0</v>
      </c>
    </row>
    <row r="13" spans="1:19" ht="19.95" customHeight="1">
      <c r="A13" s="299">
        <f>'划分为金融负债的其他金融工具明细表L4-3'!A15</f>
        <v>0</v>
      </c>
      <c r="B13" s="301">
        <f>'划分为金融负债的其他金融工具明细表L4-3'!AM15</f>
        <v>0</v>
      </c>
      <c r="C13" s="300">
        <f>'划分为金融负债的其他金融工具明细表L4-3'!AG15</f>
        <v>0</v>
      </c>
    </row>
    <row r="14" spans="1:19" ht="19.95" customHeight="1">
      <c r="A14" s="299">
        <f>'划分为金融负债的其他金融工具明细表L4-3'!A16</f>
        <v>0</v>
      </c>
      <c r="B14" s="301">
        <f>'划分为金融负债的其他金融工具明细表L4-3'!AM16</f>
        <v>0</v>
      </c>
      <c r="C14" s="300">
        <f>'划分为金融负债的其他金融工具明细表L4-3'!AG16</f>
        <v>0</v>
      </c>
    </row>
    <row r="15" spans="1:19" ht="19.95" customHeight="1">
      <c r="A15" s="299">
        <f>'划分为金融负债的其他金融工具明细表L4-3'!A17</f>
        <v>0</v>
      </c>
      <c r="B15" s="301">
        <f>'划分为金融负债的其他金融工具明细表L4-3'!AM17</f>
        <v>0</v>
      </c>
      <c r="C15" s="300">
        <f>'划分为金融负债的其他金融工具明细表L4-3'!AG17</f>
        <v>0</v>
      </c>
    </row>
    <row r="16" spans="1:19" ht="19.95" customHeight="1">
      <c r="A16" s="297" t="s">
        <v>102</v>
      </c>
      <c r="B16" s="302">
        <f>SUM(B7:B15)</f>
        <v>0</v>
      </c>
      <c r="C16" s="302">
        <f>SUM(C7:C15)</f>
        <v>0</v>
      </c>
    </row>
    <row r="17" spans="1:10" ht="19.95" customHeight="1">
      <c r="A17" s="303" t="s">
        <v>104</v>
      </c>
      <c r="B17" s="304" t="s">
        <v>105</v>
      </c>
      <c r="C17" s="303" t="s">
        <v>107</v>
      </c>
      <c r="D17" s="303" t="s">
        <v>108</v>
      </c>
      <c r="E17" s="303" t="s">
        <v>109</v>
      </c>
      <c r="F17" s="303" t="s">
        <v>161</v>
      </c>
      <c r="G17" s="303" t="s">
        <v>162</v>
      </c>
      <c r="H17" s="303" t="s">
        <v>163</v>
      </c>
      <c r="I17" s="303" t="s">
        <v>164</v>
      </c>
      <c r="J17" s="303" t="s">
        <v>117</v>
      </c>
    </row>
    <row r="18" spans="1:10" ht="19.95" customHeight="1">
      <c r="A18" s="299">
        <f>'应付债券明细表L4-2'!B15</f>
        <v>0</v>
      </c>
      <c r="B18" s="305">
        <f>'应付债券明细表L4-2'!G15</f>
        <v>0</v>
      </c>
      <c r="C18" s="305">
        <f>'应付债券明细表L4-2'!C15</f>
        <v>0</v>
      </c>
      <c r="D18" s="305">
        <f>'应付债券明细表L4-2'!E15</f>
        <v>0</v>
      </c>
      <c r="E18" s="305">
        <f>'应付债券明细表L4-2'!H15</f>
        <v>0</v>
      </c>
      <c r="F18" s="300">
        <f>'应付债券明细表L4-2'!BK15</f>
        <v>0</v>
      </c>
      <c r="G18" s="300">
        <f>'应付债券明细表L4-2'!BS15</f>
        <v>0</v>
      </c>
      <c r="H18" s="300">
        <f>'应付债券明细表L4-2'!BY15</f>
        <v>0</v>
      </c>
      <c r="I18" s="300">
        <f>'应付债券明细表L4-2'!CE15</f>
        <v>0</v>
      </c>
      <c r="J18" s="300">
        <f>'应付债券明细表L4-2'!CF15</f>
        <v>0</v>
      </c>
    </row>
    <row r="19" spans="1:10" ht="19.95" customHeight="1">
      <c r="A19" s="299">
        <f>'应付债券明细表L4-2'!B16</f>
        <v>0</v>
      </c>
      <c r="B19" s="305">
        <f>'应付债券明细表L4-2'!G16</f>
        <v>0</v>
      </c>
      <c r="C19" s="305">
        <f>'应付债券明细表L4-2'!C16</f>
        <v>0</v>
      </c>
      <c r="D19" s="305">
        <f>'应付债券明细表L4-2'!E16</f>
        <v>0</v>
      </c>
      <c r="E19" s="305">
        <f>'应付债券明细表L4-2'!H16</f>
        <v>0</v>
      </c>
      <c r="F19" s="300">
        <f>'应付债券明细表L4-2'!BK16</f>
        <v>0</v>
      </c>
      <c r="G19" s="300">
        <f>'应付债券明细表L4-2'!BS16</f>
        <v>0</v>
      </c>
      <c r="H19" s="300">
        <f>'应付债券明细表L4-2'!BY16</f>
        <v>0</v>
      </c>
      <c r="I19" s="300">
        <f>'应付债券明细表L4-2'!CE16</f>
        <v>0</v>
      </c>
      <c r="J19" s="300">
        <f>'应付债券明细表L4-2'!CF16</f>
        <v>0</v>
      </c>
    </row>
    <row r="20" spans="1:10" ht="19.95" customHeight="1">
      <c r="A20" s="299">
        <f>'应付债券明细表L4-2'!B19</f>
        <v>0</v>
      </c>
      <c r="B20" s="305">
        <f>'应付债券明细表L4-2'!G19</f>
        <v>0</v>
      </c>
      <c r="C20" s="305">
        <f>'应付债券明细表L4-2'!C19</f>
        <v>0</v>
      </c>
      <c r="D20" s="305">
        <f>'应付债券明细表L4-2'!E19</f>
        <v>0</v>
      </c>
      <c r="E20" s="305">
        <f>'应付债券明细表L4-2'!H19</f>
        <v>0</v>
      </c>
      <c r="F20" s="300">
        <f>'应付债券明细表L4-2'!BK19</f>
        <v>0</v>
      </c>
      <c r="G20" s="300">
        <f>'应付债券明细表L4-2'!BS19</f>
        <v>0</v>
      </c>
      <c r="H20" s="300">
        <f>'应付债券明细表L4-2'!BY19</f>
        <v>0</v>
      </c>
      <c r="I20" s="300">
        <f>'应付债券明细表L4-2'!CE19</f>
        <v>0</v>
      </c>
      <c r="J20" s="300">
        <f>'应付债券明细表L4-2'!CF19</f>
        <v>0</v>
      </c>
    </row>
    <row r="21" spans="1:10" ht="19.95" customHeight="1">
      <c r="A21" s="299">
        <f>'应付债券明细表L4-2'!B20</f>
        <v>0</v>
      </c>
      <c r="B21" s="305">
        <f>'应付债券明细表L4-2'!G20</f>
        <v>0</v>
      </c>
      <c r="C21" s="305">
        <f>'应付债券明细表L4-2'!C20</f>
        <v>0</v>
      </c>
      <c r="D21" s="305">
        <f>'应付债券明细表L4-2'!E20</f>
        <v>0</v>
      </c>
      <c r="E21" s="305">
        <f>'应付债券明细表L4-2'!H20</f>
        <v>0</v>
      </c>
      <c r="F21" s="300">
        <f>'应付债券明细表L4-2'!BK20</f>
        <v>0</v>
      </c>
      <c r="G21" s="300">
        <f>'应付债券明细表L4-2'!BS20</f>
        <v>0</v>
      </c>
      <c r="H21" s="300">
        <f>'应付债券明细表L4-2'!BY20</f>
        <v>0</v>
      </c>
      <c r="I21" s="300">
        <f>'应付债券明细表L4-2'!CE20</f>
        <v>0</v>
      </c>
      <c r="J21" s="300">
        <f>'应付债券明细表L4-2'!CF20</f>
        <v>0</v>
      </c>
    </row>
    <row r="22" spans="1:10" ht="19.95" customHeight="1">
      <c r="A22" s="306" t="s">
        <v>165</v>
      </c>
      <c r="B22" s="307" t="s">
        <v>166</v>
      </c>
      <c r="C22" s="307" t="s">
        <v>166</v>
      </c>
      <c r="D22" s="307" t="s">
        <v>166</v>
      </c>
      <c r="E22" s="307" t="s">
        <v>166</v>
      </c>
      <c r="F22" s="307"/>
      <c r="G22" s="307"/>
      <c r="H22" s="307"/>
      <c r="I22" s="307"/>
      <c r="J22" s="324">
        <f>SUM(J18:J21)</f>
        <v>0</v>
      </c>
    </row>
    <row r="23" spans="1:10" ht="19.95" customHeight="1">
      <c r="A23" s="308" t="s">
        <v>119</v>
      </c>
      <c r="B23" s="309"/>
      <c r="C23" s="309"/>
      <c r="D23" s="309"/>
      <c r="E23" s="309"/>
      <c r="F23" s="309"/>
      <c r="G23" s="309"/>
      <c r="H23" s="309"/>
      <c r="I23" s="309"/>
      <c r="J23" s="325">
        <f>'应付债券明细表L4-2'!CG22</f>
        <v>0</v>
      </c>
    </row>
    <row r="24" spans="1:10" ht="19.95" customHeight="1">
      <c r="A24" s="306" t="s">
        <v>167</v>
      </c>
      <c r="B24" s="307" t="s">
        <v>166</v>
      </c>
      <c r="C24" s="307" t="s">
        <v>166</v>
      </c>
      <c r="D24" s="307" t="s">
        <v>166</v>
      </c>
      <c r="E24" s="307" t="s">
        <v>166</v>
      </c>
      <c r="F24" s="309"/>
      <c r="G24" s="309"/>
      <c r="H24" s="309"/>
      <c r="I24" s="309"/>
      <c r="J24" s="325">
        <f>J22-J23</f>
        <v>0</v>
      </c>
    </row>
    <row r="25" spans="1:10" ht="19.95" customHeight="1">
      <c r="A25" s="465" t="s">
        <v>168</v>
      </c>
      <c r="B25" s="465"/>
      <c r="C25" s="465"/>
      <c r="D25" s="465"/>
    </row>
    <row r="26" spans="1:10" ht="19.95" customHeight="1">
      <c r="A26" s="459" t="s">
        <v>169</v>
      </c>
      <c r="B26" s="459"/>
      <c r="C26" s="459"/>
      <c r="D26" s="459"/>
      <c r="E26" s="459"/>
      <c r="F26" s="459"/>
      <c r="G26" s="459"/>
      <c r="H26" s="459"/>
      <c r="I26" s="459"/>
      <c r="J26" s="459"/>
    </row>
    <row r="27" spans="1:10" ht="31.5" customHeight="1">
      <c r="A27" s="459" t="s">
        <v>170</v>
      </c>
      <c r="B27" s="459"/>
      <c r="C27" s="459"/>
      <c r="D27" s="459"/>
      <c r="E27" s="459"/>
      <c r="F27" s="459"/>
      <c r="G27" s="459"/>
      <c r="H27" s="459"/>
      <c r="I27" s="459"/>
      <c r="J27" s="459"/>
    </row>
    <row r="28" spans="1:10" ht="36.450000000000003" customHeight="1">
      <c r="A28" s="459" t="s">
        <v>171</v>
      </c>
      <c r="B28" s="459"/>
      <c r="C28" s="459"/>
      <c r="D28" s="459"/>
      <c r="E28" s="459"/>
      <c r="F28" s="459"/>
      <c r="G28" s="459"/>
      <c r="H28" s="459"/>
      <c r="I28" s="459"/>
      <c r="J28" s="459"/>
    </row>
    <row r="29" spans="1:10" ht="19.95" customHeight="1">
      <c r="A29" s="460" t="s">
        <v>126</v>
      </c>
      <c r="B29" s="460"/>
    </row>
    <row r="30" spans="1:10" ht="19.95" customHeight="1">
      <c r="A30" s="454" t="s">
        <v>127</v>
      </c>
      <c r="B30" s="454"/>
      <c r="C30" s="454"/>
      <c r="D30" s="454"/>
      <c r="E30" s="454"/>
      <c r="F30" s="454"/>
      <c r="G30" s="454"/>
    </row>
    <row r="31" spans="1:10" ht="19.95" customHeight="1">
      <c r="A31" s="461" t="s">
        <v>128</v>
      </c>
      <c r="B31" s="461"/>
      <c r="C31" s="461"/>
      <c r="D31" s="461"/>
      <c r="E31" s="461"/>
      <c r="F31" s="461"/>
      <c r="G31" s="461"/>
    </row>
    <row r="32" spans="1:10" ht="19.95" customHeight="1">
      <c r="A32" s="311" t="s">
        <v>129</v>
      </c>
    </row>
    <row r="33" spans="1:10" ht="19.95" customHeight="1">
      <c r="A33" s="312" t="s">
        <v>130</v>
      </c>
      <c r="B33" s="313" t="s">
        <v>131</v>
      </c>
      <c r="C33" s="313" t="s">
        <v>132</v>
      </c>
      <c r="D33" s="313" t="s">
        <v>133</v>
      </c>
      <c r="E33" s="313" t="s">
        <v>134</v>
      </c>
      <c r="F33" s="314" t="s">
        <v>135</v>
      </c>
      <c r="G33" s="314" t="s">
        <v>136</v>
      </c>
      <c r="H33" s="313" t="s">
        <v>137</v>
      </c>
      <c r="I33" s="314" t="s">
        <v>138</v>
      </c>
      <c r="J33" s="313" t="s">
        <v>139</v>
      </c>
    </row>
    <row r="34" spans="1:10" ht="19.95" customHeight="1">
      <c r="A34" s="310">
        <f>'划分为金融负债的其他金融工具明细表L4-3'!A13</f>
        <v>0</v>
      </c>
      <c r="B34" s="315">
        <f>'划分为金融负债的其他金融工具明细表L4-3'!C13</f>
        <v>0</v>
      </c>
      <c r="C34" s="315">
        <f>'划分为金融负债的其他金融工具明细表L4-3'!D13</f>
        <v>0</v>
      </c>
      <c r="D34" s="315">
        <f>'划分为金融负债的其他金融工具明细表L4-3'!E13</f>
        <v>0</v>
      </c>
      <c r="E34" s="315">
        <f>'划分为金融负债的其他金融工具明细表L4-3'!F13</f>
        <v>0</v>
      </c>
      <c r="F34" s="315">
        <f>'划分为金融负债的其他金融工具明细表L4-3'!G13</f>
        <v>0</v>
      </c>
      <c r="G34" s="315">
        <f>'划分为金融负债的其他金融工具明细表L4-3'!H13</f>
        <v>0</v>
      </c>
      <c r="H34" s="315">
        <f>'划分为金融负债的其他金融工具明细表L4-3'!I13</f>
        <v>0</v>
      </c>
      <c r="I34" s="315">
        <f>'划分为金融负债的其他金融工具明细表L4-3'!J13</f>
        <v>0</v>
      </c>
      <c r="J34" s="315">
        <f>'划分为金融负债的其他金融工具明细表L4-3'!K13</f>
        <v>0</v>
      </c>
    </row>
    <row r="35" spans="1:10" ht="19.95" customHeight="1">
      <c r="A35" s="310">
        <f>'划分为金融负债的其他金融工具明细表L4-3'!A14</f>
        <v>0</v>
      </c>
      <c r="B35" s="315">
        <f>'划分为金融负债的其他金融工具明细表L4-3'!C14</f>
        <v>0</v>
      </c>
      <c r="C35" s="315">
        <f>'划分为金融负债的其他金融工具明细表L4-3'!D14</f>
        <v>0</v>
      </c>
      <c r="D35" s="315">
        <f>'划分为金融负债的其他金融工具明细表L4-3'!E14</f>
        <v>0</v>
      </c>
      <c r="E35" s="315">
        <f>'划分为金融负债的其他金融工具明细表L4-3'!F14</f>
        <v>0</v>
      </c>
      <c r="F35" s="315">
        <f>'划分为金融负债的其他金融工具明细表L4-3'!G14</f>
        <v>0</v>
      </c>
      <c r="G35" s="315">
        <f>'划分为金融负债的其他金融工具明细表L4-3'!H14</f>
        <v>0</v>
      </c>
      <c r="H35" s="315">
        <f>'划分为金融负债的其他金融工具明细表L4-3'!I14</f>
        <v>0</v>
      </c>
      <c r="I35" s="315">
        <f>'划分为金融负债的其他金融工具明细表L4-3'!J14</f>
        <v>0</v>
      </c>
      <c r="J35" s="315">
        <f>'划分为金融负债的其他金融工具明细表L4-3'!K14</f>
        <v>0</v>
      </c>
    </row>
    <row r="36" spans="1:10" ht="19.95" customHeight="1">
      <c r="A36" s="310">
        <f>'划分为金融负债的其他金融工具明细表L4-3'!A15</f>
        <v>0</v>
      </c>
      <c r="B36" s="315">
        <f>'划分为金融负债的其他金融工具明细表L4-3'!C15</f>
        <v>0</v>
      </c>
      <c r="C36" s="315">
        <f>'划分为金融负债的其他金融工具明细表L4-3'!D15</f>
        <v>0</v>
      </c>
      <c r="D36" s="315">
        <f>'划分为金融负债的其他金融工具明细表L4-3'!E15</f>
        <v>0</v>
      </c>
      <c r="E36" s="315">
        <f>'划分为金融负债的其他金融工具明细表L4-3'!F15</f>
        <v>0</v>
      </c>
      <c r="F36" s="315">
        <f>'划分为金融负债的其他金融工具明细表L4-3'!G15</f>
        <v>0</v>
      </c>
      <c r="G36" s="315">
        <f>'划分为金融负债的其他金融工具明细表L4-3'!H15</f>
        <v>0</v>
      </c>
      <c r="H36" s="315">
        <f>'划分为金融负债的其他金融工具明细表L4-3'!I15</f>
        <v>0</v>
      </c>
      <c r="I36" s="315">
        <f>'划分为金融负债的其他金融工具明细表L4-3'!J15</f>
        <v>0</v>
      </c>
      <c r="J36" s="315">
        <f>'划分为金融负债的其他金融工具明细表L4-3'!K15</f>
        <v>0</v>
      </c>
    </row>
    <row r="37" spans="1:10" ht="19.95" customHeight="1">
      <c r="A37" s="310">
        <f>'划分为金融负债的其他金融工具明细表L4-3'!A16</f>
        <v>0</v>
      </c>
      <c r="B37" s="315">
        <f>'划分为金融负债的其他金融工具明细表L4-3'!C16</f>
        <v>0</v>
      </c>
      <c r="C37" s="315">
        <f>'划分为金融负债的其他金融工具明细表L4-3'!D16</f>
        <v>0</v>
      </c>
      <c r="D37" s="315">
        <f>'划分为金融负债的其他金融工具明细表L4-3'!E16</f>
        <v>0</v>
      </c>
      <c r="E37" s="315">
        <f>'划分为金融负债的其他金融工具明细表L4-3'!F16</f>
        <v>0</v>
      </c>
      <c r="F37" s="315">
        <f>'划分为金融负债的其他金融工具明细表L4-3'!G16</f>
        <v>0</v>
      </c>
      <c r="G37" s="315">
        <f>'划分为金融负债的其他金融工具明细表L4-3'!H16</f>
        <v>0</v>
      </c>
      <c r="H37" s="315">
        <f>'划分为金融负债的其他金融工具明细表L4-3'!I16</f>
        <v>0</v>
      </c>
      <c r="I37" s="315">
        <f>'划分为金融负债的其他金融工具明细表L4-3'!J16</f>
        <v>0</v>
      </c>
      <c r="J37" s="315">
        <f>'划分为金融负债的其他金融工具明细表L4-3'!K16</f>
        <v>0</v>
      </c>
    </row>
    <row r="38" spans="1:10" ht="19.95" customHeight="1">
      <c r="A38" s="310">
        <f>'划分为金融负债的其他金融工具明细表L4-3'!A17</f>
        <v>0</v>
      </c>
      <c r="B38" s="315">
        <f>'划分为金融负债的其他金融工具明细表L4-3'!C17</f>
        <v>0</v>
      </c>
      <c r="C38" s="315">
        <f>'划分为金融负债的其他金融工具明细表L4-3'!D17</f>
        <v>0</v>
      </c>
      <c r="D38" s="315">
        <f>'划分为金融负债的其他金融工具明细表L4-3'!E17</f>
        <v>0</v>
      </c>
      <c r="E38" s="315">
        <f>'划分为金融负债的其他金融工具明细表L4-3'!F17</f>
        <v>0</v>
      </c>
      <c r="F38" s="315">
        <f>'划分为金融负债的其他金融工具明细表L4-3'!G17</f>
        <v>0</v>
      </c>
      <c r="G38" s="315">
        <f>'划分为金融负债的其他金融工具明细表L4-3'!H17</f>
        <v>0</v>
      </c>
      <c r="H38" s="315">
        <f>'划分为金融负债的其他金融工具明细表L4-3'!I17</f>
        <v>0</v>
      </c>
      <c r="I38" s="315">
        <f>'划分为金融负债的其他金融工具明细表L4-3'!J17</f>
        <v>0</v>
      </c>
      <c r="J38" s="315">
        <f>'划分为金融负债的其他金融工具明细表L4-3'!K17</f>
        <v>0</v>
      </c>
    </row>
    <row r="39" spans="1:10" ht="19.95" customHeight="1">
      <c r="A39" s="310" t="s">
        <v>140</v>
      </c>
      <c r="B39" s="315"/>
      <c r="C39" s="310"/>
      <c r="D39" s="310"/>
      <c r="E39" s="310"/>
      <c r="F39" s="316"/>
      <c r="G39" s="316"/>
      <c r="H39" s="310"/>
      <c r="I39" s="310"/>
      <c r="J39" s="310"/>
    </row>
    <row r="40" spans="1:10" ht="19.95" customHeight="1">
      <c r="A40" s="312" t="s">
        <v>141</v>
      </c>
      <c r="B40" s="312"/>
      <c r="C40" s="312"/>
      <c r="D40" s="312"/>
      <c r="E40" s="312"/>
      <c r="F40" s="313"/>
      <c r="G40" s="317">
        <f>SUM(G34:G39)</f>
        <v>0</v>
      </c>
      <c r="H40" s="312"/>
      <c r="I40" s="312"/>
      <c r="J40" s="312"/>
    </row>
    <row r="41" spans="1:10" ht="19.95" customHeight="1">
      <c r="A41" s="311" t="s">
        <v>142</v>
      </c>
    </row>
    <row r="42" spans="1:10" ht="19.95" customHeight="1">
      <c r="A42" s="454" t="s">
        <v>143</v>
      </c>
      <c r="B42" s="454"/>
      <c r="C42" s="454"/>
      <c r="D42" s="454"/>
      <c r="E42" s="454"/>
      <c r="F42" s="454"/>
      <c r="G42" s="454"/>
      <c r="H42" s="454"/>
      <c r="I42" s="454"/>
      <c r="J42" s="454"/>
    </row>
    <row r="43" spans="1:10" ht="19.95" customHeight="1">
      <c r="A43" s="454" t="s">
        <v>144</v>
      </c>
      <c r="B43" s="454"/>
      <c r="C43" s="454"/>
      <c r="D43" s="454"/>
      <c r="E43" s="454"/>
      <c r="F43" s="454"/>
      <c r="G43" s="454"/>
      <c r="H43" s="454"/>
      <c r="I43" s="454"/>
      <c r="J43" s="454"/>
    </row>
    <row r="44" spans="1:10" ht="19.95" customHeight="1">
      <c r="A44" s="454" t="s">
        <v>145</v>
      </c>
      <c r="B44" s="454"/>
      <c r="C44" s="454"/>
      <c r="D44" s="454"/>
      <c r="E44" s="454"/>
      <c r="F44" s="454"/>
      <c r="G44" s="454"/>
      <c r="H44" s="454"/>
      <c r="I44" s="454"/>
      <c r="J44" s="454"/>
    </row>
    <row r="45" spans="1:10" ht="19.95" customHeight="1">
      <c r="A45" s="318" t="s">
        <v>146</v>
      </c>
    </row>
    <row r="46" spans="1:10" ht="19.95" customHeight="1">
      <c r="A46" s="454" t="s">
        <v>147</v>
      </c>
      <c r="B46" s="454"/>
      <c r="C46" s="454"/>
      <c r="D46" s="454"/>
      <c r="E46" s="454"/>
      <c r="F46" s="454"/>
      <c r="G46" s="454"/>
      <c r="H46" s="454"/>
      <c r="I46" s="454"/>
      <c r="J46" s="454"/>
    </row>
    <row r="47" spans="1:10" ht="19.95" customHeight="1">
      <c r="A47" s="454" t="s">
        <v>148</v>
      </c>
      <c r="B47" s="454"/>
      <c r="C47" s="454"/>
      <c r="D47" s="454"/>
      <c r="E47" s="454"/>
      <c r="F47" s="454"/>
      <c r="G47" s="454"/>
      <c r="H47" s="454"/>
      <c r="I47" s="454"/>
      <c r="J47" s="454"/>
    </row>
    <row r="48" spans="1:10" ht="19.95" customHeight="1">
      <c r="A48" s="454" t="s">
        <v>149</v>
      </c>
      <c r="B48" s="454"/>
      <c r="C48" s="454"/>
      <c r="D48" s="454"/>
      <c r="E48" s="454"/>
      <c r="F48" s="454"/>
      <c r="G48" s="454"/>
      <c r="H48" s="454"/>
      <c r="I48" s="454"/>
      <c r="J48" s="454"/>
    </row>
    <row r="49" spans="1:10" ht="19.95" customHeight="1">
      <c r="A49" s="311" t="s">
        <v>150</v>
      </c>
    </row>
    <row r="50" spans="1:10" ht="19.95" customHeight="1">
      <c r="A50" s="454" t="s">
        <v>151</v>
      </c>
      <c r="B50" s="454"/>
      <c r="C50" s="454"/>
      <c r="D50" s="454"/>
      <c r="E50" s="454"/>
      <c r="F50" s="454"/>
      <c r="G50" s="454"/>
      <c r="H50" s="454"/>
      <c r="I50" s="454"/>
      <c r="J50" s="454"/>
    </row>
    <row r="51" spans="1:10" ht="19.95" customHeight="1">
      <c r="A51" s="457" t="s">
        <v>152</v>
      </c>
      <c r="B51" s="457"/>
      <c r="C51" s="457"/>
    </row>
    <row r="52" spans="1:10" ht="19.95" customHeight="1">
      <c r="A52" s="455" t="s">
        <v>153</v>
      </c>
      <c r="B52" s="458" t="s">
        <v>172</v>
      </c>
      <c r="C52" s="458"/>
      <c r="D52" s="458" t="s">
        <v>155</v>
      </c>
      <c r="E52" s="458"/>
      <c r="F52" s="458" t="s">
        <v>156</v>
      </c>
      <c r="G52" s="458"/>
      <c r="H52" s="458" t="s">
        <v>173</v>
      </c>
      <c r="I52" s="458"/>
    </row>
    <row r="53" spans="1:10" ht="19.95" customHeight="1">
      <c r="A53" s="456"/>
      <c r="B53" s="320" t="s">
        <v>157</v>
      </c>
      <c r="C53" s="320" t="s">
        <v>158</v>
      </c>
      <c r="D53" s="320" t="s">
        <v>157</v>
      </c>
      <c r="E53" s="320" t="s">
        <v>158</v>
      </c>
      <c r="F53" s="320" t="s">
        <v>157</v>
      </c>
      <c r="G53" s="320" t="s">
        <v>158</v>
      </c>
      <c r="H53" s="320" t="s">
        <v>157</v>
      </c>
      <c r="I53" s="320" t="s">
        <v>158</v>
      </c>
    </row>
    <row r="54" spans="1:10" ht="19.95" customHeight="1">
      <c r="A54" s="321">
        <f>'划分为金融负债的其他金融工具明细表L4-3'!A13</f>
        <v>0</v>
      </c>
      <c r="B54" s="322">
        <f>'划分为金融负债的其他金融工具明细表L4-3'!AF13</f>
        <v>0</v>
      </c>
      <c r="C54" s="322">
        <f>'划分为金融负债的其他金融工具明细表L4-3'!AG13</f>
        <v>0</v>
      </c>
      <c r="D54" s="322">
        <f>'划分为金融负债的其他金融工具明细表L4-3'!AH13</f>
        <v>0</v>
      </c>
      <c r="E54" s="322">
        <f>'划分为金融负债的其他金融工具明细表L4-3'!AI13</f>
        <v>0</v>
      </c>
      <c r="F54" s="322">
        <f>'划分为金融负债的其他金融工具明细表L4-3'!AJ13</f>
        <v>0</v>
      </c>
      <c r="G54" s="322">
        <f>'划分为金融负债的其他金融工具明细表L4-3'!AK13</f>
        <v>0</v>
      </c>
      <c r="H54" s="322">
        <f>'划分为金融负债的其他金融工具明细表L4-3'!AL13</f>
        <v>0</v>
      </c>
      <c r="I54" s="322">
        <f>'划分为金融负债的其他金融工具明细表L4-3'!AM13</f>
        <v>0</v>
      </c>
    </row>
    <row r="55" spans="1:10" ht="19.95" customHeight="1">
      <c r="A55" s="321">
        <f>'划分为金融负债的其他金融工具明细表L4-3'!A14</f>
        <v>0</v>
      </c>
      <c r="B55" s="322">
        <f>'划分为金融负债的其他金融工具明细表L4-3'!AF14</f>
        <v>0</v>
      </c>
      <c r="C55" s="322">
        <f>'划分为金融负债的其他金融工具明细表L4-3'!AG14</f>
        <v>0</v>
      </c>
      <c r="D55" s="322">
        <f>'划分为金融负债的其他金融工具明细表L4-3'!AH14</f>
        <v>0</v>
      </c>
      <c r="E55" s="322">
        <f>'划分为金融负债的其他金融工具明细表L4-3'!AI14</f>
        <v>0</v>
      </c>
      <c r="F55" s="322">
        <f>'划分为金融负债的其他金融工具明细表L4-3'!AJ14</f>
        <v>0</v>
      </c>
      <c r="G55" s="322">
        <f>'划分为金融负债的其他金融工具明细表L4-3'!AK14</f>
        <v>0</v>
      </c>
      <c r="H55" s="322">
        <f>'划分为金融负债的其他金融工具明细表L4-3'!AL14</f>
        <v>0</v>
      </c>
      <c r="I55" s="322">
        <f>'划分为金融负债的其他金融工具明细表L4-3'!AM14</f>
        <v>0</v>
      </c>
    </row>
    <row r="56" spans="1:10" ht="19.95" customHeight="1">
      <c r="A56" s="321">
        <f>'划分为金融负债的其他金融工具明细表L4-3'!A15</f>
        <v>0</v>
      </c>
      <c r="B56" s="322">
        <f>'划分为金融负债的其他金融工具明细表L4-3'!AF15</f>
        <v>0</v>
      </c>
      <c r="C56" s="322">
        <f>'划分为金融负债的其他金融工具明细表L4-3'!AG15</f>
        <v>0</v>
      </c>
      <c r="D56" s="322">
        <f>'划分为金融负债的其他金融工具明细表L4-3'!AH15</f>
        <v>0</v>
      </c>
      <c r="E56" s="322">
        <f>'划分为金融负债的其他金融工具明细表L4-3'!AI15</f>
        <v>0</v>
      </c>
      <c r="F56" s="322">
        <f>'划分为金融负债的其他金融工具明细表L4-3'!AJ15</f>
        <v>0</v>
      </c>
      <c r="G56" s="322">
        <f>'划分为金融负债的其他金融工具明细表L4-3'!AK15</f>
        <v>0</v>
      </c>
      <c r="H56" s="322">
        <f>'划分为金融负债的其他金融工具明细表L4-3'!AL15</f>
        <v>0</v>
      </c>
      <c r="I56" s="322">
        <f>'划分为金融负债的其他金融工具明细表L4-3'!AM15</f>
        <v>0</v>
      </c>
    </row>
    <row r="57" spans="1:10" ht="19.95" customHeight="1">
      <c r="A57" s="321">
        <f>'划分为金融负债的其他金融工具明细表L4-3'!A16</f>
        <v>0</v>
      </c>
      <c r="B57" s="322">
        <f>'划分为金融负债的其他金融工具明细表L4-3'!AF16</f>
        <v>0</v>
      </c>
      <c r="C57" s="322">
        <f>'划分为金融负债的其他金融工具明细表L4-3'!AG16</f>
        <v>0</v>
      </c>
      <c r="D57" s="322">
        <f>'划分为金融负债的其他金融工具明细表L4-3'!AH16</f>
        <v>0</v>
      </c>
      <c r="E57" s="322">
        <f>'划分为金融负债的其他金融工具明细表L4-3'!AI16</f>
        <v>0</v>
      </c>
      <c r="F57" s="322">
        <f>'划分为金融负债的其他金融工具明细表L4-3'!AJ16</f>
        <v>0</v>
      </c>
      <c r="G57" s="322">
        <f>'划分为金融负债的其他金融工具明细表L4-3'!AK16</f>
        <v>0</v>
      </c>
      <c r="H57" s="322">
        <f>'划分为金融负债的其他金融工具明细表L4-3'!AL16</f>
        <v>0</v>
      </c>
      <c r="I57" s="322">
        <f>'划分为金融负债的其他金融工具明细表L4-3'!AM16</f>
        <v>0</v>
      </c>
    </row>
    <row r="58" spans="1:10" ht="19.95" customHeight="1">
      <c r="A58" s="321">
        <f>'划分为金融负债的其他金融工具明细表L4-3'!A17</f>
        <v>0</v>
      </c>
      <c r="B58" s="322">
        <f>'划分为金融负债的其他金融工具明细表L4-3'!AF17</f>
        <v>0</v>
      </c>
      <c r="C58" s="322">
        <f>'划分为金融负债的其他金融工具明细表L4-3'!AG17</f>
        <v>0</v>
      </c>
      <c r="D58" s="322">
        <f>'划分为金融负债的其他金融工具明细表L4-3'!AH17</f>
        <v>0</v>
      </c>
      <c r="E58" s="322">
        <f>'划分为金融负债的其他金融工具明细表L4-3'!AI17</f>
        <v>0</v>
      </c>
      <c r="F58" s="322">
        <f>'划分为金融负债的其他金融工具明细表L4-3'!AJ17</f>
        <v>0</v>
      </c>
      <c r="G58" s="322">
        <f>'划分为金融负债的其他金融工具明细表L4-3'!AK17</f>
        <v>0</v>
      </c>
      <c r="H58" s="322">
        <f>'划分为金融负债的其他金融工具明细表L4-3'!AL17</f>
        <v>0</v>
      </c>
      <c r="I58" s="322">
        <f>'划分为金融负债的其他金融工具明细表L4-3'!AM17</f>
        <v>0</v>
      </c>
    </row>
    <row r="59" spans="1:10" ht="19.95" customHeight="1">
      <c r="A59" s="310" t="s">
        <v>140</v>
      </c>
      <c r="B59" s="322"/>
      <c r="C59" s="322"/>
      <c r="D59" s="322"/>
      <c r="E59" s="322"/>
      <c r="F59" s="322"/>
      <c r="G59" s="322"/>
      <c r="H59" s="322"/>
      <c r="I59" s="322"/>
    </row>
    <row r="60" spans="1:10" ht="19.95" customHeight="1">
      <c r="A60" s="319" t="s">
        <v>120</v>
      </c>
      <c r="B60" s="320"/>
      <c r="C60" s="320"/>
      <c r="D60" s="323"/>
      <c r="E60" s="320"/>
      <c r="F60" s="320"/>
      <c r="G60" s="320"/>
      <c r="H60" s="323"/>
      <c r="I60" s="326">
        <f>SUM(I54:I59)</f>
        <v>0</v>
      </c>
    </row>
    <row r="61" spans="1:10" ht="19.95" customHeight="1">
      <c r="A61" s="454" t="s">
        <v>159</v>
      </c>
      <c r="B61" s="454"/>
      <c r="C61" s="454"/>
      <c r="D61" s="454"/>
      <c r="E61" s="454"/>
      <c r="F61" s="454"/>
      <c r="G61" s="454"/>
      <c r="H61" s="454"/>
      <c r="I61" s="454"/>
      <c r="J61" s="454"/>
    </row>
  </sheetData>
  <mergeCells count="23">
    <mergeCell ref="A1:J1"/>
    <mergeCell ref="A2:J2"/>
    <mergeCell ref="A25:D25"/>
    <mergeCell ref="A26:J26"/>
    <mergeCell ref="A27:J27"/>
    <mergeCell ref="A28:J28"/>
    <mergeCell ref="A29:B29"/>
    <mergeCell ref="A30:G30"/>
    <mergeCell ref="A31:G31"/>
    <mergeCell ref="A42:J42"/>
    <mergeCell ref="A43:J43"/>
    <mergeCell ref="A44:J44"/>
    <mergeCell ref="A46:J46"/>
    <mergeCell ref="A47:J47"/>
    <mergeCell ref="A48:J48"/>
    <mergeCell ref="A61:J61"/>
    <mergeCell ref="A52:A53"/>
    <mergeCell ref="A50:J50"/>
    <mergeCell ref="A51:C51"/>
    <mergeCell ref="B52:C52"/>
    <mergeCell ref="D52:E52"/>
    <mergeCell ref="F52:G52"/>
    <mergeCell ref="H52:I52"/>
  </mergeCells>
  <phoneticPr fontId="86" type="noConversion"/>
  <hyperlinks>
    <hyperlink ref="K2" location="底稿目录!A1" display="返回目录"/>
  </hyperlinks>
  <pageMargins left="0.70866141732283505" right="0.70866141732283505" top="0.74803149606299202" bottom="0.74803149606299202" header="0.31496062992126" footer="0.31496062992126"/>
  <pageSetup paperSize="9" scale="76" fitToHeight="0"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K35"/>
  <sheetViews>
    <sheetView view="pageBreakPreview" zoomScaleNormal="100" workbookViewId="0">
      <selection sqref="A1:AH1"/>
    </sheetView>
  </sheetViews>
  <sheetFormatPr defaultColWidth="9" defaultRowHeight="19.95" customHeight="1"/>
  <cols>
    <col min="1" max="39" width="9" style="177"/>
    <col min="40" max="40" width="11.5" style="177" customWidth="1"/>
    <col min="41" max="43" width="9" style="177"/>
    <col min="44" max="44" width="8.59765625" style="177" customWidth="1"/>
    <col min="45" max="16384" width="9" style="177"/>
  </cols>
  <sheetData>
    <row r="1" spans="1:89" s="44" customFormat="1" ht="19.95" customHeight="1">
      <c r="A1" s="474" t="s">
        <v>178</v>
      </c>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c r="AI1" s="474" t="s">
        <v>178</v>
      </c>
      <c r="AJ1" s="474"/>
      <c r="AK1" s="474"/>
      <c r="AL1" s="474"/>
      <c r="AM1" s="474"/>
      <c r="AN1" s="474"/>
      <c r="AO1" s="474"/>
      <c r="AP1" s="474"/>
      <c r="AQ1" s="474"/>
      <c r="AR1" s="474"/>
      <c r="AS1" s="474"/>
      <c r="AT1" s="474"/>
      <c r="AU1" s="474"/>
      <c r="AV1" s="474"/>
      <c r="AW1" s="474"/>
      <c r="AX1" s="474"/>
      <c r="AY1" s="474"/>
      <c r="AZ1" s="474"/>
      <c r="BA1" s="474"/>
      <c r="BB1" s="474"/>
      <c r="BC1" s="474"/>
      <c r="BD1" s="474"/>
      <c r="BE1" s="474"/>
      <c r="BF1" s="474"/>
      <c r="BG1" s="474" t="s">
        <v>178</v>
      </c>
      <c r="BH1" s="474"/>
      <c r="BI1" s="474"/>
      <c r="BJ1" s="474"/>
      <c r="BK1" s="474"/>
      <c r="BL1" s="474"/>
      <c r="BM1" s="474"/>
      <c r="BN1" s="474"/>
      <c r="BO1" s="474"/>
      <c r="BP1" s="474"/>
      <c r="BQ1" s="474"/>
      <c r="BR1" s="474"/>
      <c r="BS1" s="474"/>
      <c r="BT1" s="474"/>
      <c r="BU1" s="474"/>
      <c r="BV1" s="474"/>
      <c r="BW1" s="474"/>
      <c r="BX1" s="474"/>
      <c r="BY1" s="474"/>
      <c r="BZ1" s="474"/>
      <c r="CA1" s="474"/>
      <c r="CB1" s="474"/>
      <c r="CC1" s="474"/>
      <c r="CD1" s="474"/>
      <c r="CE1" s="474"/>
      <c r="CF1" s="474"/>
      <c r="CG1" s="474"/>
      <c r="CH1" s="474"/>
      <c r="CI1" s="474"/>
      <c r="CJ1" s="474"/>
    </row>
    <row r="2" spans="1:89" s="223" customFormat="1" ht="19.95" customHeight="1">
      <c r="A2" s="475" t="s">
        <v>179</v>
      </c>
      <c r="B2" s="475"/>
      <c r="C2" s="475"/>
      <c r="D2" s="475"/>
      <c r="E2" s="475"/>
      <c r="F2" s="475"/>
      <c r="G2" s="475"/>
      <c r="H2" s="475"/>
      <c r="I2" s="475"/>
      <c r="J2" s="475"/>
      <c r="K2" s="475"/>
      <c r="L2" s="475"/>
      <c r="M2" s="475"/>
      <c r="N2" s="475"/>
      <c r="O2" s="475"/>
      <c r="P2" s="475"/>
      <c r="Q2" s="475"/>
      <c r="R2" s="475"/>
      <c r="S2" s="475"/>
      <c r="T2" s="475"/>
      <c r="U2" s="475"/>
      <c r="V2" s="475"/>
      <c r="W2" s="475"/>
      <c r="X2" s="475"/>
      <c r="Y2" s="475"/>
      <c r="Z2" s="475"/>
      <c r="AA2" s="475"/>
      <c r="AB2" s="475"/>
      <c r="AC2" s="475"/>
      <c r="AD2" s="475"/>
      <c r="AE2" s="475"/>
      <c r="AF2" s="475"/>
      <c r="AG2" s="475"/>
      <c r="AH2" s="475"/>
      <c r="AI2" s="475" t="s">
        <v>180</v>
      </c>
      <c r="AJ2" s="475"/>
      <c r="AK2" s="475"/>
      <c r="AL2" s="475"/>
      <c r="AM2" s="475"/>
      <c r="AN2" s="475"/>
      <c r="AO2" s="475"/>
      <c r="AP2" s="475"/>
      <c r="AQ2" s="475"/>
      <c r="AR2" s="475"/>
      <c r="AS2" s="475"/>
      <c r="AT2" s="475"/>
      <c r="AU2" s="475"/>
      <c r="AV2" s="475"/>
      <c r="AW2" s="475"/>
      <c r="AX2" s="475"/>
      <c r="AY2" s="475"/>
      <c r="AZ2" s="475"/>
      <c r="BA2" s="475"/>
      <c r="BB2" s="475"/>
      <c r="BC2" s="475"/>
      <c r="BD2" s="475"/>
      <c r="BE2" s="475"/>
      <c r="BF2" s="475"/>
      <c r="BG2" s="475" t="s">
        <v>181</v>
      </c>
      <c r="BH2" s="475"/>
      <c r="BI2" s="475"/>
      <c r="BJ2" s="475"/>
      <c r="BK2" s="475"/>
      <c r="BL2" s="475"/>
      <c r="BM2" s="475"/>
      <c r="BN2" s="475"/>
      <c r="BO2" s="475"/>
      <c r="BP2" s="475"/>
      <c r="BQ2" s="475"/>
      <c r="BR2" s="475"/>
      <c r="BS2" s="475"/>
      <c r="BT2" s="475"/>
      <c r="BU2" s="475"/>
      <c r="BV2" s="475"/>
      <c r="BW2" s="475"/>
      <c r="BX2" s="475"/>
      <c r="BY2" s="475"/>
      <c r="BZ2" s="475"/>
      <c r="CA2" s="475"/>
      <c r="CB2" s="475"/>
      <c r="CC2" s="475"/>
      <c r="CD2" s="475"/>
      <c r="CE2" s="475"/>
      <c r="CF2" s="475"/>
      <c r="CG2" s="475"/>
      <c r="CH2" s="475"/>
      <c r="CI2" s="475"/>
      <c r="CJ2" s="475"/>
      <c r="CK2" s="238"/>
    </row>
    <row r="3" spans="1:89" s="2" customFormat="1" ht="19.95" customHeight="1">
      <c r="A3" s="2" t="str">
        <f>底稿目录!A2</f>
        <v>被审计单位：</v>
      </c>
      <c r="K3" s="2" t="str">
        <f>底稿目录!A4</f>
        <v>编制人：</v>
      </c>
      <c r="W3" s="2" t="str">
        <f>底稿目录!A5</f>
        <v>编制日期：</v>
      </c>
      <c r="AG3" s="74" t="s">
        <v>183</v>
      </c>
      <c r="AH3" s="402" t="str">
        <f>底稿目录!F7</f>
        <v>L4-2</v>
      </c>
      <c r="AR3" s="2" t="str">
        <f>底稿目录!A4</f>
        <v>编制人：</v>
      </c>
      <c r="AZ3" s="2" t="str">
        <f>底稿目录!A5</f>
        <v>编制日期：</v>
      </c>
      <c r="BE3" s="74" t="s">
        <v>183</v>
      </c>
      <c r="BF3" s="402" t="str">
        <f>底稿目录!F7</f>
        <v>L4-2</v>
      </c>
      <c r="BR3" s="2" t="str">
        <f>底稿目录!A4</f>
        <v>编制人：</v>
      </c>
      <c r="BZ3" s="2" t="str">
        <f>底稿目录!A5</f>
        <v>编制日期：</v>
      </c>
      <c r="CI3" s="74" t="s">
        <v>183</v>
      </c>
      <c r="CJ3" s="390" t="str">
        <f>底稿目录!F7</f>
        <v>L4-2</v>
      </c>
    </row>
    <row r="4" spans="1:89" s="2" customFormat="1" ht="19.95" customHeight="1">
      <c r="A4" s="2" t="str">
        <f>底稿目录!A3</f>
        <v>截止日：202X年12月31日</v>
      </c>
      <c r="K4" s="2" t="str">
        <f>底稿目录!A6</f>
        <v>复核人：</v>
      </c>
      <c r="W4" s="23" t="str">
        <f>底稿目录!A7</f>
        <v>复核日期：</v>
      </c>
      <c r="AG4" s="74" t="s">
        <v>175</v>
      </c>
      <c r="AR4" s="2" t="s">
        <v>10</v>
      </c>
      <c r="AZ4" s="2" t="str">
        <f>底稿目录!A7</f>
        <v>复核日期：</v>
      </c>
      <c r="BE4" s="74" t="s">
        <v>175</v>
      </c>
      <c r="BR4" s="23" t="s">
        <v>10</v>
      </c>
      <c r="BZ4" s="2" t="str">
        <f>底稿目录!A7</f>
        <v>复核日期：</v>
      </c>
      <c r="CI4" s="74" t="s">
        <v>175</v>
      </c>
    </row>
    <row r="5" spans="1:89" s="2" customFormat="1" ht="19.95" customHeight="1">
      <c r="A5" s="50"/>
      <c r="B5" s="243"/>
      <c r="C5" s="50" t="s">
        <v>184</v>
      </c>
      <c r="K5" s="74"/>
      <c r="S5" s="200"/>
      <c r="W5" s="74"/>
      <c r="X5" s="74"/>
      <c r="AA5" s="74"/>
      <c r="AI5" s="50"/>
      <c r="AZ5" s="23"/>
      <c r="BD5" s="74"/>
      <c r="BG5" s="275"/>
      <c r="BZ5" s="23"/>
      <c r="CD5" s="74"/>
    </row>
    <row r="6" spans="1:89" s="239" customFormat="1" ht="19.95" customHeight="1">
      <c r="A6" s="2"/>
      <c r="B6" s="244"/>
      <c r="C6" s="2" t="s">
        <v>185</v>
      </c>
      <c r="K6" s="262"/>
      <c r="S6" s="271"/>
      <c r="W6" s="262"/>
      <c r="X6" s="262"/>
      <c r="AA6" s="262"/>
      <c r="AI6" s="2"/>
      <c r="BD6" s="262"/>
      <c r="CD6" s="262"/>
    </row>
    <row r="7" spans="1:89" s="239" customFormat="1" ht="19.95" customHeight="1">
      <c r="A7" s="2"/>
      <c r="B7" s="244"/>
      <c r="C7" s="2" t="s">
        <v>186</v>
      </c>
      <c r="K7" s="262"/>
      <c r="S7" s="271"/>
      <c r="W7" s="262"/>
      <c r="X7" s="262"/>
      <c r="AA7" s="262"/>
      <c r="AI7" s="2"/>
      <c r="BD7" s="262"/>
      <c r="CD7" s="262"/>
    </row>
    <row r="8" spans="1:89" s="239" customFormat="1" ht="19.95" customHeight="1">
      <c r="A8" s="2"/>
      <c r="B8" s="244"/>
      <c r="C8" s="2" t="s">
        <v>187</v>
      </c>
      <c r="K8" s="262"/>
      <c r="S8" s="271"/>
      <c r="W8" s="262"/>
      <c r="X8" s="262"/>
      <c r="AA8" s="262"/>
      <c r="AI8" s="2"/>
      <c r="BD8" s="262"/>
      <c r="CD8" s="262"/>
    </row>
    <row r="9" spans="1:89" s="2" customFormat="1" ht="19.95" customHeight="1">
      <c r="A9" s="245"/>
      <c r="B9" s="243"/>
      <c r="C9" s="245" t="s">
        <v>188</v>
      </c>
      <c r="L9" s="263"/>
      <c r="S9" s="23"/>
      <c r="AA9" s="74"/>
      <c r="AI9" s="272"/>
      <c r="AJ9" s="273"/>
      <c r="AK9" s="273"/>
      <c r="AL9" s="273"/>
      <c r="AM9" s="273"/>
      <c r="AN9" s="273"/>
      <c r="AO9" s="273"/>
      <c r="AP9" s="273"/>
      <c r="AQ9" s="273"/>
      <c r="AR9" s="273"/>
      <c r="AS9" s="273"/>
      <c r="AT9" s="273"/>
      <c r="AU9" s="273"/>
      <c r="AV9" s="273"/>
      <c r="AW9" s="273"/>
      <c r="AX9" s="273"/>
      <c r="AY9" s="273"/>
      <c r="AZ9" s="273"/>
      <c r="BA9" s="273"/>
      <c r="BB9" s="273"/>
      <c r="BC9" s="273"/>
      <c r="BD9" s="273"/>
      <c r="BE9" s="273"/>
      <c r="BF9" s="273"/>
      <c r="BP9" s="275"/>
      <c r="BR9" s="23"/>
      <c r="BZ9" s="23"/>
      <c r="CD9" s="74"/>
    </row>
    <row r="10" spans="1:89" s="2" customFormat="1" ht="19.95" customHeight="1">
      <c r="A10" s="23"/>
      <c r="B10" s="243"/>
      <c r="C10" s="23" t="s">
        <v>189</v>
      </c>
      <c r="L10" s="263"/>
      <c r="S10" s="23"/>
      <c r="AA10" s="74"/>
      <c r="AI10" s="23"/>
      <c r="AJ10" s="273"/>
      <c r="AK10" s="273"/>
      <c r="AL10" s="273"/>
      <c r="AM10" s="273"/>
      <c r="AN10" s="273"/>
      <c r="AO10" s="273"/>
      <c r="AP10" s="273"/>
      <c r="AQ10" s="273"/>
      <c r="AR10" s="273"/>
      <c r="AS10" s="273"/>
      <c r="AT10" s="273"/>
      <c r="AU10" s="273"/>
      <c r="AV10" s="273"/>
      <c r="AW10" s="273"/>
      <c r="AX10" s="273"/>
      <c r="AY10" s="273"/>
      <c r="AZ10" s="273"/>
      <c r="BA10" s="273"/>
      <c r="BB10" s="273"/>
      <c r="BC10" s="273"/>
      <c r="BD10" s="273"/>
      <c r="BE10" s="273"/>
      <c r="BF10" s="273"/>
      <c r="BG10" s="23"/>
      <c r="BP10" s="275"/>
      <c r="BR10" s="23"/>
      <c r="BZ10" s="23"/>
      <c r="CD10" s="74"/>
    </row>
    <row r="11" spans="1:89" s="179" customFormat="1" ht="19.95" customHeight="1">
      <c r="A11" s="469" t="s">
        <v>393</v>
      </c>
      <c r="B11" s="469" t="s">
        <v>190</v>
      </c>
      <c r="C11" s="468" t="s">
        <v>191</v>
      </c>
      <c r="D11" s="468"/>
      <c r="E11" s="468"/>
      <c r="F11" s="468" t="s">
        <v>192</v>
      </c>
      <c r="G11" s="468" t="s">
        <v>193</v>
      </c>
      <c r="H11" s="468" t="s">
        <v>194</v>
      </c>
      <c r="I11" s="468" t="s">
        <v>195</v>
      </c>
      <c r="J11" s="468" t="s">
        <v>196</v>
      </c>
      <c r="K11" s="469" t="s">
        <v>457</v>
      </c>
      <c r="L11" s="469"/>
      <c r="M11" s="469"/>
      <c r="N11" s="469"/>
      <c r="O11" s="469"/>
      <c r="P11" s="469"/>
      <c r="Q11" s="469"/>
      <c r="R11" s="469"/>
      <c r="S11" s="469"/>
      <c r="T11" s="469"/>
      <c r="U11" s="469"/>
      <c r="V11" s="469"/>
      <c r="W11" s="469"/>
      <c r="X11" s="469"/>
      <c r="Y11" s="469"/>
      <c r="Z11" s="469"/>
      <c r="AA11" s="469"/>
      <c r="AB11" s="469"/>
      <c r="AC11" s="469"/>
      <c r="AD11" s="469"/>
      <c r="AE11" s="469"/>
      <c r="AF11" s="469"/>
      <c r="AG11" s="469"/>
      <c r="AH11" s="469"/>
      <c r="AI11" s="469" t="s">
        <v>224</v>
      </c>
      <c r="AJ11" s="469"/>
      <c r="AK11" s="469"/>
      <c r="AL11" s="469"/>
      <c r="AM11" s="469"/>
      <c r="AN11" s="469"/>
      <c r="AO11" s="469"/>
      <c r="AP11" s="469"/>
      <c r="AQ11" s="469" t="s">
        <v>477</v>
      </c>
      <c r="AR11" s="469"/>
      <c r="AS11" s="469"/>
      <c r="AT11" s="469"/>
      <c r="AU11" s="469"/>
      <c r="AV11" s="469"/>
      <c r="AW11" s="469"/>
      <c r="AX11" s="469"/>
      <c r="AY11" s="469" t="s">
        <v>478</v>
      </c>
      <c r="AZ11" s="469"/>
      <c r="BA11" s="469"/>
      <c r="BB11" s="469"/>
      <c r="BC11" s="469"/>
      <c r="BD11" s="469"/>
      <c r="BE11" s="469"/>
      <c r="BF11" s="469"/>
      <c r="BG11" s="469" t="s">
        <v>227</v>
      </c>
      <c r="BH11" s="469"/>
      <c r="BI11" s="469"/>
      <c r="BJ11" s="469"/>
      <c r="BK11" s="469"/>
      <c r="BL11" s="469"/>
      <c r="BM11" s="469"/>
      <c r="BN11" s="469"/>
      <c r="BO11" s="469"/>
      <c r="BP11" s="469"/>
      <c r="BQ11" s="469"/>
      <c r="BR11" s="469"/>
      <c r="BS11" s="469"/>
      <c r="BT11" s="469"/>
      <c r="BU11" s="469"/>
      <c r="BV11" s="469"/>
      <c r="BW11" s="469"/>
      <c r="BX11" s="469"/>
      <c r="BY11" s="469"/>
      <c r="BZ11" s="469"/>
      <c r="CA11" s="469"/>
      <c r="CB11" s="469"/>
      <c r="CC11" s="469"/>
      <c r="CD11" s="469"/>
      <c r="CE11" s="469"/>
      <c r="CF11" s="469"/>
      <c r="CG11" s="469"/>
      <c r="CH11" s="469"/>
      <c r="CI11" s="466" t="s">
        <v>197</v>
      </c>
      <c r="CJ11" s="466"/>
    </row>
    <row r="12" spans="1:89" s="179" customFormat="1" ht="19.95" customHeight="1">
      <c r="A12" s="469"/>
      <c r="B12" s="469"/>
      <c r="C12" s="468" t="s">
        <v>198</v>
      </c>
      <c r="D12" s="468" t="s">
        <v>199</v>
      </c>
      <c r="E12" s="468" t="s">
        <v>200</v>
      </c>
      <c r="F12" s="468"/>
      <c r="G12" s="468"/>
      <c r="H12" s="468"/>
      <c r="I12" s="468"/>
      <c r="J12" s="468"/>
      <c r="K12" s="470" t="s">
        <v>479</v>
      </c>
      <c r="L12" s="470"/>
      <c r="M12" s="470"/>
      <c r="N12" s="470"/>
      <c r="O12" s="470"/>
      <c r="P12" s="470"/>
      <c r="Q12" s="470" t="s">
        <v>475</v>
      </c>
      <c r="R12" s="470"/>
      <c r="S12" s="470"/>
      <c r="T12" s="470"/>
      <c r="U12" s="470"/>
      <c r="V12" s="470"/>
      <c r="W12" s="470" t="s">
        <v>480</v>
      </c>
      <c r="X12" s="470"/>
      <c r="Y12" s="470"/>
      <c r="Z12" s="470"/>
      <c r="AA12" s="470"/>
      <c r="AB12" s="470"/>
      <c r="AC12" s="470" t="s">
        <v>374</v>
      </c>
      <c r="AD12" s="470"/>
      <c r="AE12" s="470"/>
      <c r="AF12" s="470"/>
      <c r="AG12" s="470"/>
      <c r="AH12" s="470"/>
      <c r="AI12" s="469" t="s">
        <v>225</v>
      </c>
      <c r="AJ12" s="469"/>
      <c r="AK12" s="469"/>
      <c r="AL12" s="469"/>
      <c r="AM12" s="469" t="s">
        <v>226</v>
      </c>
      <c r="AN12" s="469"/>
      <c r="AO12" s="469"/>
      <c r="AP12" s="469"/>
      <c r="AQ12" s="469" t="s">
        <v>225</v>
      </c>
      <c r="AR12" s="469"/>
      <c r="AS12" s="469"/>
      <c r="AT12" s="469"/>
      <c r="AU12" s="469" t="s">
        <v>226</v>
      </c>
      <c r="AV12" s="469"/>
      <c r="AW12" s="469"/>
      <c r="AX12" s="469"/>
      <c r="AY12" s="469" t="s">
        <v>225</v>
      </c>
      <c r="AZ12" s="469"/>
      <c r="BA12" s="469"/>
      <c r="BB12" s="469"/>
      <c r="BC12" s="469" t="s">
        <v>226</v>
      </c>
      <c r="BD12" s="469"/>
      <c r="BE12" s="469"/>
      <c r="BF12" s="469"/>
      <c r="BG12" s="473" t="s">
        <v>479</v>
      </c>
      <c r="BH12" s="473"/>
      <c r="BI12" s="473"/>
      <c r="BJ12" s="473"/>
      <c r="BK12" s="473"/>
      <c r="BL12" s="473"/>
      <c r="BM12" s="473"/>
      <c r="BN12" s="473"/>
      <c r="BO12" s="473" t="s">
        <v>475</v>
      </c>
      <c r="BP12" s="473"/>
      <c r="BQ12" s="473"/>
      <c r="BR12" s="473"/>
      <c r="BS12" s="473"/>
      <c r="BT12" s="473"/>
      <c r="BU12" s="473" t="s">
        <v>480</v>
      </c>
      <c r="BV12" s="473"/>
      <c r="BW12" s="473"/>
      <c r="BX12" s="473"/>
      <c r="BY12" s="473"/>
      <c r="BZ12" s="473"/>
      <c r="CA12" s="473" t="s">
        <v>374</v>
      </c>
      <c r="CB12" s="473"/>
      <c r="CC12" s="473"/>
      <c r="CD12" s="473"/>
      <c r="CE12" s="473"/>
      <c r="CF12" s="473"/>
      <c r="CG12" s="473"/>
      <c r="CH12" s="473"/>
      <c r="CI12" s="466" t="s">
        <v>201</v>
      </c>
      <c r="CJ12" s="466" t="s">
        <v>202</v>
      </c>
    </row>
    <row r="13" spans="1:89" s="401" customFormat="1" ht="40.049999999999997" customHeight="1">
      <c r="A13" s="469"/>
      <c r="B13" s="469"/>
      <c r="C13" s="468"/>
      <c r="D13" s="468"/>
      <c r="E13" s="468"/>
      <c r="F13" s="468"/>
      <c r="G13" s="468"/>
      <c r="H13" s="468"/>
      <c r="I13" s="468"/>
      <c r="J13" s="468"/>
      <c r="K13" s="399" t="s">
        <v>481</v>
      </c>
      <c r="L13" s="400" t="s">
        <v>476</v>
      </c>
      <c r="M13" s="400" t="s">
        <v>193</v>
      </c>
      <c r="N13" s="400" t="s">
        <v>402</v>
      </c>
      <c r="O13" s="400" t="s">
        <v>369</v>
      </c>
      <c r="P13" s="400" t="s">
        <v>210</v>
      </c>
      <c r="Q13" s="399" t="s">
        <v>481</v>
      </c>
      <c r="R13" s="400" t="s">
        <v>476</v>
      </c>
      <c r="S13" s="400" t="s">
        <v>193</v>
      </c>
      <c r="T13" s="400" t="s">
        <v>402</v>
      </c>
      <c r="U13" s="400" t="s">
        <v>369</v>
      </c>
      <c r="V13" s="400" t="s">
        <v>210</v>
      </c>
      <c r="W13" s="399" t="s">
        <v>481</v>
      </c>
      <c r="X13" s="400" t="s">
        <v>476</v>
      </c>
      <c r="Y13" s="400" t="s">
        <v>193</v>
      </c>
      <c r="Z13" s="400" t="s">
        <v>402</v>
      </c>
      <c r="AA13" s="400" t="s">
        <v>369</v>
      </c>
      <c r="AB13" s="400" t="s">
        <v>210</v>
      </c>
      <c r="AC13" s="399" t="s">
        <v>481</v>
      </c>
      <c r="AD13" s="400" t="s">
        <v>476</v>
      </c>
      <c r="AE13" s="400" t="s">
        <v>193</v>
      </c>
      <c r="AF13" s="400" t="s">
        <v>402</v>
      </c>
      <c r="AG13" s="400" t="s">
        <v>369</v>
      </c>
      <c r="AH13" s="400" t="s">
        <v>210</v>
      </c>
      <c r="AI13" s="400" t="s">
        <v>476</v>
      </c>
      <c r="AJ13" s="400" t="s">
        <v>193</v>
      </c>
      <c r="AK13" s="400" t="s">
        <v>402</v>
      </c>
      <c r="AL13" s="400" t="s">
        <v>369</v>
      </c>
      <c r="AM13" s="400" t="s">
        <v>476</v>
      </c>
      <c r="AN13" s="400" t="s">
        <v>193</v>
      </c>
      <c r="AO13" s="400" t="s">
        <v>402</v>
      </c>
      <c r="AP13" s="400" t="s">
        <v>369</v>
      </c>
      <c r="AQ13" s="400" t="s">
        <v>476</v>
      </c>
      <c r="AR13" s="400" t="s">
        <v>193</v>
      </c>
      <c r="AS13" s="400" t="s">
        <v>402</v>
      </c>
      <c r="AT13" s="400" t="s">
        <v>369</v>
      </c>
      <c r="AU13" s="400" t="s">
        <v>476</v>
      </c>
      <c r="AV13" s="400" t="s">
        <v>193</v>
      </c>
      <c r="AW13" s="400" t="s">
        <v>402</v>
      </c>
      <c r="AX13" s="400" t="s">
        <v>369</v>
      </c>
      <c r="AY13" s="400" t="s">
        <v>476</v>
      </c>
      <c r="AZ13" s="400" t="s">
        <v>193</v>
      </c>
      <c r="BA13" s="400" t="s">
        <v>402</v>
      </c>
      <c r="BB13" s="400" t="s">
        <v>369</v>
      </c>
      <c r="BC13" s="400" t="s">
        <v>476</v>
      </c>
      <c r="BD13" s="400" t="s">
        <v>193</v>
      </c>
      <c r="BE13" s="400" t="s">
        <v>402</v>
      </c>
      <c r="BF13" s="400" t="s">
        <v>369</v>
      </c>
      <c r="BG13" s="399" t="s">
        <v>481</v>
      </c>
      <c r="BH13" s="400" t="s">
        <v>476</v>
      </c>
      <c r="BI13" s="400" t="s">
        <v>193</v>
      </c>
      <c r="BJ13" s="400" t="s">
        <v>402</v>
      </c>
      <c r="BK13" s="400" t="s">
        <v>369</v>
      </c>
      <c r="BL13" s="400" t="s">
        <v>210</v>
      </c>
      <c r="BM13" s="400" t="s">
        <v>203</v>
      </c>
      <c r="BN13" s="400" t="s">
        <v>204</v>
      </c>
      <c r="BO13" s="399" t="s">
        <v>481</v>
      </c>
      <c r="BP13" s="400" t="s">
        <v>476</v>
      </c>
      <c r="BQ13" s="400" t="s">
        <v>193</v>
      </c>
      <c r="BR13" s="400" t="s">
        <v>402</v>
      </c>
      <c r="BS13" s="400" t="s">
        <v>369</v>
      </c>
      <c r="BT13" s="400" t="s">
        <v>210</v>
      </c>
      <c r="BU13" s="399" t="s">
        <v>481</v>
      </c>
      <c r="BV13" s="400" t="s">
        <v>476</v>
      </c>
      <c r="BW13" s="400" t="s">
        <v>193</v>
      </c>
      <c r="BX13" s="400" t="s">
        <v>402</v>
      </c>
      <c r="BY13" s="400" t="s">
        <v>369</v>
      </c>
      <c r="BZ13" s="400" t="s">
        <v>210</v>
      </c>
      <c r="CA13" s="399" t="s">
        <v>481</v>
      </c>
      <c r="CB13" s="400" t="s">
        <v>476</v>
      </c>
      <c r="CC13" s="400" t="s">
        <v>193</v>
      </c>
      <c r="CD13" s="400" t="s">
        <v>402</v>
      </c>
      <c r="CE13" s="400" t="s">
        <v>369</v>
      </c>
      <c r="CF13" s="400" t="s">
        <v>210</v>
      </c>
      <c r="CG13" s="400" t="s">
        <v>203</v>
      </c>
      <c r="CH13" s="400" t="s">
        <v>204</v>
      </c>
      <c r="CI13" s="467"/>
      <c r="CJ13" s="467"/>
    </row>
    <row r="14" spans="1:89" s="240" customFormat="1" ht="19.95" customHeight="1">
      <c r="A14" s="250" t="s">
        <v>205</v>
      </c>
      <c r="B14" s="247"/>
      <c r="C14" s="248"/>
      <c r="D14" s="248"/>
      <c r="E14" s="248"/>
      <c r="F14" s="248"/>
      <c r="G14" s="248"/>
      <c r="H14" s="248"/>
      <c r="I14" s="248"/>
      <c r="J14" s="249"/>
      <c r="K14" s="265"/>
      <c r="L14" s="264"/>
      <c r="M14" s="266"/>
      <c r="N14" s="264"/>
      <c r="O14" s="264"/>
      <c r="P14" s="264"/>
      <c r="Q14" s="265"/>
      <c r="R14" s="264"/>
      <c r="S14" s="264"/>
      <c r="T14" s="264"/>
      <c r="U14" s="264"/>
      <c r="V14" s="264"/>
      <c r="W14" s="265"/>
      <c r="X14" s="264"/>
      <c r="Y14" s="264"/>
      <c r="Z14" s="264"/>
      <c r="AA14" s="264"/>
      <c r="AB14" s="264"/>
      <c r="AC14" s="265"/>
      <c r="AD14" s="264"/>
      <c r="AE14" s="264"/>
      <c r="AF14" s="264"/>
      <c r="AG14" s="264"/>
      <c r="AH14" s="264"/>
      <c r="AI14" s="264"/>
      <c r="AJ14" s="264"/>
      <c r="AK14" s="264"/>
      <c r="AL14" s="264"/>
      <c r="AM14" s="264"/>
      <c r="AN14" s="264"/>
      <c r="AO14" s="264"/>
      <c r="AP14" s="264"/>
      <c r="AQ14" s="264"/>
      <c r="AR14" s="264"/>
      <c r="AS14" s="264"/>
      <c r="AT14" s="264"/>
      <c r="AU14" s="264"/>
      <c r="AV14" s="264"/>
      <c r="AW14" s="264"/>
      <c r="AX14" s="264"/>
      <c r="AY14" s="264"/>
      <c r="AZ14" s="264"/>
      <c r="BA14" s="264"/>
      <c r="BB14" s="264"/>
      <c r="BC14" s="264"/>
      <c r="BD14" s="264"/>
      <c r="BE14" s="264"/>
      <c r="BF14" s="264"/>
      <c r="BG14" s="265"/>
      <c r="BH14" s="264"/>
      <c r="BI14" s="264"/>
      <c r="BJ14" s="264"/>
      <c r="BK14" s="264"/>
      <c r="BL14" s="264"/>
      <c r="BM14" s="264"/>
      <c r="BN14" s="264"/>
      <c r="BO14" s="265"/>
      <c r="BP14" s="264"/>
      <c r="BQ14" s="264"/>
      <c r="BR14" s="264"/>
      <c r="BS14" s="264"/>
      <c r="BT14" s="264"/>
      <c r="BU14" s="265"/>
      <c r="BV14" s="264"/>
      <c r="BW14" s="264"/>
      <c r="BX14" s="264"/>
      <c r="BY14" s="264"/>
      <c r="BZ14" s="264"/>
      <c r="CA14" s="265"/>
      <c r="CB14" s="264"/>
      <c r="CC14" s="264"/>
      <c r="CD14" s="264"/>
      <c r="CE14" s="264"/>
      <c r="CF14" s="264"/>
      <c r="CG14" s="264"/>
      <c r="CH14" s="264"/>
      <c r="CI14" s="278"/>
      <c r="CJ14" s="278"/>
    </row>
    <row r="15" spans="1:89" s="174" customFormat="1" ht="19.95" customHeight="1">
      <c r="A15" s="251"/>
      <c r="B15" s="252"/>
      <c r="C15" s="253"/>
      <c r="D15" s="253"/>
      <c r="E15" s="254"/>
      <c r="F15" s="255"/>
      <c r="G15" s="256"/>
      <c r="H15" s="256"/>
      <c r="I15" s="252"/>
      <c r="J15" s="256"/>
      <c r="K15" s="157">
        <f>IF(L15=0,0,P15/L15)</f>
        <v>0</v>
      </c>
      <c r="L15" s="267"/>
      <c r="M15" s="267"/>
      <c r="N15" s="267"/>
      <c r="O15" s="267"/>
      <c r="P15" s="157">
        <f>SUM(M15:O15)</f>
        <v>0</v>
      </c>
      <c r="Q15" s="157">
        <f>IF(R15=0,0,V15/R15)</f>
        <v>0</v>
      </c>
      <c r="R15" s="267"/>
      <c r="S15" s="267"/>
      <c r="T15" s="267"/>
      <c r="U15" s="267"/>
      <c r="V15" s="157">
        <f>SUM(S15:U15)</f>
        <v>0</v>
      </c>
      <c r="W15" s="157">
        <f>IF(X15=0,0,AB15/X15)</f>
        <v>0</v>
      </c>
      <c r="X15" s="267"/>
      <c r="Y15" s="267"/>
      <c r="Z15" s="267"/>
      <c r="AA15" s="267"/>
      <c r="AB15" s="157">
        <f>SUM(Y15:AA15)</f>
        <v>0</v>
      </c>
      <c r="AC15" s="157">
        <f>IF(AD15=0,0,AH15/AD15)</f>
        <v>0</v>
      </c>
      <c r="AD15" s="157">
        <f t="shared" ref="AD15:AG16" si="0">L15+R15-X15</f>
        <v>0</v>
      </c>
      <c r="AE15" s="157">
        <f t="shared" si="0"/>
        <v>0</v>
      </c>
      <c r="AF15" s="157">
        <f>N15+T15-Z15</f>
        <v>0</v>
      </c>
      <c r="AG15" s="157">
        <f>O15+U15-AA15</f>
        <v>0</v>
      </c>
      <c r="AH15" s="157">
        <f>SUM(AE15:AG15)</f>
        <v>0</v>
      </c>
      <c r="AI15" s="267"/>
      <c r="AJ15" s="274"/>
      <c r="AK15" s="274"/>
      <c r="AL15" s="274"/>
      <c r="AM15" s="274"/>
      <c r="AN15" s="274"/>
      <c r="AO15" s="274"/>
      <c r="AP15" s="274"/>
      <c r="AQ15" s="274"/>
      <c r="AR15" s="274"/>
      <c r="AS15" s="274"/>
      <c r="AT15" s="274"/>
      <c r="AU15" s="274"/>
      <c r="AV15" s="274"/>
      <c r="AW15" s="274"/>
      <c r="AX15" s="274"/>
      <c r="AY15" s="274"/>
      <c r="AZ15" s="274"/>
      <c r="BA15" s="274"/>
      <c r="BB15" s="274"/>
      <c r="BC15" s="274"/>
      <c r="BD15" s="274"/>
      <c r="BE15" s="274"/>
      <c r="BF15" s="274"/>
      <c r="BG15" s="157">
        <f>IF(BH15=0,0,BL15/BH15)</f>
        <v>0</v>
      </c>
      <c r="BH15" s="276">
        <f t="shared" ref="BH15:BK16" si="1">L15+AM15+AI15</f>
        <v>0</v>
      </c>
      <c r="BI15" s="276">
        <f t="shared" si="1"/>
        <v>0</v>
      </c>
      <c r="BJ15" s="276">
        <f t="shared" si="1"/>
        <v>0</v>
      </c>
      <c r="BK15" s="276">
        <f t="shared" si="1"/>
        <v>0</v>
      </c>
      <c r="BL15" s="276">
        <f>SUM(BI15:BK15)</f>
        <v>0</v>
      </c>
      <c r="BM15" s="274"/>
      <c r="BN15" s="276">
        <f>BL15-BM15</f>
        <v>0</v>
      </c>
      <c r="BO15" s="157">
        <f>IF(BP15=0,0,BT15/BP15)</f>
        <v>0</v>
      </c>
      <c r="BP15" s="276">
        <f t="shared" ref="BP15:BS16" si="2">R15+AQ15+AU15</f>
        <v>0</v>
      </c>
      <c r="BQ15" s="276">
        <f t="shared" si="2"/>
        <v>0</v>
      </c>
      <c r="BR15" s="276">
        <f t="shared" si="2"/>
        <v>0</v>
      </c>
      <c r="BS15" s="276">
        <f t="shared" si="2"/>
        <v>0</v>
      </c>
      <c r="BT15" s="276">
        <f>SUM(BQ15:BS15)</f>
        <v>0</v>
      </c>
      <c r="BU15" s="157">
        <f>IF(BV15=0,0,BZ15/BV15)</f>
        <v>0</v>
      </c>
      <c r="BV15" s="276">
        <f t="shared" ref="BV15:BY16" si="3">X15+AY15+BC15</f>
        <v>0</v>
      </c>
      <c r="BW15" s="276">
        <f t="shared" si="3"/>
        <v>0</v>
      </c>
      <c r="BX15" s="276">
        <f t="shared" si="3"/>
        <v>0</v>
      </c>
      <c r="BY15" s="276">
        <f t="shared" si="3"/>
        <v>0</v>
      </c>
      <c r="BZ15" s="276">
        <f>SUM(BW15:BY15)</f>
        <v>0</v>
      </c>
      <c r="CA15" s="157">
        <f>IF(CB15=0,0,CF15/CB15)</f>
        <v>0</v>
      </c>
      <c r="CB15" s="276">
        <f t="shared" ref="CB15:CE16" si="4">BH15+BP15-BV15</f>
        <v>0</v>
      </c>
      <c r="CC15" s="276">
        <f t="shared" si="4"/>
        <v>0</v>
      </c>
      <c r="CD15" s="276">
        <f t="shared" si="4"/>
        <v>0</v>
      </c>
      <c r="CE15" s="276">
        <f t="shared" si="4"/>
        <v>0</v>
      </c>
      <c r="CF15" s="276">
        <f>SUM(CC15:CE15)</f>
        <v>0</v>
      </c>
      <c r="CG15" s="274"/>
      <c r="CH15" s="276">
        <f>CF15-CG15</f>
        <v>0</v>
      </c>
      <c r="CI15" s="279"/>
      <c r="CJ15" s="202"/>
    </row>
    <row r="16" spans="1:89" s="174" customFormat="1" ht="19.95" customHeight="1">
      <c r="A16" s="251"/>
      <c r="B16" s="252"/>
      <c r="C16" s="253"/>
      <c r="D16" s="253"/>
      <c r="E16" s="254"/>
      <c r="F16" s="254"/>
      <c r="G16" s="256"/>
      <c r="H16" s="256"/>
      <c r="I16" s="254"/>
      <c r="J16" s="256"/>
      <c r="K16" s="157">
        <f>IF(L16=0,0,P16/L16)</f>
        <v>0</v>
      </c>
      <c r="L16" s="267"/>
      <c r="M16" s="267"/>
      <c r="N16" s="267"/>
      <c r="O16" s="267"/>
      <c r="P16" s="157">
        <f>SUM(M16:O16)</f>
        <v>0</v>
      </c>
      <c r="Q16" s="157">
        <f>IF(R16=0,0,V16/R16)</f>
        <v>0</v>
      </c>
      <c r="R16" s="267"/>
      <c r="S16" s="267"/>
      <c r="T16" s="267"/>
      <c r="U16" s="267"/>
      <c r="V16" s="157">
        <f>SUM(S16:U16)</f>
        <v>0</v>
      </c>
      <c r="W16" s="157">
        <f>IF(X16=0,0,AB16/X16)</f>
        <v>0</v>
      </c>
      <c r="X16" s="267"/>
      <c r="Y16" s="267"/>
      <c r="Z16" s="267"/>
      <c r="AA16" s="267"/>
      <c r="AB16" s="157">
        <f>SUM(Y16:AA16)</f>
        <v>0</v>
      </c>
      <c r="AC16" s="157">
        <f>IF(AD16=0,0,AH16/AD16)</f>
        <v>0</v>
      </c>
      <c r="AD16" s="157">
        <f t="shared" si="0"/>
        <v>0</v>
      </c>
      <c r="AE16" s="157">
        <f t="shared" si="0"/>
        <v>0</v>
      </c>
      <c r="AF16" s="157">
        <f t="shared" si="0"/>
        <v>0</v>
      </c>
      <c r="AG16" s="157">
        <f t="shared" si="0"/>
        <v>0</v>
      </c>
      <c r="AH16" s="157">
        <f>SUM(AE16:AG16)</f>
        <v>0</v>
      </c>
      <c r="AI16" s="267"/>
      <c r="AJ16" s="274"/>
      <c r="AK16" s="274"/>
      <c r="AL16" s="274"/>
      <c r="AM16" s="274"/>
      <c r="AN16" s="274"/>
      <c r="AO16" s="274"/>
      <c r="AP16" s="274"/>
      <c r="AQ16" s="274"/>
      <c r="AR16" s="274"/>
      <c r="AS16" s="274"/>
      <c r="AT16" s="274"/>
      <c r="AU16" s="274"/>
      <c r="AV16" s="274"/>
      <c r="AW16" s="274"/>
      <c r="AX16" s="274"/>
      <c r="AY16" s="274"/>
      <c r="AZ16" s="274"/>
      <c r="BA16" s="274"/>
      <c r="BB16" s="274"/>
      <c r="BC16" s="274"/>
      <c r="BD16" s="274"/>
      <c r="BE16" s="274"/>
      <c r="BF16" s="274"/>
      <c r="BG16" s="157">
        <f>IF(BH16=0,0,BL16/BH16)</f>
        <v>0</v>
      </c>
      <c r="BH16" s="276">
        <f t="shared" si="1"/>
        <v>0</v>
      </c>
      <c r="BI16" s="276">
        <f t="shared" si="1"/>
        <v>0</v>
      </c>
      <c r="BJ16" s="276">
        <f t="shared" si="1"/>
        <v>0</v>
      </c>
      <c r="BK16" s="276">
        <f t="shared" si="1"/>
        <v>0</v>
      </c>
      <c r="BL16" s="276">
        <f>SUM(BI16:BK16)</f>
        <v>0</v>
      </c>
      <c r="BM16" s="274"/>
      <c r="BN16" s="276">
        <f>BL16-BM16</f>
        <v>0</v>
      </c>
      <c r="BO16" s="157">
        <f>IF(BP16=0,0,BT16/BP16)</f>
        <v>0</v>
      </c>
      <c r="BP16" s="276">
        <f t="shared" si="2"/>
        <v>0</v>
      </c>
      <c r="BQ16" s="276">
        <f t="shared" si="2"/>
        <v>0</v>
      </c>
      <c r="BR16" s="276">
        <f t="shared" si="2"/>
        <v>0</v>
      </c>
      <c r="BS16" s="276">
        <f t="shared" si="2"/>
        <v>0</v>
      </c>
      <c r="BT16" s="276">
        <f>SUM(BQ16:BS16)</f>
        <v>0</v>
      </c>
      <c r="BU16" s="157">
        <f>IF(BV16=0,0,BZ16/BV16)</f>
        <v>0</v>
      </c>
      <c r="BV16" s="276">
        <f t="shared" si="3"/>
        <v>0</v>
      </c>
      <c r="BW16" s="276">
        <f t="shared" si="3"/>
        <v>0</v>
      </c>
      <c r="BX16" s="276">
        <f t="shared" si="3"/>
        <v>0</v>
      </c>
      <c r="BY16" s="276">
        <f t="shared" si="3"/>
        <v>0</v>
      </c>
      <c r="BZ16" s="276">
        <f>SUM(BW16:BY16)</f>
        <v>0</v>
      </c>
      <c r="CA16" s="157">
        <f>IF(CB16=0,0,CF16/CB16)</f>
        <v>0</v>
      </c>
      <c r="CB16" s="276">
        <f t="shared" si="4"/>
        <v>0</v>
      </c>
      <c r="CC16" s="276">
        <f t="shared" si="4"/>
        <v>0</v>
      </c>
      <c r="CD16" s="276">
        <f t="shared" si="4"/>
        <v>0</v>
      </c>
      <c r="CE16" s="276">
        <f t="shared" si="4"/>
        <v>0</v>
      </c>
      <c r="CF16" s="276">
        <f>SUM(CC16:CE16)</f>
        <v>0</v>
      </c>
      <c r="CG16" s="274"/>
      <c r="CH16" s="276">
        <f>CF16-CG16</f>
        <v>0</v>
      </c>
      <c r="CI16" s="202"/>
      <c r="CJ16" s="202"/>
    </row>
    <row r="17" spans="1:88" s="174" customFormat="1" ht="19.95" customHeight="1">
      <c r="A17" s="471" t="s">
        <v>206</v>
      </c>
      <c r="B17" s="471"/>
      <c r="C17" s="257"/>
      <c r="D17" s="257"/>
      <c r="E17" s="257"/>
      <c r="F17" s="257"/>
      <c r="G17" s="258"/>
      <c r="H17" s="258"/>
      <c r="I17" s="257"/>
      <c r="J17" s="258"/>
      <c r="K17" s="377" t="s">
        <v>207</v>
      </c>
      <c r="L17" s="157">
        <f>SUM(L15:L16)</f>
        <v>0</v>
      </c>
      <c r="M17" s="157">
        <f>SUM(M15:M16)</f>
        <v>0</v>
      </c>
      <c r="N17" s="157">
        <f>SUM(N15:N16)</f>
        <v>0</v>
      </c>
      <c r="O17" s="157">
        <f>SUM(O15:O16)</f>
        <v>0</v>
      </c>
      <c r="P17" s="157">
        <f>SUM(P15:P16)</f>
        <v>0</v>
      </c>
      <c r="Q17" s="377" t="s">
        <v>207</v>
      </c>
      <c r="R17" s="157">
        <f>SUM(R15:R16)</f>
        <v>0</v>
      </c>
      <c r="S17" s="157">
        <f>SUM(S15:S16)</f>
        <v>0</v>
      </c>
      <c r="T17" s="157">
        <f>SUM(T15:T16)</f>
        <v>0</v>
      </c>
      <c r="U17" s="157">
        <f>SUM(U15:U16)</f>
        <v>0</v>
      </c>
      <c r="V17" s="157">
        <f>SUM(S17:U17)</f>
        <v>0</v>
      </c>
      <c r="W17" s="377" t="s">
        <v>207</v>
      </c>
      <c r="X17" s="157">
        <f>SUM(X15:X16)</f>
        <v>0</v>
      </c>
      <c r="Y17" s="157">
        <f>SUM(Y15:Y16)</f>
        <v>0</v>
      </c>
      <c r="Z17" s="157">
        <f>SUM(Z15:Z16)</f>
        <v>0</v>
      </c>
      <c r="AA17" s="157">
        <f>SUM(AA15:AA16)</f>
        <v>0</v>
      </c>
      <c r="AB17" s="157">
        <f>SUM(Y17:AA17)</f>
        <v>0</v>
      </c>
      <c r="AC17" s="377" t="s">
        <v>207</v>
      </c>
      <c r="AD17" s="157">
        <f>SUM(AD15:AD16)</f>
        <v>0</v>
      </c>
      <c r="AE17" s="157">
        <f>SUM(AE15:AE16)</f>
        <v>0</v>
      </c>
      <c r="AF17" s="157">
        <f>SUM(AF15:AF16)</f>
        <v>0</v>
      </c>
      <c r="AG17" s="157">
        <f>SUM(AG15:AG16)</f>
        <v>0</v>
      </c>
      <c r="AH17" s="157">
        <f>SUM(AE17:AG17)</f>
        <v>0</v>
      </c>
      <c r="AI17" s="157">
        <f t="shared" ref="AI17:BF17" si="5">SUM(AI15:AI16)</f>
        <v>0</v>
      </c>
      <c r="AJ17" s="157">
        <f t="shared" si="5"/>
        <v>0</v>
      </c>
      <c r="AK17" s="157">
        <f t="shared" si="5"/>
        <v>0</v>
      </c>
      <c r="AL17" s="157">
        <f t="shared" si="5"/>
        <v>0</v>
      </c>
      <c r="AM17" s="157">
        <f t="shared" si="5"/>
        <v>0</v>
      </c>
      <c r="AN17" s="157">
        <f t="shared" si="5"/>
        <v>0</v>
      </c>
      <c r="AO17" s="157">
        <f t="shared" si="5"/>
        <v>0</v>
      </c>
      <c r="AP17" s="157">
        <f t="shared" si="5"/>
        <v>0</v>
      </c>
      <c r="AQ17" s="157">
        <f t="shared" si="5"/>
        <v>0</v>
      </c>
      <c r="AR17" s="157">
        <f t="shared" si="5"/>
        <v>0</v>
      </c>
      <c r="AS17" s="157">
        <f t="shared" si="5"/>
        <v>0</v>
      </c>
      <c r="AT17" s="157">
        <f t="shared" si="5"/>
        <v>0</v>
      </c>
      <c r="AU17" s="157">
        <f t="shared" si="5"/>
        <v>0</v>
      </c>
      <c r="AV17" s="157">
        <f t="shared" si="5"/>
        <v>0</v>
      </c>
      <c r="AW17" s="157">
        <f t="shared" si="5"/>
        <v>0</v>
      </c>
      <c r="AX17" s="157">
        <f t="shared" si="5"/>
        <v>0</v>
      </c>
      <c r="AY17" s="157">
        <f t="shared" si="5"/>
        <v>0</v>
      </c>
      <c r="AZ17" s="157">
        <f t="shared" si="5"/>
        <v>0</v>
      </c>
      <c r="BA17" s="157">
        <f t="shared" si="5"/>
        <v>0</v>
      </c>
      <c r="BB17" s="157">
        <f t="shared" si="5"/>
        <v>0</v>
      </c>
      <c r="BC17" s="157">
        <f t="shared" si="5"/>
        <v>0</v>
      </c>
      <c r="BD17" s="157">
        <f t="shared" si="5"/>
        <v>0</v>
      </c>
      <c r="BE17" s="157">
        <f t="shared" si="5"/>
        <v>0</v>
      </c>
      <c r="BF17" s="157">
        <f t="shared" si="5"/>
        <v>0</v>
      </c>
      <c r="BG17" s="378" t="s">
        <v>207</v>
      </c>
      <c r="BH17" s="157">
        <f t="shared" ref="BH17:BN17" si="6">SUM(BH15:BH16)</f>
        <v>0</v>
      </c>
      <c r="BI17" s="157">
        <f t="shared" si="6"/>
        <v>0</v>
      </c>
      <c r="BJ17" s="157">
        <f t="shared" si="6"/>
        <v>0</v>
      </c>
      <c r="BK17" s="157">
        <f t="shared" si="6"/>
        <v>0</v>
      </c>
      <c r="BL17" s="157">
        <f t="shared" si="6"/>
        <v>0</v>
      </c>
      <c r="BM17" s="157">
        <f t="shared" si="6"/>
        <v>0</v>
      </c>
      <c r="BN17" s="157">
        <f t="shared" si="6"/>
        <v>0</v>
      </c>
      <c r="BO17" s="379" t="s">
        <v>207</v>
      </c>
      <c r="BP17" s="157">
        <f>SUM(BP15:BP16)</f>
        <v>0</v>
      </c>
      <c r="BQ17" s="157">
        <f>SUM(BQ15:BQ16)</f>
        <v>0</v>
      </c>
      <c r="BR17" s="157">
        <f>SUM(BR15:BR16)</f>
        <v>0</v>
      </c>
      <c r="BS17" s="157">
        <f>SUM(BS15:BS16)</f>
        <v>0</v>
      </c>
      <c r="BT17" s="157">
        <f>SUM(BT15:BT16)</f>
        <v>0</v>
      </c>
      <c r="BU17" s="379" t="s">
        <v>207</v>
      </c>
      <c r="BV17" s="157">
        <f t="shared" ref="BV17:CH17" si="7">SUM(BV15:BV16)</f>
        <v>0</v>
      </c>
      <c r="BW17" s="157">
        <f t="shared" si="7"/>
        <v>0</v>
      </c>
      <c r="BX17" s="157">
        <f t="shared" si="7"/>
        <v>0</v>
      </c>
      <c r="BY17" s="157">
        <f t="shared" si="7"/>
        <v>0</v>
      </c>
      <c r="BZ17" s="157">
        <f t="shared" si="7"/>
        <v>0</v>
      </c>
      <c r="CA17" s="157">
        <f t="shared" si="7"/>
        <v>0</v>
      </c>
      <c r="CB17" s="157">
        <f t="shared" si="7"/>
        <v>0</v>
      </c>
      <c r="CC17" s="157">
        <f t="shared" si="7"/>
        <v>0</v>
      </c>
      <c r="CD17" s="157">
        <f t="shared" si="7"/>
        <v>0</v>
      </c>
      <c r="CE17" s="157">
        <f t="shared" si="7"/>
        <v>0</v>
      </c>
      <c r="CF17" s="157">
        <f t="shared" si="7"/>
        <v>0</v>
      </c>
      <c r="CG17" s="157">
        <f t="shared" si="7"/>
        <v>0</v>
      </c>
      <c r="CH17" s="157">
        <f t="shared" si="7"/>
        <v>0</v>
      </c>
      <c r="CI17" s="202"/>
      <c r="CJ17" s="202"/>
    </row>
    <row r="18" spans="1:88" s="174" customFormat="1" ht="19.95" customHeight="1">
      <c r="A18" s="250" t="s">
        <v>208</v>
      </c>
      <c r="B18" s="250"/>
      <c r="C18" s="246"/>
      <c r="D18" s="246"/>
      <c r="E18" s="246"/>
      <c r="F18" s="246"/>
      <c r="G18" s="259"/>
      <c r="H18" s="259"/>
      <c r="I18" s="246"/>
      <c r="J18" s="259"/>
      <c r="K18" s="268"/>
      <c r="L18" s="269"/>
      <c r="M18" s="269"/>
      <c r="N18" s="269"/>
      <c r="O18" s="269"/>
      <c r="P18" s="269"/>
      <c r="Q18" s="268"/>
      <c r="R18" s="269"/>
      <c r="S18" s="269"/>
      <c r="T18" s="269"/>
      <c r="U18" s="269"/>
      <c r="V18" s="269"/>
      <c r="W18" s="268"/>
      <c r="X18" s="269"/>
      <c r="Y18" s="269"/>
      <c r="Z18" s="269"/>
      <c r="AA18" s="269"/>
      <c r="AB18" s="269"/>
      <c r="AC18" s="268"/>
      <c r="AD18" s="269"/>
      <c r="AE18" s="269"/>
      <c r="AF18" s="269"/>
      <c r="AG18" s="269"/>
      <c r="AH18" s="269"/>
      <c r="AI18" s="269"/>
      <c r="AJ18" s="269"/>
      <c r="AK18" s="269"/>
      <c r="AL18" s="269"/>
      <c r="AM18" s="269"/>
      <c r="AN18" s="269"/>
      <c r="AO18" s="269"/>
      <c r="AP18" s="269"/>
      <c r="AQ18" s="269"/>
      <c r="AR18" s="269"/>
      <c r="AS18" s="269"/>
      <c r="AT18" s="269"/>
      <c r="AU18" s="269"/>
      <c r="AV18" s="269"/>
      <c r="AW18" s="269"/>
      <c r="AX18" s="269"/>
      <c r="AY18" s="269"/>
      <c r="AZ18" s="269"/>
      <c r="BA18" s="269"/>
      <c r="BB18" s="269"/>
      <c r="BC18" s="269"/>
      <c r="BD18" s="269"/>
      <c r="BE18" s="269"/>
      <c r="BF18" s="269"/>
      <c r="BG18" s="277"/>
      <c r="BH18" s="269"/>
      <c r="BI18" s="269"/>
      <c r="BJ18" s="269"/>
      <c r="BK18" s="269"/>
      <c r="BL18" s="269"/>
      <c r="BM18" s="269"/>
      <c r="BN18" s="269"/>
      <c r="BO18" s="277"/>
      <c r="BP18" s="269"/>
      <c r="BQ18" s="269"/>
      <c r="BR18" s="269"/>
      <c r="BS18" s="269"/>
      <c r="BT18" s="269"/>
      <c r="BU18" s="277"/>
      <c r="BV18" s="269"/>
      <c r="BW18" s="269"/>
      <c r="BX18" s="269"/>
      <c r="BY18" s="269"/>
      <c r="BZ18" s="269"/>
      <c r="CA18" s="269"/>
      <c r="CB18" s="269"/>
      <c r="CC18" s="269"/>
      <c r="CD18" s="269"/>
      <c r="CE18" s="269"/>
      <c r="CF18" s="269"/>
      <c r="CG18" s="269"/>
      <c r="CH18" s="269"/>
      <c r="CI18" s="278"/>
      <c r="CJ18" s="278"/>
    </row>
    <row r="19" spans="1:88" s="174" customFormat="1" ht="19.95" customHeight="1">
      <c r="A19" s="251"/>
      <c r="B19" s="252"/>
      <c r="C19" s="253"/>
      <c r="D19" s="253"/>
      <c r="E19" s="254"/>
      <c r="F19" s="254"/>
      <c r="G19" s="256"/>
      <c r="H19" s="256"/>
      <c r="I19" s="254"/>
      <c r="J19" s="256"/>
      <c r="K19" s="157">
        <f>IF(L19=0,0,P19/L19)</f>
        <v>0</v>
      </c>
      <c r="L19" s="267"/>
      <c r="M19" s="267"/>
      <c r="N19" s="267"/>
      <c r="O19" s="267"/>
      <c r="P19" s="157">
        <f>SUM(M19:O19)</f>
        <v>0</v>
      </c>
      <c r="Q19" s="157">
        <f>IF(R19=0,0,V19/R19)</f>
        <v>0</v>
      </c>
      <c r="R19" s="267"/>
      <c r="S19" s="267"/>
      <c r="T19" s="267"/>
      <c r="U19" s="267"/>
      <c r="V19" s="157">
        <f>SUM(S19:U19)</f>
        <v>0</v>
      </c>
      <c r="W19" s="157">
        <f>IF(X19=0,0,AB19/X19)</f>
        <v>0</v>
      </c>
      <c r="X19" s="267"/>
      <c r="Y19" s="267"/>
      <c r="Z19" s="267"/>
      <c r="AA19" s="267"/>
      <c r="AB19" s="157">
        <f>SUM(Y19:AA19)</f>
        <v>0</v>
      </c>
      <c r="AC19" s="157">
        <f>IF(AD19=0,0,AH19/AD19)</f>
        <v>0</v>
      </c>
      <c r="AD19" s="157">
        <f t="shared" ref="AD19:AG20" si="8">L19+R19-X19</f>
        <v>0</v>
      </c>
      <c r="AE19" s="157">
        <f t="shared" si="8"/>
        <v>0</v>
      </c>
      <c r="AF19" s="157">
        <f t="shared" si="8"/>
        <v>0</v>
      </c>
      <c r="AG19" s="157">
        <f t="shared" si="8"/>
        <v>0</v>
      </c>
      <c r="AH19" s="157">
        <f>SUM(AE19:AG19)</f>
        <v>0</v>
      </c>
      <c r="AI19" s="267"/>
      <c r="AJ19" s="274"/>
      <c r="AK19" s="274"/>
      <c r="AL19" s="274"/>
      <c r="AM19" s="274"/>
      <c r="AN19" s="274"/>
      <c r="AO19" s="274"/>
      <c r="AP19" s="274"/>
      <c r="AQ19" s="274"/>
      <c r="AR19" s="274"/>
      <c r="AS19" s="274"/>
      <c r="AT19" s="274"/>
      <c r="AU19" s="274"/>
      <c r="AV19" s="274"/>
      <c r="AW19" s="274"/>
      <c r="AX19" s="274"/>
      <c r="AY19" s="274"/>
      <c r="AZ19" s="274"/>
      <c r="BA19" s="274"/>
      <c r="BB19" s="274"/>
      <c r="BC19" s="274"/>
      <c r="BD19" s="274"/>
      <c r="BE19" s="274"/>
      <c r="BF19" s="274"/>
      <c r="BG19" s="157">
        <f>IF(BH19=0,0,BL19/BH19)</f>
        <v>0</v>
      </c>
      <c r="BH19" s="276">
        <f t="shared" ref="BH19:BK20" si="9">L19+AM19+AI19</f>
        <v>0</v>
      </c>
      <c r="BI19" s="276">
        <f t="shared" si="9"/>
        <v>0</v>
      </c>
      <c r="BJ19" s="276">
        <f t="shared" si="9"/>
        <v>0</v>
      </c>
      <c r="BK19" s="276">
        <f t="shared" si="9"/>
        <v>0</v>
      </c>
      <c r="BL19" s="276">
        <f>SUM(BI19:BK19)</f>
        <v>0</v>
      </c>
      <c r="BM19" s="274"/>
      <c r="BN19" s="276">
        <f>BL19-BM19</f>
        <v>0</v>
      </c>
      <c r="BO19" s="157">
        <f>IF(BP19=0,0,BT19/BP19)</f>
        <v>0</v>
      </c>
      <c r="BP19" s="276">
        <f t="shared" ref="BP19:BS20" si="10">R19+AQ19+AU19</f>
        <v>0</v>
      </c>
      <c r="BQ19" s="276">
        <f t="shared" si="10"/>
        <v>0</v>
      </c>
      <c r="BR19" s="276">
        <f t="shared" si="10"/>
        <v>0</v>
      </c>
      <c r="BS19" s="276">
        <f t="shared" si="10"/>
        <v>0</v>
      </c>
      <c r="BT19" s="276">
        <f>SUM(BQ19:BS19)</f>
        <v>0</v>
      </c>
      <c r="BU19" s="157">
        <f>IF(BV19=0,0,BZ19/BV19)</f>
        <v>0</v>
      </c>
      <c r="BV19" s="276">
        <f t="shared" ref="BV19:BY20" si="11">X19+AY19+BC19</f>
        <v>0</v>
      </c>
      <c r="BW19" s="276">
        <f t="shared" si="11"/>
        <v>0</v>
      </c>
      <c r="BX19" s="276">
        <f t="shared" si="11"/>
        <v>0</v>
      </c>
      <c r="BY19" s="276">
        <f t="shared" si="11"/>
        <v>0</v>
      </c>
      <c r="BZ19" s="276">
        <f>SUM(BW19:BY19)</f>
        <v>0</v>
      </c>
      <c r="CA19" s="157">
        <f>IF(CB19=0,0,CF19/CB19)</f>
        <v>0</v>
      </c>
      <c r="CB19" s="276">
        <f t="shared" ref="CB19:CE20" si="12">BH19+BP19-BV19</f>
        <v>0</v>
      </c>
      <c r="CC19" s="276">
        <f t="shared" si="12"/>
        <v>0</v>
      </c>
      <c r="CD19" s="276">
        <f t="shared" si="12"/>
        <v>0</v>
      </c>
      <c r="CE19" s="276">
        <f t="shared" si="12"/>
        <v>0</v>
      </c>
      <c r="CF19" s="276">
        <f>SUM(CC19:CE19)</f>
        <v>0</v>
      </c>
      <c r="CG19" s="274"/>
      <c r="CH19" s="276">
        <f>CF19-CG19</f>
        <v>0</v>
      </c>
      <c r="CI19" s="202"/>
      <c r="CJ19" s="202"/>
    </row>
    <row r="20" spans="1:88" s="174" customFormat="1" ht="19.95" customHeight="1">
      <c r="A20" s="251"/>
      <c r="B20" s="252"/>
      <c r="C20" s="253"/>
      <c r="D20" s="253"/>
      <c r="E20" s="254"/>
      <c r="F20" s="254"/>
      <c r="G20" s="256"/>
      <c r="H20" s="256"/>
      <c r="I20" s="254"/>
      <c r="J20" s="256"/>
      <c r="K20" s="157">
        <f>IF(L20=0,0,P20/L20)</f>
        <v>0</v>
      </c>
      <c r="L20" s="267"/>
      <c r="M20" s="267"/>
      <c r="N20" s="267"/>
      <c r="O20" s="267"/>
      <c r="P20" s="157">
        <f>SUM(M20:O20)</f>
        <v>0</v>
      </c>
      <c r="Q20" s="157">
        <f>IF(R20=0,0,V20/R20)</f>
        <v>0</v>
      </c>
      <c r="R20" s="267"/>
      <c r="S20" s="267"/>
      <c r="T20" s="267"/>
      <c r="U20" s="267"/>
      <c r="V20" s="157">
        <f>SUM(S20:U20)</f>
        <v>0</v>
      </c>
      <c r="W20" s="157">
        <f>IF(X20=0,0,AB20/X20)</f>
        <v>0</v>
      </c>
      <c r="X20" s="267"/>
      <c r="Y20" s="267"/>
      <c r="Z20" s="267"/>
      <c r="AA20" s="267"/>
      <c r="AB20" s="157">
        <f>SUM(Y20:AA20)</f>
        <v>0</v>
      </c>
      <c r="AC20" s="157">
        <f>IF(AD20=0,0,AH20/AD20)</f>
        <v>0</v>
      </c>
      <c r="AD20" s="157">
        <f t="shared" si="8"/>
        <v>0</v>
      </c>
      <c r="AE20" s="157">
        <f t="shared" si="8"/>
        <v>0</v>
      </c>
      <c r="AF20" s="157">
        <f t="shared" si="8"/>
        <v>0</v>
      </c>
      <c r="AG20" s="157">
        <f t="shared" si="8"/>
        <v>0</v>
      </c>
      <c r="AH20" s="157">
        <f>SUM(AE20:AG20)</f>
        <v>0</v>
      </c>
      <c r="AI20" s="267"/>
      <c r="AJ20" s="274"/>
      <c r="AK20" s="274"/>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157">
        <f>IF(BH20=0,0,BL20/BH20)</f>
        <v>0</v>
      </c>
      <c r="BH20" s="276">
        <f t="shared" si="9"/>
        <v>0</v>
      </c>
      <c r="BI20" s="276">
        <f t="shared" si="9"/>
        <v>0</v>
      </c>
      <c r="BJ20" s="276">
        <f t="shared" si="9"/>
        <v>0</v>
      </c>
      <c r="BK20" s="276">
        <f t="shared" si="9"/>
        <v>0</v>
      </c>
      <c r="BL20" s="276">
        <f>SUM(BI20:BK20)</f>
        <v>0</v>
      </c>
      <c r="BM20" s="274"/>
      <c r="BN20" s="276">
        <f>BL20-BM20</f>
        <v>0</v>
      </c>
      <c r="BO20" s="157">
        <f>IF(BP20=0,0,BT20/BP20)</f>
        <v>0</v>
      </c>
      <c r="BP20" s="276">
        <f t="shared" si="10"/>
        <v>0</v>
      </c>
      <c r="BQ20" s="276">
        <f t="shared" si="10"/>
        <v>0</v>
      </c>
      <c r="BR20" s="276">
        <f t="shared" si="10"/>
        <v>0</v>
      </c>
      <c r="BS20" s="276">
        <f t="shared" si="10"/>
        <v>0</v>
      </c>
      <c r="BT20" s="276">
        <f>SUM(BQ20:BS20)</f>
        <v>0</v>
      </c>
      <c r="BU20" s="157">
        <f>IF(BV20=0,0,BZ20/BV20)</f>
        <v>0</v>
      </c>
      <c r="BV20" s="276">
        <f t="shared" si="11"/>
        <v>0</v>
      </c>
      <c r="BW20" s="276">
        <f t="shared" si="11"/>
        <v>0</v>
      </c>
      <c r="BX20" s="276">
        <f t="shared" si="11"/>
        <v>0</v>
      </c>
      <c r="BY20" s="276">
        <f t="shared" si="11"/>
        <v>0</v>
      </c>
      <c r="BZ20" s="276">
        <f>SUM(BW20:BY20)</f>
        <v>0</v>
      </c>
      <c r="CA20" s="157">
        <f>IF(CB20=0,0,CF20/CB20)</f>
        <v>0</v>
      </c>
      <c r="CB20" s="276">
        <f t="shared" si="12"/>
        <v>0</v>
      </c>
      <c r="CC20" s="276">
        <f t="shared" si="12"/>
        <v>0</v>
      </c>
      <c r="CD20" s="276">
        <f t="shared" si="12"/>
        <v>0</v>
      </c>
      <c r="CE20" s="276">
        <f t="shared" si="12"/>
        <v>0</v>
      </c>
      <c r="CF20" s="276">
        <f>SUM(CC20:CE20)</f>
        <v>0</v>
      </c>
      <c r="CG20" s="274"/>
      <c r="CH20" s="276">
        <f>CF20-CG20</f>
        <v>0</v>
      </c>
      <c r="CI20" s="202"/>
      <c r="CJ20" s="202"/>
    </row>
    <row r="21" spans="1:88" s="241" customFormat="1" ht="19.95" customHeight="1">
      <c r="A21" s="472" t="s">
        <v>209</v>
      </c>
      <c r="B21" s="471"/>
      <c r="C21" s="257"/>
      <c r="D21" s="257"/>
      <c r="E21" s="257"/>
      <c r="F21" s="257"/>
      <c r="G21" s="258"/>
      <c r="H21" s="258"/>
      <c r="I21" s="257"/>
      <c r="J21" s="258"/>
      <c r="K21" s="377" t="s">
        <v>207</v>
      </c>
      <c r="L21" s="157">
        <f>SUM(L19:L20)</f>
        <v>0</v>
      </c>
      <c r="M21" s="157">
        <f>SUM(M19:M20)</f>
        <v>0</v>
      </c>
      <c r="N21" s="157">
        <f>SUM(N19:N20)</f>
        <v>0</v>
      </c>
      <c r="O21" s="157">
        <f>SUM(O19:O20)</f>
        <v>0</v>
      </c>
      <c r="P21" s="157">
        <f>SUM(P19:P20)</f>
        <v>0</v>
      </c>
      <c r="Q21" s="377" t="s">
        <v>207</v>
      </c>
      <c r="R21" s="157">
        <f>SUM(R19:R20)</f>
        <v>0</v>
      </c>
      <c r="S21" s="157">
        <f>SUM(S19:S20)</f>
        <v>0</v>
      </c>
      <c r="T21" s="157">
        <f>SUM(T19:T20)</f>
        <v>0</v>
      </c>
      <c r="U21" s="157">
        <f>SUM(U19:U20)</f>
        <v>0</v>
      </c>
      <c r="V21" s="157">
        <f>SUM(S21:U21)</f>
        <v>0</v>
      </c>
      <c r="W21" s="377" t="s">
        <v>207</v>
      </c>
      <c r="X21" s="157">
        <f>SUM(X19:X20)</f>
        <v>0</v>
      </c>
      <c r="Y21" s="157">
        <f>SUM(Y19:Y20)</f>
        <v>0</v>
      </c>
      <c r="Z21" s="157">
        <f>SUM(Z19:Z20)</f>
        <v>0</v>
      </c>
      <c r="AA21" s="157">
        <f>SUM(AA19:AA20)</f>
        <v>0</v>
      </c>
      <c r="AB21" s="157">
        <f>SUM(Y21:AA21)</f>
        <v>0</v>
      </c>
      <c r="AC21" s="377" t="s">
        <v>207</v>
      </c>
      <c r="AD21" s="157">
        <f>SUM(AD19:AD20)</f>
        <v>0</v>
      </c>
      <c r="AE21" s="157">
        <f>SUM(AE19:AE20)</f>
        <v>0</v>
      </c>
      <c r="AF21" s="157">
        <f>SUM(AF19:AF20)</f>
        <v>0</v>
      </c>
      <c r="AG21" s="157">
        <f>SUM(AG19:AG20)</f>
        <v>0</v>
      </c>
      <c r="AH21" s="157">
        <f>SUM(AE21:AG21)</f>
        <v>0</v>
      </c>
      <c r="AI21" s="157">
        <f t="shared" ref="AI21:BF21" si="13">SUM(AI19:AI20)</f>
        <v>0</v>
      </c>
      <c r="AJ21" s="157">
        <f t="shared" si="13"/>
        <v>0</v>
      </c>
      <c r="AK21" s="157">
        <f t="shared" si="13"/>
        <v>0</v>
      </c>
      <c r="AL21" s="157">
        <f t="shared" si="13"/>
        <v>0</v>
      </c>
      <c r="AM21" s="157">
        <f t="shared" si="13"/>
        <v>0</v>
      </c>
      <c r="AN21" s="157">
        <f t="shared" si="13"/>
        <v>0</v>
      </c>
      <c r="AO21" s="157">
        <f t="shared" si="13"/>
        <v>0</v>
      </c>
      <c r="AP21" s="157">
        <f t="shared" si="13"/>
        <v>0</v>
      </c>
      <c r="AQ21" s="157">
        <f t="shared" si="13"/>
        <v>0</v>
      </c>
      <c r="AR21" s="157">
        <f t="shared" si="13"/>
        <v>0</v>
      </c>
      <c r="AS21" s="157">
        <f t="shared" si="13"/>
        <v>0</v>
      </c>
      <c r="AT21" s="157">
        <f t="shared" si="13"/>
        <v>0</v>
      </c>
      <c r="AU21" s="157">
        <f t="shared" si="13"/>
        <v>0</v>
      </c>
      <c r="AV21" s="157">
        <f t="shared" si="13"/>
        <v>0</v>
      </c>
      <c r="AW21" s="157">
        <f t="shared" si="13"/>
        <v>0</v>
      </c>
      <c r="AX21" s="157">
        <f t="shared" si="13"/>
        <v>0</v>
      </c>
      <c r="AY21" s="157">
        <f t="shared" si="13"/>
        <v>0</v>
      </c>
      <c r="AZ21" s="157">
        <f t="shared" si="13"/>
        <v>0</v>
      </c>
      <c r="BA21" s="157">
        <f t="shared" si="13"/>
        <v>0</v>
      </c>
      <c r="BB21" s="157">
        <f t="shared" si="13"/>
        <v>0</v>
      </c>
      <c r="BC21" s="157">
        <f t="shared" si="13"/>
        <v>0</v>
      </c>
      <c r="BD21" s="157">
        <f t="shared" si="13"/>
        <v>0</v>
      </c>
      <c r="BE21" s="157">
        <f t="shared" si="13"/>
        <v>0</v>
      </c>
      <c r="BF21" s="157">
        <f t="shared" si="13"/>
        <v>0</v>
      </c>
      <c r="BG21" s="378" t="s">
        <v>207</v>
      </c>
      <c r="BH21" s="157">
        <f t="shared" ref="BH21:BN21" si="14">SUM(BH19:BH20)</f>
        <v>0</v>
      </c>
      <c r="BI21" s="157">
        <f t="shared" si="14"/>
        <v>0</v>
      </c>
      <c r="BJ21" s="157">
        <f t="shared" si="14"/>
        <v>0</v>
      </c>
      <c r="BK21" s="157">
        <f t="shared" si="14"/>
        <v>0</v>
      </c>
      <c r="BL21" s="157">
        <f t="shared" si="14"/>
        <v>0</v>
      </c>
      <c r="BM21" s="157">
        <f t="shared" si="14"/>
        <v>0</v>
      </c>
      <c r="BN21" s="157">
        <f t="shared" si="14"/>
        <v>0</v>
      </c>
      <c r="BO21" s="379" t="s">
        <v>207</v>
      </c>
      <c r="BP21" s="157">
        <f>SUM(BP19:BP20)</f>
        <v>0</v>
      </c>
      <c r="BQ21" s="157">
        <f>SUM(BQ19:BQ20)</f>
        <v>0</v>
      </c>
      <c r="BR21" s="157">
        <f>SUM(BR19:BR20)</f>
        <v>0</v>
      </c>
      <c r="BS21" s="157">
        <f>SUM(BS19:BS20)</f>
        <v>0</v>
      </c>
      <c r="BT21" s="157">
        <f>SUM(BT19:BT20)</f>
        <v>0</v>
      </c>
      <c r="BU21" s="379" t="s">
        <v>207</v>
      </c>
      <c r="BV21" s="157">
        <f t="shared" ref="BV21:CH21" si="15">SUM(BV19:BV20)</f>
        <v>0</v>
      </c>
      <c r="BW21" s="157">
        <f t="shared" si="15"/>
        <v>0</v>
      </c>
      <c r="BX21" s="157">
        <f t="shared" si="15"/>
        <v>0</v>
      </c>
      <c r="BY21" s="157">
        <f t="shared" si="15"/>
        <v>0</v>
      </c>
      <c r="BZ21" s="157">
        <f t="shared" si="15"/>
        <v>0</v>
      </c>
      <c r="CA21" s="157">
        <f t="shared" si="15"/>
        <v>0</v>
      </c>
      <c r="CB21" s="157">
        <f t="shared" si="15"/>
        <v>0</v>
      </c>
      <c r="CC21" s="157">
        <f t="shared" si="15"/>
        <v>0</v>
      </c>
      <c r="CD21" s="157">
        <f t="shared" si="15"/>
        <v>0</v>
      </c>
      <c r="CE21" s="157">
        <f t="shared" si="15"/>
        <v>0</v>
      </c>
      <c r="CF21" s="157">
        <f t="shared" si="15"/>
        <v>0</v>
      </c>
      <c r="CG21" s="157">
        <f t="shared" si="15"/>
        <v>0</v>
      </c>
      <c r="CH21" s="157">
        <f t="shared" si="15"/>
        <v>0</v>
      </c>
      <c r="CI21" s="280"/>
      <c r="CJ21" s="280"/>
    </row>
    <row r="22" spans="1:88" s="241" customFormat="1" ht="19.95" customHeight="1">
      <c r="A22" s="472" t="s">
        <v>210</v>
      </c>
      <c r="B22" s="471"/>
      <c r="C22" s="257"/>
      <c r="D22" s="257"/>
      <c r="E22" s="257"/>
      <c r="F22" s="257"/>
      <c r="G22" s="258"/>
      <c r="H22" s="258"/>
      <c r="I22" s="257"/>
      <c r="J22" s="258"/>
      <c r="K22" s="380" t="s">
        <v>207</v>
      </c>
      <c r="L22" s="157">
        <f>L17+L21</f>
        <v>0</v>
      </c>
      <c r="M22" s="157">
        <f>M17+M21</f>
        <v>0</v>
      </c>
      <c r="N22" s="157">
        <f>N17+N21</f>
        <v>0</v>
      </c>
      <c r="O22" s="157">
        <f>O17+O21</f>
        <v>0</v>
      </c>
      <c r="P22" s="157">
        <f>P17+P21</f>
        <v>0</v>
      </c>
      <c r="Q22" s="380" t="s">
        <v>207</v>
      </c>
      <c r="R22" s="157">
        <f>R17+R21</f>
        <v>0</v>
      </c>
      <c r="S22" s="157">
        <f>S17+S21</f>
        <v>0</v>
      </c>
      <c r="T22" s="157">
        <f>T17+T21</f>
        <v>0</v>
      </c>
      <c r="U22" s="157">
        <f>U17+U21</f>
        <v>0</v>
      </c>
      <c r="V22" s="157">
        <f>V17+V21</f>
        <v>0</v>
      </c>
      <c r="W22" s="380" t="s">
        <v>207</v>
      </c>
      <c r="X22" s="157">
        <f>X17+X21</f>
        <v>0</v>
      </c>
      <c r="Y22" s="157">
        <f>Y17+Y21</f>
        <v>0</v>
      </c>
      <c r="Z22" s="157">
        <f>Z17+Z21</f>
        <v>0</v>
      </c>
      <c r="AA22" s="157">
        <f>AA17+AA21</f>
        <v>0</v>
      </c>
      <c r="AB22" s="157">
        <f>AB17+AB21</f>
        <v>0</v>
      </c>
      <c r="AC22" s="380" t="s">
        <v>207</v>
      </c>
      <c r="AD22" s="157">
        <f t="shared" ref="AD22:BF22" si="16">AD17+AD21</f>
        <v>0</v>
      </c>
      <c r="AE22" s="157">
        <f t="shared" si="16"/>
        <v>0</v>
      </c>
      <c r="AF22" s="157">
        <f t="shared" si="16"/>
        <v>0</v>
      </c>
      <c r="AG22" s="157">
        <f t="shared" si="16"/>
        <v>0</v>
      </c>
      <c r="AH22" s="157">
        <f t="shared" si="16"/>
        <v>0</v>
      </c>
      <c r="AI22" s="157">
        <f t="shared" si="16"/>
        <v>0</v>
      </c>
      <c r="AJ22" s="157">
        <f t="shared" si="16"/>
        <v>0</v>
      </c>
      <c r="AK22" s="157">
        <f t="shared" si="16"/>
        <v>0</v>
      </c>
      <c r="AL22" s="157">
        <f t="shared" si="16"/>
        <v>0</v>
      </c>
      <c r="AM22" s="157">
        <f t="shared" si="16"/>
        <v>0</v>
      </c>
      <c r="AN22" s="157">
        <f t="shared" si="16"/>
        <v>0</v>
      </c>
      <c r="AO22" s="157">
        <f t="shared" si="16"/>
        <v>0</v>
      </c>
      <c r="AP22" s="157">
        <f t="shared" si="16"/>
        <v>0</v>
      </c>
      <c r="AQ22" s="157">
        <f t="shared" si="16"/>
        <v>0</v>
      </c>
      <c r="AR22" s="157">
        <f t="shared" si="16"/>
        <v>0</v>
      </c>
      <c r="AS22" s="157">
        <f t="shared" si="16"/>
        <v>0</v>
      </c>
      <c r="AT22" s="157">
        <f t="shared" si="16"/>
        <v>0</v>
      </c>
      <c r="AU22" s="157">
        <f t="shared" si="16"/>
        <v>0</v>
      </c>
      <c r="AV22" s="157">
        <f t="shared" si="16"/>
        <v>0</v>
      </c>
      <c r="AW22" s="157">
        <f t="shared" si="16"/>
        <v>0</v>
      </c>
      <c r="AX22" s="157">
        <f t="shared" si="16"/>
        <v>0</v>
      </c>
      <c r="AY22" s="157">
        <f t="shared" si="16"/>
        <v>0</v>
      </c>
      <c r="AZ22" s="157">
        <f t="shared" si="16"/>
        <v>0</v>
      </c>
      <c r="BA22" s="157">
        <f t="shared" si="16"/>
        <v>0</v>
      </c>
      <c r="BB22" s="157">
        <f t="shared" si="16"/>
        <v>0</v>
      </c>
      <c r="BC22" s="157">
        <f t="shared" si="16"/>
        <v>0</v>
      </c>
      <c r="BD22" s="157">
        <f t="shared" si="16"/>
        <v>0</v>
      </c>
      <c r="BE22" s="157">
        <f t="shared" si="16"/>
        <v>0</v>
      </c>
      <c r="BF22" s="157">
        <f t="shared" si="16"/>
        <v>0</v>
      </c>
      <c r="BG22" s="378" t="s">
        <v>207</v>
      </c>
      <c r="BH22" s="157">
        <f t="shared" ref="BH22:BN22" si="17">BH17+BH21</f>
        <v>0</v>
      </c>
      <c r="BI22" s="157">
        <f t="shared" si="17"/>
        <v>0</v>
      </c>
      <c r="BJ22" s="157">
        <f t="shared" si="17"/>
        <v>0</v>
      </c>
      <c r="BK22" s="157">
        <f t="shared" si="17"/>
        <v>0</v>
      </c>
      <c r="BL22" s="157">
        <f t="shared" si="17"/>
        <v>0</v>
      </c>
      <c r="BM22" s="157">
        <f t="shared" si="17"/>
        <v>0</v>
      </c>
      <c r="BN22" s="157">
        <f t="shared" si="17"/>
        <v>0</v>
      </c>
      <c r="BO22" s="379" t="s">
        <v>207</v>
      </c>
      <c r="BP22" s="157">
        <f>BP17+BP21</f>
        <v>0</v>
      </c>
      <c r="BQ22" s="157">
        <f>BQ17+BQ21</f>
        <v>0</v>
      </c>
      <c r="BR22" s="157">
        <f>BR17+BR21</f>
        <v>0</v>
      </c>
      <c r="BS22" s="157">
        <f>BS17+BS21</f>
        <v>0</v>
      </c>
      <c r="BT22" s="157">
        <f>BT17+BT21</f>
        <v>0</v>
      </c>
      <c r="BU22" s="379" t="s">
        <v>207</v>
      </c>
      <c r="BV22" s="157">
        <f t="shared" ref="BV22:CH22" si="18">BV17+BV21</f>
        <v>0</v>
      </c>
      <c r="BW22" s="157">
        <f t="shared" si="18"/>
        <v>0</v>
      </c>
      <c r="BX22" s="157">
        <f t="shared" si="18"/>
        <v>0</v>
      </c>
      <c r="BY22" s="157">
        <f t="shared" si="18"/>
        <v>0</v>
      </c>
      <c r="BZ22" s="157">
        <f t="shared" si="18"/>
        <v>0</v>
      </c>
      <c r="CA22" s="157">
        <f t="shared" si="18"/>
        <v>0</v>
      </c>
      <c r="CB22" s="157">
        <f t="shared" si="18"/>
        <v>0</v>
      </c>
      <c r="CC22" s="157">
        <f t="shared" si="18"/>
        <v>0</v>
      </c>
      <c r="CD22" s="157">
        <f t="shared" si="18"/>
        <v>0</v>
      </c>
      <c r="CE22" s="157">
        <f t="shared" si="18"/>
        <v>0</v>
      </c>
      <c r="CF22" s="157">
        <f t="shared" si="18"/>
        <v>0</v>
      </c>
      <c r="CG22" s="157">
        <f t="shared" si="18"/>
        <v>0</v>
      </c>
      <c r="CH22" s="157">
        <f t="shared" si="18"/>
        <v>0</v>
      </c>
      <c r="CI22" s="280"/>
      <c r="CJ22" s="280"/>
    </row>
    <row r="23" spans="1:88" ht="19.95" customHeight="1">
      <c r="A23" s="260"/>
      <c r="C23" s="260" t="s">
        <v>211</v>
      </c>
      <c r="J23" s="270"/>
    </row>
    <row r="25" spans="1:88" ht="19.95" customHeight="1">
      <c r="A25" s="224"/>
      <c r="C25" s="224"/>
    </row>
    <row r="26" spans="1:88" ht="19.95" customHeight="1">
      <c r="A26" s="224"/>
      <c r="C26" s="224"/>
    </row>
    <row r="27" spans="1:88" ht="19.95" customHeight="1">
      <c r="A27" s="260"/>
      <c r="C27" s="260" t="s">
        <v>212</v>
      </c>
    </row>
    <row r="28" spans="1:88" ht="19.95" customHeight="1">
      <c r="A28" s="260"/>
    </row>
    <row r="30" spans="1:88" ht="19.95" customHeight="1">
      <c r="A30" s="191" t="s">
        <v>213</v>
      </c>
    </row>
    <row r="31" spans="1:88" ht="19.95" customHeight="1">
      <c r="A31" s="171" t="s">
        <v>214</v>
      </c>
    </row>
    <row r="32" spans="1:88" ht="19.95" customHeight="1">
      <c r="A32" s="171" t="s">
        <v>215</v>
      </c>
    </row>
    <row r="33" spans="1:27" ht="19.95" customHeight="1">
      <c r="A33" s="171" t="s">
        <v>216</v>
      </c>
    </row>
    <row r="34" spans="1:27" s="242" customFormat="1" ht="18" customHeight="1">
      <c r="A34" s="261" t="s">
        <v>217</v>
      </c>
      <c r="B34" s="261"/>
      <c r="C34" s="261"/>
      <c r="D34" s="2"/>
      <c r="E34" s="2"/>
      <c r="F34" s="2"/>
      <c r="G34" s="2"/>
      <c r="H34" s="2"/>
      <c r="I34" s="2"/>
      <c r="J34" s="2"/>
      <c r="K34" s="2"/>
      <c r="L34" s="2"/>
      <c r="M34" s="2"/>
      <c r="N34" s="2"/>
      <c r="O34" s="2"/>
      <c r="P34" s="2"/>
      <c r="Q34" s="2"/>
      <c r="R34" s="2"/>
      <c r="S34" s="2"/>
      <c r="T34" s="2"/>
      <c r="U34" s="2"/>
      <c r="AA34" s="2"/>
    </row>
    <row r="35" spans="1:27" s="242" customFormat="1" ht="18" customHeight="1">
      <c r="A35" s="261" t="s">
        <v>218</v>
      </c>
      <c r="B35" s="261"/>
      <c r="C35" s="261"/>
      <c r="E35" s="2"/>
      <c r="F35" s="2"/>
      <c r="G35" s="2"/>
      <c r="H35" s="2"/>
      <c r="I35" s="2"/>
      <c r="J35" s="2"/>
      <c r="K35" s="2"/>
      <c r="L35" s="2"/>
      <c r="M35" s="2"/>
      <c r="N35" s="2"/>
      <c r="O35" s="2"/>
      <c r="P35" s="2"/>
      <c r="Q35" s="2"/>
      <c r="R35" s="2"/>
      <c r="S35" s="2"/>
      <c r="T35" s="2"/>
      <c r="U35" s="2"/>
      <c r="AA35" s="2"/>
    </row>
  </sheetData>
  <mergeCells count="42">
    <mergeCell ref="A1:AH1"/>
    <mergeCell ref="AI1:BF1"/>
    <mergeCell ref="BG1:CJ1"/>
    <mergeCell ref="A2:AH2"/>
    <mergeCell ref="AI2:BF2"/>
    <mergeCell ref="BG2:CJ2"/>
    <mergeCell ref="BU12:BZ12"/>
    <mergeCell ref="CA12:CH12"/>
    <mergeCell ref="C11:E11"/>
    <mergeCell ref="K11:AH11"/>
    <mergeCell ref="AI11:AP11"/>
    <mergeCell ref="AQ11:AX11"/>
    <mergeCell ref="AY11:BF11"/>
    <mergeCell ref="H11:H13"/>
    <mergeCell ref="I11:I13"/>
    <mergeCell ref="J11:J13"/>
    <mergeCell ref="AU12:AX12"/>
    <mergeCell ref="AY12:BB12"/>
    <mergeCell ref="BC12:BF12"/>
    <mergeCell ref="BG12:BN12"/>
    <mergeCell ref="BO12:BT12"/>
    <mergeCell ref="A17:B17"/>
    <mergeCell ref="A21:B21"/>
    <mergeCell ref="A22:B22"/>
    <mergeCell ref="A11:A13"/>
    <mergeCell ref="B11:B13"/>
    <mergeCell ref="CI12:CI13"/>
    <mergeCell ref="CJ12:CJ13"/>
    <mergeCell ref="C12:C13"/>
    <mergeCell ref="D12:D13"/>
    <mergeCell ref="E12:E13"/>
    <mergeCell ref="F11:F13"/>
    <mergeCell ref="G11:G13"/>
    <mergeCell ref="BG11:CH11"/>
    <mergeCell ref="CI11:CJ11"/>
    <mergeCell ref="K12:P12"/>
    <mergeCell ref="Q12:V12"/>
    <mergeCell ref="W12:AB12"/>
    <mergeCell ref="AC12:AH12"/>
    <mergeCell ref="AI12:AL12"/>
    <mergeCell ref="AM12:AP12"/>
    <mergeCell ref="AQ12:AT12"/>
  </mergeCells>
  <phoneticPr fontId="86" type="noConversion"/>
  <dataValidations count="1">
    <dataValidation allowBlank="1" showInputMessage="1" showErrorMessage="1" prompt="请将减少金额填列在P列" sqref="AF15:AF21"/>
  </dataValidations>
  <hyperlinks>
    <hyperlink ref="CJ3" location="底稿目录!A1" display="底稿目录!A1"/>
    <hyperlink ref="AH3" location="底稿目录!A1" display="底稿目录!A1"/>
    <hyperlink ref="BF3" location="底稿目录!A1" display="L4-2"/>
  </hyperlinks>
  <printOptions horizontalCentered="1"/>
  <pageMargins left="0.70866141732283505" right="0.70866141732283505" top="0.74803149606299202" bottom="0.74803149606299202" header="0.31496062992126" footer="0.31496062992126"/>
  <pageSetup paperSize="9" scale="37" fitToHeight="0" orientation="landscape" blackAndWhite="1" r:id="rId1"/>
  <headerFooter>
    <oddFooter>&amp;C&amp;P/&amp;N</oddFooter>
  </headerFooter>
  <colBreaks count="2" manualBreakCount="2">
    <brk id="34" max="35" man="1"/>
    <brk id="58"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N27"/>
  <sheetViews>
    <sheetView view="pageBreakPreview" zoomScaleNormal="100" workbookViewId="0">
      <selection sqref="A1:S1"/>
    </sheetView>
  </sheetViews>
  <sheetFormatPr defaultColWidth="9" defaultRowHeight="19.95" customHeight="1"/>
  <cols>
    <col min="1" max="1" width="5.19921875" style="177" customWidth="1"/>
    <col min="2" max="2" width="11.09765625" style="177" customWidth="1"/>
    <col min="3" max="4" width="9" style="177"/>
    <col min="5" max="5" width="9.59765625" style="177" customWidth="1"/>
    <col min="6" max="23" width="9" style="177"/>
    <col min="24" max="24" width="9.09765625" style="177" customWidth="1"/>
    <col min="25" max="33" width="9" style="177"/>
    <col min="34" max="34" width="9.09765625" style="177" customWidth="1"/>
    <col min="35" max="16384" width="9" style="177"/>
  </cols>
  <sheetData>
    <row r="1" spans="1:40" s="44" customFormat="1" ht="19.95" customHeight="1">
      <c r="A1" s="474" t="s">
        <v>178</v>
      </c>
      <c r="B1" s="474"/>
      <c r="C1" s="474"/>
      <c r="D1" s="474"/>
      <c r="E1" s="474"/>
      <c r="F1" s="474"/>
      <c r="G1" s="474"/>
      <c r="H1" s="474"/>
      <c r="I1" s="474"/>
      <c r="J1" s="474"/>
      <c r="K1" s="474"/>
      <c r="L1" s="474"/>
      <c r="M1" s="474"/>
      <c r="N1" s="474"/>
      <c r="O1" s="474"/>
      <c r="P1" s="474"/>
      <c r="Q1" s="474"/>
      <c r="R1" s="474"/>
      <c r="S1" s="474"/>
      <c r="T1" s="474" t="s">
        <v>178</v>
      </c>
      <c r="U1" s="474"/>
      <c r="V1" s="474"/>
      <c r="W1" s="474"/>
      <c r="X1" s="474"/>
      <c r="Y1" s="474"/>
      <c r="Z1" s="474"/>
      <c r="AA1" s="474"/>
      <c r="AB1" s="474"/>
      <c r="AC1" s="474"/>
      <c r="AD1" s="474"/>
      <c r="AE1" s="474"/>
      <c r="AF1" s="474"/>
      <c r="AG1" s="474"/>
      <c r="AH1" s="474"/>
      <c r="AI1" s="474"/>
      <c r="AJ1" s="474"/>
      <c r="AK1" s="474"/>
    </row>
    <row r="2" spans="1:40" s="223" customFormat="1" ht="19.95" customHeight="1">
      <c r="A2" s="475" t="s">
        <v>219</v>
      </c>
      <c r="B2" s="475"/>
      <c r="C2" s="475"/>
      <c r="D2" s="475"/>
      <c r="E2" s="475"/>
      <c r="F2" s="475"/>
      <c r="G2" s="475"/>
      <c r="H2" s="475"/>
      <c r="I2" s="475"/>
      <c r="J2" s="475"/>
      <c r="K2" s="475"/>
      <c r="L2" s="475"/>
      <c r="M2" s="475"/>
      <c r="N2" s="475"/>
      <c r="O2" s="475"/>
      <c r="P2" s="475"/>
      <c r="Q2" s="475"/>
      <c r="R2" s="475"/>
      <c r="S2" s="475"/>
      <c r="T2" s="475" t="s">
        <v>220</v>
      </c>
      <c r="U2" s="475"/>
      <c r="V2" s="475"/>
      <c r="W2" s="475"/>
      <c r="X2" s="475"/>
      <c r="Y2" s="475"/>
      <c r="Z2" s="475"/>
      <c r="AA2" s="475"/>
      <c r="AB2" s="475"/>
      <c r="AC2" s="475"/>
      <c r="AD2" s="475"/>
      <c r="AE2" s="475"/>
      <c r="AF2" s="475"/>
      <c r="AG2" s="475"/>
      <c r="AH2" s="475"/>
      <c r="AI2" s="475"/>
      <c r="AJ2" s="475"/>
      <c r="AK2" s="475"/>
      <c r="AN2" s="238" t="s">
        <v>182</v>
      </c>
    </row>
    <row r="3" spans="1:40" s="2" customFormat="1" ht="19.95" customHeight="1">
      <c r="A3" s="2" t="str">
        <f>底稿目录!A2</f>
        <v>被审计单位：</v>
      </c>
      <c r="H3" s="2" t="str">
        <f>底稿目录!A4</f>
        <v>编制人：</v>
      </c>
      <c r="L3" s="197" t="str">
        <f>底稿目录!A5</f>
        <v>编制日期：</v>
      </c>
      <c r="M3" s="197"/>
      <c r="R3" s="2" t="s">
        <v>183</v>
      </c>
      <c r="S3" s="75" t="str">
        <f>底稿目录!F8</f>
        <v>L4-3</v>
      </c>
      <c r="Z3" s="2" t="str">
        <f>底稿目录!A4</f>
        <v>编制人：</v>
      </c>
      <c r="AF3" s="2" t="str">
        <f>底稿目录!A5</f>
        <v>编制日期：</v>
      </c>
      <c r="AL3" s="74" t="s">
        <v>183</v>
      </c>
      <c r="AM3" s="2" t="s">
        <v>16</v>
      </c>
    </row>
    <row r="4" spans="1:40" s="2" customFormat="1" ht="19.95" customHeight="1">
      <c r="A4" s="2" t="str">
        <f>底稿目录!A3</f>
        <v>截止日：202X年12月31日</v>
      </c>
      <c r="H4" s="2" t="str">
        <f>底稿目录!A6</f>
        <v>复核人：</v>
      </c>
      <c r="L4" s="199" t="str">
        <f>底稿目录!A7</f>
        <v>复核日期：</v>
      </c>
      <c r="M4" s="197"/>
      <c r="R4" s="2" t="s">
        <v>175</v>
      </c>
      <c r="Z4" s="23" t="s">
        <v>10</v>
      </c>
      <c r="AF4" s="23" t="str">
        <f>底稿目录!A7</f>
        <v>复核日期：</v>
      </c>
      <c r="AL4" s="74" t="s">
        <v>175</v>
      </c>
    </row>
    <row r="5" spans="1:40" s="2" customFormat="1" ht="19.95" customHeight="1">
      <c r="A5" s="34"/>
      <c r="C5" s="34" t="s">
        <v>221</v>
      </c>
      <c r="T5" s="4"/>
    </row>
    <row r="6" spans="1:40" s="2" customFormat="1" ht="19.95" customHeight="1">
      <c r="A6" s="23"/>
      <c r="C6" s="23" t="s">
        <v>348</v>
      </c>
    </row>
    <row r="7" spans="1:40" s="2" customFormat="1" ht="19.95" customHeight="1">
      <c r="A7" s="23"/>
      <c r="C7" s="23" t="s">
        <v>487</v>
      </c>
    </row>
    <row r="8" spans="1:40" s="23" customFormat="1" ht="19.95" customHeight="1">
      <c r="B8" s="226"/>
      <c r="C8" s="23" t="s">
        <v>222</v>
      </c>
      <c r="D8" s="226"/>
      <c r="E8" s="226"/>
      <c r="F8" s="226"/>
      <c r="G8" s="226"/>
      <c r="H8" s="226"/>
      <c r="I8" s="226"/>
      <c r="J8" s="226"/>
      <c r="K8" s="226"/>
      <c r="L8" s="226"/>
      <c r="M8" s="226"/>
      <c r="N8" s="226"/>
      <c r="O8" s="226"/>
      <c r="P8" s="226"/>
      <c r="Q8" s="226"/>
      <c r="R8" s="226"/>
      <c r="S8" s="226"/>
      <c r="U8" s="226"/>
      <c r="V8" s="226"/>
      <c r="W8" s="226"/>
      <c r="X8" s="226"/>
      <c r="Y8" s="226"/>
      <c r="Z8" s="226"/>
      <c r="AA8" s="226"/>
      <c r="AB8" s="226"/>
      <c r="AC8" s="226"/>
      <c r="AD8" s="226"/>
      <c r="AE8" s="226"/>
      <c r="AF8" s="226"/>
      <c r="AG8" s="226"/>
      <c r="AH8" s="226"/>
      <c r="AI8" s="226"/>
      <c r="AJ8" s="226"/>
      <c r="AK8" s="226"/>
      <c r="AL8" s="226"/>
      <c r="AM8" s="226"/>
    </row>
    <row r="9" spans="1:40" s="2" customFormat="1" ht="19.95" customHeight="1">
      <c r="A9" s="34"/>
      <c r="C9" s="34" t="s">
        <v>188</v>
      </c>
      <c r="L9" s="23"/>
      <c r="P9" s="74"/>
      <c r="T9" s="4"/>
      <c r="Z9" s="23"/>
      <c r="AD9" s="23"/>
      <c r="AH9" s="74"/>
    </row>
    <row r="10" spans="1:40" s="403" customFormat="1" ht="19.95" customHeight="1">
      <c r="A10" s="479" t="s">
        <v>223</v>
      </c>
      <c r="B10" s="480"/>
      <c r="C10" s="476" t="s">
        <v>245</v>
      </c>
      <c r="D10" s="476" t="s">
        <v>482</v>
      </c>
      <c r="E10" s="476" t="s">
        <v>483</v>
      </c>
      <c r="F10" s="476" t="s">
        <v>313</v>
      </c>
      <c r="G10" s="476" t="s">
        <v>476</v>
      </c>
      <c r="H10" s="476" t="s">
        <v>484</v>
      </c>
      <c r="I10" s="476" t="s">
        <v>485</v>
      </c>
      <c r="J10" s="476" t="s">
        <v>201</v>
      </c>
      <c r="K10" s="476" t="s">
        <v>486</v>
      </c>
      <c r="L10" s="485" t="s">
        <v>457</v>
      </c>
      <c r="M10" s="485"/>
      <c r="N10" s="485"/>
      <c r="O10" s="485"/>
      <c r="P10" s="485"/>
      <c r="Q10" s="485"/>
      <c r="R10" s="485"/>
      <c r="S10" s="485"/>
      <c r="T10" s="485" t="s">
        <v>224</v>
      </c>
      <c r="U10" s="485"/>
      <c r="V10" s="485"/>
      <c r="W10" s="485"/>
      <c r="X10" s="485" t="s">
        <v>225</v>
      </c>
      <c r="Y10" s="485"/>
      <c r="Z10" s="485"/>
      <c r="AA10" s="485"/>
      <c r="AB10" s="485" t="s">
        <v>226</v>
      </c>
      <c r="AC10" s="485"/>
      <c r="AD10" s="485"/>
      <c r="AE10" s="485"/>
      <c r="AF10" s="485" t="s">
        <v>227</v>
      </c>
      <c r="AG10" s="485"/>
      <c r="AH10" s="485"/>
      <c r="AI10" s="485"/>
      <c r="AJ10" s="485"/>
      <c r="AK10" s="485"/>
      <c r="AL10" s="485"/>
      <c r="AM10" s="485"/>
    </row>
    <row r="11" spans="1:40" s="403" customFormat="1" ht="19.95" customHeight="1">
      <c r="A11" s="481"/>
      <c r="B11" s="482"/>
      <c r="C11" s="476"/>
      <c r="D11" s="476"/>
      <c r="E11" s="476"/>
      <c r="F11" s="476"/>
      <c r="G11" s="476"/>
      <c r="H11" s="476"/>
      <c r="I11" s="476"/>
      <c r="J11" s="476"/>
      <c r="K11" s="476"/>
      <c r="L11" s="476" t="s">
        <v>479</v>
      </c>
      <c r="M11" s="476"/>
      <c r="N11" s="476" t="s">
        <v>475</v>
      </c>
      <c r="O11" s="476"/>
      <c r="P11" s="476" t="s">
        <v>480</v>
      </c>
      <c r="Q11" s="476"/>
      <c r="R11" s="476" t="s">
        <v>374</v>
      </c>
      <c r="S11" s="476"/>
      <c r="T11" s="476" t="s">
        <v>225</v>
      </c>
      <c r="U11" s="476"/>
      <c r="V11" s="476" t="s">
        <v>226</v>
      </c>
      <c r="W11" s="476"/>
      <c r="X11" s="476" t="s">
        <v>475</v>
      </c>
      <c r="Y11" s="476"/>
      <c r="Z11" s="476" t="s">
        <v>480</v>
      </c>
      <c r="AA11" s="476"/>
      <c r="AB11" s="476" t="s">
        <v>475</v>
      </c>
      <c r="AC11" s="476"/>
      <c r="AD11" s="476" t="s">
        <v>480</v>
      </c>
      <c r="AE11" s="476"/>
      <c r="AF11" s="476" t="s">
        <v>479</v>
      </c>
      <c r="AG11" s="476"/>
      <c r="AH11" s="476" t="s">
        <v>475</v>
      </c>
      <c r="AI11" s="476"/>
      <c r="AJ11" s="476" t="s">
        <v>480</v>
      </c>
      <c r="AK11" s="476"/>
      <c r="AL11" s="476" t="s">
        <v>374</v>
      </c>
      <c r="AM11" s="476"/>
    </row>
    <row r="12" spans="1:40" s="403" customFormat="1" ht="19.95" customHeight="1">
      <c r="A12" s="483"/>
      <c r="B12" s="484"/>
      <c r="C12" s="476"/>
      <c r="D12" s="476"/>
      <c r="E12" s="476"/>
      <c r="F12" s="476"/>
      <c r="G12" s="476"/>
      <c r="H12" s="476"/>
      <c r="I12" s="476"/>
      <c r="J12" s="476"/>
      <c r="K12" s="476"/>
      <c r="L12" s="404" t="s">
        <v>476</v>
      </c>
      <c r="M12" s="404" t="s">
        <v>484</v>
      </c>
      <c r="N12" s="404" t="s">
        <v>476</v>
      </c>
      <c r="O12" s="404" t="s">
        <v>484</v>
      </c>
      <c r="P12" s="404" t="s">
        <v>476</v>
      </c>
      <c r="Q12" s="404" t="s">
        <v>484</v>
      </c>
      <c r="R12" s="404" t="s">
        <v>476</v>
      </c>
      <c r="S12" s="404" t="s">
        <v>484</v>
      </c>
      <c r="T12" s="404" t="s">
        <v>476</v>
      </c>
      <c r="U12" s="404" t="s">
        <v>484</v>
      </c>
      <c r="V12" s="404" t="s">
        <v>476</v>
      </c>
      <c r="W12" s="404" t="s">
        <v>484</v>
      </c>
      <c r="X12" s="404" t="s">
        <v>476</v>
      </c>
      <c r="Y12" s="404" t="s">
        <v>484</v>
      </c>
      <c r="Z12" s="404" t="s">
        <v>476</v>
      </c>
      <c r="AA12" s="404" t="s">
        <v>484</v>
      </c>
      <c r="AB12" s="404" t="s">
        <v>476</v>
      </c>
      <c r="AC12" s="404" t="s">
        <v>484</v>
      </c>
      <c r="AD12" s="404" t="s">
        <v>476</v>
      </c>
      <c r="AE12" s="404" t="s">
        <v>484</v>
      </c>
      <c r="AF12" s="404" t="s">
        <v>476</v>
      </c>
      <c r="AG12" s="404" t="s">
        <v>484</v>
      </c>
      <c r="AH12" s="404" t="s">
        <v>476</v>
      </c>
      <c r="AI12" s="404" t="s">
        <v>484</v>
      </c>
      <c r="AJ12" s="404" t="s">
        <v>476</v>
      </c>
      <c r="AK12" s="404" t="s">
        <v>484</v>
      </c>
      <c r="AL12" s="404" t="s">
        <v>476</v>
      </c>
      <c r="AM12" s="404" t="s">
        <v>484</v>
      </c>
    </row>
    <row r="13" spans="1:40" s="224" customFormat="1" ht="19.95" customHeight="1">
      <c r="A13" s="227"/>
      <c r="B13" s="228"/>
      <c r="C13" s="229"/>
      <c r="D13" s="230"/>
      <c r="E13" s="231"/>
      <c r="F13" s="230"/>
      <c r="G13" s="230"/>
      <c r="H13" s="230"/>
      <c r="I13" s="236"/>
      <c r="J13" s="236"/>
      <c r="K13" s="236"/>
      <c r="L13" s="230"/>
      <c r="M13" s="230"/>
      <c r="N13" s="230"/>
      <c r="O13" s="230"/>
      <c r="P13" s="230"/>
      <c r="Q13" s="230"/>
      <c r="R13" s="58">
        <f>L13+N13-P13</f>
        <v>0</v>
      </c>
      <c r="S13" s="58">
        <f>M13+O13-Q13</f>
        <v>0</v>
      </c>
      <c r="T13" s="237"/>
      <c r="U13" s="237"/>
      <c r="V13" s="237"/>
      <c r="W13" s="237"/>
      <c r="X13" s="230"/>
      <c r="Y13" s="230"/>
      <c r="Z13" s="230"/>
      <c r="AA13" s="230"/>
      <c r="AB13" s="230"/>
      <c r="AC13" s="230"/>
      <c r="AD13" s="230"/>
      <c r="AE13" s="230"/>
      <c r="AF13" s="58">
        <f>L13+T13+V13</f>
        <v>0</v>
      </c>
      <c r="AG13" s="58">
        <f>M13+U13+W13</f>
        <v>0</v>
      </c>
      <c r="AH13" s="58">
        <f>N13+X13+AB13</f>
        <v>0</v>
      </c>
      <c r="AI13" s="58">
        <f>O13+Y13+AC13</f>
        <v>0</v>
      </c>
      <c r="AJ13" s="58">
        <f>P13+Z13+AD13</f>
        <v>0</v>
      </c>
      <c r="AK13" s="58">
        <f>Q13+AA13+AE13</f>
        <v>0</v>
      </c>
      <c r="AL13" s="58">
        <f>AF13+AH13-AJ13</f>
        <v>0</v>
      </c>
      <c r="AM13" s="58">
        <f>AG13+AI13-AK13</f>
        <v>0</v>
      </c>
    </row>
    <row r="14" spans="1:40" s="224" customFormat="1" ht="19.95" customHeight="1">
      <c r="A14" s="227"/>
      <c r="B14" s="228"/>
      <c r="C14" s="229"/>
      <c r="D14" s="230"/>
      <c r="E14" s="232"/>
      <c r="F14" s="230"/>
      <c r="G14" s="230"/>
      <c r="H14" s="230"/>
      <c r="I14" s="236"/>
      <c r="J14" s="236"/>
      <c r="K14" s="236"/>
      <c r="L14" s="230"/>
      <c r="M14" s="230"/>
      <c r="N14" s="230"/>
      <c r="O14" s="230"/>
      <c r="P14" s="230"/>
      <c r="Q14" s="230"/>
      <c r="R14" s="58">
        <f>L14+N14-P14</f>
        <v>0</v>
      </c>
      <c r="S14" s="58">
        <f>M14+O14-Q14</f>
        <v>0</v>
      </c>
      <c r="T14" s="237"/>
      <c r="U14" s="237"/>
      <c r="V14" s="237"/>
      <c r="W14" s="237"/>
      <c r="X14" s="230"/>
      <c r="Y14" s="230"/>
      <c r="Z14" s="230"/>
      <c r="AA14" s="230"/>
      <c r="AB14" s="230"/>
      <c r="AC14" s="230"/>
      <c r="AD14" s="230"/>
      <c r="AE14" s="230"/>
      <c r="AF14" s="58">
        <f>L14+T14+V14</f>
        <v>0</v>
      </c>
      <c r="AG14" s="58">
        <f>M14+U14+W14</f>
        <v>0</v>
      </c>
      <c r="AH14" s="58">
        <f>N14+X14+AB14</f>
        <v>0</v>
      </c>
      <c r="AI14" s="58">
        <f>O14+Y14+AC14</f>
        <v>0</v>
      </c>
      <c r="AJ14" s="58">
        <f>P14+Z14+AD14</f>
        <v>0</v>
      </c>
      <c r="AK14" s="58">
        <f>Q14+AA14+AE14</f>
        <v>0</v>
      </c>
      <c r="AL14" s="58">
        <f>AF14+AH14-AJ14</f>
        <v>0</v>
      </c>
      <c r="AM14" s="58">
        <f>AG14+AI14-AK14</f>
        <v>0</v>
      </c>
    </row>
    <row r="15" spans="1:40" s="224" customFormat="1" ht="19.95" customHeight="1">
      <c r="A15" s="227"/>
      <c r="B15" s="228"/>
      <c r="C15" s="229"/>
      <c r="D15" s="230"/>
      <c r="E15" s="232"/>
      <c r="F15" s="230"/>
      <c r="G15" s="230"/>
      <c r="H15" s="230"/>
      <c r="I15" s="236"/>
      <c r="J15" s="236"/>
      <c r="K15" s="236"/>
      <c r="L15" s="230"/>
      <c r="M15" s="236"/>
      <c r="N15" s="230"/>
      <c r="O15" s="230"/>
      <c r="P15" s="230"/>
      <c r="Q15" s="230"/>
      <c r="R15" s="58">
        <f>L15+N15-P15</f>
        <v>0</v>
      </c>
      <c r="S15" s="58">
        <f>M15+O15-Q15</f>
        <v>0</v>
      </c>
      <c r="T15" s="237"/>
      <c r="U15" s="237"/>
      <c r="V15" s="237"/>
      <c r="W15" s="237"/>
      <c r="X15" s="230"/>
      <c r="Y15" s="230"/>
      <c r="Z15" s="230"/>
      <c r="AA15" s="230"/>
      <c r="AB15" s="230"/>
      <c r="AC15" s="230"/>
      <c r="AD15" s="230"/>
      <c r="AE15" s="230"/>
      <c r="AF15" s="58">
        <f>L15+T15+V15</f>
        <v>0</v>
      </c>
      <c r="AG15" s="58">
        <f>M15+U15+W15</f>
        <v>0</v>
      </c>
      <c r="AH15" s="58">
        <f>N15+X15+AB15</f>
        <v>0</v>
      </c>
      <c r="AI15" s="58">
        <f>O15+Y15+AC15</f>
        <v>0</v>
      </c>
      <c r="AJ15" s="58">
        <f>P15+Z15+AD15</f>
        <v>0</v>
      </c>
      <c r="AK15" s="58">
        <f>Q15+AA15+AE15</f>
        <v>0</v>
      </c>
      <c r="AL15" s="58">
        <f>AF15+AH15-AJ15</f>
        <v>0</v>
      </c>
      <c r="AM15" s="58">
        <f>AG15+AI15-AK15</f>
        <v>0</v>
      </c>
    </row>
    <row r="16" spans="1:40" s="224" customFormat="1" ht="19.95" customHeight="1">
      <c r="A16" s="227"/>
      <c r="B16" s="228"/>
      <c r="C16" s="229"/>
      <c r="D16" s="230"/>
      <c r="E16" s="232"/>
      <c r="F16" s="230"/>
      <c r="G16" s="230"/>
      <c r="H16" s="230"/>
      <c r="I16" s="236"/>
      <c r="J16" s="236"/>
      <c r="K16" s="236"/>
      <c r="L16" s="230"/>
      <c r="M16" s="230"/>
      <c r="N16" s="230"/>
      <c r="O16" s="230"/>
      <c r="P16" s="230"/>
      <c r="Q16" s="230"/>
      <c r="R16" s="58">
        <f>L16+N16-P16</f>
        <v>0</v>
      </c>
      <c r="S16" s="58">
        <f>M16+O16-Q16</f>
        <v>0</v>
      </c>
      <c r="T16" s="237"/>
      <c r="U16" s="237"/>
      <c r="V16" s="237"/>
      <c r="W16" s="237"/>
      <c r="X16" s="230"/>
      <c r="Y16" s="230"/>
      <c r="Z16" s="230"/>
      <c r="AA16" s="230"/>
      <c r="AB16" s="230"/>
      <c r="AC16" s="230"/>
      <c r="AD16" s="230"/>
      <c r="AE16" s="230"/>
      <c r="AF16" s="58">
        <f>L16+T16+V16</f>
        <v>0</v>
      </c>
      <c r="AG16" s="58">
        <f>M16+U16+W16</f>
        <v>0</v>
      </c>
      <c r="AH16" s="58">
        <f>N16+X16+AB16</f>
        <v>0</v>
      </c>
      <c r="AI16" s="58">
        <f>O16+Y16+AC16</f>
        <v>0</v>
      </c>
      <c r="AJ16" s="58">
        <f>P16+Z16+AD16</f>
        <v>0</v>
      </c>
      <c r="AK16" s="58">
        <f>Q16+AA16+AE16</f>
        <v>0</v>
      </c>
      <c r="AL16" s="58">
        <f>AF16+AH16-AJ16</f>
        <v>0</v>
      </c>
      <c r="AM16" s="58">
        <f>AG16+AI16-AK16</f>
        <v>0</v>
      </c>
    </row>
    <row r="17" spans="1:39" s="224" customFormat="1" ht="19.95" customHeight="1">
      <c r="A17" s="227"/>
      <c r="B17" s="233"/>
      <c r="C17" s="229"/>
      <c r="D17" s="230"/>
      <c r="E17" s="234"/>
      <c r="F17" s="230"/>
      <c r="G17" s="230"/>
      <c r="H17" s="230"/>
      <c r="I17" s="236"/>
      <c r="J17" s="236"/>
      <c r="K17" s="236"/>
      <c r="L17" s="230"/>
      <c r="M17" s="230"/>
      <c r="N17" s="230"/>
      <c r="O17" s="230"/>
      <c r="P17" s="230"/>
      <c r="Q17" s="230"/>
      <c r="R17" s="58">
        <f>L17+N17-P17</f>
        <v>0</v>
      </c>
      <c r="S17" s="58">
        <f>M17+O17-Q17</f>
        <v>0</v>
      </c>
      <c r="T17" s="237"/>
      <c r="U17" s="237"/>
      <c r="V17" s="237"/>
      <c r="W17" s="237"/>
      <c r="X17" s="230"/>
      <c r="Y17" s="230"/>
      <c r="Z17" s="230"/>
      <c r="AA17" s="230"/>
      <c r="AB17" s="230"/>
      <c r="AC17" s="230"/>
      <c r="AD17" s="230"/>
      <c r="AE17" s="230"/>
      <c r="AF17" s="58">
        <f>L17+T17+V17</f>
        <v>0</v>
      </c>
      <c r="AG17" s="58">
        <f>M17+U17+W17</f>
        <v>0</v>
      </c>
      <c r="AH17" s="58">
        <f>N17+X17+AB17</f>
        <v>0</v>
      </c>
      <c r="AI17" s="58">
        <f>O17+Y17+AC17</f>
        <v>0</v>
      </c>
      <c r="AJ17" s="58">
        <f>P17+Z17+AD17</f>
        <v>0</v>
      </c>
      <c r="AK17" s="58">
        <f>Q17+AA17+AE17</f>
        <v>0</v>
      </c>
      <c r="AL17" s="58">
        <f>AF17+AH17-AJ17</f>
        <v>0</v>
      </c>
      <c r="AM17" s="58">
        <f>AG17+AI17-AK17</f>
        <v>0</v>
      </c>
    </row>
    <row r="18" spans="1:39" s="406" customFormat="1" ht="19.95" customHeight="1">
      <c r="A18" s="477" t="s">
        <v>210</v>
      </c>
      <c r="B18" s="478"/>
      <c r="C18" s="58"/>
      <c r="D18" s="58"/>
      <c r="E18" s="405"/>
      <c r="F18" s="58"/>
      <c r="G18" s="58"/>
      <c r="H18" s="58"/>
      <c r="I18" s="58"/>
      <c r="J18" s="58"/>
      <c r="K18" s="58"/>
      <c r="L18" s="58">
        <f>SUM(L13:L17)</f>
        <v>0</v>
      </c>
      <c r="M18" s="58">
        <f>SUM(M13:M17)</f>
        <v>0</v>
      </c>
      <c r="N18" s="58">
        <f>SUM(N13:N17)</f>
        <v>0</v>
      </c>
      <c r="O18" s="58">
        <f>SUM(O13:O17)</f>
        <v>0</v>
      </c>
      <c r="P18" s="58">
        <f>SUM(P13:P17)</f>
        <v>0</v>
      </c>
      <c r="Q18" s="58">
        <f>SUM(Q13:Q17)</f>
        <v>0</v>
      </c>
      <c r="R18" s="58">
        <f>L18+N18-P18</f>
        <v>0</v>
      </c>
      <c r="S18" s="58">
        <f>M18+O18-Q18</f>
        <v>0</v>
      </c>
      <c r="T18" s="58">
        <f>SUM(T13:T17)</f>
        <v>0</v>
      </c>
      <c r="U18" s="58">
        <f>SUM(U13:U17)</f>
        <v>0</v>
      </c>
      <c r="V18" s="58">
        <f>SUM(V13:V17)</f>
        <v>0</v>
      </c>
      <c r="W18" s="58">
        <f>SUM(W13:W17)</f>
        <v>0</v>
      </c>
      <c r="X18" s="58">
        <f>SUM(X13:X17)</f>
        <v>0</v>
      </c>
      <c r="Y18" s="58">
        <f>SUM(Y13:Y17)</f>
        <v>0</v>
      </c>
      <c r="Z18" s="58">
        <f>SUM(Z13:Z17)</f>
        <v>0</v>
      </c>
      <c r="AA18" s="58">
        <f>SUM(AA13:AA17)</f>
        <v>0</v>
      </c>
      <c r="AB18" s="58">
        <f>SUM(AB13:AB17)</f>
        <v>0</v>
      </c>
      <c r="AC18" s="58">
        <f>SUM(AC13:AC17)</f>
        <v>0</v>
      </c>
      <c r="AD18" s="58">
        <f>SUM(AD13:AD17)</f>
        <v>0</v>
      </c>
      <c r="AE18" s="58">
        <f>SUM(AE13:AE17)</f>
        <v>0</v>
      </c>
      <c r="AF18" s="58">
        <f>SUM(AF13:AF17)</f>
        <v>0</v>
      </c>
      <c r="AG18" s="58">
        <f>SUM(AG13:AG17)</f>
        <v>0</v>
      </c>
      <c r="AH18" s="58">
        <f>SUM(AH13:AH17)</f>
        <v>0</v>
      </c>
      <c r="AI18" s="58">
        <f>SUM(AI13:AI17)</f>
        <v>0</v>
      </c>
      <c r="AJ18" s="58">
        <f>SUM(AJ13:AJ17)</f>
        <v>0</v>
      </c>
      <c r="AK18" s="58">
        <f>SUM(AK13:AK17)</f>
        <v>0</v>
      </c>
      <c r="AL18" s="58">
        <f>AF18+AH18-AJ18</f>
        <v>0</v>
      </c>
      <c r="AM18" s="58">
        <f>AG18+AI18-AK18</f>
        <v>0</v>
      </c>
    </row>
    <row r="19" spans="1:39" s="2" customFormat="1" ht="19.95" customHeight="1">
      <c r="A19" s="34"/>
      <c r="B19" s="34"/>
      <c r="C19" s="34" t="s">
        <v>211</v>
      </c>
      <c r="E19" s="35"/>
      <c r="L19" s="23"/>
      <c r="P19" s="74"/>
      <c r="Z19" s="23"/>
      <c r="AD19" s="23"/>
      <c r="AH19" s="74"/>
    </row>
    <row r="20" spans="1:39" ht="19.95" customHeight="1">
      <c r="A20" s="23"/>
      <c r="B20" s="23"/>
      <c r="C20" s="23"/>
    </row>
    <row r="21" spans="1:39" ht="19.95" customHeight="1">
      <c r="A21" s="23"/>
      <c r="B21" s="23"/>
      <c r="C21" s="23"/>
    </row>
    <row r="22" spans="1:39" s="2" customFormat="1" ht="19.95" customHeight="1">
      <c r="A22" s="34"/>
      <c r="B22" s="34"/>
      <c r="C22" s="34" t="s">
        <v>212</v>
      </c>
      <c r="L22" s="23"/>
      <c r="P22" s="74"/>
      <c r="Z22" s="23"/>
      <c r="AD22" s="23"/>
      <c r="AH22" s="74"/>
    </row>
    <row r="24" spans="1:39" ht="19.95" customHeight="1">
      <c r="A24" s="191" t="s">
        <v>213</v>
      </c>
    </row>
    <row r="25" spans="1:39" s="225" customFormat="1" ht="19.95" customHeight="1">
      <c r="A25" s="235" t="s">
        <v>228</v>
      </c>
    </row>
    <row r="26" spans="1:39" s="225" customFormat="1" ht="19.95" customHeight="1">
      <c r="A26" s="235" t="s">
        <v>229</v>
      </c>
    </row>
    <row r="27" spans="1:39" s="225" customFormat="1" ht="19.95" customHeight="1">
      <c r="A27" s="235" t="s">
        <v>230</v>
      </c>
    </row>
  </sheetData>
  <mergeCells count="34">
    <mergeCell ref="A1:S1"/>
    <mergeCell ref="T1:AK1"/>
    <mergeCell ref="A2:S2"/>
    <mergeCell ref="T2:AK2"/>
    <mergeCell ref="L10:S10"/>
    <mergeCell ref="T10:W10"/>
    <mergeCell ref="X10:AA10"/>
    <mergeCell ref="AB10:AE10"/>
    <mergeCell ref="AF10:AM10"/>
    <mergeCell ref="X11:Y11"/>
    <mergeCell ref="Z11:AA11"/>
    <mergeCell ref="AB11:AC11"/>
    <mergeCell ref="AD11:AE11"/>
    <mergeCell ref="L11:M11"/>
    <mergeCell ref="N11:O11"/>
    <mergeCell ref="P11:Q11"/>
    <mergeCell ref="R11:S11"/>
    <mergeCell ref="T11:U11"/>
    <mergeCell ref="AF11:AG11"/>
    <mergeCell ref="AH11:AI11"/>
    <mergeCell ref="AJ11:AK11"/>
    <mergeCell ref="AL11:AM11"/>
    <mergeCell ref="A18:B18"/>
    <mergeCell ref="C10:C12"/>
    <mergeCell ref="D10:D12"/>
    <mergeCell ref="E10:E12"/>
    <mergeCell ref="F10:F12"/>
    <mergeCell ref="G10:G12"/>
    <mergeCell ref="H10:H12"/>
    <mergeCell ref="I10:I12"/>
    <mergeCell ref="J10:J12"/>
    <mergeCell ref="K10:K12"/>
    <mergeCell ref="A10:B12"/>
    <mergeCell ref="V11:W11"/>
  </mergeCells>
  <phoneticPr fontId="86" type="noConversion"/>
  <dataValidations count="1">
    <dataValidation allowBlank="1" showInputMessage="1" showErrorMessage="1" prompt="发行在外的金融工具名称请在A列输入" sqref="B13:B17"/>
  </dataValidations>
  <hyperlinks>
    <hyperlink ref="AN2" location="底稿目录!A1" display="返回目录"/>
    <hyperlink ref="S3" location="底稿目录!A1" display="=底稿目录!F8"/>
  </hyperlinks>
  <pageMargins left="0.70866141732283505" right="0.70866141732283505" top="0.74803149606299202" bottom="0.74803149606299202" header="0.31496062992126" footer="0.31496062992126"/>
  <pageSetup paperSize="9" scale="62" orientation="landscape" blackAndWhite="1" r:id="rId1"/>
  <headerFooter>
    <oddFooter>&amp;C&amp;P/&amp;N</oddFooter>
  </headerFooter>
  <colBreaks count="1" manualBreakCount="1">
    <brk id="1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3"/>
  <sheetViews>
    <sheetView view="pageBreakPreview" zoomScaleNormal="100" workbookViewId="0">
      <selection sqref="A1:J1"/>
    </sheetView>
  </sheetViews>
  <sheetFormatPr defaultColWidth="9" defaultRowHeight="19.95" customHeight="1"/>
  <cols>
    <col min="1" max="1" width="20.59765625" style="203" customWidth="1"/>
    <col min="2" max="2" width="14.796875" style="203" customWidth="1"/>
    <col min="3" max="6" width="9" style="203"/>
    <col min="7" max="8" width="11.796875" style="203" customWidth="1"/>
    <col min="9" max="16384" width="9" style="203"/>
  </cols>
  <sheetData>
    <row r="1" spans="1:11" ht="19.95" customHeight="1">
      <c r="A1" s="486" t="s">
        <v>178</v>
      </c>
      <c r="B1" s="486"/>
      <c r="C1" s="486"/>
      <c r="D1" s="486"/>
      <c r="E1" s="486"/>
      <c r="F1" s="486"/>
      <c r="G1" s="486"/>
      <c r="H1" s="486"/>
      <c r="I1" s="486"/>
      <c r="J1" s="486"/>
    </row>
    <row r="2" spans="1:11" ht="19.95" customHeight="1">
      <c r="A2" s="487" t="s">
        <v>231</v>
      </c>
      <c r="B2" s="487"/>
      <c r="C2" s="487"/>
      <c r="D2" s="487"/>
      <c r="E2" s="487"/>
      <c r="F2" s="487"/>
      <c r="G2" s="487"/>
      <c r="H2" s="487"/>
      <c r="I2" s="487"/>
      <c r="J2" s="487"/>
      <c r="K2" s="36"/>
    </row>
    <row r="3" spans="1:11" ht="19.95" customHeight="1">
      <c r="A3" s="204" t="str">
        <f>底稿目录!A2</f>
        <v>被审计单位：</v>
      </c>
      <c r="B3" s="204"/>
      <c r="C3" s="204" t="str">
        <f>底稿目录!A4</f>
        <v>编制人：</v>
      </c>
      <c r="D3" s="204"/>
      <c r="E3" s="204"/>
      <c r="F3" s="205"/>
      <c r="G3" s="204" t="str">
        <f>底稿目录!A5</f>
        <v>编制日期：</v>
      </c>
      <c r="H3" s="204"/>
      <c r="I3" s="221" t="s">
        <v>174</v>
      </c>
      <c r="J3" s="390" t="str">
        <f>底稿目录!F9</f>
        <v>L4-4</v>
      </c>
    </row>
    <row r="4" spans="1:11" ht="19.95" customHeight="1">
      <c r="A4" s="204" t="str">
        <f>底稿目录!A3</f>
        <v>截止日：202X年12月31日</v>
      </c>
      <c r="B4" s="204"/>
      <c r="C4" s="204" t="str">
        <f>底稿目录!A6</f>
        <v>复核人：</v>
      </c>
      <c r="D4" s="204"/>
      <c r="E4" s="204"/>
      <c r="F4" s="205"/>
      <c r="G4" s="204" t="str">
        <f>底稿目录!A7</f>
        <v>复核日期：</v>
      </c>
      <c r="H4" s="204"/>
      <c r="I4" s="221" t="s">
        <v>175</v>
      </c>
    </row>
    <row r="5" spans="1:11" ht="30" customHeight="1">
      <c r="A5" s="206" t="s">
        <v>232</v>
      </c>
      <c r="B5" s="207" t="s">
        <v>233</v>
      </c>
      <c r="C5" s="208" t="s">
        <v>234</v>
      </c>
      <c r="D5" s="208" t="s">
        <v>235</v>
      </c>
      <c r="E5" s="208" t="s">
        <v>236</v>
      </c>
      <c r="F5" s="209" t="s">
        <v>150</v>
      </c>
      <c r="G5" s="208" t="s">
        <v>237</v>
      </c>
      <c r="H5" s="208" t="s">
        <v>238</v>
      </c>
      <c r="I5" s="208" t="s">
        <v>239</v>
      </c>
      <c r="J5" s="208" t="s">
        <v>240</v>
      </c>
    </row>
    <row r="6" spans="1:11" ht="19.95" customHeight="1">
      <c r="A6" s="210"/>
      <c r="B6" s="210"/>
      <c r="C6" s="210"/>
      <c r="D6" s="210"/>
      <c r="E6" s="210"/>
      <c r="F6" s="210"/>
      <c r="G6" s="211"/>
      <c r="H6" s="211"/>
      <c r="I6" s="210"/>
      <c r="J6" s="210"/>
    </row>
    <row r="7" spans="1:11" ht="19.95" customHeight="1">
      <c r="A7" s="210"/>
      <c r="B7" s="210"/>
      <c r="C7" s="210"/>
      <c r="D7" s="210"/>
      <c r="E7" s="210"/>
      <c r="F7" s="210"/>
      <c r="G7" s="211"/>
      <c r="H7" s="211"/>
      <c r="I7" s="210"/>
      <c r="J7" s="210"/>
    </row>
    <row r="8" spans="1:11" ht="19.95" customHeight="1">
      <c r="A8" s="212"/>
      <c r="B8" s="210"/>
      <c r="C8" s="210"/>
      <c r="D8" s="210"/>
      <c r="E8" s="210"/>
      <c r="F8" s="210"/>
      <c r="G8" s="211"/>
      <c r="H8" s="211"/>
      <c r="I8" s="210"/>
      <c r="J8" s="210"/>
    </row>
    <row r="9" spans="1:11" ht="19.95" customHeight="1">
      <c r="A9" s="212"/>
      <c r="B9" s="210"/>
      <c r="C9" s="210"/>
      <c r="D9" s="210"/>
      <c r="E9" s="210"/>
      <c r="F9" s="210"/>
      <c r="G9" s="211"/>
      <c r="H9" s="211"/>
      <c r="I9" s="210"/>
      <c r="J9" s="210"/>
    </row>
    <row r="10" spans="1:11" ht="19.95" customHeight="1">
      <c r="A10" s="212"/>
      <c r="B10" s="210"/>
      <c r="C10" s="210"/>
      <c r="D10" s="210"/>
      <c r="E10" s="210"/>
      <c r="F10" s="210"/>
      <c r="G10" s="211"/>
      <c r="H10" s="211"/>
      <c r="I10" s="210"/>
      <c r="J10" s="210"/>
    </row>
    <row r="11" spans="1:11" ht="19.95" customHeight="1">
      <c r="A11" s="213"/>
      <c r="B11" s="210"/>
      <c r="C11" s="210"/>
      <c r="D11" s="210"/>
      <c r="E11" s="210"/>
      <c r="F11" s="210"/>
      <c r="G11" s="211"/>
      <c r="H11" s="211"/>
      <c r="I11" s="210"/>
      <c r="J11" s="210"/>
    </row>
    <row r="12" spans="1:11" ht="19.95" customHeight="1">
      <c r="A12" s="212"/>
      <c r="B12" s="210"/>
      <c r="C12" s="210"/>
      <c r="D12" s="210"/>
      <c r="E12" s="210"/>
      <c r="F12" s="210"/>
      <c r="G12" s="211"/>
      <c r="H12" s="211"/>
      <c r="I12" s="210"/>
      <c r="J12" s="210"/>
    </row>
    <row r="13" spans="1:11" ht="19.95" customHeight="1">
      <c r="A13" s="212"/>
      <c r="B13" s="210"/>
      <c r="C13" s="210"/>
      <c r="D13" s="210"/>
      <c r="E13" s="210"/>
      <c r="F13" s="210"/>
      <c r="G13" s="211"/>
      <c r="H13" s="211"/>
      <c r="I13" s="210"/>
      <c r="J13" s="210"/>
    </row>
    <row r="14" spans="1:11" ht="19.95" customHeight="1">
      <c r="A14" s="212"/>
      <c r="B14" s="210"/>
      <c r="C14" s="210"/>
      <c r="D14" s="210"/>
      <c r="E14" s="210"/>
      <c r="F14" s="210"/>
      <c r="G14" s="211"/>
      <c r="H14" s="211"/>
      <c r="I14" s="210"/>
      <c r="J14" s="210"/>
    </row>
    <row r="15" spans="1:11" ht="19.95" customHeight="1">
      <c r="A15" s="212"/>
      <c r="B15" s="210"/>
      <c r="C15" s="210"/>
      <c r="D15" s="210"/>
      <c r="E15" s="210"/>
      <c r="F15" s="210"/>
      <c r="G15" s="211"/>
      <c r="H15" s="211"/>
      <c r="I15" s="210"/>
      <c r="J15" s="210"/>
    </row>
    <row r="16" spans="1:11" ht="19.95" customHeight="1">
      <c r="A16" s="212"/>
      <c r="B16" s="210"/>
      <c r="C16" s="210"/>
      <c r="D16" s="210"/>
      <c r="E16" s="210"/>
      <c r="F16" s="210"/>
      <c r="G16" s="211"/>
      <c r="H16" s="211"/>
      <c r="I16" s="210"/>
      <c r="J16" s="210"/>
    </row>
    <row r="17" spans="1:10" ht="19.95" customHeight="1">
      <c r="A17" s="212"/>
      <c r="B17" s="210"/>
      <c r="C17" s="210"/>
      <c r="D17" s="210"/>
      <c r="E17" s="210"/>
      <c r="F17" s="210"/>
      <c r="G17" s="211"/>
      <c r="H17" s="211"/>
      <c r="I17" s="210"/>
      <c r="J17" s="210"/>
    </row>
    <row r="18" spans="1:10" ht="19.95" customHeight="1">
      <c r="A18" s="212"/>
      <c r="B18" s="210"/>
      <c r="C18" s="210"/>
      <c r="D18" s="210"/>
      <c r="E18" s="210"/>
      <c r="F18" s="210"/>
      <c r="G18" s="211"/>
      <c r="H18" s="211"/>
      <c r="I18" s="210"/>
      <c r="J18" s="210"/>
    </row>
    <row r="19" spans="1:10" ht="19.95" customHeight="1">
      <c r="A19" s="212"/>
      <c r="B19" s="210"/>
      <c r="C19" s="210"/>
      <c r="D19" s="210"/>
      <c r="E19" s="210"/>
      <c r="F19" s="210"/>
      <c r="G19" s="211"/>
      <c r="H19" s="211"/>
      <c r="I19" s="210"/>
      <c r="J19" s="210"/>
    </row>
    <row r="20" spans="1:10" ht="19.95" customHeight="1">
      <c r="A20" s="212"/>
      <c r="B20" s="210"/>
      <c r="C20" s="210"/>
      <c r="D20" s="210"/>
      <c r="E20" s="210"/>
      <c r="F20" s="210"/>
      <c r="G20" s="211"/>
      <c r="H20" s="211"/>
      <c r="I20" s="210"/>
      <c r="J20" s="210"/>
    </row>
    <row r="21" spans="1:10" ht="19.95" customHeight="1">
      <c r="A21" s="214"/>
      <c r="B21" s="214"/>
      <c r="C21" s="215"/>
      <c r="D21" s="215"/>
      <c r="E21" s="215"/>
      <c r="F21" s="215"/>
      <c r="G21" s="216"/>
      <c r="H21" s="216"/>
      <c r="I21" s="215"/>
      <c r="J21" s="222"/>
    </row>
    <row r="22" spans="1:10" ht="19.95" customHeight="1">
      <c r="A22" s="217"/>
      <c r="B22" s="217"/>
      <c r="C22" s="217"/>
      <c r="D22" s="217"/>
      <c r="E22" s="218"/>
      <c r="F22" s="219"/>
      <c r="G22" s="220"/>
      <c r="H22" s="220"/>
      <c r="I22" s="220"/>
      <c r="J22" s="220"/>
    </row>
    <row r="23" spans="1:10" ht="19.95" customHeight="1">
      <c r="A23" s="488" t="s">
        <v>241</v>
      </c>
      <c r="B23" s="489"/>
      <c r="C23" s="489"/>
      <c r="D23" s="489"/>
      <c r="E23" s="489"/>
      <c r="F23" s="489"/>
      <c r="G23" s="489"/>
      <c r="H23" s="489"/>
      <c r="I23" s="489"/>
      <c r="J23" s="489"/>
    </row>
  </sheetData>
  <mergeCells count="3">
    <mergeCell ref="A1:J1"/>
    <mergeCell ref="A2:J2"/>
    <mergeCell ref="A23:J23"/>
  </mergeCells>
  <phoneticPr fontId="86"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O61"/>
  <sheetViews>
    <sheetView view="pageBreakPreview" zoomScaleNormal="100" workbookViewId="0">
      <selection sqref="A1:N1"/>
    </sheetView>
  </sheetViews>
  <sheetFormatPr defaultColWidth="9" defaultRowHeight="15.6"/>
  <cols>
    <col min="1" max="1" width="13.69921875" style="177" customWidth="1"/>
    <col min="2" max="2" width="11.09765625" style="177" customWidth="1"/>
    <col min="3" max="3" width="12.19921875" style="177" customWidth="1"/>
    <col min="4" max="4" width="17.8984375" style="177" customWidth="1"/>
    <col min="5" max="5" width="20" style="177" customWidth="1"/>
    <col min="6" max="6" width="10.296875" style="177" customWidth="1"/>
    <col min="7" max="7" width="16" style="177" customWidth="1"/>
    <col min="8" max="8" width="10.59765625" style="177" customWidth="1"/>
    <col min="9" max="9" width="9.796875" style="177" customWidth="1"/>
    <col min="10" max="10" width="9" style="177"/>
    <col min="11" max="11" width="11.69921875" style="177" customWidth="1"/>
    <col min="12" max="13" width="9" style="177"/>
    <col min="14" max="14" width="14.3984375" style="177" customWidth="1"/>
    <col min="15" max="16384" width="9" style="177"/>
  </cols>
  <sheetData>
    <row r="1" spans="1:15" s="44" customFormat="1" ht="19.95" customHeight="1">
      <c r="A1" s="474" t="s">
        <v>178</v>
      </c>
      <c r="B1" s="474"/>
      <c r="C1" s="474"/>
      <c r="D1" s="474"/>
      <c r="E1" s="474"/>
      <c r="F1" s="474"/>
      <c r="G1" s="474"/>
      <c r="H1" s="474"/>
      <c r="I1" s="474"/>
      <c r="J1" s="474"/>
      <c r="K1" s="474"/>
      <c r="L1" s="474"/>
      <c r="M1" s="474"/>
      <c r="N1" s="474"/>
    </row>
    <row r="2" spans="1:15" s="44" customFormat="1" ht="19.95" customHeight="1">
      <c r="A2" s="475" t="s">
        <v>19</v>
      </c>
      <c r="B2" s="475"/>
      <c r="C2" s="475"/>
      <c r="D2" s="475"/>
      <c r="E2" s="475"/>
      <c r="F2" s="475"/>
      <c r="G2" s="475"/>
      <c r="H2" s="475"/>
      <c r="I2" s="475"/>
      <c r="J2" s="475"/>
      <c r="K2" s="475"/>
      <c r="L2" s="475"/>
      <c r="M2" s="475"/>
      <c r="N2" s="475"/>
      <c r="O2" s="36"/>
    </row>
    <row r="3" spans="1:15" s="2" customFormat="1" ht="19.95" customHeight="1">
      <c r="A3" s="2" t="str">
        <f>底稿目录!A2</f>
        <v>被审计单位：</v>
      </c>
      <c r="F3" s="2" t="str">
        <f>底稿目录!A4</f>
        <v>编制人：</v>
      </c>
      <c r="I3" s="197" t="str">
        <f>底稿目录!A5</f>
        <v>编制日期：</v>
      </c>
      <c r="J3" s="197"/>
      <c r="M3" s="198" t="s">
        <v>183</v>
      </c>
      <c r="N3" s="390" t="str">
        <f>底稿目录!F10</f>
        <v>L4-5</v>
      </c>
    </row>
    <row r="4" spans="1:15" s="2" customFormat="1" ht="19.95" customHeight="1">
      <c r="A4" s="2" t="str">
        <f>底稿目录!A3</f>
        <v>截止日：202X年12月31日</v>
      </c>
      <c r="F4" s="2" t="str">
        <f>底稿目录!A6</f>
        <v>复核人：</v>
      </c>
      <c r="I4" s="199" t="str">
        <f>底稿目录!A7</f>
        <v>复核日期：</v>
      </c>
      <c r="J4" s="197"/>
      <c r="M4" s="198" t="s">
        <v>175</v>
      </c>
    </row>
    <row r="5" spans="1:15" s="174" customFormat="1" ht="19.95" customHeight="1">
      <c r="A5" s="178" t="s">
        <v>242</v>
      </c>
      <c r="B5" s="2"/>
      <c r="C5" s="2"/>
      <c r="D5" s="2"/>
      <c r="E5" s="2"/>
      <c r="F5" s="2"/>
      <c r="G5" s="2"/>
      <c r="H5" s="2"/>
      <c r="I5" s="2"/>
      <c r="J5" s="74"/>
      <c r="K5" s="2"/>
      <c r="L5" s="2"/>
      <c r="M5" s="2"/>
      <c r="N5" s="2"/>
      <c r="O5" s="200"/>
    </row>
    <row r="6" spans="1:15" s="174" customFormat="1" ht="19.95" customHeight="1">
      <c r="A6" s="174" t="s">
        <v>243</v>
      </c>
      <c r="B6" s="2"/>
      <c r="C6" s="2"/>
      <c r="D6" s="2"/>
      <c r="E6" s="2"/>
      <c r="F6" s="2"/>
      <c r="G6" s="2"/>
      <c r="H6" s="2"/>
      <c r="I6" s="2"/>
      <c r="J6" s="74"/>
      <c r="K6" s="2"/>
      <c r="L6" s="2"/>
      <c r="M6" s="2"/>
      <c r="N6" s="2"/>
      <c r="O6" s="200"/>
    </row>
    <row r="7" spans="1:15" s="174" customFormat="1" ht="19.95" customHeight="1">
      <c r="A7" s="178" t="s">
        <v>244</v>
      </c>
      <c r="F7" s="179"/>
    </row>
    <row r="8" spans="1:15" s="174" customFormat="1" ht="19.95" customHeight="1">
      <c r="A8" s="511" t="s">
        <v>223</v>
      </c>
      <c r="B8" s="511" t="s">
        <v>245</v>
      </c>
      <c r="C8" s="513" t="s">
        <v>246</v>
      </c>
      <c r="D8" s="504" t="s">
        <v>247</v>
      </c>
      <c r="E8" s="505"/>
      <c r="F8" s="505"/>
      <c r="G8" s="505"/>
      <c r="H8" s="506"/>
      <c r="I8" s="507"/>
      <c r="J8" s="515" t="s">
        <v>248</v>
      </c>
      <c r="K8" s="515" t="s">
        <v>249</v>
      </c>
      <c r="L8" s="515" t="s">
        <v>250</v>
      </c>
      <c r="M8" s="513" t="s">
        <v>240</v>
      </c>
      <c r="N8" s="518" t="s">
        <v>251</v>
      </c>
    </row>
    <row r="9" spans="1:15" s="175" customFormat="1" ht="34.5" customHeight="1">
      <c r="A9" s="512"/>
      <c r="B9" s="512"/>
      <c r="C9" s="514"/>
      <c r="D9" s="180" t="s">
        <v>252</v>
      </c>
      <c r="E9" s="180" t="s">
        <v>253</v>
      </c>
      <c r="F9" s="180" t="s">
        <v>201</v>
      </c>
      <c r="G9" s="180" t="s">
        <v>254</v>
      </c>
      <c r="H9" s="180" t="s">
        <v>255</v>
      </c>
      <c r="I9" s="180" t="s">
        <v>256</v>
      </c>
      <c r="J9" s="516"/>
      <c r="K9" s="516"/>
      <c r="L9" s="517"/>
      <c r="M9" s="514"/>
      <c r="N9" s="519"/>
    </row>
    <row r="10" spans="1:15" s="174" customFormat="1" ht="19.95" customHeight="1">
      <c r="A10" s="181"/>
      <c r="B10" s="182"/>
      <c r="C10" s="183"/>
      <c r="D10" s="184"/>
      <c r="E10" s="184"/>
      <c r="F10" s="184"/>
      <c r="G10" s="184"/>
      <c r="H10" s="184"/>
      <c r="I10" s="184"/>
      <c r="J10" s="184"/>
      <c r="K10" s="201"/>
      <c r="L10" s="186"/>
      <c r="M10" s="184"/>
      <c r="N10" s="202"/>
    </row>
    <row r="11" spans="1:15" s="174" customFormat="1" ht="19.95" customHeight="1">
      <c r="A11" s="185"/>
      <c r="B11" s="182"/>
      <c r="C11" s="183"/>
      <c r="D11" s="184"/>
      <c r="E11" s="186"/>
      <c r="F11" s="186"/>
      <c r="G11" s="186"/>
      <c r="H11" s="186"/>
      <c r="I11" s="186"/>
      <c r="J11" s="186"/>
      <c r="K11" s="201"/>
      <c r="L11" s="186"/>
      <c r="M11" s="186"/>
      <c r="N11" s="202"/>
    </row>
    <row r="12" spans="1:15" s="174" customFormat="1" ht="19.95" customHeight="1">
      <c r="A12" s="181"/>
      <c r="B12" s="182"/>
      <c r="C12" s="183"/>
      <c r="D12" s="186"/>
      <c r="E12" s="186"/>
      <c r="F12" s="186"/>
      <c r="G12" s="186"/>
      <c r="H12" s="186"/>
      <c r="I12" s="186"/>
      <c r="J12" s="186"/>
      <c r="K12" s="201"/>
      <c r="L12" s="186"/>
      <c r="M12" s="186"/>
      <c r="N12" s="202"/>
    </row>
    <row r="13" spans="1:15" s="174" customFormat="1" ht="19.95" customHeight="1">
      <c r="A13" s="181"/>
      <c r="B13" s="182"/>
      <c r="C13" s="183"/>
      <c r="D13" s="186"/>
      <c r="E13" s="186"/>
      <c r="F13" s="186"/>
      <c r="G13" s="186"/>
      <c r="H13" s="186"/>
      <c r="I13" s="186"/>
      <c r="J13" s="186"/>
      <c r="K13" s="201"/>
      <c r="L13" s="186"/>
      <c r="M13" s="186"/>
      <c r="N13" s="202"/>
    </row>
    <row r="14" spans="1:15" s="174" customFormat="1" ht="19.95" customHeight="1">
      <c r="A14" s="181"/>
      <c r="B14" s="182"/>
      <c r="C14" s="183"/>
      <c r="D14" s="186"/>
      <c r="E14" s="186"/>
      <c r="F14" s="186"/>
      <c r="G14" s="186"/>
      <c r="H14" s="186"/>
      <c r="I14" s="186"/>
      <c r="J14" s="186"/>
      <c r="K14" s="201"/>
      <c r="L14" s="186"/>
      <c r="M14" s="186"/>
      <c r="N14" s="202"/>
    </row>
    <row r="15" spans="1:15" s="174" customFormat="1" ht="19.95" customHeight="1">
      <c r="A15" s="181"/>
      <c r="B15" s="182"/>
      <c r="C15" s="183"/>
      <c r="D15" s="186"/>
      <c r="E15" s="186"/>
      <c r="F15" s="186"/>
      <c r="G15" s="186"/>
      <c r="H15" s="186"/>
      <c r="I15" s="186"/>
      <c r="J15" s="186"/>
      <c r="K15" s="201"/>
      <c r="L15" s="186"/>
      <c r="M15" s="186"/>
      <c r="N15" s="202"/>
    </row>
    <row r="16" spans="1:15" s="174" customFormat="1" ht="19.95" customHeight="1">
      <c r="A16" s="181"/>
      <c r="B16" s="182"/>
      <c r="C16" s="183"/>
      <c r="D16" s="186"/>
      <c r="E16" s="186"/>
      <c r="F16" s="186"/>
      <c r="G16" s="186"/>
      <c r="H16" s="186"/>
      <c r="I16" s="186"/>
      <c r="J16" s="186"/>
      <c r="K16" s="201"/>
      <c r="L16" s="186"/>
      <c r="M16" s="186"/>
      <c r="N16" s="202"/>
    </row>
    <row r="17" spans="1:14" s="174" customFormat="1" ht="19.95" customHeight="1">
      <c r="A17" s="181"/>
      <c r="B17" s="182"/>
      <c r="C17" s="183"/>
      <c r="D17" s="186"/>
      <c r="E17" s="186"/>
      <c r="F17" s="186"/>
      <c r="G17" s="186"/>
      <c r="H17" s="186"/>
      <c r="I17" s="186"/>
      <c r="J17" s="186"/>
      <c r="K17" s="201"/>
      <c r="L17" s="186"/>
      <c r="M17" s="186"/>
      <c r="N17" s="202"/>
    </row>
    <row r="18" spans="1:14" s="174" customFormat="1" ht="19.95" customHeight="1">
      <c r="A18" s="181"/>
      <c r="B18" s="182"/>
      <c r="C18" s="183"/>
      <c r="D18" s="186"/>
      <c r="E18" s="186"/>
      <c r="F18" s="186"/>
      <c r="G18" s="186"/>
      <c r="H18" s="186"/>
      <c r="I18" s="186"/>
      <c r="J18" s="186"/>
      <c r="K18" s="201"/>
      <c r="L18" s="186"/>
      <c r="M18" s="186"/>
      <c r="N18" s="202"/>
    </row>
    <row r="19" spans="1:14" s="174" customFormat="1" ht="19.95" customHeight="1">
      <c r="A19" s="181"/>
      <c r="B19" s="182"/>
      <c r="C19" s="183"/>
      <c r="D19" s="186"/>
      <c r="E19" s="186"/>
      <c r="F19" s="186"/>
      <c r="G19" s="186"/>
      <c r="H19" s="186"/>
      <c r="I19" s="186"/>
      <c r="J19" s="186"/>
      <c r="K19" s="201"/>
      <c r="L19" s="186"/>
      <c r="M19" s="186"/>
      <c r="N19" s="202"/>
    </row>
    <row r="20" spans="1:14" s="174" customFormat="1" ht="19.95" customHeight="1">
      <c r="A20" s="187" t="s">
        <v>210</v>
      </c>
      <c r="B20" s="78"/>
      <c r="C20" s="78">
        <f>SUM(C10:C19)</f>
        <v>0</v>
      </c>
      <c r="D20" s="78"/>
      <c r="E20" s="78"/>
      <c r="F20" s="78"/>
      <c r="G20" s="78"/>
      <c r="H20" s="78"/>
      <c r="I20" s="78"/>
      <c r="J20" s="78"/>
      <c r="K20" s="78"/>
      <c r="L20" s="78"/>
      <c r="M20" s="78"/>
      <c r="N20" s="78"/>
    </row>
    <row r="21" spans="1:14" s="174" customFormat="1" ht="19.95" customHeight="1">
      <c r="A21" s="188"/>
    </row>
    <row r="22" spans="1:14" s="174" customFormat="1" ht="19.95" customHeight="1">
      <c r="A22" s="189" t="s">
        <v>257</v>
      </c>
    </row>
    <row r="23" spans="1:14" s="174" customFormat="1" ht="19.95" customHeight="1">
      <c r="A23" s="190"/>
    </row>
    <row r="24" spans="1:14" s="174" customFormat="1" ht="19.95" customHeight="1">
      <c r="A24" s="190"/>
    </row>
    <row r="25" spans="1:14" s="174" customFormat="1" ht="19.95" customHeight="1">
      <c r="A25" s="189" t="s">
        <v>258</v>
      </c>
    </row>
    <row r="26" spans="1:14" ht="19.95" customHeight="1"/>
    <row r="28" spans="1:14" s="176" customFormat="1" ht="12">
      <c r="A28" s="191" t="s">
        <v>213</v>
      </c>
    </row>
    <row r="29" spans="1:14" s="176" customFormat="1" ht="12">
      <c r="A29" s="192">
        <v>1</v>
      </c>
    </row>
    <row r="30" spans="1:14" s="176" customFormat="1" ht="12">
      <c r="A30" s="193" t="s">
        <v>259</v>
      </c>
      <c r="B30" s="194" t="s">
        <v>260</v>
      </c>
      <c r="C30" s="508" t="s">
        <v>261</v>
      </c>
      <c r="D30" s="509"/>
      <c r="E30" s="510"/>
    </row>
    <row r="31" spans="1:14" s="176" customFormat="1" ht="42" customHeight="1">
      <c r="A31" s="492" t="s">
        <v>262</v>
      </c>
      <c r="B31" s="492" t="s">
        <v>263</v>
      </c>
      <c r="C31" s="498" t="s">
        <v>264</v>
      </c>
      <c r="D31" s="499"/>
      <c r="E31" s="500"/>
    </row>
    <row r="32" spans="1:14" s="176" customFormat="1" ht="33.75" customHeight="1">
      <c r="A32" s="493"/>
      <c r="B32" s="494"/>
      <c r="C32" s="501" t="s">
        <v>265</v>
      </c>
      <c r="D32" s="502"/>
      <c r="E32" s="503"/>
    </row>
    <row r="33" spans="1:7" s="176" customFormat="1" ht="60">
      <c r="A33" s="494"/>
      <c r="B33" s="195" t="s">
        <v>266</v>
      </c>
      <c r="C33" s="495" t="s">
        <v>267</v>
      </c>
      <c r="D33" s="496"/>
      <c r="E33" s="497"/>
    </row>
    <row r="34" spans="1:7" s="176" customFormat="1" ht="84">
      <c r="A34" s="492" t="s">
        <v>268</v>
      </c>
      <c r="B34" s="195" t="s">
        <v>269</v>
      </c>
      <c r="C34" s="495" t="s">
        <v>270</v>
      </c>
      <c r="D34" s="496"/>
      <c r="E34" s="497"/>
    </row>
    <row r="35" spans="1:7" s="176" customFormat="1" ht="48">
      <c r="A35" s="493"/>
      <c r="B35" s="195" t="s">
        <v>271</v>
      </c>
      <c r="C35" s="495" t="s">
        <v>272</v>
      </c>
      <c r="D35" s="496"/>
      <c r="E35" s="497"/>
    </row>
    <row r="36" spans="1:7" s="176" customFormat="1" ht="37.5" customHeight="1">
      <c r="A36" s="493"/>
      <c r="B36" s="492" t="s">
        <v>273</v>
      </c>
      <c r="C36" s="498" t="s">
        <v>272</v>
      </c>
      <c r="D36" s="499"/>
      <c r="E36" s="500"/>
    </row>
    <row r="37" spans="1:7" s="176" customFormat="1" ht="28.5" customHeight="1">
      <c r="A37" s="493"/>
      <c r="B37" s="494"/>
      <c r="C37" s="501" t="s">
        <v>274</v>
      </c>
      <c r="D37" s="502"/>
      <c r="E37" s="503"/>
    </row>
    <row r="38" spans="1:7" s="176" customFormat="1" ht="48">
      <c r="A38" s="494"/>
      <c r="B38" s="195" t="s">
        <v>275</v>
      </c>
      <c r="C38" s="495" t="s">
        <v>276</v>
      </c>
      <c r="D38" s="496"/>
      <c r="E38" s="497"/>
    </row>
    <row r="39" spans="1:7" s="176" customFormat="1" ht="60">
      <c r="A39" s="492" t="s">
        <v>255</v>
      </c>
      <c r="B39" s="195" t="s">
        <v>266</v>
      </c>
      <c r="C39" s="495" t="s">
        <v>277</v>
      </c>
      <c r="D39" s="496"/>
      <c r="E39" s="497"/>
    </row>
    <row r="40" spans="1:7" s="176" customFormat="1" ht="12">
      <c r="A40" s="493"/>
      <c r="B40" s="492" t="s">
        <v>278</v>
      </c>
      <c r="C40" s="498" t="s">
        <v>279</v>
      </c>
      <c r="D40" s="499"/>
      <c r="E40" s="500"/>
    </row>
    <row r="41" spans="1:7" s="176" customFormat="1" ht="42" customHeight="1">
      <c r="A41" s="493"/>
      <c r="B41" s="494"/>
      <c r="C41" s="501" t="s">
        <v>280</v>
      </c>
      <c r="D41" s="502"/>
      <c r="E41" s="503"/>
    </row>
    <row r="42" spans="1:7" s="176" customFormat="1" ht="24">
      <c r="A42" s="494"/>
      <c r="B42" s="195" t="s">
        <v>281</v>
      </c>
      <c r="C42" s="495" t="s">
        <v>282</v>
      </c>
      <c r="D42" s="496"/>
      <c r="E42" s="497"/>
    </row>
    <row r="43" spans="1:7" s="176" customFormat="1" ht="36">
      <c r="A43" s="492" t="s">
        <v>283</v>
      </c>
      <c r="B43" s="195" t="s">
        <v>284</v>
      </c>
      <c r="C43" s="495" t="s">
        <v>285</v>
      </c>
      <c r="D43" s="496"/>
      <c r="E43" s="497"/>
    </row>
    <row r="44" spans="1:7" s="176" customFormat="1" ht="36">
      <c r="A44" s="494"/>
      <c r="B44" s="195" t="s">
        <v>286</v>
      </c>
      <c r="C44" s="495" t="s">
        <v>287</v>
      </c>
      <c r="D44" s="496"/>
      <c r="E44" s="497"/>
    </row>
    <row r="45" spans="1:7" s="176" customFormat="1" ht="36">
      <c r="A45" s="492" t="s">
        <v>288</v>
      </c>
      <c r="B45" s="195" t="s">
        <v>289</v>
      </c>
      <c r="C45" s="495" t="s">
        <v>290</v>
      </c>
      <c r="D45" s="496"/>
      <c r="E45" s="497"/>
    </row>
    <row r="46" spans="1:7" s="176" customFormat="1" ht="36">
      <c r="A46" s="494"/>
      <c r="B46" s="195" t="s">
        <v>291</v>
      </c>
      <c r="C46" s="495" t="s">
        <v>292</v>
      </c>
      <c r="D46" s="496"/>
      <c r="E46" s="497"/>
    </row>
    <row r="48" spans="1:7">
      <c r="A48" s="490" t="s">
        <v>293</v>
      </c>
      <c r="B48" s="491"/>
      <c r="C48" s="491"/>
      <c r="D48" s="491"/>
      <c r="E48" s="491"/>
      <c r="F48" s="491"/>
      <c r="G48" s="491"/>
    </row>
    <row r="49" spans="1:7">
      <c r="A49" s="491"/>
      <c r="B49" s="491"/>
      <c r="C49" s="491"/>
      <c r="D49" s="491"/>
      <c r="E49" s="491"/>
      <c r="F49" s="491"/>
      <c r="G49" s="491"/>
    </row>
    <row r="50" spans="1:7">
      <c r="A50" s="491"/>
      <c r="B50" s="491"/>
      <c r="C50" s="491"/>
      <c r="D50" s="491"/>
      <c r="E50" s="491"/>
      <c r="F50" s="491"/>
      <c r="G50" s="491"/>
    </row>
    <row r="51" spans="1:7">
      <c r="A51" s="491"/>
      <c r="B51" s="491"/>
      <c r="C51" s="491"/>
      <c r="D51" s="491"/>
      <c r="E51" s="491"/>
      <c r="F51" s="491"/>
      <c r="G51" s="491"/>
    </row>
    <row r="52" spans="1:7">
      <c r="A52" s="491"/>
      <c r="B52" s="491"/>
      <c r="C52" s="491"/>
      <c r="D52" s="491"/>
      <c r="E52" s="491"/>
      <c r="F52" s="491"/>
      <c r="G52" s="491"/>
    </row>
    <row r="53" spans="1:7">
      <c r="A53" s="490" t="s">
        <v>294</v>
      </c>
      <c r="B53" s="491"/>
      <c r="C53" s="491"/>
      <c r="D53" s="491"/>
      <c r="E53" s="491"/>
      <c r="F53" s="491"/>
      <c r="G53" s="491"/>
    </row>
    <row r="54" spans="1:7">
      <c r="A54" s="491"/>
      <c r="B54" s="491"/>
      <c r="C54" s="491"/>
      <c r="D54" s="491"/>
      <c r="E54" s="491"/>
      <c r="F54" s="491"/>
      <c r="G54" s="491"/>
    </row>
    <row r="55" spans="1:7">
      <c r="A55" s="491"/>
      <c r="B55" s="491"/>
      <c r="C55" s="491"/>
      <c r="D55" s="491"/>
      <c r="E55" s="491"/>
      <c r="F55" s="491"/>
      <c r="G55" s="491"/>
    </row>
    <row r="56" spans="1:7">
      <c r="A56" s="491"/>
      <c r="B56" s="491"/>
      <c r="C56" s="491"/>
      <c r="D56" s="491"/>
      <c r="E56" s="491"/>
      <c r="F56" s="491"/>
      <c r="G56" s="491"/>
    </row>
    <row r="57" spans="1:7">
      <c r="A57" s="491"/>
      <c r="B57" s="491"/>
      <c r="C57" s="491"/>
      <c r="D57" s="491"/>
      <c r="E57" s="491"/>
      <c r="F57" s="491"/>
      <c r="G57" s="491"/>
    </row>
    <row r="58" spans="1:7">
      <c r="A58" s="491"/>
      <c r="B58" s="491"/>
      <c r="C58" s="491"/>
      <c r="D58" s="491"/>
      <c r="E58" s="491"/>
      <c r="F58" s="491"/>
      <c r="G58" s="491"/>
    </row>
    <row r="59" spans="1:7">
      <c r="A59" s="491"/>
      <c r="B59" s="491"/>
      <c r="C59" s="491"/>
      <c r="D59" s="491"/>
      <c r="E59" s="491"/>
      <c r="F59" s="491"/>
      <c r="G59" s="491"/>
    </row>
    <row r="60" spans="1:7">
      <c r="A60" s="491"/>
      <c r="B60" s="491"/>
      <c r="C60" s="491"/>
      <c r="D60" s="491"/>
      <c r="E60" s="491"/>
      <c r="F60" s="491"/>
      <c r="G60" s="491"/>
    </row>
    <row r="61" spans="1:7">
      <c r="A61" s="176" t="s">
        <v>295</v>
      </c>
      <c r="D61" s="196" t="s">
        <v>296</v>
      </c>
    </row>
  </sheetData>
  <mergeCells count="38">
    <mergeCell ref="A1:N1"/>
    <mergeCell ref="A2:N2"/>
    <mergeCell ref="D8:I8"/>
    <mergeCell ref="C30:E30"/>
    <mergeCell ref="C31:E31"/>
    <mergeCell ref="A8:A9"/>
    <mergeCell ref="A31:A33"/>
    <mergeCell ref="C8:C9"/>
    <mergeCell ref="J8:J9"/>
    <mergeCell ref="K8:K9"/>
    <mergeCell ref="L8:L9"/>
    <mergeCell ref="M8:M9"/>
    <mergeCell ref="N8:N9"/>
    <mergeCell ref="B8:B9"/>
    <mergeCell ref="B31:B32"/>
    <mergeCell ref="C32:E32"/>
    <mergeCell ref="C33:E33"/>
    <mergeCell ref="C34:E34"/>
    <mergeCell ref="C35:E35"/>
    <mergeCell ref="C36:E36"/>
    <mergeCell ref="A48:G52"/>
    <mergeCell ref="B36:B37"/>
    <mergeCell ref="B40:B41"/>
    <mergeCell ref="C42:E42"/>
    <mergeCell ref="C37:E37"/>
    <mergeCell ref="C38:E38"/>
    <mergeCell ref="C39:E39"/>
    <mergeCell ref="C40:E40"/>
    <mergeCell ref="C41:E41"/>
    <mergeCell ref="A53:G60"/>
    <mergeCell ref="A34:A38"/>
    <mergeCell ref="A39:A42"/>
    <mergeCell ref="A43:A44"/>
    <mergeCell ref="A45:A46"/>
    <mergeCell ref="C43:E43"/>
    <mergeCell ref="C44:E44"/>
    <mergeCell ref="C45:E45"/>
    <mergeCell ref="C46:E46"/>
  </mergeCells>
  <phoneticPr fontId="86" type="noConversion"/>
  <dataValidations count="3">
    <dataValidation allowBlank="1" showInputMessage="1" showErrorMessage="1" prompt="发行在外的金融工具名称请在A列输入" sqref="C16:C20"/>
    <dataValidation type="list" allowBlank="1" showInputMessage="1" showErrorMessage="1" sqref="K10:K19">
      <formula1>"债务工具,权益工具,复合工具,整体指定"</formula1>
    </dataValidation>
    <dataValidation type="list" allowBlank="1" showInputMessage="1" showErrorMessage="1" sqref="L10:L19">
      <formula1>"是,否"</formula1>
    </dataValidation>
  </dataValidations>
  <hyperlinks>
    <hyperlink ref="N3" location="底稿目录!A1" display="=底稿目录!F10"/>
  </hyperlinks>
  <pageMargins left="0.70866141732283505" right="0.70866141732283505" top="0.74803149606299202" bottom="0.74803149606299202" header="0.31496062992126" footer="0.31496062992126"/>
  <pageSetup paperSize="9" scale="70" orientation="landscape" blackAndWhite="1" r:id="rId2"/>
  <headerFoot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A57"/>
  <sheetViews>
    <sheetView showZeros="0" view="pageBreakPreview" zoomScaleNormal="100" workbookViewId="0">
      <selection sqref="A1:G1"/>
    </sheetView>
  </sheetViews>
  <sheetFormatPr defaultColWidth="9" defaultRowHeight="19.95" customHeight="1"/>
  <cols>
    <col min="1" max="1" width="26.796875" style="126" customWidth="1"/>
    <col min="2" max="2" width="10.59765625" style="126" customWidth="1"/>
    <col min="3" max="3" width="11.59765625" style="126" customWidth="1"/>
    <col min="4" max="4" width="9.3984375" style="126" customWidth="1"/>
    <col min="5" max="5" width="15.796875" style="126" customWidth="1"/>
    <col min="6" max="6" width="16.796875" style="126" customWidth="1"/>
    <col min="7" max="7" width="19.796875" style="126" customWidth="1"/>
    <col min="8" max="8" width="9" style="126"/>
    <col min="9" max="9" width="9.59765625" style="126" customWidth="1"/>
    <col min="10" max="10" width="9" style="126"/>
    <col min="11" max="11" width="10.59765625" style="126" customWidth="1"/>
    <col min="12" max="12" width="10.296875" style="126" customWidth="1"/>
    <col min="13" max="13" width="10.59765625" style="126" customWidth="1"/>
    <col min="14" max="16384" width="9" style="126"/>
  </cols>
  <sheetData>
    <row r="1" spans="1:13" s="118" customFormat="1" ht="19.95" customHeight="1">
      <c r="A1" s="462" t="s">
        <v>30</v>
      </c>
      <c r="B1" s="462"/>
      <c r="C1" s="462"/>
      <c r="D1" s="462"/>
      <c r="E1" s="462"/>
      <c r="F1" s="462"/>
      <c r="G1" s="462"/>
      <c r="H1" s="127"/>
      <c r="I1" s="127"/>
      <c r="J1" s="127"/>
      <c r="K1" s="127"/>
      <c r="L1" s="127"/>
      <c r="M1" s="127"/>
    </row>
    <row r="2" spans="1:13" s="44" customFormat="1" ht="19.95" customHeight="1">
      <c r="A2" s="475" t="s">
        <v>21</v>
      </c>
      <c r="B2" s="463"/>
      <c r="C2" s="463"/>
      <c r="D2" s="463"/>
      <c r="E2" s="463"/>
      <c r="F2" s="463"/>
      <c r="G2" s="463"/>
      <c r="H2" s="36"/>
      <c r="I2" s="172"/>
      <c r="J2" s="172"/>
      <c r="K2" s="172"/>
      <c r="L2" s="172"/>
      <c r="M2" s="172"/>
    </row>
    <row r="3" spans="1:13" s="120" customFormat="1" ht="19.95" customHeight="1">
      <c r="A3" s="120" t="str">
        <f>底稿目录!A2</f>
        <v>被审计单位：</v>
      </c>
      <c r="C3" s="128" t="str">
        <f>底稿目录!A4</f>
        <v>编制人：</v>
      </c>
      <c r="E3" s="129" t="str">
        <f>底稿目录!A5</f>
        <v>编制日期：</v>
      </c>
      <c r="F3" s="407" t="s">
        <v>183</v>
      </c>
      <c r="G3" s="390" t="str">
        <f>底稿目录!F11</f>
        <v>L4-6</v>
      </c>
      <c r="J3" s="173"/>
    </row>
    <row r="4" spans="1:13" s="120" customFormat="1" ht="19.95" customHeight="1">
      <c r="A4" s="120" t="str">
        <f>底稿目录!A3</f>
        <v>截止日：202X年12月31日</v>
      </c>
      <c r="C4" s="128" t="str">
        <f>底稿目录!A6</f>
        <v>复核人：</v>
      </c>
      <c r="E4" s="129" t="str">
        <f>底稿目录!A7</f>
        <v>复核日期：</v>
      </c>
      <c r="F4" s="408" t="s">
        <v>97</v>
      </c>
      <c r="G4" s="130"/>
      <c r="J4" s="173"/>
    </row>
    <row r="5" spans="1:13" s="120" customFormat="1" ht="19.95" customHeight="1">
      <c r="A5" s="131" t="s">
        <v>221</v>
      </c>
      <c r="J5" s="130"/>
      <c r="M5" s="173"/>
    </row>
    <row r="6" spans="1:13" s="120" customFormat="1" ht="19.95" customHeight="1">
      <c r="A6" s="520" t="s">
        <v>297</v>
      </c>
      <c r="B6" s="520"/>
      <c r="C6" s="520"/>
      <c r="D6" s="520"/>
      <c r="E6" s="520"/>
      <c r="F6" s="520"/>
      <c r="G6" s="520"/>
      <c r="J6" s="130"/>
      <c r="M6" s="173"/>
    </row>
    <row r="7" spans="1:13" s="120" customFormat="1" ht="19.95" customHeight="1">
      <c r="A7" s="133" t="s">
        <v>298</v>
      </c>
      <c r="B7" s="132"/>
      <c r="C7" s="132"/>
      <c r="D7" s="132"/>
      <c r="E7" s="132"/>
      <c r="F7" s="132"/>
      <c r="G7" s="132"/>
      <c r="J7" s="130"/>
      <c r="M7" s="173"/>
    </row>
    <row r="8" spans="1:13" s="120" customFormat="1" ht="19.95" customHeight="1">
      <c r="A8" s="131" t="s">
        <v>188</v>
      </c>
      <c r="B8" s="520"/>
      <c r="C8" s="520"/>
      <c r="D8" s="520"/>
      <c r="E8" s="520"/>
      <c r="F8" s="520"/>
      <c r="G8" s="520"/>
      <c r="J8" s="130"/>
      <c r="M8" s="173"/>
    </row>
    <row r="9" spans="1:13" s="120" customFormat="1" ht="19.95" customHeight="1">
      <c r="A9" s="134" t="s">
        <v>299</v>
      </c>
      <c r="B9" s="135"/>
      <c r="C9" s="134" t="s">
        <v>300</v>
      </c>
      <c r="D9" s="135"/>
      <c r="J9" s="173"/>
    </row>
    <row r="10" spans="1:13" s="120" customFormat="1" ht="19.95" customHeight="1">
      <c r="A10" s="136" t="s">
        <v>301</v>
      </c>
      <c r="B10" s="137"/>
      <c r="C10" s="138"/>
      <c r="D10" s="137"/>
      <c r="E10" s="139"/>
      <c r="F10" s="139"/>
      <c r="G10" s="139"/>
      <c r="J10" s="173"/>
    </row>
    <row r="11" spans="1:13" s="121" customFormat="1" ht="19.95" customHeight="1">
      <c r="A11" s="140" t="s">
        <v>176</v>
      </c>
      <c r="B11" s="141" t="s">
        <v>302</v>
      </c>
      <c r="C11" s="141" t="s">
        <v>303</v>
      </c>
      <c r="D11" s="141" t="s">
        <v>304</v>
      </c>
      <c r="E11" s="141" t="s">
        <v>305</v>
      </c>
      <c r="F11" s="142" t="s">
        <v>177</v>
      </c>
      <c r="G11" s="142" t="s">
        <v>306</v>
      </c>
    </row>
    <row r="12" spans="1:13" s="122" customFormat="1" ht="19.95" customHeight="1">
      <c r="A12" s="143" t="s">
        <v>307</v>
      </c>
      <c r="B12" s="144"/>
      <c r="C12" s="144"/>
      <c r="D12" s="144"/>
      <c r="E12" s="144"/>
      <c r="F12" s="145" t="s">
        <v>308</v>
      </c>
      <c r="G12" s="145"/>
    </row>
    <row r="13" spans="1:13" s="122" customFormat="1" ht="19.95" customHeight="1">
      <c r="A13" s="146" t="s">
        <v>309</v>
      </c>
      <c r="B13" s="144"/>
      <c r="C13" s="145"/>
      <c r="D13" s="145"/>
      <c r="E13" s="145"/>
      <c r="F13" s="145"/>
      <c r="G13" s="145"/>
    </row>
    <row r="14" spans="1:13" s="122" customFormat="1" ht="19.95" customHeight="1">
      <c r="A14" s="143" t="s">
        <v>190</v>
      </c>
      <c r="B14" s="144"/>
      <c r="C14" s="145"/>
      <c r="D14" s="145"/>
      <c r="E14" s="145"/>
      <c r="F14" s="145" t="s">
        <v>308</v>
      </c>
      <c r="G14" s="145"/>
    </row>
    <row r="15" spans="1:13" s="122" customFormat="1" ht="19.95" customHeight="1">
      <c r="A15" s="147" t="s">
        <v>310</v>
      </c>
      <c r="B15" s="144"/>
      <c r="C15" s="145"/>
      <c r="D15" s="145"/>
      <c r="E15" s="145"/>
      <c r="F15" s="145" t="s">
        <v>308</v>
      </c>
      <c r="G15" s="145"/>
    </row>
    <row r="16" spans="1:13" s="121" customFormat="1" ht="19.95" customHeight="1">
      <c r="A16" s="146" t="s">
        <v>311</v>
      </c>
      <c r="B16" s="148"/>
      <c r="C16" s="149"/>
      <c r="D16" s="149"/>
      <c r="E16" s="149"/>
      <c r="F16" s="150">
        <f>SUM(B16:E16)</f>
        <v>0</v>
      </c>
      <c r="G16" s="151"/>
    </row>
    <row r="17" spans="1:7" s="121" customFormat="1" ht="19.95" customHeight="1">
      <c r="A17" s="146" t="s">
        <v>312</v>
      </c>
      <c r="B17" s="152"/>
      <c r="C17" s="149"/>
      <c r="D17" s="149"/>
      <c r="E17" s="149"/>
      <c r="F17" s="145" t="s">
        <v>308</v>
      </c>
      <c r="G17" s="151"/>
    </row>
    <row r="18" spans="1:7" s="121" customFormat="1" ht="19.95" customHeight="1">
      <c r="A18" s="147" t="s">
        <v>313</v>
      </c>
      <c r="B18" s="153"/>
      <c r="C18" s="149"/>
      <c r="D18" s="149"/>
      <c r="E18" s="149"/>
      <c r="F18" s="150">
        <f>SUM(B18:E18)</f>
        <v>0</v>
      </c>
      <c r="G18" s="151"/>
    </row>
    <row r="19" spans="1:7" s="121" customFormat="1" ht="19.95" customHeight="1">
      <c r="A19" s="147" t="s">
        <v>314</v>
      </c>
      <c r="B19" s="152"/>
      <c r="C19" s="149"/>
      <c r="D19" s="149"/>
      <c r="E19" s="149"/>
      <c r="F19" s="150">
        <f t="shared" ref="F19:F20" si="0">SUM(B19:E19)</f>
        <v>0</v>
      </c>
      <c r="G19" s="151"/>
    </row>
    <row r="20" spans="1:7" s="121" customFormat="1" ht="19.95" customHeight="1">
      <c r="A20" s="147" t="s">
        <v>315</v>
      </c>
      <c r="B20" s="154">
        <f>B18-B16-B19</f>
        <v>0</v>
      </c>
      <c r="C20" s="154">
        <f t="shared" ref="C20:E20" si="1">C18-C16-C19</f>
        <v>0</v>
      </c>
      <c r="D20" s="154">
        <f t="shared" si="1"/>
        <v>0</v>
      </c>
      <c r="E20" s="154">
        <f t="shared" si="1"/>
        <v>0</v>
      </c>
      <c r="F20" s="150">
        <f t="shared" si="0"/>
        <v>0</v>
      </c>
      <c r="G20" s="151"/>
    </row>
    <row r="21" spans="1:7" s="121" customFormat="1" ht="19.95" customHeight="1">
      <c r="A21" s="146" t="s">
        <v>316</v>
      </c>
      <c r="B21" s="155"/>
      <c r="C21" s="149"/>
      <c r="D21" s="149"/>
      <c r="E21" s="149"/>
      <c r="F21" s="145" t="s">
        <v>308</v>
      </c>
      <c r="G21" s="151"/>
    </row>
    <row r="22" spans="1:7" s="121" customFormat="1" ht="19.95" customHeight="1">
      <c r="A22" s="146" t="s">
        <v>317</v>
      </c>
      <c r="B22" s="155"/>
      <c r="C22" s="149"/>
      <c r="D22" s="149"/>
      <c r="E22" s="149"/>
      <c r="F22" s="145" t="s">
        <v>308</v>
      </c>
      <c r="G22" s="151"/>
    </row>
    <row r="23" spans="1:7" s="121" customFormat="1" ht="19.95" customHeight="1">
      <c r="A23" s="146" t="s">
        <v>318</v>
      </c>
      <c r="B23" s="134">
        <f>IFERROR(IF(B21=0,0,IF(AND(B21&lt;$B$9,B22&gt;$D$9),VALUE(DATEDIF($B$9,$D$9,"d")+1),IF(AND(B21&lt;$B$9,B22&lt;=$D$9),VALUE(DATEDIF($B$9,B22,"d")+1),IF(AND(B21&gt;=$B$9,B22&gt;$D$9),VALUE(DATEDIF(B21,$D$9,"d")+1),IF(AND(B21&gt;=$B$9,B22&lt;=$D$9),VALUE(DATEDIF(B21,B22,"d")+1),))))),0)</f>
        <v>0</v>
      </c>
      <c r="C23" s="134">
        <f>IF(C21=0,0,IF(AND(C21&lt;$B$9,C22&gt;$D$9),VALUE(DATEDIF($B$9,$D$9,"d")),IF(AND(C21&lt;$B$9,C22&lt;=$D$9),VALUE(DATEDIF($B$9,C22,"d")+1),IF(AND(C21&gt;=$B$9,C22&gt;$D$9),VALUE(DATEDIF(C21,$D$9,"d")),IF(AND(C21&gt;=$B$9,C22&lt;=$D$9),VALUE(DATEDIF(C21,C22,"d")+1),)))))</f>
        <v>0</v>
      </c>
      <c r="D23" s="134">
        <f>IF(D21=0,0,IF(AND(D21&lt;$B$9,D22&gt;$D$9),VALUE(DATEDIF($B$9,$D$9,"d")),IF(AND(D21&lt;$B$9,D22&lt;=$D$9),VALUE(DATEDIF($B$9,D22,"d")+1),IF(AND(D21&gt;=$B$9,D22&gt;$D$9),VALUE(DATEDIF(D21,$D$9,"d")),IF(AND(D21&gt;=$B$9,D22&lt;=$D$9),VALUE(DATEDIF(D21,D22,"d")+1),)))))</f>
        <v>0</v>
      </c>
      <c r="E23" s="134">
        <f>IF(I2=0,0,IF(AND(I2&lt;$B$9,E22&gt;$D$9),VALUE(DATEDIF($B$9,$D$9,"d")),IF(AND(I2&lt;$B$9,E22&lt;=$D$9),VALUE(DATEDIF($B$9,E22,"d")+1),IF(AND(I2&gt;=$B$9,E22&gt;$D$9),VALUE(DATEDIF(I2,$D$9,"d")),IF(AND(I2&gt;=$B$9,E22&lt;=$D$9),VALUE(DATEDIF(I2,E22,"d")+1),)))))</f>
        <v>0</v>
      </c>
      <c r="F23" s="145" t="s">
        <v>308</v>
      </c>
      <c r="G23" s="151"/>
    </row>
    <row r="24" spans="1:7" s="121" customFormat="1" ht="19.95" customHeight="1">
      <c r="A24" s="146" t="s">
        <v>319</v>
      </c>
      <c r="B24" s="156">
        <f>B32</f>
        <v>0</v>
      </c>
      <c r="C24" s="134">
        <f>C32</f>
        <v>0</v>
      </c>
      <c r="D24" s="134">
        <f>D32</f>
        <v>0</v>
      </c>
      <c r="E24" s="134">
        <f>E32</f>
        <v>0</v>
      </c>
      <c r="F24" s="145" t="s">
        <v>308</v>
      </c>
      <c r="G24" s="151"/>
    </row>
    <row r="25" spans="1:7" s="121" customFormat="1" ht="19.95" customHeight="1">
      <c r="A25" s="146" t="s">
        <v>320</v>
      </c>
      <c r="B25" s="154">
        <f>B16*B17/365*B23</f>
        <v>0</v>
      </c>
      <c r="C25" s="157">
        <f>C16*C17/365*C23</f>
        <v>0</v>
      </c>
      <c r="D25" s="157">
        <f>D16*D17/365*D23</f>
        <v>0</v>
      </c>
      <c r="E25" s="157">
        <f>E16*E17/365*E23</f>
        <v>0</v>
      </c>
      <c r="F25" s="150">
        <f>SUM(B25:E25)</f>
        <v>0</v>
      </c>
      <c r="G25" s="151" t="s">
        <v>321</v>
      </c>
    </row>
    <row r="26" spans="1:7" s="121" customFormat="1" ht="19.95" customHeight="1">
      <c r="A26" s="146" t="s">
        <v>322</v>
      </c>
      <c r="B26" s="154">
        <f>B18-B19</f>
        <v>0</v>
      </c>
      <c r="C26" s="154">
        <f t="shared" ref="C26:E26" si="2">C18-C19</f>
        <v>0</v>
      </c>
      <c r="D26" s="154">
        <f t="shared" si="2"/>
        <v>0</v>
      </c>
      <c r="E26" s="154">
        <f t="shared" si="2"/>
        <v>0</v>
      </c>
      <c r="F26" s="150">
        <f>SUM(B26:E26)</f>
        <v>0</v>
      </c>
      <c r="G26" s="151"/>
    </row>
    <row r="27" spans="1:7" s="121" customFormat="1" ht="19.95" customHeight="1">
      <c r="A27" s="146" t="s">
        <v>323</v>
      </c>
      <c r="B27" s="154">
        <f>B26-B29</f>
        <v>0</v>
      </c>
      <c r="C27" s="157">
        <f t="shared" ref="C27:F27" si="3">C26-C29</f>
        <v>0</v>
      </c>
      <c r="D27" s="157">
        <f t="shared" si="3"/>
        <v>0</v>
      </c>
      <c r="E27" s="157">
        <f t="shared" si="3"/>
        <v>0</v>
      </c>
      <c r="F27" s="157">
        <f t="shared" si="3"/>
        <v>0</v>
      </c>
      <c r="G27" s="151"/>
    </row>
    <row r="28" spans="1:7" s="121" customFormat="1" ht="19.95" customHeight="1">
      <c r="A28" s="158" t="s">
        <v>324</v>
      </c>
      <c r="B28" s="159">
        <f>B26*B24/365*B23</f>
        <v>0</v>
      </c>
      <c r="C28" s="160"/>
      <c r="D28" s="160"/>
      <c r="E28" s="160"/>
      <c r="F28" s="161">
        <f>SUM(B28:E28)</f>
        <v>0</v>
      </c>
      <c r="G28" s="162" t="s">
        <v>325</v>
      </c>
    </row>
    <row r="29" spans="1:7" s="121" customFormat="1" ht="19.95" customHeight="1">
      <c r="A29" s="146" t="s">
        <v>326</v>
      </c>
      <c r="B29" s="154">
        <f>B25-B28</f>
        <v>0</v>
      </c>
      <c r="C29" s="157">
        <f>C25-C28</f>
        <v>0</v>
      </c>
      <c r="D29" s="157">
        <f>D25-D28</f>
        <v>0</v>
      </c>
      <c r="E29" s="157">
        <f>E25-E28</f>
        <v>0</v>
      </c>
      <c r="F29" s="157">
        <f>F25-F28</f>
        <v>0</v>
      </c>
      <c r="G29" s="151"/>
    </row>
    <row r="30" spans="1:7" s="121" customFormat="1" ht="19.95" customHeight="1">
      <c r="A30" s="381" t="s">
        <v>327</v>
      </c>
      <c r="B30" s="154">
        <f>B29</f>
        <v>0</v>
      </c>
      <c r="C30" s="157">
        <f t="shared" ref="C30:F30" si="4">C29</f>
        <v>0</v>
      </c>
      <c r="D30" s="157">
        <f t="shared" si="4"/>
        <v>0</v>
      </c>
      <c r="E30" s="157">
        <f t="shared" si="4"/>
        <v>0</v>
      </c>
      <c r="F30" s="157">
        <f t="shared" si="4"/>
        <v>0</v>
      </c>
      <c r="G30" s="151"/>
    </row>
    <row r="31" spans="1:7" s="121" customFormat="1" ht="19.95" customHeight="1">
      <c r="A31" s="382" t="s">
        <v>328</v>
      </c>
      <c r="B31" s="163"/>
      <c r="C31" s="164"/>
      <c r="D31" s="164"/>
      <c r="E31" s="164"/>
      <c r="F31" s="165"/>
      <c r="G31" s="166"/>
    </row>
    <row r="32" spans="1:7" s="121" customFormat="1" ht="19.95" customHeight="1">
      <c r="A32" s="146" t="s">
        <v>329</v>
      </c>
      <c r="B32" s="114">
        <f>IF(B39=0,0,B33+(B36-B33)*(B39-B34)/(B37-B34))</f>
        <v>0</v>
      </c>
      <c r="C32" s="157">
        <f>IF(C39=0,0,C33+(C36-C33)*(C39-C34)/(C37-C34))</f>
        <v>0</v>
      </c>
      <c r="D32" s="157">
        <f>IF(D39=0,0,D33+(D36-D33)*(D39-D34)/(D37-D34))</f>
        <v>0</v>
      </c>
      <c r="E32" s="157">
        <f>IF(E39=0,0,E33+(E36-E33)*(E39-E34)/(E37-E34))</f>
        <v>0</v>
      </c>
      <c r="F32" s="145" t="s">
        <v>308</v>
      </c>
      <c r="G32" s="151"/>
    </row>
    <row r="33" spans="1:7" s="121" customFormat="1" ht="19.95" customHeight="1">
      <c r="A33" s="146" t="s">
        <v>330</v>
      </c>
      <c r="B33" s="167"/>
      <c r="C33" s="149"/>
      <c r="D33" s="149"/>
      <c r="E33" s="149"/>
      <c r="F33" s="145" t="s">
        <v>308</v>
      </c>
      <c r="G33" s="151"/>
    </row>
    <row r="34" spans="1:7" s="121" customFormat="1" ht="19.95" customHeight="1">
      <c r="A34" s="146" t="s">
        <v>331</v>
      </c>
      <c r="B34" s="154">
        <f>B40/(1+$B$33)^1+B41/(1+$B$33)^2+B42/(1+$B$33)^3+B43/(1+$B$33)^4+B44/(1+$B$33)^5+B16/(1+$B$33)^B45</f>
        <v>0</v>
      </c>
      <c r="C34" s="154">
        <f>C40/(1+$B$33)^1+C41/(1+$B$33)^2+C42/(1+$B$33)^3+C43/(1+$B$33)^4+C44/(1+$B$33)^5+C45/(1+$B$33)^6+C16/(1+$B$33)^C45</f>
        <v>0</v>
      </c>
      <c r="D34" s="154">
        <f>D40/(1+$B$33)^1+D41/(1+$B$33)^2+D42/(1+$B$33)^3+D43/(1+$B$33)^4+D44/(1+$B$33)^5+D45/(1+$B$33)^6+D16/(1+$B$33)^D45</f>
        <v>0</v>
      </c>
      <c r="E34" s="154">
        <f>E40/(1+$B$33)^1+E41/(1+$B$33)^2+E42/(1+$B$33)^3+E43/(1+$B$33)^4+E44/(1+$B$33)^5+E45/(1+$B$33)^6+E16/(1+$B$33)^E45</f>
        <v>0</v>
      </c>
      <c r="F34" s="161">
        <f>SUM(B34:E34)</f>
        <v>0</v>
      </c>
      <c r="G34" s="151"/>
    </row>
    <row r="35" spans="1:7" s="121" customFormat="1" ht="19.95" customHeight="1">
      <c r="A35" s="146" t="s">
        <v>332</v>
      </c>
      <c r="B35" s="154">
        <f>IF((B34-B39)&gt;=0,(B34-B39),"利率太大")</f>
        <v>0</v>
      </c>
      <c r="C35" s="157">
        <f>IF((C34-C39)&gt;=0,(C34-C39),"利率太大")</f>
        <v>0</v>
      </c>
      <c r="D35" s="157">
        <f>IF((D34-D39)&gt;=0,(D34-D39),"利率太大")</f>
        <v>0</v>
      </c>
      <c r="E35" s="157">
        <f>IF((E34-E39)&gt;=0,(E34-E39),"利率太大")</f>
        <v>0</v>
      </c>
      <c r="F35" s="161">
        <f>SUM(B35:E35)</f>
        <v>0</v>
      </c>
      <c r="G35" s="151"/>
    </row>
    <row r="36" spans="1:7" s="121" customFormat="1" ht="19.95" customHeight="1">
      <c r="A36" s="146" t="s">
        <v>333</v>
      </c>
      <c r="B36" s="167"/>
      <c r="C36" s="149"/>
      <c r="D36" s="149"/>
      <c r="E36" s="149"/>
      <c r="F36" s="145" t="s">
        <v>308</v>
      </c>
      <c r="G36" s="151"/>
    </row>
    <row r="37" spans="1:7" s="121" customFormat="1" ht="19.95" customHeight="1">
      <c r="A37" s="146" t="s">
        <v>334</v>
      </c>
      <c r="B37" s="154">
        <f>B40/(1+$B$36)^1+B41/(1+$B$36)^2+B42/(1+$B$36)^3+B43/(1+$B$36)^4+B44/(1+$B$36)^5+B16/(1+$B$36)^B45</f>
        <v>0</v>
      </c>
      <c r="C37" s="154">
        <f>C40/(1+$B$36)^1+C41/(1+$B$36)^2+C42/(1+$B$36)^3+C43/(1+$B$36)^4+C44/(1+$B$36)^5+C45/(1+$B$36)^6+C16/(1+$B$36)^C45</f>
        <v>0</v>
      </c>
      <c r="D37" s="154">
        <f>D40/(1+$B$36)^1+D41/(1+$B$36)^2+D42/(1+$B$36)^3+D43/(1+$B$36)^4+D44/(1+$B$36)^5+D45/(1+$B$36)^6+D16/(1+$B$36)^D45</f>
        <v>0</v>
      </c>
      <c r="E37" s="154">
        <f>E40/(1+$B$36)^1+E41/(1+$B$36)^2+E42/(1+$B$36)^3+E43/(1+$B$36)^4+E44/(1+$B$36)^5+E45/(1+$B$36)^6+E16/(1+$B$36)^E45</f>
        <v>0</v>
      </c>
      <c r="F37" s="161">
        <f t="shared" ref="F37:F39" si="5">SUM(B37:E37)</f>
        <v>0</v>
      </c>
      <c r="G37" s="151"/>
    </row>
    <row r="38" spans="1:7" s="121" customFormat="1" ht="19.95" customHeight="1">
      <c r="A38" s="146" t="s">
        <v>335</v>
      </c>
      <c r="B38" s="154">
        <f>IF((B39-B37)&gt;=0,(B39-B37),"利率太小")</f>
        <v>0</v>
      </c>
      <c r="C38" s="157">
        <f>IF((C39-C37)&gt;=0,(C39-C37),"利率太小")</f>
        <v>0</v>
      </c>
      <c r="D38" s="157">
        <f>IF((D39-D37)&gt;=0,(D39-D37),"利率太小")</f>
        <v>0</v>
      </c>
      <c r="E38" s="157">
        <f>IF((E39-E37)&gt;=0,(E39-E37),"利率太小")</f>
        <v>0</v>
      </c>
      <c r="F38" s="161">
        <f t="shared" si="5"/>
        <v>0</v>
      </c>
      <c r="G38" s="151"/>
    </row>
    <row r="39" spans="1:7" s="121" customFormat="1" ht="19.95" customHeight="1">
      <c r="A39" s="146" t="s">
        <v>336</v>
      </c>
      <c r="B39" s="154">
        <f>B18-B19</f>
        <v>0</v>
      </c>
      <c r="C39" s="154">
        <f t="shared" ref="C39:E39" si="6">C18-C19</f>
        <v>0</v>
      </c>
      <c r="D39" s="154">
        <f t="shared" si="6"/>
        <v>0</v>
      </c>
      <c r="E39" s="154">
        <f t="shared" si="6"/>
        <v>0</v>
      </c>
      <c r="F39" s="161">
        <f t="shared" si="5"/>
        <v>0</v>
      </c>
      <c r="G39" s="151"/>
    </row>
    <row r="40" spans="1:7" s="121" customFormat="1" ht="19.95" customHeight="1">
      <c r="A40" s="381" t="s">
        <v>337</v>
      </c>
      <c r="B40" s="168"/>
      <c r="C40" s="149"/>
      <c r="D40" s="149"/>
      <c r="E40" s="149"/>
      <c r="F40" s="161">
        <f t="shared" ref="F40:F44" si="7">SUM(B40:E40)</f>
        <v>0</v>
      </c>
      <c r="G40" s="151"/>
    </row>
    <row r="41" spans="1:7" s="121" customFormat="1" ht="19.95" customHeight="1">
      <c r="A41" s="381" t="s">
        <v>338</v>
      </c>
      <c r="B41" s="168"/>
      <c r="C41" s="149"/>
      <c r="D41" s="149"/>
      <c r="E41" s="149"/>
      <c r="F41" s="161">
        <f t="shared" si="7"/>
        <v>0</v>
      </c>
      <c r="G41" s="151"/>
    </row>
    <row r="42" spans="1:7" s="121" customFormat="1" ht="19.95" customHeight="1">
      <c r="A42" s="381" t="s">
        <v>339</v>
      </c>
      <c r="B42" s="168"/>
      <c r="C42" s="149"/>
      <c r="D42" s="149"/>
      <c r="E42" s="149"/>
      <c r="F42" s="161">
        <f t="shared" si="7"/>
        <v>0</v>
      </c>
      <c r="G42" s="151"/>
    </row>
    <row r="43" spans="1:7" s="121" customFormat="1" ht="19.95" customHeight="1">
      <c r="A43" s="381" t="s">
        <v>340</v>
      </c>
      <c r="B43" s="168"/>
      <c r="C43" s="149"/>
      <c r="D43" s="149"/>
      <c r="E43" s="149"/>
      <c r="F43" s="161">
        <f t="shared" si="7"/>
        <v>0</v>
      </c>
      <c r="G43" s="151"/>
    </row>
    <row r="44" spans="1:7" s="121" customFormat="1" ht="19.95" customHeight="1">
      <c r="A44" s="381" t="s">
        <v>341</v>
      </c>
      <c r="B44" s="168"/>
      <c r="C44" s="149"/>
      <c r="D44" s="149"/>
      <c r="E44" s="149"/>
      <c r="F44" s="161">
        <f t="shared" si="7"/>
        <v>0</v>
      </c>
      <c r="G44" s="151"/>
    </row>
    <row r="45" spans="1:7" s="121" customFormat="1" ht="19.95" customHeight="1">
      <c r="A45" s="146" t="s">
        <v>342</v>
      </c>
      <c r="B45" s="169">
        <v>3</v>
      </c>
      <c r="C45" s="149"/>
      <c r="D45" s="149"/>
      <c r="E45" s="149"/>
      <c r="F45" s="145" t="s">
        <v>308</v>
      </c>
      <c r="G45" s="151"/>
    </row>
    <row r="46" spans="1:7" s="121" customFormat="1" ht="19.95" customHeight="1">
      <c r="A46" s="170" t="s">
        <v>257</v>
      </c>
      <c r="B46" s="120"/>
      <c r="C46" s="120"/>
      <c r="D46" s="120"/>
      <c r="E46" s="120"/>
      <c r="F46" s="120"/>
      <c r="G46" s="120"/>
    </row>
    <row r="47" spans="1:7" s="121" customFormat="1" ht="19.95" customHeight="1">
      <c r="A47" s="120"/>
      <c r="B47" s="120"/>
      <c r="C47" s="120"/>
      <c r="D47" s="120"/>
      <c r="E47" s="120"/>
      <c r="F47" s="120"/>
      <c r="G47" s="120"/>
    </row>
    <row r="48" spans="1:7" s="121" customFormat="1" ht="19.95" customHeight="1">
      <c r="A48" s="131" t="s">
        <v>343</v>
      </c>
      <c r="B48" s="120"/>
      <c r="C48" s="120"/>
      <c r="D48" s="120"/>
      <c r="E48" s="120"/>
      <c r="F48" s="120"/>
      <c r="G48" s="120"/>
    </row>
    <row r="49" spans="1:27" s="123" customFormat="1" ht="18" customHeight="1">
      <c r="A49" s="171" t="s">
        <v>213</v>
      </c>
      <c r="B49" s="171"/>
      <c r="C49" s="171"/>
      <c r="D49" s="23"/>
      <c r="E49" s="23"/>
      <c r="F49" s="23"/>
      <c r="G49" s="23"/>
      <c r="H49" s="23"/>
      <c r="I49" s="23"/>
      <c r="J49" s="23"/>
      <c r="K49" s="23"/>
      <c r="L49" s="23"/>
      <c r="M49" s="23"/>
      <c r="N49" s="23"/>
      <c r="O49" s="23"/>
      <c r="P49" s="23"/>
      <c r="Q49" s="23"/>
      <c r="R49" s="23"/>
      <c r="S49" s="23"/>
      <c r="T49" s="23"/>
      <c r="U49" s="23"/>
      <c r="AA49" s="23"/>
    </row>
    <row r="50" spans="1:27" s="124" customFormat="1" ht="19.95" customHeight="1">
      <c r="A50" s="124" t="s">
        <v>344</v>
      </c>
    </row>
    <row r="51" spans="1:27" s="124" customFormat="1" ht="19.95" customHeight="1">
      <c r="A51" s="124" t="s">
        <v>345</v>
      </c>
    </row>
    <row r="52" spans="1:27" s="124" customFormat="1" ht="19.95" customHeight="1">
      <c r="A52" s="124" t="s">
        <v>346</v>
      </c>
    </row>
    <row r="53" spans="1:27" s="124" customFormat="1" ht="19.95" customHeight="1">
      <c r="A53" s="124" t="s">
        <v>347</v>
      </c>
    </row>
    <row r="54" spans="1:27" s="124" customFormat="1" ht="19.95" customHeight="1"/>
    <row r="55" spans="1:27" s="125" customFormat="1" ht="19.95" customHeight="1"/>
    <row r="56" spans="1:27" s="125" customFormat="1" ht="19.95" customHeight="1"/>
    <row r="57" spans="1:27" s="125" customFormat="1" ht="19.95" customHeight="1"/>
  </sheetData>
  <mergeCells count="4">
    <mergeCell ref="A1:G1"/>
    <mergeCell ref="A2:G2"/>
    <mergeCell ref="A6:G6"/>
    <mergeCell ref="B8:G8"/>
  </mergeCells>
  <phoneticPr fontId="86" type="noConversion"/>
  <dataValidations count="1">
    <dataValidation type="list" allowBlank="1" showInputMessage="1" showErrorMessage="1" sqref="B12:E12">
      <formula1>"到期一次还本付息,分期付息到期一次还本"</formula1>
    </dataValidation>
  </dataValidations>
  <hyperlinks>
    <hyperlink ref="G3" location="底稿目录!A1" display="=底稿目录!F11"/>
  </hyperlinks>
  <printOptions horizontalCentered="1"/>
  <pageMargins left="0.70866141732283505" right="0.70866141732283505" top="0.74803149606299202" bottom="0.74803149606299202" header="0.31496062992126" footer="0.31496062992126"/>
  <pageSetup paperSize="9" scale="74" fitToWidth="0" fitToHeight="0" orientation="portrait" blackAndWhite="1" r:id="rId1"/>
  <headerFooter alignWithMargins="0">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I27"/>
  <sheetViews>
    <sheetView view="pageBreakPreview" zoomScaleNormal="100" workbookViewId="0">
      <selection sqref="A1:L1"/>
    </sheetView>
  </sheetViews>
  <sheetFormatPr defaultColWidth="8.796875" defaultRowHeight="19.95" customHeight="1"/>
  <cols>
    <col min="1" max="1" width="14.09765625" style="47" customWidth="1"/>
    <col min="2" max="2" width="13.296875" style="47" customWidth="1"/>
    <col min="3" max="3" width="16.69921875" style="47" customWidth="1"/>
    <col min="4" max="4" width="18.3984375" style="47" customWidth="1"/>
    <col min="5" max="5" width="17.8984375" style="47" customWidth="1"/>
    <col min="6" max="6" width="16.3984375" style="47" customWidth="1"/>
    <col min="7" max="7" width="15.69921875" style="47" customWidth="1"/>
    <col min="8" max="10" width="12.69921875" style="47" customWidth="1"/>
    <col min="11" max="11" width="10.796875" style="47" customWidth="1"/>
    <col min="12" max="12" width="13.8984375" style="47" customWidth="1"/>
    <col min="13" max="13" width="15.19921875" style="47" customWidth="1"/>
    <col min="14" max="14" width="12.09765625" style="47" customWidth="1"/>
    <col min="15" max="15" width="14.796875" style="47" customWidth="1"/>
    <col min="16" max="21" width="12.09765625" style="47" customWidth="1"/>
    <col min="22" max="16384" width="8.796875" style="47"/>
  </cols>
  <sheetData>
    <row r="1" spans="1:35" s="44" customFormat="1" ht="19.95" customHeight="1">
      <c r="A1" s="474" t="s">
        <v>178</v>
      </c>
      <c r="B1" s="474"/>
      <c r="C1" s="474"/>
      <c r="D1" s="474"/>
      <c r="E1" s="474"/>
      <c r="F1" s="474"/>
      <c r="G1" s="474"/>
      <c r="H1" s="474"/>
      <c r="I1" s="474"/>
      <c r="J1" s="474"/>
      <c r="K1" s="474"/>
      <c r="L1" s="474"/>
      <c r="P1" s="47"/>
      <c r="R1" s="89"/>
      <c r="T1" s="89"/>
      <c r="U1" s="89"/>
    </row>
    <row r="2" spans="1:35" s="44" customFormat="1" ht="19.95" customHeight="1">
      <c r="A2" s="475" t="s">
        <v>23</v>
      </c>
      <c r="B2" s="475"/>
      <c r="C2" s="475"/>
      <c r="D2" s="475"/>
      <c r="E2" s="475"/>
      <c r="F2" s="475"/>
      <c r="G2" s="475"/>
      <c r="H2" s="475"/>
      <c r="I2" s="475"/>
      <c r="J2" s="475"/>
      <c r="K2" s="475"/>
      <c r="L2" s="475"/>
      <c r="P2" s="47"/>
      <c r="R2" s="48"/>
      <c r="T2" s="48"/>
      <c r="U2" s="48"/>
    </row>
    <row r="3" spans="1:35" s="2" customFormat="1" ht="19.95" customHeight="1">
      <c r="A3" s="2" t="str">
        <f>底稿目录!A2</f>
        <v>被审计单位：</v>
      </c>
      <c r="D3" s="2" t="str">
        <f>底稿目录!A4</f>
        <v>编制人：</v>
      </c>
      <c r="H3" s="2" t="str">
        <f>底稿目录!A5</f>
        <v>编制日期：</v>
      </c>
      <c r="K3" s="74" t="s">
        <v>183</v>
      </c>
      <c r="L3" s="390" t="str">
        <f>底稿目录!F12</f>
        <v>L4-7</v>
      </c>
      <c r="M3" s="116"/>
      <c r="P3" s="61"/>
      <c r="W3" s="118"/>
      <c r="X3" s="118"/>
      <c r="Y3" s="118"/>
      <c r="Z3" s="118"/>
      <c r="AA3" s="118"/>
      <c r="AB3" s="118"/>
      <c r="AC3" s="118"/>
      <c r="AD3" s="118"/>
      <c r="AE3" s="118"/>
      <c r="AF3" s="118"/>
      <c r="AG3" s="118"/>
      <c r="AH3" s="118"/>
      <c r="AI3" s="118"/>
    </row>
    <row r="4" spans="1:35" s="2" customFormat="1" ht="19.95" customHeight="1">
      <c r="A4" s="2" t="str">
        <f>底稿目录!A3</f>
        <v>截止日：202X年12月31日</v>
      </c>
      <c r="D4" s="85" t="str">
        <f>底稿目录!A6</f>
        <v>复核人：</v>
      </c>
      <c r="H4" s="23" t="str">
        <f>底稿目录!A7</f>
        <v>复核日期：</v>
      </c>
      <c r="K4" s="74" t="s">
        <v>175</v>
      </c>
      <c r="P4" s="61"/>
      <c r="W4" s="118"/>
      <c r="X4" s="118"/>
      <c r="Y4" s="118"/>
      <c r="Z4" s="118"/>
      <c r="AA4" s="118"/>
      <c r="AB4" s="118"/>
      <c r="AC4" s="118"/>
      <c r="AD4" s="118"/>
      <c r="AE4" s="118"/>
      <c r="AF4" s="118"/>
      <c r="AG4" s="118"/>
      <c r="AH4" s="118"/>
      <c r="AI4" s="118"/>
    </row>
    <row r="5" spans="1:35" s="113" customFormat="1" ht="19.95" customHeight="1">
      <c r="A5" s="50" t="s">
        <v>221</v>
      </c>
      <c r="P5" s="61"/>
      <c r="R5" s="74"/>
      <c r="W5" s="118"/>
      <c r="X5" s="118"/>
      <c r="Y5" s="118"/>
      <c r="Z5" s="118"/>
      <c r="AA5" s="118"/>
      <c r="AB5" s="118"/>
      <c r="AC5" s="118"/>
      <c r="AD5" s="118"/>
      <c r="AE5" s="118"/>
      <c r="AF5" s="118"/>
      <c r="AG5" s="118"/>
      <c r="AH5" s="118"/>
      <c r="AI5" s="118"/>
    </row>
    <row r="6" spans="1:35" s="113" customFormat="1" ht="19.95" customHeight="1">
      <c r="A6" s="521" t="s">
        <v>348</v>
      </c>
      <c r="B6" s="521"/>
      <c r="C6" s="521"/>
      <c r="D6" s="521"/>
      <c r="E6" s="521"/>
      <c r="F6" s="521"/>
      <c r="G6" s="521"/>
      <c r="H6" s="521"/>
      <c r="I6" s="521"/>
      <c r="J6" s="521"/>
      <c r="K6" s="521"/>
      <c r="L6" s="521"/>
      <c r="P6" s="61"/>
      <c r="R6" s="74"/>
      <c r="W6" s="118"/>
      <c r="X6" s="118"/>
      <c r="Y6" s="118"/>
      <c r="Z6" s="118"/>
      <c r="AA6" s="118"/>
      <c r="AB6" s="118"/>
      <c r="AC6" s="118"/>
      <c r="AD6" s="118"/>
      <c r="AE6" s="118"/>
      <c r="AF6" s="118"/>
      <c r="AG6" s="118"/>
      <c r="AH6" s="118"/>
      <c r="AI6" s="118"/>
    </row>
    <row r="7" spans="1:35" s="113" customFormat="1" ht="19.95" customHeight="1">
      <c r="A7" s="51" t="s">
        <v>349</v>
      </c>
      <c r="B7" s="10"/>
      <c r="C7" s="10"/>
      <c r="D7" s="10"/>
      <c r="E7" s="10"/>
      <c r="F7" s="10"/>
      <c r="G7" s="10"/>
      <c r="H7" s="10"/>
      <c r="I7" s="10"/>
      <c r="J7" s="10"/>
      <c r="K7" s="10"/>
      <c r="L7" s="10"/>
      <c r="P7" s="61"/>
      <c r="R7" s="74"/>
      <c r="W7" s="118"/>
      <c r="X7" s="118"/>
      <c r="Y7" s="118"/>
      <c r="Z7" s="118"/>
      <c r="AA7" s="118"/>
      <c r="AB7" s="118"/>
      <c r="AC7" s="118"/>
      <c r="AD7" s="118"/>
      <c r="AE7" s="118"/>
      <c r="AF7" s="118"/>
      <c r="AG7" s="118"/>
      <c r="AH7" s="118"/>
      <c r="AI7" s="118"/>
    </row>
    <row r="8" spans="1:35" s="113" customFormat="1" ht="19.95" customHeight="1">
      <c r="A8" s="51" t="s">
        <v>350</v>
      </c>
      <c r="B8" s="10"/>
      <c r="C8" s="10"/>
      <c r="D8" s="10"/>
      <c r="E8" s="10"/>
      <c r="F8" s="10"/>
      <c r="G8" s="10"/>
      <c r="H8" s="10"/>
      <c r="I8" s="10"/>
      <c r="J8" s="10"/>
      <c r="K8" s="10"/>
      <c r="L8" s="10"/>
      <c r="P8" s="61"/>
      <c r="R8" s="74"/>
      <c r="W8" s="118"/>
      <c r="X8" s="118"/>
      <c r="Y8" s="118"/>
      <c r="Z8" s="118"/>
      <c r="AA8" s="118"/>
      <c r="AB8" s="118"/>
      <c r="AC8" s="118"/>
      <c r="AD8" s="118"/>
      <c r="AE8" s="118"/>
      <c r="AF8" s="118"/>
      <c r="AG8" s="118"/>
      <c r="AH8" s="118"/>
      <c r="AI8" s="118"/>
    </row>
    <row r="9" spans="1:35" s="113" customFormat="1" ht="19.95" customHeight="1">
      <c r="A9" s="50" t="s">
        <v>188</v>
      </c>
      <c r="B9" s="60" t="s">
        <v>351</v>
      </c>
      <c r="C9" s="52"/>
      <c r="D9" s="52"/>
      <c r="G9" s="52"/>
      <c r="H9" s="52"/>
      <c r="I9" s="52"/>
      <c r="J9" s="52"/>
      <c r="K9" s="90"/>
      <c r="L9" s="90"/>
      <c r="M9" s="90"/>
      <c r="N9" s="90"/>
      <c r="P9" s="61"/>
      <c r="R9" s="90"/>
      <c r="W9" s="118"/>
      <c r="X9" s="118"/>
      <c r="Y9" s="118"/>
      <c r="Z9" s="118"/>
      <c r="AA9" s="118"/>
      <c r="AB9" s="118"/>
      <c r="AC9" s="118"/>
      <c r="AD9" s="118"/>
      <c r="AE9" s="118"/>
      <c r="AF9" s="118"/>
      <c r="AG9" s="118"/>
      <c r="AH9" s="118"/>
      <c r="AI9" s="118"/>
    </row>
    <row r="10" spans="1:35" s="61" customFormat="1" ht="19.95" customHeight="1">
      <c r="A10" s="66" t="s">
        <v>352</v>
      </c>
      <c r="B10" s="60"/>
      <c r="C10" s="60"/>
      <c r="E10" s="62"/>
      <c r="F10" s="62"/>
      <c r="K10" s="117"/>
      <c r="V10" s="79"/>
      <c r="W10" s="118"/>
      <c r="X10" s="118"/>
      <c r="Y10" s="118"/>
      <c r="Z10" s="118"/>
      <c r="AA10" s="118"/>
      <c r="AB10" s="118"/>
      <c r="AC10" s="118"/>
      <c r="AD10" s="118"/>
      <c r="AE10" s="118"/>
      <c r="AF10" s="118"/>
      <c r="AG10" s="118"/>
      <c r="AH10" s="118"/>
      <c r="AI10" s="118"/>
    </row>
    <row r="11" spans="1:35" s="61" customFormat="1" ht="19.95" customHeight="1">
      <c r="A11" s="92" t="s">
        <v>353</v>
      </c>
      <c r="B11" s="93">
        <f>'应付债券初始计量L4-6'!B9</f>
        <v>0</v>
      </c>
      <c r="C11" s="92" t="s">
        <v>354</v>
      </c>
      <c r="D11" s="93">
        <f>'应付债券初始计量L4-6'!D9</f>
        <v>0</v>
      </c>
      <c r="F11" s="62"/>
      <c r="K11" s="117"/>
      <c r="V11" s="79"/>
      <c r="W11" s="118"/>
      <c r="X11" s="118"/>
      <c r="Y11" s="118"/>
      <c r="Z11" s="118"/>
      <c r="AA11" s="118"/>
      <c r="AB11" s="118"/>
      <c r="AC11" s="118"/>
      <c r="AD11" s="118"/>
      <c r="AE11" s="118"/>
      <c r="AF11" s="118"/>
      <c r="AG11" s="118"/>
      <c r="AH11" s="118"/>
      <c r="AI11" s="118"/>
    </row>
    <row r="12" spans="1:35" s="107" customFormat="1" ht="28.05" customHeight="1">
      <c r="A12" s="94" t="s">
        <v>355</v>
      </c>
      <c r="B12" s="94" t="s">
        <v>356</v>
      </c>
      <c r="C12" s="94" t="s">
        <v>357</v>
      </c>
      <c r="D12" s="94" t="s">
        <v>358</v>
      </c>
      <c r="E12" s="94" t="s">
        <v>359</v>
      </c>
      <c r="F12" s="94" t="s">
        <v>193</v>
      </c>
      <c r="G12" s="94" t="s">
        <v>192</v>
      </c>
      <c r="H12" s="94" t="s">
        <v>313</v>
      </c>
      <c r="I12" s="94" t="s">
        <v>314</v>
      </c>
      <c r="J12" s="54" t="s">
        <v>315</v>
      </c>
      <c r="K12" s="102" t="s">
        <v>360</v>
      </c>
      <c r="L12" s="102" t="s">
        <v>361</v>
      </c>
      <c r="N12" s="90"/>
      <c r="P12" s="61"/>
      <c r="W12" s="118"/>
      <c r="X12" s="118"/>
      <c r="Y12" s="118"/>
      <c r="Z12" s="118"/>
      <c r="AA12" s="118"/>
      <c r="AB12" s="118"/>
      <c r="AC12" s="118"/>
      <c r="AD12" s="118"/>
      <c r="AE12" s="118"/>
      <c r="AF12" s="118"/>
      <c r="AG12" s="118"/>
      <c r="AH12" s="118"/>
      <c r="AI12" s="118"/>
    </row>
    <row r="13" spans="1:35" s="61" customFormat="1" ht="19.95" customHeight="1">
      <c r="A13" s="95"/>
      <c r="B13" s="96">
        <f>'应付债券初始计量L4-6'!B12</f>
        <v>0</v>
      </c>
      <c r="C13" s="96">
        <f>'应付债券初始计量L4-6'!B14</f>
        <v>0</v>
      </c>
      <c r="D13" s="96">
        <f>'应付债券初始计量L4-6'!B15</f>
        <v>0</v>
      </c>
      <c r="E13" s="97">
        <f>'应付债券初始计量L4-6'!B24</f>
        <v>0</v>
      </c>
      <c r="F13" s="58">
        <f>'应付债券初始计量L4-6'!B16</f>
        <v>0</v>
      </c>
      <c r="G13" s="114">
        <f>'应付债券初始计量L4-6'!B17</f>
        <v>0</v>
      </c>
      <c r="H13" s="58">
        <f>'应付债券初始计量L4-6'!B18</f>
        <v>0</v>
      </c>
      <c r="I13" s="58"/>
      <c r="J13" s="58">
        <f>H13-F13-I13</f>
        <v>0</v>
      </c>
      <c r="K13" s="103">
        <f>'应付债券初始计量L4-6'!B21</f>
        <v>0</v>
      </c>
      <c r="L13" s="103">
        <f>'应付债券初始计量L4-6'!B22</f>
        <v>0</v>
      </c>
      <c r="N13" s="90"/>
      <c r="X13" s="79"/>
      <c r="Y13" s="82"/>
      <c r="Z13" s="84"/>
      <c r="AA13" s="82"/>
      <c r="AB13" s="82"/>
      <c r="AC13" s="80"/>
      <c r="AD13" s="80"/>
      <c r="AE13" s="81"/>
      <c r="AF13" s="81"/>
      <c r="AG13" s="81"/>
      <c r="AH13" s="81"/>
    </row>
    <row r="14" spans="1:35" s="61" customFormat="1" ht="19.95" customHeight="1">
      <c r="A14" s="60"/>
      <c r="B14" s="60"/>
      <c r="C14" s="60"/>
      <c r="E14" s="62"/>
      <c r="F14" s="62"/>
      <c r="K14" s="117"/>
      <c r="V14" s="79"/>
      <c r="W14" s="82"/>
      <c r="X14" s="84"/>
      <c r="Y14" s="82"/>
      <c r="Z14" s="82"/>
      <c r="AA14" s="80"/>
      <c r="AB14" s="80"/>
      <c r="AC14" s="81"/>
      <c r="AD14" s="81"/>
      <c r="AE14" s="81"/>
      <c r="AF14" s="81"/>
    </row>
    <row r="15" spans="1:35" s="61" customFormat="1" ht="19.95" customHeight="1">
      <c r="A15" s="66" t="s">
        <v>362</v>
      </c>
      <c r="B15" s="66"/>
      <c r="C15" s="66"/>
      <c r="E15" s="62"/>
      <c r="F15" s="62"/>
      <c r="S15" s="119"/>
      <c r="V15" s="79"/>
      <c r="W15" s="82"/>
      <c r="X15" s="84"/>
      <c r="Y15" s="82"/>
      <c r="Z15" s="82"/>
      <c r="AA15" s="80"/>
      <c r="AB15" s="80"/>
      <c r="AC15" s="81"/>
      <c r="AD15" s="81"/>
      <c r="AE15" s="81"/>
      <c r="AF15" s="81"/>
    </row>
    <row r="16" spans="1:35" s="61" customFormat="1" ht="19.95" customHeight="1">
      <c r="A16" s="525" t="s">
        <v>363</v>
      </c>
      <c r="B16" s="527" t="s">
        <v>364</v>
      </c>
      <c r="C16" s="522" t="s">
        <v>365</v>
      </c>
      <c r="D16" s="523"/>
      <c r="E16" s="523"/>
      <c r="F16" s="523"/>
      <c r="G16" s="523"/>
      <c r="H16" s="523"/>
      <c r="I16" s="523"/>
      <c r="J16" s="523"/>
      <c r="K16" s="524"/>
      <c r="L16" s="529" t="s">
        <v>366</v>
      </c>
      <c r="S16" s="119"/>
      <c r="V16" s="79"/>
      <c r="W16" s="82"/>
      <c r="X16" s="84"/>
      <c r="Y16" s="82"/>
      <c r="Z16" s="82"/>
      <c r="AA16" s="80"/>
      <c r="AB16" s="80"/>
      <c r="AC16" s="81"/>
      <c r="AD16" s="81"/>
      <c r="AE16" s="81"/>
      <c r="AF16" s="81"/>
    </row>
    <row r="17" spans="1:32" s="61" customFormat="1" ht="19.95" customHeight="1">
      <c r="A17" s="526"/>
      <c r="B17" s="528"/>
      <c r="C17" s="54" t="s">
        <v>367</v>
      </c>
      <c r="D17" s="54" t="s">
        <v>368</v>
      </c>
      <c r="E17" s="54" t="s">
        <v>369</v>
      </c>
      <c r="F17" s="54" t="s">
        <v>370</v>
      </c>
      <c r="G17" s="54" t="s">
        <v>371</v>
      </c>
      <c r="H17" s="54" t="s">
        <v>372</v>
      </c>
      <c r="I17" s="54" t="s">
        <v>246</v>
      </c>
      <c r="J17" s="54" t="s">
        <v>373</v>
      </c>
      <c r="K17" s="54" t="s">
        <v>374</v>
      </c>
      <c r="L17" s="530"/>
      <c r="S17" s="119"/>
      <c r="V17" s="79"/>
      <c r="W17" s="82"/>
      <c r="X17" s="84"/>
      <c r="Y17" s="82"/>
      <c r="Z17" s="82"/>
      <c r="AA17" s="80"/>
      <c r="AB17" s="80"/>
      <c r="AC17" s="81"/>
      <c r="AD17" s="81"/>
      <c r="AE17" s="81"/>
      <c r="AF17" s="81"/>
    </row>
    <row r="18" spans="1:32" s="61" customFormat="1" ht="19.95" customHeight="1">
      <c r="A18" s="57" t="s">
        <v>375</v>
      </c>
      <c r="B18" s="99"/>
      <c r="C18" s="78">
        <f>H13-I13</f>
        <v>0</v>
      </c>
      <c r="D18" s="58">
        <f>C18*$E$13</f>
        <v>0</v>
      </c>
      <c r="E18" s="58">
        <f>$F$13*$G$13</f>
        <v>0</v>
      </c>
      <c r="F18" s="58">
        <f>C18-$F$13</f>
        <v>0</v>
      </c>
      <c r="G18" s="58">
        <f>D18-E18</f>
        <v>0</v>
      </c>
      <c r="H18" s="115" t="s">
        <v>308</v>
      </c>
      <c r="I18" s="58">
        <f>C18+D18</f>
        <v>0</v>
      </c>
      <c r="J18" s="88"/>
      <c r="K18" s="58">
        <f>I18-J18</f>
        <v>0</v>
      </c>
      <c r="L18" s="88"/>
      <c r="S18" s="119"/>
      <c r="V18" s="79"/>
      <c r="W18" s="82"/>
      <c r="X18" s="84"/>
      <c r="Y18" s="82"/>
      <c r="Z18" s="82"/>
      <c r="AA18" s="80"/>
      <c r="AB18" s="80"/>
      <c r="AC18" s="81"/>
      <c r="AD18" s="81"/>
      <c r="AE18" s="81"/>
      <c r="AF18" s="81"/>
    </row>
    <row r="19" spans="1:32" s="61" customFormat="1" ht="19.95" customHeight="1">
      <c r="A19" s="57" t="s">
        <v>376</v>
      </c>
      <c r="B19" s="99"/>
      <c r="C19" s="58">
        <f>I18</f>
        <v>0</v>
      </c>
      <c r="D19" s="58">
        <f>C19*$E$13</f>
        <v>0</v>
      </c>
      <c r="E19" s="58">
        <f>$F$13*$G$13</f>
        <v>0</v>
      </c>
      <c r="F19" s="58">
        <f>C19-$F$13</f>
        <v>0</v>
      </c>
      <c r="G19" s="58">
        <f>D19-E19</f>
        <v>0</v>
      </c>
      <c r="H19" s="115" t="s">
        <v>308</v>
      </c>
      <c r="I19" s="58">
        <f>C19+D19</f>
        <v>0</v>
      </c>
      <c r="J19" s="88"/>
      <c r="K19" s="58">
        <f t="shared" ref="K19:K20" si="0">I19-J19</f>
        <v>0</v>
      </c>
      <c r="L19" s="88"/>
      <c r="S19" s="119"/>
      <c r="V19" s="79"/>
      <c r="W19" s="82"/>
      <c r="X19" s="84"/>
      <c r="Y19" s="82"/>
      <c r="Z19" s="82"/>
      <c r="AA19" s="80"/>
      <c r="AB19" s="80"/>
      <c r="AC19" s="81"/>
      <c r="AD19" s="81"/>
      <c r="AE19" s="81"/>
      <c r="AF19" s="81"/>
    </row>
    <row r="20" spans="1:32" s="61" customFormat="1" ht="19.95" customHeight="1">
      <c r="A20" s="100" t="s">
        <v>377</v>
      </c>
      <c r="B20" s="99"/>
      <c r="C20" s="58">
        <f>I19</f>
        <v>0</v>
      </c>
      <c r="D20" s="58">
        <f>I20-C20</f>
        <v>0</v>
      </c>
      <c r="E20" s="58">
        <f>$F$13*$G$13</f>
        <v>0</v>
      </c>
      <c r="F20" s="58">
        <f>C20-$F$13</f>
        <v>0</v>
      </c>
      <c r="G20" s="58">
        <f>D20-E20</f>
        <v>0</v>
      </c>
      <c r="H20" s="115" t="s">
        <v>308</v>
      </c>
      <c r="I20" s="58">
        <f>F13+E18+E19+E20</f>
        <v>0</v>
      </c>
      <c r="J20" s="88"/>
      <c r="K20" s="58">
        <f t="shared" si="0"/>
        <v>0</v>
      </c>
      <c r="L20" s="88"/>
      <c r="S20" s="119"/>
      <c r="V20" s="79"/>
      <c r="W20" s="82"/>
      <c r="X20" s="84"/>
      <c r="Y20" s="82"/>
      <c r="Z20" s="82"/>
      <c r="AA20" s="80"/>
      <c r="AB20" s="80"/>
      <c r="AC20" s="81"/>
      <c r="AD20" s="81"/>
      <c r="AE20" s="81"/>
      <c r="AF20" s="81"/>
    </row>
    <row r="21" spans="1:32" s="61" customFormat="1" ht="19.95" customHeight="1">
      <c r="A21" s="72" t="s">
        <v>211</v>
      </c>
      <c r="B21" s="73"/>
    </row>
    <row r="22" spans="1:32" s="61" customFormat="1" ht="19.95" customHeight="1">
      <c r="A22" s="409" t="s">
        <v>488</v>
      </c>
      <c r="B22" s="73"/>
    </row>
    <row r="23" spans="1:32" s="61" customFormat="1" ht="19.95" customHeight="1">
      <c r="A23" s="72"/>
      <c r="B23" s="73"/>
    </row>
    <row r="24" spans="1:32" s="61" customFormat="1" ht="19.95" customHeight="1">
      <c r="A24" s="66"/>
      <c r="B24" s="101"/>
    </row>
    <row r="25" spans="1:32" s="61" customFormat="1" ht="19.95" customHeight="1">
      <c r="A25" s="72" t="s">
        <v>212</v>
      </c>
    </row>
    <row r="26" spans="1:32" s="61" customFormat="1" ht="19.95" customHeight="1">
      <c r="A26" s="72"/>
    </row>
    <row r="27" spans="1:32" s="61" customFormat="1" ht="19.95" customHeight="1">
      <c r="A27" s="72"/>
    </row>
  </sheetData>
  <mergeCells count="7">
    <mergeCell ref="A1:L1"/>
    <mergeCell ref="A2:L2"/>
    <mergeCell ref="A6:L6"/>
    <mergeCell ref="C16:K16"/>
    <mergeCell ref="A16:A17"/>
    <mergeCell ref="B16:B17"/>
    <mergeCell ref="L16:L17"/>
  </mergeCells>
  <phoneticPr fontId="86" type="noConversion"/>
  <hyperlinks>
    <hyperlink ref="L3" location="底稿目录!A1" display="=底稿目录!F12"/>
  </hyperlinks>
  <pageMargins left="0.70866141732283472" right="0.70866141732283472" top="0.74803149606299213" bottom="0.74803149606299213" header="0.31496062992125984" footer="0.31496062992125984"/>
  <pageSetup paperSize="9" scale="70" orientation="landscape" blackAndWhite="1" horizontalDpi="300" verticalDpi="300"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H26"/>
  <sheetViews>
    <sheetView view="pageBreakPreview" zoomScaleNormal="100" workbookViewId="0">
      <selection sqref="A1:L1"/>
    </sheetView>
  </sheetViews>
  <sheetFormatPr defaultColWidth="8.796875" defaultRowHeight="19.95" customHeight="1"/>
  <cols>
    <col min="1" max="1" width="14.09765625" style="47" customWidth="1"/>
    <col min="2" max="2" width="13.296875" style="47" customWidth="1"/>
    <col min="3" max="3" width="16.69921875" style="47" customWidth="1"/>
    <col min="4" max="4" width="18.3984375" style="47" customWidth="1"/>
    <col min="5" max="5" width="17.8984375" style="47" customWidth="1"/>
    <col min="6" max="6" width="16.3984375" style="47" customWidth="1"/>
    <col min="7" max="7" width="15.69921875" style="47" customWidth="1"/>
    <col min="8" max="10" width="12.69921875" style="47" customWidth="1"/>
    <col min="11" max="11" width="11.296875" style="47" customWidth="1"/>
    <col min="12" max="12" width="11.8984375" style="47" customWidth="1"/>
    <col min="13" max="13" width="15.19921875" style="47" customWidth="1"/>
    <col min="14" max="14" width="12.09765625" style="47" customWidth="1"/>
    <col min="15" max="15" width="14.796875" style="47" customWidth="1"/>
    <col min="16" max="21" width="12.09765625" style="47" customWidth="1"/>
    <col min="22" max="25" width="8.796875" style="47"/>
    <col min="26" max="26" width="10.296875" style="47" customWidth="1"/>
    <col min="27" max="16384" width="8.796875" style="47"/>
  </cols>
  <sheetData>
    <row r="1" spans="1:34" s="44" customFormat="1" ht="19.95" customHeight="1">
      <c r="A1" s="474" t="s">
        <v>178</v>
      </c>
      <c r="B1" s="474"/>
      <c r="C1" s="474"/>
      <c r="D1" s="474"/>
      <c r="E1" s="474"/>
      <c r="F1" s="474"/>
      <c r="G1" s="474"/>
      <c r="H1" s="474"/>
      <c r="I1" s="474"/>
      <c r="J1" s="474"/>
      <c r="K1" s="474"/>
      <c r="L1" s="474"/>
      <c r="P1" s="47"/>
      <c r="R1" s="89"/>
      <c r="T1" s="89"/>
      <c r="U1" s="89"/>
    </row>
    <row r="2" spans="1:34" s="44" customFormat="1" ht="19.95" customHeight="1">
      <c r="A2" s="475" t="s">
        <v>25</v>
      </c>
      <c r="B2" s="475"/>
      <c r="C2" s="475"/>
      <c r="D2" s="475"/>
      <c r="E2" s="475"/>
      <c r="F2" s="475"/>
      <c r="G2" s="475"/>
      <c r="H2" s="475"/>
      <c r="I2" s="475"/>
      <c r="J2" s="475"/>
      <c r="K2" s="475"/>
      <c r="L2" s="475"/>
      <c r="P2" s="47"/>
      <c r="R2" s="48"/>
      <c r="T2" s="48"/>
      <c r="U2" s="48"/>
      <c r="X2" s="104" t="s">
        <v>378</v>
      </c>
      <c r="Y2" s="82"/>
      <c r="Z2" s="84"/>
      <c r="AA2" s="82"/>
      <c r="AB2" s="82"/>
      <c r="AC2" s="80"/>
      <c r="AD2" s="80"/>
      <c r="AE2" s="81"/>
      <c r="AF2" s="81"/>
      <c r="AG2" s="81"/>
      <c r="AH2" s="81"/>
    </row>
    <row r="3" spans="1:34" s="2" customFormat="1" ht="19.95" customHeight="1">
      <c r="A3" s="2" t="str">
        <f>底稿目录!A2</f>
        <v>被审计单位：</v>
      </c>
      <c r="F3" s="2" t="str">
        <f>底稿目录!A4</f>
        <v>编制人：</v>
      </c>
      <c r="H3" s="2" t="str">
        <f>底稿目录!A5</f>
        <v>编制日期：</v>
      </c>
      <c r="K3" s="74" t="s">
        <v>183</v>
      </c>
      <c r="L3" s="390" t="str">
        <f>底稿目录!F13</f>
        <v>L4-7</v>
      </c>
      <c r="M3" s="36"/>
      <c r="P3" s="47"/>
      <c r="X3" s="105" t="s">
        <v>190</v>
      </c>
      <c r="Y3" s="105" t="s">
        <v>379</v>
      </c>
      <c r="Z3" s="105" t="s">
        <v>380</v>
      </c>
      <c r="AA3" s="105" t="s">
        <v>381</v>
      </c>
      <c r="AB3" s="105" t="s">
        <v>382</v>
      </c>
      <c r="AC3" s="105" t="s">
        <v>383</v>
      </c>
      <c r="AD3" s="105" t="s">
        <v>369</v>
      </c>
      <c r="AE3" s="105" t="s">
        <v>384</v>
      </c>
      <c r="AF3" s="105" t="s">
        <v>385</v>
      </c>
      <c r="AG3" s="105" t="s">
        <v>386</v>
      </c>
      <c r="AH3" s="112" t="s">
        <v>240</v>
      </c>
    </row>
    <row r="4" spans="1:34" s="2" customFormat="1" ht="19.95" customHeight="1">
      <c r="A4" s="2" t="str">
        <f>底稿目录!A3</f>
        <v>截止日：202X年12月31日</v>
      </c>
      <c r="F4" s="85" t="str">
        <f>底稿目录!A6</f>
        <v>复核人：</v>
      </c>
      <c r="H4" s="23" t="str">
        <f>底稿目录!A7</f>
        <v>复核日期：</v>
      </c>
      <c r="K4" s="74" t="s">
        <v>175</v>
      </c>
      <c r="P4" s="47"/>
      <c r="Y4" s="106"/>
      <c r="Z4" s="106"/>
      <c r="AA4" s="106"/>
      <c r="AB4" s="106"/>
      <c r="AC4" s="109">
        <f>IF(DATEDIF(AA4,AB4,"d"),DATEDIF(AA4,AB4,"d")+1,0)</f>
        <v>0</v>
      </c>
      <c r="AD4" s="109">
        <f>ROUND(Y4*Z4/365*AC4,2)</f>
        <v>0</v>
      </c>
      <c r="AE4" s="106"/>
      <c r="AF4" s="109">
        <f>AD4-AE4</f>
        <v>0</v>
      </c>
      <c r="AG4" s="106"/>
      <c r="AH4" s="106"/>
    </row>
    <row r="5" spans="1:34" s="45" customFormat="1" ht="19.95" customHeight="1">
      <c r="A5" s="50" t="s">
        <v>221</v>
      </c>
      <c r="M5" s="11"/>
      <c r="P5" s="47"/>
      <c r="R5" s="74"/>
      <c r="X5" s="106"/>
      <c r="Y5" s="106"/>
      <c r="Z5" s="106"/>
      <c r="AA5" s="106"/>
      <c r="AB5" s="106"/>
      <c r="AC5" s="109">
        <f>IF(DATEDIF(AA5,AB5,"d"),DATEDIF(AA5,AB5,"d")+1,0)</f>
        <v>0</v>
      </c>
      <c r="AD5" s="109">
        <f>ROUND(Y5*Z5/360*AC5,2)</f>
        <v>0</v>
      </c>
      <c r="AE5" s="106"/>
      <c r="AF5" s="109">
        <f>AD5-AE5</f>
        <v>0</v>
      </c>
      <c r="AG5" s="106"/>
      <c r="AH5" s="106"/>
    </row>
    <row r="6" spans="1:34" s="45" customFormat="1" ht="19.95" customHeight="1">
      <c r="A6" s="521" t="s">
        <v>348</v>
      </c>
      <c r="B6" s="521"/>
      <c r="C6" s="521"/>
      <c r="D6" s="521"/>
      <c r="E6" s="521"/>
      <c r="F6" s="521"/>
      <c r="G6" s="521"/>
      <c r="H6" s="521"/>
      <c r="I6" s="521"/>
      <c r="J6" s="521"/>
      <c r="K6" s="521"/>
      <c r="L6" s="521"/>
      <c r="M6" s="11"/>
      <c r="P6" s="47"/>
      <c r="R6" s="74"/>
      <c r="X6" s="106"/>
      <c r="Y6" s="106"/>
      <c r="Z6" s="106"/>
      <c r="AA6" s="106"/>
      <c r="AB6" s="106"/>
      <c r="AC6" s="109"/>
      <c r="AD6" s="109"/>
      <c r="AE6" s="106"/>
      <c r="AF6" s="109"/>
      <c r="AG6" s="106"/>
      <c r="AH6" s="106"/>
    </row>
    <row r="7" spans="1:34" s="45" customFormat="1" ht="19.95" customHeight="1">
      <c r="A7" s="51" t="s">
        <v>349</v>
      </c>
      <c r="B7" s="10"/>
      <c r="C7" s="10"/>
      <c r="D7" s="10"/>
      <c r="E7" s="10"/>
      <c r="F7" s="10"/>
      <c r="G7" s="10"/>
      <c r="H7" s="10"/>
      <c r="I7" s="10"/>
      <c r="J7" s="10"/>
      <c r="K7" s="10"/>
      <c r="L7" s="10"/>
      <c r="M7" s="11"/>
      <c r="P7" s="47"/>
      <c r="R7" s="74"/>
      <c r="X7" s="106"/>
      <c r="Y7" s="106"/>
      <c r="Z7" s="106"/>
      <c r="AA7" s="106"/>
      <c r="AB7" s="106"/>
      <c r="AC7" s="109"/>
      <c r="AD7" s="109"/>
      <c r="AE7" s="106"/>
      <c r="AF7" s="109"/>
      <c r="AG7" s="106"/>
      <c r="AH7" s="106"/>
    </row>
    <row r="8" spans="1:34" s="45" customFormat="1" ht="19.95" customHeight="1">
      <c r="A8" s="51" t="s">
        <v>350</v>
      </c>
      <c r="B8" s="10"/>
      <c r="C8" s="10"/>
      <c r="D8" s="10"/>
      <c r="E8" s="10"/>
      <c r="F8" s="10"/>
      <c r="G8" s="10"/>
      <c r="H8" s="10"/>
      <c r="I8" s="10"/>
      <c r="J8" s="10"/>
      <c r="K8" s="10"/>
      <c r="L8" s="10"/>
      <c r="M8" s="11"/>
      <c r="P8" s="47"/>
      <c r="R8" s="74"/>
      <c r="X8" s="106"/>
      <c r="Y8" s="106"/>
      <c r="Z8" s="106"/>
      <c r="AA8" s="106"/>
      <c r="AB8" s="106"/>
      <c r="AC8" s="109"/>
      <c r="AD8" s="109"/>
      <c r="AE8" s="106"/>
      <c r="AF8" s="109"/>
      <c r="AG8" s="106"/>
      <c r="AH8" s="106"/>
    </row>
    <row r="9" spans="1:34" s="45" customFormat="1" ht="19.95" customHeight="1">
      <c r="A9" s="50" t="s">
        <v>188</v>
      </c>
      <c r="B9" s="60" t="s">
        <v>387</v>
      </c>
      <c r="C9" s="52"/>
      <c r="D9" s="52"/>
      <c r="G9" s="52"/>
      <c r="H9" s="52"/>
      <c r="I9" s="52"/>
      <c r="J9" s="52"/>
      <c r="K9" s="90"/>
      <c r="L9" s="90"/>
      <c r="M9" s="90"/>
      <c r="N9" s="90"/>
      <c r="P9" s="47"/>
      <c r="R9" s="90"/>
      <c r="X9" s="106"/>
      <c r="Y9" s="106"/>
      <c r="Z9" s="106"/>
      <c r="AA9" s="106"/>
      <c r="AB9" s="106"/>
      <c r="AC9" s="109">
        <f>IF(DATEDIF(AA9,AB9,"d"),DATEDIF(AA9,AB9,"d")+1,0)</f>
        <v>0</v>
      </c>
      <c r="AD9" s="109">
        <f>ROUND(Y9*Z9/360*AC9,2)</f>
        <v>0</v>
      </c>
      <c r="AE9" s="106"/>
      <c r="AF9" s="109">
        <f>AD9-AE9</f>
        <v>0</v>
      </c>
      <c r="AG9" s="106"/>
      <c r="AH9" s="106"/>
    </row>
    <row r="10" spans="1:34" ht="19.95" customHeight="1">
      <c r="A10" s="66" t="s">
        <v>352</v>
      </c>
      <c r="B10" s="60"/>
      <c r="C10" s="60"/>
      <c r="D10" s="61"/>
      <c r="E10" s="62"/>
      <c r="F10" s="62"/>
      <c r="K10" s="77"/>
      <c r="N10" s="61"/>
      <c r="O10" s="61"/>
      <c r="P10" s="61"/>
      <c r="Q10" s="61"/>
      <c r="R10" s="61"/>
      <c r="S10" s="61"/>
      <c r="V10" s="79"/>
      <c r="W10" s="82"/>
      <c r="X10" s="84"/>
      <c r="Y10" s="82"/>
      <c r="Z10" s="82"/>
      <c r="AA10" s="80"/>
      <c r="AB10" s="80"/>
      <c r="AC10" s="81"/>
      <c r="AD10" s="81"/>
      <c r="AE10" s="81"/>
      <c r="AF10" s="81"/>
    </row>
    <row r="11" spans="1:34" ht="19.95" customHeight="1">
      <c r="A11" s="92" t="s">
        <v>353</v>
      </c>
      <c r="B11" s="93">
        <f>'应付债券初始计量L4-6'!B9</f>
        <v>0</v>
      </c>
      <c r="C11" s="92" t="s">
        <v>354</v>
      </c>
      <c r="D11" s="93">
        <f>'应付债券初始计量L4-6'!D9</f>
        <v>0</v>
      </c>
      <c r="F11" s="62"/>
      <c r="K11" s="77"/>
      <c r="N11" s="61"/>
      <c r="O11" s="61"/>
      <c r="P11" s="61"/>
      <c r="Q11" s="61"/>
      <c r="R11" s="61"/>
      <c r="S11" s="61"/>
      <c r="V11" s="79"/>
      <c r="W11" s="82"/>
      <c r="X11" s="84"/>
      <c r="Y11" s="82"/>
      <c r="Z11" s="82"/>
      <c r="AA11" s="80"/>
      <c r="AB11" s="80"/>
      <c r="AC11" s="81"/>
      <c r="AD11" s="81"/>
      <c r="AE11" s="81"/>
      <c r="AF11" s="81"/>
    </row>
    <row r="12" spans="1:34" s="91" customFormat="1" ht="28.05" customHeight="1">
      <c r="A12" s="94" t="s">
        <v>355</v>
      </c>
      <c r="B12" s="94" t="s">
        <v>356</v>
      </c>
      <c r="C12" s="94" t="s">
        <v>357</v>
      </c>
      <c r="D12" s="94" t="s">
        <v>358</v>
      </c>
      <c r="E12" s="94" t="s">
        <v>359</v>
      </c>
      <c r="F12" s="94" t="s">
        <v>193</v>
      </c>
      <c r="G12" s="94" t="s">
        <v>192</v>
      </c>
      <c r="H12" s="94" t="s">
        <v>313</v>
      </c>
      <c r="I12" s="94" t="s">
        <v>314</v>
      </c>
      <c r="J12" s="54" t="s">
        <v>315</v>
      </c>
      <c r="K12" s="102" t="s">
        <v>360</v>
      </c>
      <c r="L12" s="102" t="s">
        <v>361</v>
      </c>
      <c r="N12" s="90"/>
      <c r="P12" s="47"/>
      <c r="R12" s="107"/>
      <c r="X12" s="108"/>
      <c r="Y12" s="81"/>
      <c r="Z12" s="110"/>
      <c r="AA12" s="81"/>
      <c r="AB12" s="81"/>
      <c r="AC12" s="111"/>
      <c r="AD12" s="111"/>
      <c r="AE12" s="81"/>
      <c r="AF12" s="81"/>
      <c r="AG12" s="81"/>
      <c r="AH12" s="81"/>
    </row>
    <row r="13" spans="1:34" ht="19.95" customHeight="1">
      <c r="A13" s="95"/>
      <c r="B13" s="96">
        <f>'应付债券初始计量L4-6'!B12</f>
        <v>0</v>
      </c>
      <c r="C13" s="96">
        <f>'应付债券初始计量L4-6'!B14</f>
        <v>0</v>
      </c>
      <c r="D13" s="96">
        <f>'应付债券初始计量L4-6'!B15</f>
        <v>0</v>
      </c>
      <c r="E13" s="97">
        <f>'应付债券初始计量L4-6'!B24</f>
        <v>0</v>
      </c>
      <c r="F13" s="58">
        <f>'应付债券初始计量L4-6'!B16</f>
        <v>0</v>
      </c>
      <c r="G13" s="97">
        <f>'应付债券初始计量L4-6'!B17</f>
        <v>0</v>
      </c>
      <c r="H13" s="58">
        <f>'应付债券初始计量L4-6'!B18</f>
        <v>0</v>
      </c>
      <c r="I13" s="58"/>
      <c r="J13" s="58">
        <f>H13-F13-I13</f>
        <v>0</v>
      </c>
      <c r="K13" s="103">
        <f>'应付债券初始计量L4-6'!B21</f>
        <v>0</v>
      </c>
      <c r="L13" s="103">
        <f>'应付债券初始计量L4-6'!B22</f>
        <v>0</v>
      </c>
      <c r="N13" s="90"/>
      <c r="R13" s="61"/>
      <c r="X13" s="79"/>
      <c r="Y13" s="82"/>
      <c r="Z13" s="84"/>
      <c r="AA13" s="82"/>
      <c r="AB13" s="82"/>
      <c r="AC13" s="80"/>
      <c r="AD13" s="80"/>
      <c r="AE13" s="81"/>
      <c r="AF13" s="81"/>
      <c r="AG13" s="81"/>
      <c r="AH13" s="81"/>
    </row>
    <row r="14" spans="1:34" ht="19.95" customHeight="1">
      <c r="A14" s="66" t="s">
        <v>362</v>
      </c>
      <c r="B14" s="60"/>
      <c r="C14" s="60"/>
      <c r="D14" s="61"/>
      <c r="E14" s="62"/>
      <c r="F14" s="62"/>
      <c r="K14" s="77"/>
      <c r="N14" s="61"/>
      <c r="O14" s="61"/>
      <c r="P14" s="61"/>
      <c r="Q14" s="61"/>
      <c r="R14" s="61"/>
      <c r="S14" s="61"/>
      <c r="V14" s="79"/>
      <c r="W14" s="82"/>
      <c r="X14" s="84"/>
      <c r="Y14" s="82"/>
      <c r="Z14" s="82"/>
      <c r="AA14" s="80"/>
      <c r="AB14" s="80"/>
      <c r="AC14" s="81"/>
      <c r="AD14" s="81"/>
      <c r="AE14" s="81"/>
      <c r="AF14" s="81"/>
    </row>
    <row r="15" spans="1:34" ht="19.95" customHeight="1">
      <c r="A15" s="531" t="s">
        <v>363</v>
      </c>
      <c r="B15" s="531" t="s">
        <v>364</v>
      </c>
      <c r="C15" s="531" t="s">
        <v>388</v>
      </c>
      <c r="D15" s="531"/>
      <c r="E15" s="531"/>
      <c r="F15" s="531"/>
      <c r="G15" s="531"/>
      <c r="H15" s="531"/>
      <c r="I15" s="531"/>
      <c r="J15" s="531"/>
      <c r="K15" s="531"/>
      <c r="L15" s="529" t="s">
        <v>366</v>
      </c>
    </row>
    <row r="16" spans="1:34" s="46" customFormat="1" ht="19.95" customHeight="1">
      <c r="A16" s="531"/>
      <c r="B16" s="531"/>
      <c r="C16" s="54" t="s">
        <v>367</v>
      </c>
      <c r="D16" s="54" t="s">
        <v>368</v>
      </c>
      <c r="E16" s="54" t="s">
        <v>389</v>
      </c>
      <c r="F16" s="54" t="s">
        <v>371</v>
      </c>
      <c r="G16" s="54" t="s">
        <v>390</v>
      </c>
      <c r="H16" s="54" t="s">
        <v>372</v>
      </c>
      <c r="I16" s="54" t="s">
        <v>246</v>
      </c>
      <c r="J16" s="54" t="s">
        <v>373</v>
      </c>
      <c r="K16" s="54" t="s">
        <v>374</v>
      </c>
      <c r="L16" s="530"/>
    </row>
    <row r="17" spans="1:12" s="46" customFormat="1" ht="19.95" customHeight="1">
      <c r="A17" s="53" t="s">
        <v>391</v>
      </c>
      <c r="B17" s="98"/>
      <c r="C17" s="54"/>
      <c r="D17" s="54"/>
      <c r="E17" s="54"/>
      <c r="F17" s="54"/>
      <c r="G17" s="58">
        <f>C18-$F$13</f>
        <v>0</v>
      </c>
      <c r="H17" s="54"/>
      <c r="I17" s="54"/>
      <c r="J17" s="54"/>
      <c r="K17" s="54"/>
      <c r="L17" s="67"/>
    </row>
    <row r="18" spans="1:12" ht="19.95" customHeight="1">
      <c r="A18" s="57" t="s">
        <v>375</v>
      </c>
      <c r="B18" s="99"/>
      <c r="C18" s="58">
        <f>H13-I13</f>
        <v>0</v>
      </c>
      <c r="D18" s="58">
        <f>ROUND(C18*$E$13,2)</f>
        <v>0</v>
      </c>
      <c r="E18" s="58">
        <f>ROUND($F$13*$G$13,2)</f>
        <v>0</v>
      </c>
      <c r="F18" s="58">
        <f>D18-E18</f>
        <v>0</v>
      </c>
      <c r="G18" s="58">
        <f>C19-$F$13</f>
        <v>0</v>
      </c>
      <c r="H18" s="58">
        <f>E18</f>
        <v>0</v>
      </c>
      <c r="I18" s="58">
        <f>C18+D18-H18</f>
        <v>0</v>
      </c>
      <c r="J18" s="88"/>
      <c r="K18" s="58">
        <f>I18-J18</f>
        <v>0</v>
      </c>
      <c r="L18" s="88"/>
    </row>
    <row r="19" spans="1:12" ht="19.95" customHeight="1">
      <c r="A19" s="57" t="s">
        <v>376</v>
      </c>
      <c r="B19" s="95"/>
      <c r="C19" s="58">
        <f>I18</f>
        <v>0</v>
      </c>
      <c r="D19" s="58">
        <f>ROUND(C19*$E$13,2)</f>
        <v>0</v>
      </c>
      <c r="E19" s="58">
        <f>ROUND($F$13*$G$13,2)</f>
        <v>0</v>
      </c>
      <c r="F19" s="58">
        <f>D19-E19</f>
        <v>0</v>
      </c>
      <c r="G19" s="58">
        <f>C20-$F$13</f>
        <v>0</v>
      </c>
      <c r="H19" s="58">
        <f>E19</f>
        <v>0</v>
      </c>
      <c r="I19" s="58">
        <f>C19+D19-H19</f>
        <v>0</v>
      </c>
      <c r="J19" s="88"/>
      <c r="K19" s="58">
        <f t="shared" ref="K19:K20" si="0">I19-J19</f>
        <v>0</v>
      </c>
      <c r="L19" s="88"/>
    </row>
    <row r="20" spans="1:12" ht="19.95" customHeight="1">
      <c r="A20" s="100" t="s">
        <v>377</v>
      </c>
      <c r="B20" s="95"/>
      <c r="C20" s="58">
        <f>I19</f>
        <v>0</v>
      </c>
      <c r="D20" s="58">
        <f>E20+F20</f>
        <v>0</v>
      </c>
      <c r="E20" s="58">
        <f>ROUND($F$13*$G$13,2)</f>
        <v>0</v>
      </c>
      <c r="F20" s="58">
        <f>-G19</f>
        <v>0</v>
      </c>
      <c r="G20" s="58"/>
      <c r="H20" s="58">
        <f>E20</f>
        <v>0</v>
      </c>
      <c r="I20" s="58">
        <f>$F$13</f>
        <v>0</v>
      </c>
      <c r="J20" s="88"/>
      <c r="K20" s="58">
        <f t="shared" si="0"/>
        <v>0</v>
      </c>
      <c r="L20" s="88"/>
    </row>
    <row r="21" spans="1:12" ht="19.95" customHeight="1">
      <c r="A21" s="72" t="s">
        <v>211</v>
      </c>
      <c r="B21" s="73"/>
      <c r="K21" s="61"/>
      <c r="L21" s="61"/>
    </row>
    <row r="22" spans="1:12" ht="19.95" customHeight="1">
      <c r="A22" s="409" t="s">
        <v>488</v>
      </c>
      <c r="B22" s="73"/>
      <c r="K22" s="61"/>
      <c r="L22" s="61"/>
    </row>
    <row r="23" spans="1:12" ht="19.95" customHeight="1">
      <c r="A23" s="66"/>
      <c r="B23" s="101"/>
    </row>
    <row r="24" spans="1:12" ht="19.95" customHeight="1">
      <c r="A24" s="72" t="s">
        <v>212</v>
      </c>
    </row>
    <row r="25" spans="1:12" ht="19.95" customHeight="1">
      <c r="A25" s="72"/>
    </row>
    <row r="26" spans="1:12" ht="19.95" customHeight="1">
      <c r="A26" s="72"/>
    </row>
  </sheetData>
  <mergeCells count="7">
    <mergeCell ref="A1:L1"/>
    <mergeCell ref="A2:L2"/>
    <mergeCell ref="A6:L6"/>
    <mergeCell ref="C15:K15"/>
    <mergeCell ref="A15:A16"/>
    <mergeCell ref="B15:B16"/>
    <mergeCell ref="L15:L16"/>
  </mergeCells>
  <phoneticPr fontId="86" type="noConversion"/>
  <hyperlinks>
    <hyperlink ref="L3" location="底稿目录!A1" display="=底稿目录!F13"/>
  </hyperlinks>
  <pageMargins left="0.70866141732283472" right="0.70866141732283472" top="0.74803149606299213" bottom="0.74803149606299213" header="0.31496062992125984" footer="0.31496062992125984"/>
  <pageSetup paperSize="9" scale="70" orientation="landscape" blackAndWhite="1" horizontalDpi="300" verticalDpi="300"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B38"/>
  <sheetViews>
    <sheetView view="pageBreakPreview" zoomScaleNormal="100" workbookViewId="0">
      <selection sqref="A1:L1"/>
    </sheetView>
  </sheetViews>
  <sheetFormatPr defaultColWidth="8.796875" defaultRowHeight="19.95" customHeight="1"/>
  <cols>
    <col min="1" max="1" width="9.296875" style="47" customWidth="1"/>
    <col min="2" max="2" width="13.296875" style="47" customWidth="1"/>
    <col min="3" max="3" width="16.69921875" style="47" customWidth="1"/>
    <col min="4" max="4" width="18.3984375" style="47" customWidth="1"/>
    <col min="5" max="5" width="17.8984375" style="47" customWidth="1"/>
    <col min="6" max="6" width="16.3984375" style="47" customWidth="1"/>
    <col min="7" max="7" width="15.69921875" style="47" customWidth="1"/>
    <col min="8" max="10" width="12.69921875" style="47" customWidth="1"/>
    <col min="11" max="11" width="16.19921875" style="47" customWidth="1"/>
    <col min="12" max="12" width="8.69921875" style="47" customWidth="1"/>
    <col min="13" max="14" width="12.09765625" style="47" customWidth="1"/>
    <col min="15" max="18" width="8.796875" style="47"/>
    <col min="19" max="19" width="11.69921875" style="47" customWidth="1"/>
    <col min="20" max="16384" width="8.796875" style="47"/>
  </cols>
  <sheetData>
    <row r="1" spans="1:28" s="44" customFormat="1" ht="19.95" customHeight="1">
      <c r="A1" s="474" t="s">
        <v>178</v>
      </c>
      <c r="B1" s="474"/>
      <c r="C1" s="474"/>
      <c r="D1" s="474"/>
      <c r="E1" s="474"/>
      <c r="F1" s="474"/>
      <c r="G1" s="474"/>
      <c r="H1" s="474"/>
      <c r="I1" s="474"/>
      <c r="J1" s="474"/>
      <c r="K1" s="474"/>
      <c r="L1" s="474"/>
      <c r="M1" s="89"/>
      <c r="N1" s="89"/>
    </row>
    <row r="2" spans="1:28" s="44" customFormat="1" ht="19.95" customHeight="1">
      <c r="A2" s="475" t="s">
        <v>26</v>
      </c>
      <c r="B2" s="475"/>
      <c r="C2" s="475"/>
      <c r="D2" s="475"/>
      <c r="E2" s="475"/>
      <c r="F2" s="475"/>
      <c r="G2" s="475"/>
      <c r="H2" s="475"/>
      <c r="I2" s="475"/>
      <c r="J2" s="475"/>
      <c r="K2" s="475"/>
      <c r="L2" s="475"/>
      <c r="M2" s="48"/>
      <c r="N2" s="48"/>
    </row>
    <row r="3" spans="1:28" s="2" customFormat="1" ht="19.95" customHeight="1">
      <c r="A3" s="2" t="str">
        <f>底稿目录!A2</f>
        <v>被审计单位：</v>
      </c>
      <c r="D3" s="2" t="str">
        <f>底稿目录!A4</f>
        <v>编制人：</v>
      </c>
      <c r="H3" s="2" t="str">
        <f>底稿目录!A5</f>
        <v>编制日期：</v>
      </c>
      <c r="K3" s="74" t="s">
        <v>183</v>
      </c>
      <c r="L3" s="390" t="str">
        <f>底稿目录!F14</f>
        <v>L4-8</v>
      </c>
      <c r="M3" s="76"/>
      <c r="P3" s="44"/>
      <c r="Q3" s="44"/>
      <c r="R3" s="44"/>
      <c r="S3" s="44"/>
      <c r="T3" s="44"/>
      <c r="U3" s="44"/>
      <c r="V3" s="44"/>
      <c r="W3" s="44"/>
      <c r="X3" s="44"/>
      <c r="Y3" s="44"/>
      <c r="Z3" s="44"/>
      <c r="AA3" s="44"/>
      <c r="AB3" s="44"/>
    </row>
    <row r="4" spans="1:28" s="2" customFormat="1" ht="19.95" customHeight="1">
      <c r="A4" s="2" t="str">
        <f>底稿目录!A3</f>
        <v>截止日：202X年12月31日</v>
      </c>
      <c r="D4" s="85" t="str">
        <f>底稿目录!A6</f>
        <v>复核人：</v>
      </c>
      <c r="H4" s="23" t="str">
        <f>底稿目录!A7</f>
        <v>复核日期：</v>
      </c>
      <c r="K4" s="74" t="s">
        <v>175</v>
      </c>
      <c r="P4" s="44"/>
      <c r="Q4" s="44"/>
      <c r="R4" s="44"/>
      <c r="S4" s="44"/>
      <c r="T4" s="44"/>
      <c r="U4" s="44"/>
      <c r="V4" s="44"/>
      <c r="W4" s="44"/>
      <c r="X4" s="44"/>
      <c r="Y4" s="44"/>
      <c r="Z4" s="44"/>
      <c r="AA4" s="44"/>
      <c r="AB4" s="44"/>
    </row>
    <row r="5" spans="1:28" s="45" customFormat="1" ht="19.95" customHeight="1">
      <c r="A5" s="50" t="s">
        <v>221</v>
      </c>
      <c r="P5" s="44"/>
      <c r="Q5" s="44"/>
      <c r="R5" s="44"/>
      <c r="S5" s="44"/>
      <c r="T5" s="44"/>
      <c r="U5" s="44"/>
      <c r="V5" s="44"/>
      <c r="W5" s="44"/>
      <c r="X5" s="44"/>
      <c r="Y5" s="44"/>
      <c r="Z5" s="44"/>
      <c r="AA5" s="44"/>
      <c r="AB5" s="44"/>
    </row>
    <row r="6" spans="1:28" s="45" customFormat="1" ht="19.95" customHeight="1">
      <c r="A6" s="521" t="s">
        <v>348</v>
      </c>
      <c r="B6" s="521"/>
      <c r="C6" s="521"/>
      <c r="D6" s="521"/>
      <c r="E6" s="521"/>
      <c r="F6" s="521"/>
      <c r="G6" s="521"/>
      <c r="H6" s="521"/>
      <c r="I6" s="521"/>
      <c r="J6" s="521"/>
      <c r="K6" s="521"/>
      <c r="L6" s="521"/>
      <c r="P6" s="44"/>
      <c r="Q6" s="44"/>
      <c r="R6" s="44"/>
      <c r="S6" s="44"/>
      <c r="T6" s="44"/>
      <c r="U6" s="44"/>
      <c r="V6" s="44"/>
      <c r="W6" s="44"/>
      <c r="X6" s="44"/>
      <c r="Y6" s="44"/>
      <c r="Z6" s="44"/>
      <c r="AA6" s="44"/>
      <c r="AB6" s="44"/>
    </row>
    <row r="7" spans="1:28" s="45" customFormat="1" ht="19.95" customHeight="1">
      <c r="A7" s="51" t="s">
        <v>349</v>
      </c>
      <c r="B7" s="10"/>
      <c r="C7" s="10"/>
      <c r="D7" s="10"/>
      <c r="E7" s="10"/>
      <c r="F7" s="10"/>
      <c r="G7" s="10"/>
      <c r="H7" s="10"/>
      <c r="I7" s="10"/>
      <c r="J7" s="10"/>
      <c r="K7" s="10"/>
      <c r="L7" s="10"/>
      <c r="P7" s="44"/>
      <c r="Q7" s="44"/>
      <c r="R7" s="44"/>
      <c r="S7" s="44"/>
      <c r="T7" s="44"/>
      <c r="U7" s="44"/>
      <c r="V7" s="44"/>
      <c r="W7" s="44"/>
      <c r="X7" s="44"/>
      <c r="Y7" s="44"/>
      <c r="Z7" s="44"/>
      <c r="AA7" s="44"/>
      <c r="AB7" s="44"/>
    </row>
    <row r="8" spans="1:28" s="45" customFormat="1" ht="19.95" customHeight="1">
      <c r="A8" s="51" t="s">
        <v>350</v>
      </c>
      <c r="B8" s="10"/>
      <c r="C8" s="10"/>
      <c r="D8" s="10"/>
      <c r="E8" s="10"/>
      <c r="F8" s="10"/>
      <c r="G8" s="10"/>
      <c r="H8" s="10"/>
      <c r="I8" s="10"/>
      <c r="J8" s="10"/>
      <c r="K8" s="10"/>
      <c r="L8" s="10"/>
      <c r="P8" s="44"/>
      <c r="Q8" s="44"/>
      <c r="R8" s="44"/>
      <c r="S8" s="44"/>
      <c r="T8" s="44"/>
      <c r="U8" s="44"/>
      <c r="V8" s="44"/>
      <c r="W8" s="44"/>
      <c r="X8" s="44"/>
      <c r="Y8" s="44"/>
      <c r="Z8" s="44"/>
      <c r="AA8" s="44"/>
      <c r="AB8" s="44"/>
    </row>
    <row r="9" spans="1:28" s="45" customFormat="1" ht="19.95" customHeight="1">
      <c r="A9" s="50" t="s">
        <v>188</v>
      </c>
      <c r="B9" s="52"/>
      <c r="C9" s="52"/>
      <c r="D9" s="52"/>
      <c r="G9" s="52"/>
      <c r="H9" s="52"/>
      <c r="I9" s="52"/>
      <c r="J9" s="52"/>
      <c r="K9" s="90"/>
      <c r="L9" s="90"/>
      <c r="P9" s="44"/>
      <c r="Q9" s="44"/>
      <c r="R9" s="44"/>
      <c r="S9" s="44"/>
      <c r="T9" s="44"/>
      <c r="U9" s="44"/>
      <c r="V9" s="44"/>
      <c r="W9" s="44"/>
      <c r="X9" s="44"/>
      <c r="Y9" s="44"/>
      <c r="Z9" s="44"/>
      <c r="AA9" s="44"/>
      <c r="AB9" s="44"/>
    </row>
    <row r="10" spans="1:28" s="45" customFormat="1" ht="19.95" customHeight="1">
      <c r="A10" s="50" t="s">
        <v>392</v>
      </c>
      <c r="B10" s="52"/>
      <c r="C10" s="52"/>
      <c r="D10" s="52"/>
      <c r="F10" s="52"/>
      <c r="G10" s="52"/>
      <c r="H10" s="52"/>
      <c r="I10" s="52"/>
      <c r="J10" s="90"/>
      <c r="K10" s="90"/>
      <c r="L10" s="90"/>
      <c r="O10" s="44"/>
      <c r="P10" s="44"/>
      <c r="Q10" s="44"/>
      <c r="R10" s="44"/>
      <c r="S10" s="44"/>
      <c r="T10" s="44"/>
      <c r="U10" s="44"/>
      <c r="V10" s="44"/>
      <c r="W10" s="44"/>
      <c r="X10" s="44"/>
      <c r="Y10" s="44"/>
      <c r="Z10" s="44"/>
      <c r="AA10" s="44"/>
    </row>
    <row r="11" spans="1:28" s="45" customFormat="1" ht="19.95" customHeight="1">
      <c r="A11" s="525" t="s">
        <v>393</v>
      </c>
      <c r="B11" s="525" t="s">
        <v>190</v>
      </c>
      <c r="C11" s="525" t="s">
        <v>394</v>
      </c>
      <c r="D11" s="527" t="s">
        <v>395</v>
      </c>
      <c r="E11" s="540" t="s">
        <v>246</v>
      </c>
      <c r="F11" s="526"/>
      <c r="G11" s="526"/>
      <c r="H11" s="526"/>
      <c r="I11" s="526"/>
      <c r="J11" s="526"/>
      <c r="K11" s="90"/>
      <c r="O11" s="44"/>
      <c r="P11" s="44"/>
      <c r="Q11" s="44"/>
      <c r="R11" s="44"/>
      <c r="S11" s="44"/>
      <c r="T11" s="44"/>
      <c r="U11" s="44"/>
      <c r="V11" s="44"/>
      <c r="W11" s="44"/>
      <c r="X11" s="44"/>
      <c r="Y11" s="44"/>
      <c r="Z11" s="44"/>
      <c r="AA11" s="44"/>
    </row>
    <row r="12" spans="1:28" s="45" customFormat="1" ht="19.95" customHeight="1">
      <c r="A12" s="526"/>
      <c r="B12" s="526"/>
      <c r="C12" s="526"/>
      <c r="D12" s="528"/>
      <c r="E12" s="54" t="s">
        <v>396</v>
      </c>
      <c r="F12" s="54" t="s">
        <v>369</v>
      </c>
      <c r="G12" s="54" t="s">
        <v>397</v>
      </c>
      <c r="H12" s="54" t="s">
        <v>398</v>
      </c>
      <c r="I12" s="54" t="s">
        <v>385</v>
      </c>
      <c r="J12" s="54" t="s">
        <v>399</v>
      </c>
      <c r="K12" s="90"/>
      <c r="O12" s="44"/>
      <c r="P12" s="44"/>
      <c r="Q12" s="44"/>
      <c r="R12" s="44"/>
      <c r="S12" s="44"/>
      <c r="T12" s="44"/>
      <c r="U12" s="44"/>
      <c r="V12" s="44"/>
      <c r="W12" s="44"/>
      <c r="X12" s="44"/>
      <c r="Y12" s="44"/>
      <c r="Z12" s="44"/>
      <c r="AA12" s="44"/>
    </row>
    <row r="13" spans="1:28" s="45" customFormat="1" ht="19.95" customHeight="1">
      <c r="A13" s="410">
        <v>1</v>
      </c>
      <c r="B13" s="55"/>
      <c r="C13" s="86">
        <f>'应付债券后续计量(到期一次还本付息)L4-7'!B18</f>
        <v>0</v>
      </c>
      <c r="D13" s="57" t="str">
        <f>'应付债券后续计量(到期一次还本付息)L4-7'!A18</f>
        <v>第一期</v>
      </c>
      <c r="E13" s="58">
        <f>'应付债券后续计量(到期一次还本付息)L4-7'!K18</f>
        <v>0</v>
      </c>
      <c r="F13" s="58">
        <f>I19</f>
        <v>0</v>
      </c>
      <c r="G13" s="58">
        <f>E13+I19</f>
        <v>0</v>
      </c>
      <c r="H13" s="58">
        <f>'应付债券明细表L4-2'!AH15</f>
        <v>0</v>
      </c>
      <c r="I13" s="58">
        <f>E13-H13</f>
        <v>0</v>
      </c>
      <c r="J13" s="64" t="s">
        <v>400</v>
      </c>
      <c r="K13" s="90"/>
      <c r="O13" s="44"/>
      <c r="P13" s="44"/>
      <c r="Q13" s="44"/>
      <c r="R13" s="44"/>
      <c r="S13" s="44"/>
      <c r="T13" s="44"/>
      <c r="U13" s="44"/>
      <c r="V13" s="44"/>
      <c r="W13" s="44"/>
      <c r="X13" s="44"/>
      <c r="Y13" s="44"/>
      <c r="Z13" s="44"/>
      <c r="AA13" s="44"/>
    </row>
    <row r="14" spans="1:28" s="45" customFormat="1" ht="19.95" customHeight="1">
      <c r="A14" s="410">
        <v>2</v>
      </c>
      <c r="B14" s="55"/>
      <c r="C14" s="86"/>
      <c r="D14" s="57"/>
      <c r="E14" s="58"/>
      <c r="F14" s="58"/>
      <c r="G14" s="58"/>
      <c r="H14" s="58"/>
      <c r="I14" s="58"/>
      <c r="J14" s="64"/>
      <c r="K14" s="90"/>
      <c r="L14" s="90"/>
      <c r="O14" s="44"/>
      <c r="P14" s="44"/>
      <c r="Q14" s="44"/>
      <c r="R14" s="44"/>
      <c r="S14" s="44"/>
      <c r="T14" s="44"/>
      <c r="U14" s="44"/>
      <c r="V14" s="44"/>
      <c r="W14" s="44"/>
      <c r="X14" s="44"/>
      <c r="Y14" s="44"/>
      <c r="Z14" s="44"/>
      <c r="AA14" s="44"/>
    </row>
    <row r="15" spans="1:28" s="45" customFormat="1" ht="19.95" customHeight="1">
      <c r="A15" s="410">
        <v>3</v>
      </c>
      <c r="B15" s="59"/>
      <c r="C15" s="86"/>
      <c r="D15" s="57"/>
      <c r="E15" s="58"/>
      <c r="F15" s="58"/>
      <c r="G15" s="58"/>
      <c r="H15" s="58"/>
      <c r="I15" s="58"/>
      <c r="J15" s="64"/>
      <c r="K15" s="90"/>
      <c r="L15" s="90"/>
      <c r="O15" s="44"/>
      <c r="P15" s="44"/>
      <c r="Q15" s="44"/>
      <c r="R15" s="44"/>
      <c r="S15" s="44"/>
      <c r="T15" s="44"/>
      <c r="U15" s="44"/>
      <c r="V15" s="44"/>
      <c r="W15" s="44"/>
      <c r="X15" s="44"/>
      <c r="Y15" s="44"/>
      <c r="Z15" s="44"/>
      <c r="AA15" s="44"/>
    </row>
    <row r="16" spans="1:28" s="45" customFormat="1" ht="19.95" customHeight="1">
      <c r="A16" s="50" t="s">
        <v>401</v>
      </c>
      <c r="B16" s="52"/>
      <c r="C16" s="52"/>
      <c r="D16" s="52"/>
      <c r="F16" s="52"/>
      <c r="G16" s="52"/>
      <c r="H16" s="52"/>
      <c r="I16" s="52"/>
      <c r="J16" s="90"/>
      <c r="K16" s="90"/>
      <c r="L16" s="90"/>
      <c r="O16" s="44"/>
      <c r="P16" s="44"/>
      <c r="Q16" s="44"/>
      <c r="R16" s="44"/>
      <c r="S16" s="44"/>
      <c r="T16" s="44"/>
      <c r="U16" s="44"/>
      <c r="V16" s="44"/>
      <c r="W16" s="44"/>
      <c r="X16" s="44"/>
      <c r="Y16" s="44"/>
      <c r="Z16" s="44"/>
      <c r="AA16" s="44"/>
    </row>
    <row r="17" spans="1:27" s="45" customFormat="1" ht="19.95" customHeight="1">
      <c r="A17" s="525" t="s">
        <v>393</v>
      </c>
      <c r="B17" s="525" t="s">
        <v>190</v>
      </c>
      <c r="C17" s="522" t="s">
        <v>402</v>
      </c>
      <c r="D17" s="523"/>
      <c r="E17" s="523"/>
      <c r="F17" s="524"/>
      <c r="G17" s="540" t="s">
        <v>369</v>
      </c>
      <c r="H17" s="526"/>
      <c r="I17" s="526"/>
      <c r="J17" s="526"/>
      <c r="K17" s="526"/>
      <c r="L17" s="528"/>
      <c r="O17" s="44"/>
      <c r="P17" s="44"/>
      <c r="Q17" s="44"/>
      <c r="R17" s="44"/>
      <c r="S17" s="44"/>
      <c r="T17" s="44"/>
      <c r="U17" s="44"/>
      <c r="V17" s="44"/>
      <c r="W17" s="44"/>
      <c r="X17" s="44"/>
      <c r="Y17" s="44"/>
      <c r="Z17" s="44"/>
      <c r="AA17" s="44"/>
    </row>
    <row r="18" spans="1:27" s="45" customFormat="1" ht="19.95" customHeight="1">
      <c r="A18" s="526"/>
      <c r="B18" s="526"/>
      <c r="C18" s="54" t="s">
        <v>396</v>
      </c>
      <c r="D18" s="54" t="s">
        <v>398</v>
      </c>
      <c r="E18" s="54" t="s">
        <v>385</v>
      </c>
      <c r="F18" s="54" t="s">
        <v>399</v>
      </c>
      <c r="G18" s="54" t="s">
        <v>403</v>
      </c>
      <c r="H18" s="54" t="s">
        <v>383</v>
      </c>
      <c r="I18" s="54" t="s">
        <v>369</v>
      </c>
      <c r="J18" s="54" t="s">
        <v>398</v>
      </c>
      <c r="K18" s="54" t="s">
        <v>385</v>
      </c>
      <c r="L18" s="54" t="s">
        <v>399</v>
      </c>
      <c r="O18" s="44"/>
      <c r="P18" s="44"/>
      <c r="Q18" s="44"/>
      <c r="R18" s="44"/>
      <c r="S18" s="44"/>
      <c r="T18" s="44"/>
      <c r="U18" s="44"/>
      <c r="V18" s="44"/>
      <c r="W18" s="44"/>
      <c r="X18" s="44"/>
      <c r="Y18" s="44"/>
      <c r="Z18" s="44"/>
      <c r="AA18" s="44"/>
    </row>
    <row r="19" spans="1:27" s="45" customFormat="1" ht="19.95" customHeight="1">
      <c r="A19" s="410">
        <v>1</v>
      </c>
      <c r="B19" s="63">
        <f>B13</f>
        <v>0</v>
      </c>
      <c r="C19" s="58">
        <f>'应付债券后续计量(到期一次还本付息)L4-7'!F18</f>
        <v>0</v>
      </c>
      <c r="D19" s="58">
        <f>'应付债券明细表L4-2'!AF15</f>
        <v>0</v>
      </c>
      <c r="E19" s="58">
        <f>C19-D19</f>
        <v>0</v>
      </c>
      <c r="F19" s="64"/>
      <c r="G19" s="87" t="s">
        <v>308</v>
      </c>
      <c r="H19" s="58">
        <f>IFERROR(IF(DATEDIF('应付债券后续计量(到期一次还本付息)L4-7'!K13,MIN('应付债券后续计量(到期一次还本付息)L4-7'!L13,'应付债券后续计量(到期一次还本付息)L4-7'!D11),"d"),DATEDIF('应付债券后续计量(到期一次还本付息)L4-7'!K13,MIN('应付债券后续计量(到期一次还本付息)L4-7'!L13,'应付债券后续计量(到期一次还本付息)L4-7'!D11),"d")+1,0),0)</f>
        <v>0</v>
      </c>
      <c r="I19" s="58">
        <f>ROUND('应付债券后续计量(到期一次还本付息)L4-7'!$F$13*'应付债券后续计量(到期一次还本付息)L4-7'!$G$13/365*H19,2)</f>
        <v>0</v>
      </c>
      <c r="J19" s="58">
        <f>'应付债券明细表L4-2'!AG15</f>
        <v>0</v>
      </c>
      <c r="K19" s="58">
        <f>F13-J19</f>
        <v>0</v>
      </c>
      <c r="L19" s="64" t="s">
        <v>400</v>
      </c>
      <c r="O19" s="44"/>
      <c r="P19" s="44"/>
      <c r="Q19" s="44"/>
      <c r="R19" s="44"/>
      <c r="S19" s="44"/>
      <c r="T19" s="44"/>
      <c r="U19" s="44"/>
      <c r="V19" s="44"/>
      <c r="W19" s="44"/>
      <c r="X19" s="44"/>
      <c r="Y19" s="44"/>
      <c r="Z19" s="44"/>
      <c r="AA19" s="44"/>
    </row>
    <row r="20" spans="1:27" s="45" customFormat="1" ht="19.95" customHeight="1">
      <c r="A20" s="410">
        <v>2</v>
      </c>
      <c r="B20" s="63">
        <f>B14</f>
        <v>0</v>
      </c>
      <c r="C20" s="58"/>
      <c r="D20" s="58"/>
      <c r="E20" s="58"/>
      <c r="F20" s="64"/>
      <c r="G20" s="87"/>
      <c r="H20" s="58"/>
      <c r="I20" s="58"/>
      <c r="J20" s="58"/>
      <c r="K20" s="58"/>
      <c r="L20" s="64"/>
      <c r="O20" s="44"/>
      <c r="P20" s="44"/>
      <c r="Q20" s="44"/>
      <c r="R20" s="44"/>
      <c r="S20" s="44"/>
      <c r="T20" s="44"/>
      <c r="U20" s="44"/>
      <c r="V20" s="44"/>
      <c r="W20" s="44"/>
      <c r="X20" s="44"/>
      <c r="Y20" s="44"/>
      <c r="Z20" s="44"/>
      <c r="AA20" s="44"/>
    </row>
    <row r="21" spans="1:27" s="45" customFormat="1" ht="19.95" customHeight="1">
      <c r="A21" s="410">
        <v>3</v>
      </c>
      <c r="B21" s="63">
        <f>B15</f>
        <v>0</v>
      </c>
      <c r="C21" s="58"/>
      <c r="D21" s="58"/>
      <c r="E21" s="58"/>
      <c r="F21" s="64"/>
      <c r="G21" s="87"/>
      <c r="H21" s="58"/>
      <c r="I21" s="58"/>
      <c r="J21" s="58"/>
      <c r="K21" s="58"/>
      <c r="L21" s="64"/>
      <c r="O21" s="44"/>
      <c r="P21" s="44"/>
      <c r="Q21" s="44"/>
      <c r="R21" s="44"/>
      <c r="S21" s="44"/>
      <c r="T21" s="44"/>
      <c r="U21" s="44"/>
      <c r="V21" s="44"/>
      <c r="W21" s="44"/>
      <c r="X21" s="44"/>
      <c r="Y21" s="44"/>
      <c r="Z21" s="44"/>
      <c r="AA21" s="44"/>
    </row>
    <row r="22" spans="1:27" s="45" customFormat="1" ht="19.95" customHeight="1">
      <c r="A22" s="66" t="s">
        <v>404</v>
      </c>
      <c r="B22" s="52"/>
      <c r="C22" s="52"/>
      <c r="D22" s="52"/>
      <c r="F22" s="52"/>
      <c r="G22" s="52"/>
      <c r="H22" s="52"/>
      <c r="I22" s="52"/>
      <c r="J22" s="90"/>
      <c r="K22" s="90"/>
      <c r="L22" s="90"/>
      <c r="O22" s="44"/>
      <c r="P22" s="44"/>
      <c r="Q22" s="44"/>
      <c r="R22" s="44"/>
      <c r="S22" s="44"/>
      <c r="T22" s="44"/>
      <c r="U22" s="44"/>
      <c r="V22" s="44"/>
      <c r="W22" s="44"/>
      <c r="X22" s="44"/>
      <c r="Y22" s="44"/>
      <c r="Z22" s="44"/>
      <c r="AA22" s="44"/>
    </row>
    <row r="23" spans="1:27" s="45" customFormat="1" ht="19.95" customHeight="1">
      <c r="A23" s="525" t="s">
        <v>393</v>
      </c>
      <c r="B23" s="525" t="s">
        <v>190</v>
      </c>
      <c r="C23" s="529" t="s">
        <v>405</v>
      </c>
      <c r="D23" s="538" t="s">
        <v>371</v>
      </c>
      <c r="E23" s="535" t="s">
        <v>406</v>
      </c>
      <c r="F23" s="536"/>
      <c r="G23" s="536"/>
      <c r="H23" s="536"/>
      <c r="I23" s="537"/>
      <c r="J23" s="529" t="s">
        <v>385</v>
      </c>
      <c r="K23" s="90"/>
      <c r="L23" s="90"/>
      <c r="O23" s="44"/>
      <c r="P23" s="44"/>
      <c r="Q23" s="44"/>
      <c r="R23" s="44"/>
      <c r="S23" s="44"/>
      <c r="T23" s="44"/>
      <c r="U23" s="44"/>
      <c r="V23" s="44"/>
      <c r="W23" s="44"/>
      <c r="X23" s="44"/>
      <c r="Y23" s="44"/>
      <c r="Z23" s="44"/>
      <c r="AA23" s="44"/>
    </row>
    <row r="24" spans="1:27" s="45" customFormat="1" ht="19.95" customHeight="1">
      <c r="A24" s="526"/>
      <c r="B24" s="526"/>
      <c r="C24" s="530"/>
      <c r="D24" s="539"/>
      <c r="E24" s="68" t="s">
        <v>407</v>
      </c>
      <c r="F24" s="68" t="s">
        <v>408</v>
      </c>
      <c r="G24" s="68" t="s">
        <v>409</v>
      </c>
      <c r="H24" s="68" t="s">
        <v>410</v>
      </c>
      <c r="I24" s="68" t="s">
        <v>210</v>
      </c>
      <c r="J24" s="530"/>
      <c r="K24" s="90"/>
      <c r="L24" s="90"/>
      <c r="O24" s="44"/>
      <c r="P24" s="44"/>
      <c r="Q24" s="44"/>
      <c r="R24" s="44"/>
      <c r="S24" s="44"/>
      <c r="T24" s="44"/>
      <c r="U24" s="44"/>
      <c r="V24" s="44"/>
      <c r="W24" s="44"/>
      <c r="X24" s="44"/>
      <c r="Y24" s="44"/>
      <c r="Z24" s="44"/>
      <c r="AA24" s="44"/>
    </row>
    <row r="25" spans="1:27" s="45" customFormat="1" ht="19.95" customHeight="1">
      <c r="A25" s="532"/>
      <c r="B25" s="532"/>
      <c r="C25" s="69" t="s">
        <v>375</v>
      </c>
      <c r="D25" s="78">
        <f>'应付债券后续计量(到期一次还本付息)L4-7'!G18</f>
        <v>0</v>
      </c>
      <c r="E25" s="88"/>
      <c r="F25" s="88"/>
      <c r="G25" s="88"/>
      <c r="H25" s="88"/>
      <c r="I25" s="78">
        <f>SUM(E25:H25)</f>
        <v>0</v>
      </c>
      <c r="J25" s="78">
        <f>D25-I25</f>
        <v>0</v>
      </c>
      <c r="K25" s="90"/>
      <c r="L25" s="90"/>
      <c r="O25" s="44"/>
      <c r="P25" s="44"/>
      <c r="Q25" s="44"/>
      <c r="R25" s="44"/>
      <c r="S25" s="44"/>
      <c r="T25" s="44"/>
      <c r="U25" s="44"/>
      <c r="V25" s="44"/>
      <c r="W25" s="44"/>
      <c r="X25" s="44"/>
      <c r="Y25" s="44"/>
      <c r="Z25" s="44"/>
      <c r="AA25" s="44"/>
    </row>
    <row r="26" spans="1:27" s="45" customFormat="1" ht="19.95" customHeight="1">
      <c r="A26" s="533"/>
      <c r="B26" s="533"/>
      <c r="C26" s="69" t="s">
        <v>376</v>
      </c>
      <c r="D26" s="78">
        <f>'应付债券后续计量(到期一次还本付息)L4-7'!G19</f>
        <v>0</v>
      </c>
      <c r="E26" s="88"/>
      <c r="F26" s="88"/>
      <c r="G26" s="88"/>
      <c r="H26" s="88"/>
      <c r="I26" s="78">
        <f>SUM(E26:H26)</f>
        <v>0</v>
      </c>
      <c r="J26" s="78">
        <f t="shared" ref="J26:J27" si="0">D26-I26</f>
        <v>0</v>
      </c>
      <c r="K26" s="90"/>
      <c r="L26" s="90"/>
      <c r="O26" s="44"/>
      <c r="P26" s="44"/>
      <c r="Q26" s="44"/>
      <c r="R26" s="44"/>
      <c r="S26" s="44"/>
      <c r="T26" s="44"/>
      <c r="U26" s="44"/>
      <c r="V26" s="44"/>
      <c r="W26" s="44"/>
      <c r="X26" s="44"/>
      <c r="Y26" s="44"/>
      <c r="Z26" s="44"/>
      <c r="AA26" s="44"/>
    </row>
    <row r="27" spans="1:27" s="45" customFormat="1" ht="19.95" customHeight="1">
      <c r="A27" s="534"/>
      <c r="B27" s="534"/>
      <c r="C27" s="69" t="s">
        <v>377</v>
      </c>
      <c r="D27" s="78">
        <f>'应付债券后续计量(到期一次还本付息)L4-7'!G20</f>
        <v>0</v>
      </c>
      <c r="E27" s="88"/>
      <c r="F27" s="88"/>
      <c r="G27" s="88"/>
      <c r="H27" s="88"/>
      <c r="I27" s="78">
        <f>SUM(E27:H27)</f>
        <v>0</v>
      </c>
      <c r="J27" s="78">
        <f t="shared" si="0"/>
        <v>0</v>
      </c>
      <c r="K27" s="90"/>
      <c r="L27" s="90"/>
      <c r="O27" s="44"/>
      <c r="P27" s="44"/>
      <c r="Q27" s="44"/>
      <c r="R27" s="44"/>
      <c r="S27" s="44"/>
      <c r="T27" s="44"/>
      <c r="U27" s="44"/>
      <c r="V27" s="44"/>
      <c r="W27" s="44"/>
      <c r="X27" s="44"/>
      <c r="Y27" s="44"/>
      <c r="Z27" s="44"/>
      <c r="AA27" s="44"/>
    </row>
    <row r="28" spans="1:27" s="45" customFormat="1" ht="19.95" customHeight="1">
      <c r="A28" s="50"/>
      <c r="B28" s="52"/>
      <c r="C28" s="52"/>
      <c r="D28" s="52"/>
      <c r="F28" s="52"/>
      <c r="G28" s="52"/>
      <c r="H28" s="52"/>
      <c r="I28" s="52"/>
      <c r="J28" s="90"/>
      <c r="K28" s="90"/>
      <c r="L28" s="90"/>
      <c r="O28" s="44"/>
      <c r="P28" s="44"/>
      <c r="Q28" s="44"/>
      <c r="R28" s="44"/>
      <c r="S28" s="44"/>
      <c r="T28" s="44"/>
      <c r="U28" s="44"/>
      <c r="V28" s="44"/>
      <c r="W28" s="44"/>
      <c r="X28" s="44"/>
      <c r="Y28" s="44"/>
      <c r="Z28" s="44"/>
      <c r="AA28" s="44"/>
    </row>
    <row r="29" spans="1:27" s="45" customFormat="1" ht="19.95" customHeight="1">
      <c r="A29" s="525" t="s">
        <v>393</v>
      </c>
      <c r="B29" s="525" t="s">
        <v>190</v>
      </c>
      <c r="C29" s="529" t="s">
        <v>405</v>
      </c>
      <c r="D29" s="538" t="s">
        <v>371</v>
      </c>
      <c r="E29" s="535" t="s">
        <v>406</v>
      </c>
      <c r="F29" s="536"/>
      <c r="G29" s="536"/>
      <c r="H29" s="536"/>
      <c r="I29" s="537"/>
      <c r="J29" s="529" t="s">
        <v>385</v>
      </c>
      <c r="K29" s="90"/>
      <c r="L29" s="90"/>
      <c r="O29" s="44"/>
      <c r="P29" s="44"/>
      <c r="Q29" s="44"/>
      <c r="R29" s="44"/>
      <c r="S29" s="44"/>
      <c r="T29" s="44"/>
      <c r="U29" s="44"/>
      <c r="V29" s="44"/>
      <c r="W29" s="44"/>
      <c r="X29" s="44"/>
      <c r="Y29" s="44"/>
      <c r="Z29" s="44"/>
      <c r="AA29" s="44"/>
    </row>
    <row r="30" spans="1:27" s="45" customFormat="1" ht="19.95" customHeight="1">
      <c r="A30" s="526"/>
      <c r="B30" s="526"/>
      <c r="C30" s="530"/>
      <c r="D30" s="539"/>
      <c r="E30" s="68" t="s">
        <v>407</v>
      </c>
      <c r="F30" s="68" t="s">
        <v>408</v>
      </c>
      <c r="G30" s="68" t="s">
        <v>409</v>
      </c>
      <c r="H30" s="68" t="s">
        <v>410</v>
      </c>
      <c r="I30" s="68" t="s">
        <v>210</v>
      </c>
      <c r="J30" s="530"/>
      <c r="K30" s="90"/>
      <c r="L30" s="90"/>
      <c r="O30" s="44"/>
      <c r="P30" s="44"/>
      <c r="Q30" s="44"/>
      <c r="R30" s="44"/>
      <c r="S30" s="44"/>
      <c r="T30" s="44"/>
      <c r="U30" s="44"/>
      <c r="V30" s="44"/>
      <c r="W30" s="44"/>
      <c r="X30" s="44"/>
      <c r="Y30" s="44"/>
      <c r="Z30" s="44"/>
      <c r="AA30" s="44"/>
    </row>
    <row r="31" spans="1:27" s="45" customFormat="1" ht="19.95" customHeight="1">
      <c r="A31" s="532"/>
      <c r="B31" s="532"/>
      <c r="C31" s="69" t="s">
        <v>375</v>
      </c>
      <c r="D31" s="78"/>
      <c r="E31" s="88"/>
      <c r="F31" s="88"/>
      <c r="G31" s="88"/>
      <c r="H31" s="88"/>
      <c r="I31" s="78">
        <f>SUM(E31:H31)</f>
        <v>0</v>
      </c>
      <c r="J31" s="78">
        <f t="shared" ref="J31:J33" si="1">D31-I31</f>
        <v>0</v>
      </c>
      <c r="K31" s="90"/>
      <c r="L31" s="90"/>
      <c r="O31" s="44"/>
      <c r="P31" s="44"/>
      <c r="Q31" s="44"/>
      <c r="R31" s="44"/>
      <c r="S31" s="44"/>
      <c r="T31" s="44"/>
      <c r="U31" s="44"/>
      <c r="V31" s="44"/>
      <c r="W31" s="44"/>
      <c r="X31" s="44"/>
      <c r="Y31" s="44"/>
      <c r="Z31" s="44"/>
      <c r="AA31" s="44"/>
    </row>
    <row r="32" spans="1:27" s="45" customFormat="1" ht="19.95" customHeight="1">
      <c r="A32" s="533"/>
      <c r="B32" s="533"/>
      <c r="C32" s="69" t="s">
        <v>376</v>
      </c>
      <c r="D32" s="78"/>
      <c r="E32" s="88"/>
      <c r="F32" s="88"/>
      <c r="G32" s="88"/>
      <c r="H32" s="88"/>
      <c r="I32" s="78">
        <f>SUM(E32:H32)</f>
        <v>0</v>
      </c>
      <c r="J32" s="78">
        <f t="shared" si="1"/>
        <v>0</v>
      </c>
      <c r="K32" s="90"/>
      <c r="L32" s="90"/>
      <c r="O32" s="44"/>
      <c r="P32" s="44"/>
      <c r="Q32" s="44"/>
      <c r="R32" s="44"/>
      <c r="S32" s="44"/>
      <c r="T32" s="44"/>
      <c r="U32" s="44"/>
      <c r="V32" s="44"/>
      <c r="W32" s="44"/>
      <c r="X32" s="44"/>
      <c r="Y32" s="44"/>
      <c r="Z32" s="44"/>
      <c r="AA32" s="44"/>
    </row>
    <row r="33" spans="1:27" s="45" customFormat="1" ht="19.95" customHeight="1">
      <c r="A33" s="534"/>
      <c r="B33" s="534"/>
      <c r="C33" s="69" t="s">
        <v>377</v>
      </c>
      <c r="D33" s="78"/>
      <c r="E33" s="88"/>
      <c r="F33" s="88"/>
      <c r="G33" s="88"/>
      <c r="H33" s="88"/>
      <c r="I33" s="78">
        <f>SUM(E33:H33)</f>
        <v>0</v>
      </c>
      <c r="J33" s="78">
        <f t="shared" si="1"/>
        <v>0</v>
      </c>
      <c r="K33" s="90"/>
      <c r="L33" s="90"/>
      <c r="O33" s="44"/>
      <c r="P33" s="44"/>
      <c r="Q33" s="44"/>
      <c r="R33" s="44"/>
      <c r="S33" s="44"/>
      <c r="T33" s="44"/>
      <c r="U33" s="44"/>
      <c r="V33" s="44"/>
      <c r="W33" s="44"/>
      <c r="X33" s="44"/>
      <c r="Y33" s="44"/>
      <c r="Z33" s="44"/>
      <c r="AA33" s="44"/>
    </row>
    <row r="34" spans="1:27" ht="19.95" customHeight="1">
      <c r="A34" s="72" t="s">
        <v>211</v>
      </c>
      <c r="B34" s="73"/>
      <c r="K34" s="61"/>
      <c r="L34" s="61"/>
    </row>
    <row r="35" spans="1:27" ht="19.95" customHeight="1">
      <c r="A35" s="66"/>
      <c r="B35" s="60"/>
    </row>
    <row r="36" spans="1:27" ht="19.95" customHeight="1">
      <c r="A36" s="72" t="s">
        <v>212</v>
      </c>
    </row>
    <row r="37" spans="1:27" ht="19.95" customHeight="1">
      <c r="A37" s="72"/>
    </row>
    <row r="38" spans="1:27" ht="19.95" customHeight="1">
      <c r="A38" s="72"/>
    </row>
  </sheetData>
  <mergeCells count="28">
    <mergeCell ref="A1:L1"/>
    <mergeCell ref="A2:L2"/>
    <mergeCell ref="A6:L6"/>
    <mergeCell ref="E11:J11"/>
    <mergeCell ref="C17:F17"/>
    <mergeCell ref="G17:L17"/>
    <mergeCell ref="C11:C12"/>
    <mergeCell ref="C23:C24"/>
    <mergeCell ref="C29:C30"/>
    <mergeCell ref="D11:D12"/>
    <mergeCell ref="D23:D24"/>
    <mergeCell ref="D29:D30"/>
    <mergeCell ref="J23:J24"/>
    <mergeCell ref="J29:J30"/>
    <mergeCell ref="A31:A33"/>
    <mergeCell ref="B11:B12"/>
    <mergeCell ref="B17:B18"/>
    <mergeCell ref="B23:B24"/>
    <mergeCell ref="B25:B27"/>
    <mergeCell ref="B29:B30"/>
    <mergeCell ref="B31:B33"/>
    <mergeCell ref="E23:I23"/>
    <mergeCell ref="E29:I29"/>
    <mergeCell ref="A11:A12"/>
    <mergeCell ref="A17:A18"/>
    <mergeCell ref="A23:A24"/>
    <mergeCell ref="A25:A27"/>
    <mergeCell ref="A29:A30"/>
  </mergeCells>
  <phoneticPr fontId="86" type="noConversion"/>
  <dataValidations count="1">
    <dataValidation type="list" allowBlank="1" showInputMessage="1" showErrorMessage="1" sqref="J13 F19 L19">
      <formula1>"是,否"</formula1>
    </dataValidation>
  </dataValidations>
  <hyperlinks>
    <hyperlink ref="L3" location="底稿目录!A1" display="=底稿目录!F14"/>
  </hyperlinks>
  <pageMargins left="0.70866141732283505" right="0.70866141732283505" top="0.74803149606299202" bottom="0.74803149606299202" header="0.31496062992126" footer="0.31496062992126"/>
  <pageSetup paperSize="9" scale="70" orientation="landscape" blackAndWhite="1" horizontalDpi="300" verticalDpi="300"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K38"/>
  <sheetViews>
    <sheetView view="pageBreakPreview" zoomScaleNormal="100" workbookViewId="0">
      <selection sqref="A1:L1"/>
    </sheetView>
  </sheetViews>
  <sheetFormatPr defaultColWidth="8.796875" defaultRowHeight="19.95" customHeight="1"/>
  <cols>
    <col min="1" max="1" width="14.09765625" style="47" customWidth="1"/>
    <col min="2" max="2" width="13.296875" style="47" customWidth="1"/>
    <col min="3" max="3" width="11.69921875" style="47" customWidth="1"/>
    <col min="4" max="4" width="11.8984375" style="47" customWidth="1"/>
    <col min="5" max="5" width="12.69921875" style="47" customWidth="1"/>
    <col min="6" max="6" width="16.3984375" style="47" customWidth="1"/>
    <col min="7" max="7" width="14.296875" style="47" customWidth="1"/>
    <col min="8" max="11" width="12.69921875" style="47" customWidth="1"/>
    <col min="12" max="12" width="8.5" style="47" customWidth="1"/>
    <col min="13" max="13" width="16.19921875" style="47" customWidth="1"/>
    <col min="14" max="14" width="13.8984375" style="47" customWidth="1"/>
    <col min="15" max="15" width="15.19921875" style="47" customWidth="1"/>
    <col min="16" max="16" width="12.09765625" style="47" customWidth="1"/>
    <col min="17" max="17" width="14.796875" style="47" customWidth="1"/>
    <col min="18" max="23" width="12.09765625" style="47" customWidth="1"/>
    <col min="24" max="16384" width="8.796875" style="47"/>
  </cols>
  <sheetData>
    <row r="1" spans="1:37" s="44" customFormat="1" ht="19.95" customHeight="1">
      <c r="A1" s="474" t="s">
        <v>178</v>
      </c>
      <c r="B1" s="474"/>
      <c r="C1" s="474"/>
      <c r="D1" s="474"/>
      <c r="E1" s="474"/>
      <c r="F1" s="474"/>
      <c r="G1" s="474"/>
      <c r="H1" s="474"/>
      <c r="I1" s="474"/>
      <c r="J1" s="474"/>
      <c r="K1" s="474"/>
      <c r="L1" s="474"/>
      <c r="R1" s="47"/>
      <c r="T1" s="48"/>
      <c r="V1" s="48"/>
      <c r="W1" s="48"/>
    </row>
    <row r="2" spans="1:37" s="44" customFormat="1" ht="19.95" customHeight="1">
      <c r="A2" s="474" t="s">
        <v>28</v>
      </c>
      <c r="B2" s="474"/>
      <c r="C2" s="474"/>
      <c r="D2" s="474"/>
      <c r="E2" s="474"/>
      <c r="F2" s="474"/>
      <c r="G2" s="474"/>
      <c r="H2" s="474"/>
      <c r="I2" s="474"/>
      <c r="J2" s="474"/>
      <c r="K2" s="474"/>
      <c r="L2" s="474"/>
      <c r="R2" s="47"/>
      <c r="T2" s="48"/>
      <c r="V2" s="48"/>
      <c r="W2" s="48"/>
    </row>
    <row r="3" spans="1:37" s="2" customFormat="1" ht="19.95" customHeight="1">
      <c r="A3" s="2" t="str">
        <f>底稿目录!A2</f>
        <v>被审计单位：</v>
      </c>
      <c r="D3" s="6" t="str">
        <f>底稿目录!A4</f>
        <v>编制人：</v>
      </c>
      <c r="G3" s="2" t="str">
        <f>底稿目录!A5</f>
        <v>编制日期：</v>
      </c>
      <c r="K3" s="74" t="s">
        <v>183</v>
      </c>
      <c r="L3" s="390" t="str">
        <f>底稿目录!F15</f>
        <v>L4-8</v>
      </c>
      <c r="M3" s="76"/>
      <c r="R3" s="47"/>
      <c r="Y3" s="44"/>
      <c r="Z3" s="44"/>
      <c r="AA3" s="44"/>
      <c r="AB3" s="44"/>
      <c r="AC3" s="44"/>
      <c r="AD3" s="44"/>
      <c r="AE3" s="44"/>
      <c r="AF3" s="44"/>
      <c r="AG3" s="44"/>
      <c r="AH3" s="44"/>
      <c r="AI3" s="44"/>
      <c r="AJ3" s="44"/>
      <c r="AK3" s="44"/>
    </row>
    <row r="4" spans="1:37" s="2" customFormat="1" ht="19.95" customHeight="1">
      <c r="A4" s="2" t="str">
        <f>底稿目录!A3</f>
        <v>截止日：202X年12月31日</v>
      </c>
      <c r="D4" s="49" t="str">
        <f>底稿目录!A6</f>
        <v>复核人：</v>
      </c>
      <c r="G4" s="23" t="str">
        <f>底稿目录!A7</f>
        <v>复核日期：</v>
      </c>
      <c r="K4" s="74" t="s">
        <v>175</v>
      </c>
      <c r="R4" s="47"/>
      <c r="Y4" s="44"/>
      <c r="Z4" s="44"/>
      <c r="AA4" s="44"/>
      <c r="AB4" s="44"/>
      <c r="AC4" s="44"/>
      <c r="AD4" s="44"/>
      <c r="AE4" s="44"/>
      <c r="AF4" s="44"/>
      <c r="AG4" s="44"/>
      <c r="AH4" s="44"/>
      <c r="AI4" s="44"/>
      <c r="AJ4" s="44"/>
      <c r="AK4" s="44"/>
    </row>
    <row r="5" spans="1:37" s="45" customFormat="1" ht="19.95" customHeight="1">
      <c r="A5" s="50" t="s">
        <v>221</v>
      </c>
      <c r="M5" s="11"/>
      <c r="R5" s="47"/>
      <c r="T5" s="74"/>
      <c r="Y5" s="44"/>
      <c r="Z5" s="44"/>
      <c r="AA5" s="44"/>
      <c r="AB5" s="44"/>
      <c r="AC5" s="44"/>
      <c r="AD5" s="44"/>
      <c r="AE5" s="44"/>
      <c r="AF5" s="44"/>
      <c r="AG5" s="44"/>
      <c r="AH5" s="44"/>
      <c r="AI5" s="44"/>
      <c r="AJ5" s="44"/>
      <c r="AK5" s="44"/>
    </row>
    <row r="6" spans="1:37" s="45" customFormat="1" ht="19.95" customHeight="1">
      <c r="A6" s="521" t="s">
        <v>348</v>
      </c>
      <c r="B6" s="521"/>
      <c r="C6" s="521"/>
      <c r="D6" s="521"/>
      <c r="E6" s="521"/>
      <c r="F6" s="521"/>
      <c r="G6" s="521"/>
      <c r="H6" s="521"/>
      <c r="I6" s="521"/>
      <c r="J6" s="521"/>
      <c r="K6" s="521"/>
      <c r="L6" s="521"/>
      <c r="M6" s="11"/>
      <c r="R6" s="47"/>
      <c r="T6" s="74"/>
      <c r="Y6" s="44"/>
      <c r="Z6" s="44"/>
      <c r="AA6" s="44"/>
      <c r="AB6" s="44"/>
      <c r="AC6" s="44"/>
      <c r="AD6" s="44"/>
      <c r="AE6" s="44"/>
      <c r="AF6" s="44"/>
      <c r="AG6" s="44"/>
      <c r="AH6" s="44"/>
      <c r="AI6" s="44"/>
      <c r="AJ6" s="44"/>
      <c r="AK6" s="44"/>
    </row>
    <row r="7" spans="1:37" s="45" customFormat="1" ht="19.95" customHeight="1">
      <c r="A7" s="51" t="s">
        <v>349</v>
      </c>
      <c r="B7" s="10"/>
      <c r="C7" s="10"/>
      <c r="D7" s="10"/>
      <c r="E7" s="10"/>
      <c r="F7" s="10"/>
      <c r="G7" s="10"/>
      <c r="H7" s="10"/>
      <c r="I7" s="10"/>
      <c r="J7" s="10"/>
      <c r="K7" s="10"/>
      <c r="L7" s="10"/>
      <c r="M7" s="11"/>
      <c r="R7" s="47"/>
      <c r="T7" s="74"/>
      <c r="Y7" s="44"/>
      <c r="Z7" s="44"/>
      <c r="AA7" s="44"/>
      <c r="AB7" s="44"/>
      <c r="AC7" s="44"/>
      <c r="AD7" s="44"/>
      <c r="AE7" s="44"/>
      <c r="AF7" s="44"/>
      <c r="AG7" s="44"/>
      <c r="AH7" s="44"/>
      <c r="AI7" s="44"/>
      <c r="AJ7" s="44"/>
      <c r="AK7" s="44"/>
    </row>
    <row r="8" spans="1:37" s="45" customFormat="1" ht="19.95" customHeight="1">
      <c r="A8" s="51" t="s">
        <v>350</v>
      </c>
      <c r="B8" s="10"/>
      <c r="C8" s="10"/>
      <c r="D8" s="10"/>
      <c r="E8" s="10"/>
      <c r="F8" s="10"/>
      <c r="G8" s="10"/>
      <c r="H8" s="10"/>
      <c r="I8" s="10"/>
      <c r="J8" s="10"/>
      <c r="K8" s="10"/>
      <c r="L8" s="10"/>
      <c r="M8" s="11"/>
      <c r="R8" s="47"/>
      <c r="T8" s="74"/>
      <c r="Y8" s="44"/>
      <c r="Z8" s="44"/>
      <c r="AA8" s="44"/>
      <c r="AB8" s="44"/>
      <c r="AC8" s="44"/>
      <c r="AD8" s="44"/>
      <c r="AE8" s="44"/>
      <c r="AF8" s="44"/>
      <c r="AG8" s="44"/>
      <c r="AH8" s="44"/>
      <c r="AI8" s="44"/>
      <c r="AJ8" s="44"/>
      <c r="AK8" s="44"/>
    </row>
    <row r="9" spans="1:37" s="45" customFormat="1" ht="19.95" customHeight="1">
      <c r="A9" s="50" t="s">
        <v>188</v>
      </c>
      <c r="B9" s="52"/>
      <c r="C9" s="52"/>
      <c r="D9" s="52"/>
      <c r="G9" s="52"/>
      <c r="H9" s="52"/>
      <c r="I9" s="52"/>
      <c r="J9" s="52"/>
      <c r="K9" s="52"/>
      <c r="L9" s="52"/>
      <c r="Y9" s="44"/>
      <c r="Z9" s="44"/>
      <c r="AA9" s="44"/>
      <c r="AB9" s="44"/>
      <c r="AC9" s="44"/>
      <c r="AD9" s="44"/>
      <c r="AE9" s="44"/>
      <c r="AF9" s="44"/>
      <c r="AG9" s="44"/>
      <c r="AH9" s="44"/>
      <c r="AI9" s="44"/>
      <c r="AJ9" s="44"/>
      <c r="AK9" s="44"/>
    </row>
    <row r="10" spans="1:37" s="45" customFormat="1" ht="19.95" customHeight="1">
      <c r="A10" s="50" t="s">
        <v>392</v>
      </c>
      <c r="B10" s="52"/>
      <c r="C10" s="52"/>
      <c r="D10" s="52"/>
      <c r="G10" s="52"/>
      <c r="H10" s="52"/>
      <c r="I10" s="52"/>
      <c r="J10" s="52"/>
      <c r="K10" s="52"/>
      <c r="L10" s="52"/>
      <c r="Y10" s="44"/>
      <c r="Z10" s="44"/>
      <c r="AA10" s="44"/>
      <c r="AB10" s="44"/>
      <c r="AC10" s="44"/>
      <c r="AD10" s="44"/>
      <c r="AE10" s="44"/>
      <c r="AF10" s="44"/>
      <c r="AG10" s="44"/>
      <c r="AH10" s="44"/>
      <c r="AI10" s="44"/>
      <c r="AJ10" s="44"/>
      <c r="AK10" s="44"/>
    </row>
    <row r="11" spans="1:37" ht="19.95" customHeight="1">
      <c r="A11" s="531" t="s">
        <v>393</v>
      </c>
      <c r="B11" s="531" t="s">
        <v>190</v>
      </c>
      <c r="C11" s="531" t="s">
        <v>394</v>
      </c>
      <c r="D11" s="531" t="s">
        <v>395</v>
      </c>
      <c r="E11" s="531" t="s">
        <v>246</v>
      </c>
      <c r="F11" s="531"/>
      <c r="G11" s="531"/>
      <c r="H11" s="531"/>
      <c r="I11" s="531"/>
      <c r="J11" s="411"/>
      <c r="K11" s="52"/>
      <c r="L11" s="52"/>
      <c r="U11" s="61"/>
      <c r="X11" s="79"/>
      <c r="Y11" s="82"/>
      <c r="Z11" s="84"/>
      <c r="AA11" s="82"/>
      <c r="AB11" s="82"/>
      <c r="AC11" s="80"/>
      <c r="AD11" s="80"/>
      <c r="AE11" s="81"/>
      <c r="AF11" s="81"/>
      <c r="AG11" s="81"/>
      <c r="AH11" s="81"/>
    </row>
    <row r="12" spans="1:37" ht="31.5" customHeight="1">
      <c r="A12" s="531"/>
      <c r="B12" s="531"/>
      <c r="C12" s="531"/>
      <c r="D12" s="531"/>
      <c r="E12" s="54" t="s">
        <v>411</v>
      </c>
      <c r="F12" s="54" t="s">
        <v>369</v>
      </c>
      <c r="G12" s="54" t="s">
        <v>397</v>
      </c>
      <c r="H12" s="54" t="s">
        <v>398</v>
      </c>
      <c r="I12" s="54" t="s">
        <v>385</v>
      </c>
      <c r="J12" s="54" t="s">
        <v>399</v>
      </c>
      <c r="K12" s="52"/>
      <c r="L12" s="52"/>
      <c r="X12" s="79"/>
      <c r="Y12" s="82"/>
      <c r="Z12" s="84"/>
      <c r="AA12" s="82"/>
      <c r="AB12" s="82"/>
      <c r="AC12" s="80"/>
    </row>
    <row r="13" spans="1:37" s="46" customFormat="1" ht="19.95" customHeight="1">
      <c r="A13" s="410">
        <v>1</v>
      </c>
      <c r="B13" s="55"/>
      <c r="C13" s="56">
        <f>'应付债券后续计量(分期付息到期一次还本)L4-7'!B18</f>
        <v>0</v>
      </c>
      <c r="D13" s="57" t="str">
        <f>'应付债券后续计量(分期付息到期一次还本)L4-7'!A18</f>
        <v>第一期</v>
      </c>
      <c r="E13" s="58">
        <f>'应付债券后续计量(分期付息到期一次还本)L4-7'!K18</f>
        <v>0</v>
      </c>
      <c r="F13" s="58">
        <f>I19</f>
        <v>0</v>
      </c>
      <c r="G13" s="58">
        <f>E13+F13</f>
        <v>0</v>
      </c>
      <c r="H13" s="58">
        <f>'应付债券明细表L4-2'!AH15</f>
        <v>0</v>
      </c>
      <c r="I13" s="58">
        <f>G13-H13</f>
        <v>0</v>
      </c>
      <c r="J13" s="64"/>
      <c r="K13" s="52"/>
      <c r="L13" s="52"/>
      <c r="M13" s="77"/>
      <c r="N13" s="47"/>
      <c r="O13" s="47"/>
      <c r="P13" s="61"/>
      <c r="Q13" s="61"/>
      <c r="W13" s="47"/>
      <c r="X13" s="79"/>
      <c r="Y13" s="82"/>
      <c r="Z13" s="84"/>
      <c r="AA13" s="82"/>
      <c r="AB13" s="82"/>
      <c r="AC13" s="80"/>
    </row>
    <row r="14" spans="1:37" s="46" customFormat="1" ht="19.95" customHeight="1">
      <c r="A14" s="410">
        <v>2</v>
      </c>
      <c r="B14" s="55"/>
      <c r="C14" s="56"/>
      <c r="D14" s="57"/>
      <c r="E14" s="58"/>
      <c r="F14" s="58"/>
      <c r="G14" s="58"/>
      <c r="H14" s="58"/>
      <c r="I14" s="58"/>
      <c r="J14" s="59"/>
      <c r="K14" s="52"/>
      <c r="L14" s="52"/>
      <c r="M14" s="77"/>
      <c r="N14" s="47"/>
      <c r="O14" s="47"/>
      <c r="P14" s="61"/>
      <c r="Q14" s="61"/>
      <c r="W14" s="47"/>
      <c r="X14" s="79"/>
      <c r="Y14" s="82"/>
      <c r="Z14" s="84"/>
      <c r="AA14" s="82"/>
      <c r="AB14" s="82"/>
      <c r="AC14" s="80"/>
    </row>
    <row r="15" spans="1:37" ht="19.95" customHeight="1">
      <c r="A15" s="410">
        <v>3</v>
      </c>
      <c r="B15" s="59"/>
      <c r="C15" s="56"/>
      <c r="D15" s="57"/>
      <c r="E15" s="58"/>
      <c r="F15" s="58"/>
      <c r="G15" s="58"/>
      <c r="H15" s="58"/>
      <c r="I15" s="58"/>
      <c r="J15" s="59"/>
      <c r="K15" s="52"/>
      <c r="L15" s="52"/>
      <c r="M15" s="77"/>
      <c r="P15" s="61"/>
      <c r="Q15" s="61"/>
      <c r="X15" s="79"/>
      <c r="Y15" s="82"/>
      <c r="Z15" s="84"/>
      <c r="AA15" s="82"/>
      <c r="AB15" s="82"/>
      <c r="AC15" s="80"/>
    </row>
    <row r="16" spans="1:37" ht="19.95" customHeight="1">
      <c r="A16" s="50" t="s">
        <v>401</v>
      </c>
      <c r="B16" s="60"/>
      <c r="C16" s="60"/>
      <c r="D16" s="61"/>
      <c r="E16" s="62"/>
      <c r="F16" s="62"/>
      <c r="M16" s="77"/>
      <c r="P16" s="61"/>
      <c r="Q16" s="61"/>
      <c r="X16" s="79"/>
      <c r="Y16" s="82"/>
      <c r="Z16" s="84"/>
      <c r="AA16" s="82"/>
      <c r="AB16" s="82"/>
      <c r="AC16" s="80"/>
    </row>
    <row r="17" spans="1:37" ht="19.95" customHeight="1">
      <c r="A17" s="531" t="s">
        <v>393</v>
      </c>
      <c r="B17" s="531" t="s">
        <v>190</v>
      </c>
      <c r="C17" s="531" t="s">
        <v>402</v>
      </c>
      <c r="D17" s="531"/>
      <c r="E17" s="531"/>
      <c r="F17" s="531"/>
      <c r="G17" s="531" t="s">
        <v>369</v>
      </c>
      <c r="H17" s="531"/>
      <c r="I17" s="531"/>
      <c r="J17" s="531"/>
      <c r="K17" s="531"/>
      <c r="L17" s="531"/>
      <c r="M17" s="77"/>
      <c r="P17" s="61"/>
      <c r="Q17" s="61"/>
      <c r="X17" s="79"/>
      <c r="Y17" s="82"/>
      <c r="Z17" s="84"/>
      <c r="AA17" s="82"/>
      <c r="AB17" s="82"/>
      <c r="AC17" s="80"/>
    </row>
    <row r="18" spans="1:37" ht="19.95" customHeight="1">
      <c r="A18" s="531"/>
      <c r="B18" s="531"/>
      <c r="C18" s="54" t="s">
        <v>396</v>
      </c>
      <c r="D18" s="54" t="s">
        <v>398</v>
      </c>
      <c r="E18" s="54" t="s">
        <v>385</v>
      </c>
      <c r="F18" s="54" t="s">
        <v>399</v>
      </c>
      <c r="G18" s="54" t="s">
        <v>403</v>
      </c>
      <c r="H18" s="54" t="s">
        <v>383</v>
      </c>
      <c r="I18" s="54" t="s">
        <v>396</v>
      </c>
      <c r="J18" s="54" t="s">
        <v>398</v>
      </c>
      <c r="K18" s="54" t="s">
        <v>385</v>
      </c>
      <c r="L18" s="54" t="s">
        <v>399</v>
      </c>
    </row>
    <row r="19" spans="1:37" ht="19.95" customHeight="1">
      <c r="A19" s="410">
        <v>1</v>
      </c>
      <c r="B19" s="63">
        <f>B13</f>
        <v>0</v>
      </c>
      <c r="C19" s="58">
        <f>'应付债券后续计量(分期付息到期一次还本)L4-7'!G17</f>
        <v>0</v>
      </c>
      <c r="D19" s="58">
        <f>'应付债券明细表L4-2'!AF15</f>
        <v>0</v>
      </c>
      <c r="E19" s="58">
        <f>C19-D19</f>
        <v>0</v>
      </c>
      <c r="F19" s="64"/>
      <c r="G19" s="65"/>
      <c r="H19" s="58">
        <f>IFERROR(IF(DATEDIF(MAX(G19+1,'应付债券后续计量(分期付息到期一次还本)L4-7'!B11),MIN('应付债券后续计量(分期付息到期一次还本)L4-7'!L13,'应付债券后续计量(分期付息到期一次还本)L4-7'!D11),"d"),DATEDIF(MAX(G19+1,'应付债券后续计量(分期付息到期一次还本)L4-7'!B11),MIN('应付债券后续计量(分期付息到期一次还本)L4-7'!L13,'应付债券后续计量(分期付息到期一次还本)L4-7'!D11),"d")+1,0),0)</f>
        <v>0</v>
      </c>
      <c r="I19" s="58">
        <f>ROUND('应付债券后续计量(分期付息到期一次还本)L4-7'!$F$13*'应付债券后续计量(分期付息到期一次还本)L4-7'!$G$13/365*H19,2)</f>
        <v>0</v>
      </c>
      <c r="J19" s="58">
        <f>'应付债券明细表L4-2'!AG15</f>
        <v>0</v>
      </c>
      <c r="K19" s="58">
        <f>I19-J19</f>
        <v>0</v>
      </c>
      <c r="L19" s="64"/>
      <c r="W19" s="80"/>
      <c r="X19" s="81"/>
      <c r="Y19" s="81"/>
      <c r="Z19" s="81"/>
      <c r="AA19" s="81"/>
    </row>
    <row r="20" spans="1:37" ht="19.95" customHeight="1">
      <c r="A20" s="410">
        <v>2</v>
      </c>
      <c r="B20" s="63">
        <f>B14</f>
        <v>0</v>
      </c>
      <c r="C20" s="58"/>
      <c r="D20" s="58"/>
      <c r="E20" s="58"/>
      <c r="F20" s="64"/>
      <c r="G20" s="65"/>
      <c r="H20" s="58"/>
      <c r="I20" s="58"/>
      <c r="J20" s="58"/>
      <c r="K20" s="58"/>
      <c r="L20" s="64"/>
      <c r="W20" s="82"/>
      <c r="X20" s="80"/>
      <c r="Y20" s="80"/>
      <c r="Z20" s="81"/>
      <c r="AA20" s="81"/>
      <c r="AB20" s="81"/>
      <c r="AC20" s="81"/>
    </row>
    <row r="21" spans="1:37" ht="19.95" customHeight="1">
      <c r="A21" s="410">
        <v>3</v>
      </c>
      <c r="B21" s="63">
        <f>B15</f>
        <v>0</v>
      </c>
      <c r="C21" s="58"/>
      <c r="D21" s="58"/>
      <c r="E21" s="58"/>
      <c r="F21" s="64"/>
      <c r="G21" s="65"/>
      <c r="H21" s="58"/>
      <c r="I21" s="58"/>
      <c r="J21" s="58"/>
      <c r="K21" s="58"/>
      <c r="L21" s="64"/>
      <c r="Q21" s="83"/>
      <c r="R21" s="61"/>
      <c r="S21" s="61"/>
      <c r="T21" s="61"/>
      <c r="U21" s="61"/>
      <c r="V21" s="61"/>
      <c r="W21" s="61"/>
      <c r="Z21" s="79"/>
      <c r="AA21" s="82"/>
      <c r="AB21" s="84"/>
      <c r="AC21" s="82"/>
      <c r="AD21" s="82"/>
      <c r="AE21" s="80"/>
      <c r="AF21" s="80"/>
      <c r="AG21" s="81"/>
      <c r="AH21" s="81"/>
      <c r="AI21" s="81"/>
      <c r="AJ21" s="81"/>
    </row>
    <row r="22" spans="1:37" s="45" customFormat="1" ht="19.95" customHeight="1">
      <c r="A22" s="66" t="s">
        <v>404</v>
      </c>
      <c r="B22" s="66"/>
      <c r="C22" s="66"/>
      <c r="D22" s="47"/>
      <c r="E22" s="47"/>
      <c r="F22" s="62"/>
      <c r="G22" s="47"/>
      <c r="H22" s="61"/>
      <c r="I22" s="47"/>
      <c r="J22" s="47"/>
      <c r="K22" s="52"/>
      <c r="L22" s="52"/>
      <c r="Y22" s="44"/>
      <c r="Z22" s="44"/>
      <c r="AA22" s="44"/>
      <c r="AB22" s="44"/>
      <c r="AC22" s="44"/>
      <c r="AD22" s="44"/>
      <c r="AE22" s="44"/>
      <c r="AF22" s="44"/>
      <c r="AG22" s="44"/>
      <c r="AH22" s="44"/>
      <c r="AI22" s="44"/>
      <c r="AJ22" s="44"/>
      <c r="AK22" s="44"/>
    </row>
    <row r="23" spans="1:37" s="45" customFormat="1" ht="19.95" customHeight="1">
      <c r="A23" s="531" t="s">
        <v>393</v>
      </c>
      <c r="B23" s="531" t="s">
        <v>190</v>
      </c>
      <c r="C23" s="541" t="s">
        <v>405</v>
      </c>
      <c r="D23" s="531" t="s">
        <v>371</v>
      </c>
      <c r="E23" s="543" t="s">
        <v>406</v>
      </c>
      <c r="F23" s="543"/>
      <c r="G23" s="543"/>
      <c r="H23" s="543"/>
      <c r="I23" s="543"/>
      <c r="J23" s="541" t="s">
        <v>385</v>
      </c>
      <c r="K23" s="52"/>
      <c r="L23" s="52"/>
      <c r="Y23" s="44"/>
      <c r="Z23" s="44"/>
      <c r="AA23" s="44"/>
      <c r="AB23" s="44"/>
      <c r="AC23" s="44"/>
      <c r="AD23" s="44"/>
      <c r="AE23" s="44"/>
      <c r="AF23" s="44"/>
      <c r="AG23" s="44"/>
      <c r="AH23" s="44"/>
      <c r="AI23" s="44"/>
      <c r="AJ23" s="44"/>
      <c r="AK23" s="44"/>
    </row>
    <row r="24" spans="1:37" s="45" customFormat="1" ht="19.95" customHeight="1">
      <c r="A24" s="531"/>
      <c r="B24" s="531"/>
      <c r="C24" s="541"/>
      <c r="D24" s="531"/>
      <c r="E24" s="68" t="s">
        <v>407</v>
      </c>
      <c r="F24" s="68" t="s">
        <v>408</v>
      </c>
      <c r="G24" s="68" t="s">
        <v>409</v>
      </c>
      <c r="H24" s="68" t="s">
        <v>410</v>
      </c>
      <c r="I24" s="68" t="s">
        <v>210</v>
      </c>
      <c r="J24" s="541"/>
      <c r="K24" s="52"/>
      <c r="L24" s="52"/>
      <c r="Y24" s="44"/>
      <c r="Z24" s="44"/>
      <c r="AA24" s="44"/>
      <c r="AB24" s="44"/>
      <c r="AC24" s="44"/>
      <c r="AD24" s="44"/>
      <c r="AE24" s="44"/>
      <c r="AF24" s="44"/>
      <c r="AG24" s="44"/>
      <c r="AH24" s="44"/>
      <c r="AI24" s="44"/>
      <c r="AJ24" s="44"/>
      <c r="AK24" s="44"/>
    </row>
    <row r="25" spans="1:37" s="45" customFormat="1" ht="19.95" customHeight="1">
      <c r="A25" s="542"/>
      <c r="B25" s="542"/>
      <c r="C25" s="69"/>
      <c r="D25" s="70">
        <f>'应付债券后续计量(分期付息到期一次还本)L4-7'!F18</f>
        <v>0</v>
      </c>
      <c r="E25" s="71"/>
      <c r="F25" s="71"/>
      <c r="G25" s="71"/>
      <c r="H25" s="71"/>
      <c r="I25" s="78">
        <f>SUM(E25:H25)</f>
        <v>0</v>
      </c>
      <c r="J25" s="78">
        <f>D25-I25</f>
        <v>0</v>
      </c>
      <c r="K25" s="52"/>
      <c r="L25" s="52"/>
      <c r="Y25" s="44"/>
      <c r="Z25" s="44"/>
      <c r="AA25" s="44"/>
      <c r="AB25" s="44"/>
      <c r="AC25" s="44"/>
      <c r="AD25" s="44"/>
      <c r="AE25" s="44"/>
      <c r="AF25" s="44"/>
      <c r="AG25" s="44"/>
      <c r="AH25" s="44"/>
      <c r="AI25" s="44"/>
      <c r="AJ25" s="44"/>
      <c r="AK25" s="44"/>
    </row>
    <row r="26" spans="1:37" s="45" customFormat="1" ht="19.95" customHeight="1">
      <c r="A26" s="542"/>
      <c r="B26" s="542"/>
      <c r="C26" s="69"/>
      <c r="D26" s="70">
        <f>'应付债券后续计量(分期付息到期一次还本)L4-7'!F19</f>
        <v>0</v>
      </c>
      <c r="E26" s="71"/>
      <c r="F26" s="71"/>
      <c r="G26" s="71"/>
      <c r="H26" s="71"/>
      <c r="I26" s="78">
        <f>SUM(E26:H26)</f>
        <v>0</v>
      </c>
      <c r="J26" s="78">
        <f t="shared" ref="J26:J27" si="0">D26-I26</f>
        <v>0</v>
      </c>
      <c r="K26" s="52"/>
      <c r="L26" s="52"/>
      <c r="Y26" s="44"/>
      <c r="Z26" s="44"/>
      <c r="AA26" s="44"/>
      <c r="AB26" s="44"/>
      <c r="AC26" s="44"/>
      <c r="AD26" s="44"/>
      <c r="AE26" s="44"/>
      <c r="AF26" s="44"/>
      <c r="AG26" s="44"/>
      <c r="AH26" s="44"/>
      <c r="AI26" s="44"/>
      <c r="AJ26" s="44"/>
      <c r="AK26" s="44"/>
    </row>
    <row r="27" spans="1:37" s="45" customFormat="1" ht="19.95" customHeight="1">
      <c r="A27" s="542"/>
      <c r="B27" s="542"/>
      <c r="C27" s="69"/>
      <c r="D27" s="70">
        <f>'应付债券后续计量(分期付息到期一次还本)L4-7'!F20</f>
        <v>0</v>
      </c>
      <c r="E27" s="71"/>
      <c r="F27" s="71"/>
      <c r="G27" s="71"/>
      <c r="H27" s="71"/>
      <c r="I27" s="78">
        <f>SUM(E27:H27)</f>
        <v>0</v>
      </c>
      <c r="J27" s="78">
        <f t="shared" si="0"/>
        <v>0</v>
      </c>
      <c r="K27" s="52"/>
      <c r="L27" s="52"/>
      <c r="Y27" s="44"/>
      <c r="Z27" s="44"/>
      <c r="AA27" s="44"/>
      <c r="AB27" s="44"/>
      <c r="AC27" s="44"/>
      <c r="AD27" s="44"/>
      <c r="AE27" s="44"/>
      <c r="AF27" s="44"/>
      <c r="AG27" s="44"/>
      <c r="AH27" s="44"/>
      <c r="AI27" s="44"/>
      <c r="AJ27" s="44"/>
      <c r="AK27" s="44"/>
    </row>
    <row r="28" spans="1:37" s="45" customFormat="1" ht="19.95" customHeight="1">
      <c r="A28" s="50"/>
      <c r="B28" s="52"/>
      <c r="C28" s="52"/>
      <c r="D28" s="52"/>
      <c r="G28" s="52"/>
      <c r="H28" s="52"/>
      <c r="I28" s="52"/>
      <c r="J28" s="52"/>
      <c r="K28" s="52"/>
      <c r="L28" s="52"/>
      <c r="Y28" s="44"/>
      <c r="Z28" s="44"/>
      <c r="AA28" s="44"/>
      <c r="AB28" s="44"/>
      <c r="AC28" s="44"/>
      <c r="AD28" s="44"/>
      <c r="AE28" s="44"/>
      <c r="AF28" s="44"/>
      <c r="AG28" s="44"/>
      <c r="AH28" s="44"/>
      <c r="AI28" s="44"/>
      <c r="AJ28" s="44"/>
      <c r="AK28" s="44"/>
    </row>
    <row r="29" spans="1:37" s="45" customFormat="1" ht="19.95" customHeight="1">
      <c r="A29" s="531" t="s">
        <v>393</v>
      </c>
      <c r="B29" s="531" t="s">
        <v>190</v>
      </c>
      <c r="C29" s="541" t="s">
        <v>405</v>
      </c>
      <c r="D29" s="531" t="s">
        <v>371</v>
      </c>
      <c r="E29" s="543" t="s">
        <v>406</v>
      </c>
      <c r="F29" s="543"/>
      <c r="G29" s="543"/>
      <c r="H29" s="543"/>
      <c r="I29" s="543"/>
      <c r="J29" s="541" t="s">
        <v>385</v>
      </c>
      <c r="K29" s="52"/>
      <c r="L29" s="52"/>
      <c r="Y29" s="44"/>
      <c r="Z29" s="44"/>
      <c r="AA29" s="44"/>
      <c r="AB29" s="44"/>
      <c r="AC29" s="44"/>
      <c r="AD29" s="44"/>
      <c r="AE29" s="44"/>
      <c r="AF29" s="44"/>
      <c r="AG29" s="44"/>
      <c r="AH29" s="44"/>
      <c r="AI29" s="44"/>
      <c r="AJ29" s="44"/>
      <c r="AK29" s="44"/>
    </row>
    <row r="30" spans="1:37" s="45" customFormat="1" ht="19.95" customHeight="1">
      <c r="A30" s="531"/>
      <c r="B30" s="531"/>
      <c r="C30" s="541"/>
      <c r="D30" s="531"/>
      <c r="E30" s="68" t="s">
        <v>407</v>
      </c>
      <c r="F30" s="68" t="s">
        <v>408</v>
      </c>
      <c r="G30" s="68" t="s">
        <v>409</v>
      </c>
      <c r="H30" s="68" t="s">
        <v>410</v>
      </c>
      <c r="I30" s="68" t="s">
        <v>210</v>
      </c>
      <c r="J30" s="541"/>
      <c r="K30" s="52"/>
      <c r="L30" s="52"/>
      <c r="Y30" s="44"/>
      <c r="Z30" s="44"/>
      <c r="AA30" s="44"/>
      <c r="AB30" s="44"/>
      <c r="AC30" s="44"/>
      <c r="AD30" s="44"/>
      <c r="AE30" s="44"/>
      <c r="AF30" s="44"/>
      <c r="AG30" s="44"/>
      <c r="AH30" s="44"/>
      <c r="AI30" s="44"/>
      <c r="AJ30" s="44"/>
      <c r="AK30" s="44"/>
    </row>
    <row r="31" spans="1:37" s="45" customFormat="1" ht="19.95" customHeight="1">
      <c r="A31" s="542"/>
      <c r="B31" s="542"/>
      <c r="C31" s="69"/>
      <c r="D31" s="70"/>
      <c r="E31" s="71"/>
      <c r="F31" s="71"/>
      <c r="G31" s="71"/>
      <c r="H31" s="71"/>
      <c r="I31" s="78">
        <f>SUM(E31:H31)</f>
        <v>0</v>
      </c>
      <c r="J31" s="78">
        <f>D31-I31</f>
        <v>0</v>
      </c>
      <c r="K31" s="52"/>
      <c r="L31" s="52"/>
      <c r="Y31" s="44"/>
      <c r="Z31" s="44"/>
      <c r="AA31" s="44"/>
      <c r="AB31" s="44"/>
      <c r="AC31" s="44"/>
      <c r="AD31" s="44"/>
      <c r="AE31" s="44"/>
      <c r="AF31" s="44"/>
      <c r="AG31" s="44"/>
      <c r="AH31" s="44"/>
      <c r="AI31" s="44"/>
      <c r="AJ31" s="44"/>
      <c r="AK31" s="44"/>
    </row>
    <row r="32" spans="1:37" s="45" customFormat="1" ht="19.95" customHeight="1">
      <c r="A32" s="542"/>
      <c r="B32" s="542"/>
      <c r="C32" s="69"/>
      <c r="D32" s="70"/>
      <c r="E32" s="71"/>
      <c r="F32" s="71"/>
      <c r="G32" s="71"/>
      <c r="H32" s="71"/>
      <c r="I32" s="78">
        <f>SUM(E32:H32)</f>
        <v>0</v>
      </c>
      <c r="J32" s="78">
        <f t="shared" ref="J32:J33" si="1">D32-I32</f>
        <v>0</v>
      </c>
      <c r="K32" s="52"/>
      <c r="L32" s="52"/>
      <c r="Y32" s="44"/>
      <c r="Z32" s="44"/>
      <c r="AA32" s="44"/>
      <c r="AB32" s="44"/>
      <c r="AC32" s="44"/>
      <c r="AD32" s="44"/>
      <c r="AE32" s="44"/>
      <c r="AF32" s="44"/>
      <c r="AG32" s="44"/>
      <c r="AH32" s="44"/>
      <c r="AI32" s="44"/>
      <c r="AJ32" s="44"/>
      <c r="AK32" s="44"/>
    </row>
    <row r="33" spans="1:37" s="45" customFormat="1" ht="19.95" customHeight="1">
      <c r="A33" s="542"/>
      <c r="B33" s="542"/>
      <c r="C33" s="69"/>
      <c r="D33" s="70"/>
      <c r="E33" s="71"/>
      <c r="F33" s="71"/>
      <c r="G33" s="71"/>
      <c r="H33" s="71"/>
      <c r="I33" s="78">
        <f>SUM(E33:H33)</f>
        <v>0</v>
      </c>
      <c r="J33" s="78">
        <f t="shared" si="1"/>
        <v>0</v>
      </c>
      <c r="K33" s="52"/>
      <c r="L33" s="52"/>
      <c r="Y33" s="44"/>
      <c r="Z33" s="44"/>
      <c r="AA33" s="44"/>
      <c r="AB33" s="44"/>
      <c r="AC33" s="44"/>
      <c r="AD33" s="44"/>
      <c r="AE33" s="44"/>
      <c r="AF33" s="44"/>
      <c r="AG33" s="44"/>
      <c r="AH33" s="44"/>
      <c r="AI33" s="44"/>
      <c r="AJ33" s="44"/>
      <c r="AK33" s="44"/>
    </row>
    <row r="34" spans="1:37" ht="19.95" customHeight="1">
      <c r="A34" s="72" t="s">
        <v>211</v>
      </c>
      <c r="B34" s="73"/>
      <c r="M34" s="61"/>
      <c r="N34" s="61"/>
      <c r="O34" s="61"/>
      <c r="P34" s="61"/>
      <c r="Q34" s="61"/>
      <c r="R34" s="61"/>
      <c r="S34" s="61"/>
    </row>
    <row r="35" spans="1:37" ht="19.95" customHeight="1">
      <c r="A35" s="66"/>
      <c r="B35" s="60"/>
    </row>
    <row r="36" spans="1:37" ht="19.95" customHeight="1">
      <c r="A36" s="72" t="s">
        <v>212</v>
      </c>
    </row>
    <row r="37" spans="1:37" ht="19.95" customHeight="1">
      <c r="A37" s="72"/>
    </row>
    <row r="38" spans="1:37" ht="19.95" customHeight="1">
      <c r="A38" s="72"/>
    </row>
  </sheetData>
  <mergeCells count="28">
    <mergeCell ref="A1:L1"/>
    <mergeCell ref="A2:L2"/>
    <mergeCell ref="A6:L6"/>
    <mergeCell ref="E11:I11"/>
    <mergeCell ref="C17:F17"/>
    <mergeCell ref="G17:L17"/>
    <mergeCell ref="C11:C12"/>
    <mergeCell ref="C23:C24"/>
    <mergeCell ref="C29:C30"/>
    <mergeCell ref="D11:D12"/>
    <mergeCell ref="D23:D24"/>
    <mergeCell ref="D29:D30"/>
    <mergeCell ref="J23:J24"/>
    <mergeCell ref="J29:J30"/>
    <mergeCell ref="A31:A33"/>
    <mergeCell ref="B11:B12"/>
    <mergeCell ref="B17:B18"/>
    <mergeCell ref="B23:B24"/>
    <mergeCell ref="B25:B27"/>
    <mergeCell ref="B29:B30"/>
    <mergeCell ref="B31:B33"/>
    <mergeCell ref="E23:I23"/>
    <mergeCell ref="E29:I29"/>
    <mergeCell ref="A11:A12"/>
    <mergeCell ref="A17:A18"/>
    <mergeCell ref="A23:A24"/>
    <mergeCell ref="A25:A27"/>
    <mergeCell ref="A29:A30"/>
  </mergeCells>
  <phoneticPr fontId="86" type="noConversion"/>
  <dataValidations count="1">
    <dataValidation type="list" allowBlank="1" showInputMessage="1" showErrorMessage="1" sqref="J13 F19 L19 K20:L20">
      <formula1>"是,否"</formula1>
    </dataValidation>
  </dataValidations>
  <hyperlinks>
    <hyperlink ref="L3" location="底稿目录!A1" display="=底稿目录!F15"/>
  </hyperlinks>
  <pageMargins left="0.70866141732283505" right="0.70866141732283505" top="0.74803149606299202" bottom="0.74803149606299202" header="0.31496062992126" footer="0.31496062992126"/>
  <pageSetup paperSize="9" scale="70" orientation="landscape" blackAndWhite="1" horizontalDpi="300" verticalDpi="300" r:id="rId1"/>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B31"/>
  <sheetViews>
    <sheetView view="pageBreakPreview" zoomScaleNormal="100" workbookViewId="0">
      <selection activeCell="P3" sqref="P3"/>
    </sheetView>
  </sheetViews>
  <sheetFormatPr defaultColWidth="9" defaultRowHeight="19.95" customHeight="1"/>
  <cols>
    <col min="1" max="1" width="9.3984375" style="5" customWidth="1"/>
    <col min="2" max="2" width="9" style="5"/>
    <col min="3" max="3" width="16.59765625" style="5" customWidth="1"/>
    <col min="4" max="4" width="11.796875" style="5" customWidth="1"/>
    <col min="5" max="5" width="13.796875" style="5" customWidth="1"/>
    <col min="6" max="7" width="13.69921875" style="5" customWidth="1"/>
    <col min="8" max="8" width="19.19921875" style="5" customWidth="1"/>
    <col min="9" max="13" width="3.59765625" style="5" customWidth="1"/>
    <col min="14" max="14" width="11" style="5" customWidth="1"/>
    <col min="15" max="15" width="9" style="5"/>
    <col min="16" max="16" width="12.69921875" style="5" customWidth="1"/>
    <col min="17" max="16384" width="9" style="5"/>
  </cols>
  <sheetData>
    <row r="1" spans="1:19" s="1" customFormat="1" ht="19.95" customHeight="1">
      <c r="A1" s="545" t="s">
        <v>178</v>
      </c>
      <c r="B1" s="545"/>
      <c r="C1" s="545"/>
      <c r="D1" s="545"/>
      <c r="E1" s="545"/>
      <c r="F1" s="545"/>
      <c r="G1" s="545"/>
      <c r="H1" s="545"/>
      <c r="I1" s="545"/>
      <c r="J1" s="545"/>
      <c r="K1" s="545"/>
      <c r="L1" s="545"/>
      <c r="M1" s="545"/>
      <c r="N1" s="545"/>
      <c r="O1" s="545"/>
      <c r="P1" s="545"/>
    </row>
    <row r="2" spans="1:19" s="1" customFormat="1" ht="19.95" customHeight="1">
      <c r="A2" s="546" t="s">
        <v>412</v>
      </c>
      <c r="B2" s="546"/>
      <c r="C2" s="546"/>
      <c r="D2" s="546"/>
      <c r="E2" s="546"/>
      <c r="F2" s="546"/>
      <c r="G2" s="546"/>
      <c r="H2" s="546"/>
      <c r="I2" s="546"/>
      <c r="J2" s="546"/>
      <c r="K2" s="546"/>
      <c r="L2" s="546"/>
      <c r="M2" s="546"/>
      <c r="N2" s="546"/>
      <c r="O2" s="546"/>
      <c r="P2" s="546"/>
    </row>
    <row r="3" spans="1:19" s="2" customFormat="1" ht="19.95" customHeight="1">
      <c r="A3" s="2" t="str">
        <f>底稿目录!A2</f>
        <v>被审计单位：</v>
      </c>
      <c r="B3" s="6"/>
      <c r="C3" s="6"/>
      <c r="E3" s="6" t="str">
        <f>底稿目录!A4</f>
        <v>编制人：</v>
      </c>
      <c r="F3" s="6"/>
      <c r="H3" s="7" t="str">
        <f>底稿目录!A5</f>
        <v>编制日期：</v>
      </c>
      <c r="O3" s="37" t="s">
        <v>183</v>
      </c>
      <c r="P3" s="390" t="str">
        <f>底稿目录!F16</f>
        <v>L4-9</v>
      </c>
    </row>
    <row r="4" spans="1:19" s="2" customFormat="1" ht="19.95" customHeight="1">
      <c r="A4" s="2" t="str">
        <f>底稿目录!A3</f>
        <v>截止日：202X年12月31日</v>
      </c>
      <c r="B4" s="6"/>
      <c r="C4" s="6"/>
      <c r="E4" s="8" t="str">
        <f>底稿目录!A6</f>
        <v>复核人：</v>
      </c>
      <c r="F4" s="8"/>
      <c r="H4" s="7" t="str">
        <f>底稿目录!A7</f>
        <v>复核日期：</v>
      </c>
      <c r="O4" s="7" t="s">
        <v>97</v>
      </c>
      <c r="P4" s="7"/>
    </row>
    <row r="5" spans="1:19" s="3" customFormat="1" ht="19.95" customHeight="1">
      <c r="A5" s="9" t="s">
        <v>184</v>
      </c>
      <c r="B5" s="9"/>
      <c r="C5" s="521"/>
      <c r="D5" s="521"/>
      <c r="E5" s="521"/>
      <c r="F5" s="521"/>
      <c r="G5" s="521"/>
      <c r="H5" s="521"/>
      <c r="I5" s="521"/>
      <c r="J5" s="521"/>
      <c r="K5" s="521"/>
      <c r="L5" s="521"/>
    </row>
    <row r="6" spans="1:19" s="3" customFormat="1" ht="19.95" customHeight="1">
      <c r="A6" s="11" t="s">
        <v>413</v>
      </c>
      <c r="B6" s="12"/>
      <c r="C6" s="13"/>
      <c r="D6" s="14"/>
      <c r="E6" s="14"/>
      <c r="F6" s="14"/>
      <c r="G6" s="14"/>
      <c r="H6" s="14"/>
      <c r="I6" s="14"/>
      <c r="J6" s="14"/>
      <c r="K6" s="14"/>
      <c r="L6" s="14"/>
      <c r="M6" s="14"/>
      <c r="N6" s="38"/>
      <c r="O6" s="38"/>
      <c r="P6" s="38"/>
      <c r="Q6" s="38"/>
      <c r="R6" s="38"/>
      <c r="S6" s="38"/>
    </row>
    <row r="7" spans="1:19" s="3" customFormat="1" ht="19.95" customHeight="1">
      <c r="A7" s="11" t="s">
        <v>350</v>
      </c>
      <c r="B7" s="12"/>
      <c r="C7" s="13"/>
      <c r="D7" s="14"/>
      <c r="E7" s="14"/>
      <c r="F7" s="14"/>
      <c r="G7" s="14"/>
      <c r="H7" s="14"/>
      <c r="I7" s="14"/>
      <c r="J7" s="14"/>
      <c r="K7" s="14"/>
      <c r="L7" s="14"/>
      <c r="M7" s="14"/>
      <c r="N7" s="38"/>
      <c r="O7" s="38"/>
      <c r="P7" s="38"/>
      <c r="Q7" s="38"/>
      <c r="R7" s="38"/>
      <c r="S7" s="38"/>
    </row>
    <row r="8" spans="1:19" s="3" customFormat="1" ht="19.95" customHeight="1">
      <c r="A8" s="15" t="s">
        <v>414</v>
      </c>
      <c r="B8" s="16"/>
      <c r="C8" s="383" t="s">
        <v>445</v>
      </c>
      <c r="D8" s="16"/>
      <c r="E8" s="16"/>
      <c r="F8" s="18"/>
      <c r="G8" s="18"/>
      <c r="H8" s="19"/>
      <c r="I8" s="19"/>
      <c r="J8" s="19"/>
      <c r="K8" s="19"/>
      <c r="L8" s="19"/>
    </row>
    <row r="9" spans="1:19" s="3" customFormat="1" ht="19.95" customHeight="1">
      <c r="A9" s="20" t="s">
        <v>415</v>
      </c>
      <c r="B9" s="21"/>
      <c r="C9" s="22"/>
      <c r="D9" s="23"/>
      <c r="E9" s="23"/>
      <c r="F9" s="23"/>
      <c r="G9" s="23"/>
      <c r="H9" s="23"/>
      <c r="I9" s="23"/>
      <c r="J9" s="23"/>
      <c r="K9" s="23"/>
      <c r="L9" s="23"/>
      <c r="M9" s="23"/>
      <c r="N9" s="23"/>
      <c r="O9" s="23"/>
      <c r="P9" s="23"/>
    </row>
    <row r="10" spans="1:19" s="3" customFormat="1" ht="19.95" customHeight="1">
      <c r="A10" s="552" t="s">
        <v>416</v>
      </c>
      <c r="B10" s="552"/>
      <c r="C10" s="552"/>
      <c r="D10" s="552"/>
      <c r="E10" s="552"/>
      <c r="F10" s="552"/>
      <c r="G10" s="552"/>
      <c r="H10" s="555" t="s">
        <v>417</v>
      </c>
      <c r="I10" s="553" t="s">
        <v>418</v>
      </c>
      <c r="J10" s="554"/>
      <c r="K10" s="554"/>
      <c r="L10" s="554"/>
      <c r="M10" s="554"/>
      <c r="N10" s="547" t="s">
        <v>419</v>
      </c>
      <c r="O10" s="548" t="s">
        <v>420</v>
      </c>
      <c r="P10" s="550" t="s">
        <v>421</v>
      </c>
    </row>
    <row r="11" spans="1:19" s="3" customFormat="1" ht="19.95" customHeight="1">
      <c r="A11" s="24" t="s">
        <v>422</v>
      </c>
      <c r="B11" s="24" t="s">
        <v>423</v>
      </c>
      <c r="C11" s="24" t="s">
        <v>424</v>
      </c>
      <c r="D11" s="24" t="s">
        <v>425</v>
      </c>
      <c r="E11" s="24" t="s">
        <v>426</v>
      </c>
      <c r="F11" s="25" t="s">
        <v>427</v>
      </c>
      <c r="G11" s="25" t="s">
        <v>428</v>
      </c>
      <c r="H11" s="556"/>
      <c r="I11" s="39">
        <v>1</v>
      </c>
      <c r="J11" s="39">
        <v>2</v>
      </c>
      <c r="K11" s="39">
        <v>3</v>
      </c>
      <c r="L11" s="39">
        <v>4</v>
      </c>
      <c r="M11" s="39">
        <v>5</v>
      </c>
      <c r="N11" s="547"/>
      <c r="O11" s="549"/>
      <c r="P11" s="551"/>
    </row>
    <row r="12" spans="1:19" s="3" customFormat="1" ht="19.95" customHeight="1">
      <c r="A12" s="26"/>
      <c r="B12" s="27"/>
      <c r="C12" s="28"/>
      <c r="D12" s="28"/>
      <c r="E12" s="28"/>
      <c r="F12" s="29"/>
      <c r="G12" s="29"/>
      <c r="H12" s="30"/>
      <c r="I12" s="40"/>
      <c r="J12" s="40"/>
      <c r="K12" s="40"/>
      <c r="L12" s="40"/>
      <c r="M12" s="40"/>
      <c r="N12" s="41"/>
      <c r="O12" s="42"/>
      <c r="P12" s="42"/>
    </row>
    <row r="13" spans="1:19" s="3" customFormat="1" ht="19.95" customHeight="1">
      <c r="A13" s="26"/>
      <c r="B13" s="27"/>
      <c r="C13" s="28"/>
      <c r="D13" s="28"/>
      <c r="E13" s="28"/>
      <c r="F13" s="29"/>
      <c r="G13" s="29"/>
      <c r="H13" s="31"/>
      <c r="I13" s="40"/>
      <c r="J13" s="40"/>
      <c r="K13" s="40"/>
      <c r="L13" s="40"/>
      <c r="M13" s="40"/>
      <c r="N13" s="41"/>
      <c r="O13" s="42"/>
      <c r="P13" s="42"/>
    </row>
    <row r="14" spans="1:19" s="3" customFormat="1" ht="19.95" customHeight="1">
      <c r="A14" s="26"/>
      <c r="B14" s="27"/>
      <c r="C14" s="28"/>
      <c r="D14" s="28"/>
      <c r="E14" s="28"/>
      <c r="F14" s="29"/>
      <c r="G14" s="29"/>
      <c r="H14" s="31"/>
      <c r="I14" s="40"/>
      <c r="J14" s="40"/>
      <c r="K14" s="40"/>
      <c r="L14" s="40"/>
      <c r="M14" s="40"/>
      <c r="N14" s="41"/>
      <c r="O14" s="42"/>
      <c r="P14" s="42"/>
    </row>
    <row r="15" spans="1:19" s="3" customFormat="1" ht="19.95" customHeight="1">
      <c r="A15" s="26"/>
      <c r="B15" s="27"/>
      <c r="C15" s="28"/>
      <c r="D15" s="28"/>
      <c r="E15" s="28"/>
      <c r="F15" s="29"/>
      <c r="G15" s="29"/>
      <c r="H15" s="31"/>
      <c r="I15" s="40"/>
      <c r="J15" s="40"/>
      <c r="K15" s="40"/>
      <c r="L15" s="40"/>
      <c r="M15" s="40"/>
      <c r="N15" s="41"/>
      <c r="O15" s="42"/>
      <c r="P15" s="42"/>
    </row>
    <row r="16" spans="1:19" s="3" customFormat="1" ht="19.95" customHeight="1">
      <c r="A16" s="26"/>
      <c r="B16" s="27"/>
      <c r="C16" s="28"/>
      <c r="D16" s="28"/>
      <c r="E16" s="28"/>
      <c r="F16" s="29"/>
      <c r="G16" s="29"/>
      <c r="H16" s="31"/>
      <c r="I16" s="40"/>
      <c r="J16" s="40"/>
      <c r="K16" s="40"/>
      <c r="L16" s="40"/>
      <c r="M16" s="40"/>
      <c r="N16" s="41"/>
      <c r="O16" s="42"/>
      <c r="P16" s="42"/>
    </row>
    <row r="17" spans="1:28" s="3" customFormat="1" ht="19.95" customHeight="1">
      <c r="A17" s="26"/>
      <c r="B17" s="27"/>
      <c r="C17" s="28"/>
      <c r="D17" s="28"/>
      <c r="E17" s="28"/>
      <c r="F17" s="29"/>
      <c r="G17" s="29"/>
      <c r="H17" s="31"/>
      <c r="I17" s="40"/>
      <c r="J17" s="40"/>
      <c r="K17" s="40"/>
      <c r="L17" s="40"/>
      <c r="M17" s="40"/>
      <c r="N17" s="41"/>
      <c r="O17" s="42"/>
      <c r="P17" s="42"/>
    </row>
    <row r="18" spans="1:28" s="3" customFormat="1" ht="19.95" customHeight="1">
      <c r="A18" s="26"/>
      <c r="B18" s="27"/>
      <c r="C18" s="28"/>
      <c r="D18" s="28"/>
      <c r="E18" s="28"/>
      <c r="F18" s="29"/>
      <c r="G18" s="29"/>
      <c r="H18" s="31"/>
      <c r="I18" s="40"/>
      <c r="J18" s="40"/>
      <c r="K18" s="40"/>
      <c r="L18" s="40"/>
      <c r="M18" s="40"/>
      <c r="N18" s="41"/>
      <c r="O18" s="42"/>
      <c r="P18" s="42"/>
    </row>
    <row r="19" spans="1:28" s="3" customFormat="1" ht="19.95" customHeight="1">
      <c r="A19" s="26"/>
      <c r="B19" s="27"/>
      <c r="C19" s="28"/>
      <c r="D19" s="28"/>
      <c r="E19" s="28"/>
      <c r="F19" s="29"/>
      <c r="G19" s="29"/>
      <c r="H19" s="31"/>
      <c r="I19" s="40"/>
      <c r="J19" s="40"/>
      <c r="K19" s="40"/>
      <c r="L19" s="40"/>
      <c r="M19" s="40"/>
      <c r="N19" s="41"/>
      <c r="O19" s="42"/>
      <c r="P19" s="42"/>
    </row>
    <row r="20" spans="1:28" s="3" customFormat="1" ht="19.95" customHeight="1">
      <c r="A20" s="26"/>
      <c r="B20" s="27"/>
      <c r="C20" s="28"/>
      <c r="D20" s="28"/>
      <c r="E20" s="28"/>
      <c r="F20" s="29"/>
      <c r="G20" s="29"/>
      <c r="H20" s="31"/>
      <c r="I20" s="40"/>
      <c r="J20" s="40"/>
      <c r="K20" s="40"/>
      <c r="L20" s="40"/>
      <c r="M20" s="40"/>
      <c r="N20" s="41"/>
      <c r="O20" s="42"/>
      <c r="P20" s="42"/>
    </row>
    <row r="21" spans="1:28" s="3" customFormat="1" ht="19.95" customHeight="1">
      <c r="A21" s="26"/>
      <c r="B21" s="27"/>
      <c r="C21" s="28"/>
      <c r="D21" s="28"/>
      <c r="E21" s="28"/>
      <c r="F21" s="29"/>
      <c r="G21" s="29"/>
      <c r="H21" s="31"/>
      <c r="I21" s="40"/>
      <c r="J21" s="40"/>
      <c r="K21" s="40"/>
      <c r="L21" s="40"/>
      <c r="M21" s="40"/>
      <c r="N21" s="41"/>
      <c r="O21" s="42"/>
      <c r="P21" s="42"/>
    </row>
    <row r="22" spans="1:28" s="418" customFormat="1" ht="19.95" customHeight="1">
      <c r="A22" s="544" t="s">
        <v>489</v>
      </c>
      <c r="B22" s="544"/>
      <c r="C22" s="544"/>
      <c r="D22" s="412"/>
      <c r="E22" s="412"/>
      <c r="F22" s="413">
        <f>SUM(F12:F21)</f>
        <v>0</v>
      </c>
      <c r="G22" s="413">
        <f>SUM(G12:G21)</f>
        <v>0</v>
      </c>
      <c r="H22" s="414"/>
      <c r="I22" s="415"/>
      <c r="J22" s="415"/>
      <c r="K22" s="415"/>
      <c r="L22" s="415"/>
      <c r="M22" s="415"/>
      <c r="N22" s="416"/>
      <c r="O22" s="417"/>
      <c r="P22" s="417"/>
    </row>
    <row r="23" spans="1:28" s="418" customFormat="1" ht="19.95" customHeight="1">
      <c r="A23" s="544" t="s">
        <v>490</v>
      </c>
      <c r="B23" s="544"/>
      <c r="C23" s="544"/>
      <c r="D23" s="412"/>
      <c r="E23" s="412"/>
      <c r="F23" s="413">
        <f>'应付债券明细表L4-2'!BZ22</f>
        <v>0</v>
      </c>
      <c r="G23" s="413">
        <f>'应付债券明细表L4-2'!BT22</f>
        <v>0</v>
      </c>
      <c r="H23" s="414"/>
      <c r="I23" s="415"/>
      <c r="J23" s="415"/>
      <c r="K23" s="415"/>
      <c r="L23" s="415"/>
      <c r="M23" s="415"/>
      <c r="N23" s="416"/>
      <c r="O23" s="417"/>
      <c r="P23" s="417"/>
    </row>
    <row r="24" spans="1:28" s="419" customFormat="1" ht="19.95" customHeight="1">
      <c r="A24" s="544" t="s">
        <v>491</v>
      </c>
      <c r="B24" s="544"/>
      <c r="C24" s="544"/>
      <c r="D24" s="420"/>
      <c r="E24" s="420"/>
      <c r="F24" s="421" t="e">
        <f>F22/F23</f>
        <v>#DIV/0!</v>
      </c>
      <c r="G24" s="421" t="e">
        <f>G22/G23</f>
        <v>#DIV/0!</v>
      </c>
      <c r="H24" s="422"/>
      <c r="I24" s="422"/>
      <c r="J24" s="422"/>
      <c r="K24" s="422"/>
      <c r="L24" s="422"/>
      <c r="M24" s="422"/>
      <c r="N24" s="423"/>
      <c r="O24" s="423"/>
      <c r="P24" s="423"/>
      <c r="Q24" s="418"/>
      <c r="R24" s="418"/>
      <c r="S24" s="418"/>
      <c r="T24" s="418"/>
      <c r="U24" s="418"/>
      <c r="V24" s="418"/>
      <c r="W24" s="418"/>
      <c r="X24" s="418"/>
      <c r="Y24" s="418"/>
      <c r="Z24" s="418"/>
      <c r="AA24" s="418"/>
      <c r="AB24" s="418"/>
    </row>
    <row r="25" spans="1:28" s="2" customFormat="1" ht="19.95" customHeight="1">
      <c r="A25" s="32" t="s">
        <v>211</v>
      </c>
      <c r="B25" s="33"/>
      <c r="C25" s="17"/>
      <c r="D25" s="33"/>
      <c r="E25" s="33"/>
      <c r="F25" s="33"/>
      <c r="G25" s="33"/>
      <c r="I25" s="19"/>
      <c r="J25" s="19"/>
      <c r="K25" s="19"/>
      <c r="L25" s="19"/>
    </row>
    <row r="26" spans="1:28" s="2" customFormat="1" ht="19.95" customHeight="1">
      <c r="C26" s="17"/>
      <c r="I26" s="35"/>
      <c r="J26" s="35"/>
      <c r="K26" s="35"/>
      <c r="L26" s="35"/>
    </row>
    <row r="27" spans="1:28" s="4" customFormat="1" ht="19.95" customHeight="1">
      <c r="C27" s="17"/>
      <c r="J27" s="43"/>
      <c r="K27" s="43"/>
      <c r="L27" s="43"/>
    </row>
    <row r="28" spans="1:28" s="2" customFormat="1" ht="19.95" customHeight="1">
      <c r="C28" s="17"/>
      <c r="I28" s="6"/>
      <c r="J28" s="6"/>
      <c r="K28" s="6"/>
      <c r="L28" s="6"/>
    </row>
    <row r="29" spans="1:28" s="2" customFormat="1" ht="19.95" customHeight="1">
      <c r="C29" s="17"/>
      <c r="I29" s="6"/>
      <c r="J29" s="6"/>
      <c r="K29" s="6"/>
      <c r="L29" s="6"/>
    </row>
    <row r="30" spans="1:28" s="2" customFormat="1" ht="19.95" customHeight="1">
      <c r="A30" s="34" t="s">
        <v>212</v>
      </c>
      <c r="C30" s="17"/>
      <c r="H30" s="6"/>
      <c r="I30" s="6"/>
      <c r="J30" s="6"/>
      <c r="K30" s="6"/>
      <c r="L30" s="6"/>
    </row>
    <row r="31" spans="1:28" s="2" customFormat="1" ht="19.95" customHeight="1">
      <c r="A31" s="35"/>
      <c r="C31" s="6"/>
      <c r="D31" s="6"/>
      <c r="E31" s="6"/>
      <c r="F31" s="6"/>
      <c r="G31" s="6"/>
      <c r="H31" s="6"/>
      <c r="I31" s="6"/>
      <c r="J31" s="6"/>
      <c r="K31" s="6"/>
      <c r="L31" s="6"/>
    </row>
  </sheetData>
  <mergeCells count="12">
    <mergeCell ref="A22:C22"/>
    <mergeCell ref="A23:C23"/>
    <mergeCell ref="A24:C24"/>
    <mergeCell ref="A1:P1"/>
    <mergeCell ref="A2:P2"/>
    <mergeCell ref="N10:N11"/>
    <mergeCell ref="O10:O11"/>
    <mergeCell ref="P10:P11"/>
    <mergeCell ref="C5:L5"/>
    <mergeCell ref="A10:G10"/>
    <mergeCell ref="I10:M10"/>
    <mergeCell ref="H10:H11"/>
  </mergeCells>
  <phoneticPr fontId="86" type="noConversion"/>
  <dataValidations count="1">
    <dataValidation type="list" allowBlank="1" showInputMessage="1" showErrorMessage="1" sqref="I12:M23">
      <formula1>"√,X"</formula1>
    </dataValidation>
  </dataValidations>
  <hyperlinks>
    <hyperlink ref="P3" location="底稿目录!A1" display="=底稿目录!F16"/>
  </hyperlinks>
  <printOptions horizontalCentered="1"/>
  <pageMargins left="0.70866141732283472" right="0.70866141732283472" top="0.74803149606299213" bottom="0.74803149606299213" header="0.31496062992125984" footer="0.31496062992125984"/>
  <pageSetup paperSize="9" scale="75" fitToWidth="0" fitToHeight="0" orientation="landscape" blackAndWhite="1" r:id="rId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8"/>
  <sheetViews>
    <sheetView workbookViewId="0"/>
  </sheetViews>
  <sheetFormatPr defaultColWidth="8.796875" defaultRowHeight="15.6"/>
  <sheetData>
    <row r="1" spans="1:2">
      <c r="A1" t="s">
        <v>429</v>
      </c>
      <c r="B1" t="s">
        <v>430</v>
      </c>
    </row>
    <row r="2" spans="1:2">
      <c r="A2" t="s">
        <v>431</v>
      </c>
      <c r="B2" t="s">
        <v>432</v>
      </c>
    </row>
    <row r="3" spans="1:2">
      <c r="A3" t="s">
        <v>433</v>
      </c>
      <c r="B3" t="s">
        <v>434</v>
      </c>
    </row>
    <row r="4" spans="1:2">
      <c r="A4" t="s">
        <v>435</v>
      </c>
      <c r="B4" t="s">
        <v>436</v>
      </c>
    </row>
    <row r="5" spans="1:2">
      <c r="A5" t="s">
        <v>437</v>
      </c>
      <c r="B5" t="s">
        <v>438</v>
      </c>
    </row>
    <row r="6" spans="1:2">
      <c r="A6" t="s">
        <v>439</v>
      </c>
      <c r="B6" t="s">
        <v>440</v>
      </c>
    </row>
    <row r="7" spans="1:2">
      <c r="A7" t="s">
        <v>441</v>
      </c>
      <c r="B7" t="s">
        <v>442</v>
      </c>
    </row>
    <row r="8" spans="1:2">
      <c r="A8" t="s">
        <v>443</v>
      </c>
      <c r="B8" t="s">
        <v>444</v>
      </c>
    </row>
  </sheetData>
  <phoneticPr fontId="8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20</vt:i4>
      </vt:variant>
    </vt:vector>
  </HeadingPairs>
  <TitlesOfParts>
    <vt:vector size="36" baseType="lpstr">
      <vt:lpstr>底稿目录</vt:lpstr>
      <vt:lpstr>应付债券实质性程序表L4A </vt:lpstr>
      <vt:lpstr>审定表L4-1</vt:lpstr>
      <vt:lpstr>附注披露信息核对（上市公司）</vt:lpstr>
      <vt:lpstr>附注披露信息核对（国企）</vt:lpstr>
      <vt:lpstr>应付债券明细表L4-2</vt:lpstr>
      <vt:lpstr>划分为金融负债的其他金融工具明细表L4-3</vt:lpstr>
      <vt:lpstr>调整分录汇总L4-4</vt:lpstr>
      <vt:lpstr>权益与负债划分检查表L4-5</vt:lpstr>
      <vt:lpstr>应付债券初始计量L4-6</vt:lpstr>
      <vt:lpstr>应付债券后续计量(到期一次还本付息)L4-7</vt:lpstr>
      <vt:lpstr>应付债券后续计量(分期付息到期一次还本)L4-7</vt:lpstr>
      <vt:lpstr>应付债券账面核对(到期一次还本付息)L4-8</vt:lpstr>
      <vt:lpstr>应付债券账面核对(分期付息到期一次还本) L4-8</vt:lpstr>
      <vt:lpstr>应付债券检查表L4-9</vt:lpstr>
      <vt:lpstr>GT_Custom</vt:lpstr>
      <vt:lpstr>'应付债券实质性程序表L4A '!_FilterDatabase</vt:lpstr>
      <vt:lpstr>'附注披露信息核对（上市公司）'!OLE_LINK1</vt:lpstr>
      <vt:lpstr>底稿目录!Print_Area</vt:lpstr>
      <vt:lpstr>'调整分录汇总L4-4'!Print_Area</vt:lpstr>
      <vt:lpstr>'附注披露信息核对（国企）'!Print_Area</vt:lpstr>
      <vt:lpstr>'附注披露信息核对（上市公司）'!Print_Area</vt:lpstr>
      <vt:lpstr>'划分为金融负债的其他金融工具明细表L4-3'!Print_Area</vt:lpstr>
      <vt:lpstr>'权益与负债划分检查表L4-5'!Print_Area</vt:lpstr>
      <vt:lpstr>'审定表L4-1'!Print_Area</vt:lpstr>
      <vt:lpstr>'应付债券初始计量L4-6'!Print_Area</vt:lpstr>
      <vt:lpstr>'应付债券后续计量(到期一次还本付息)L4-7'!Print_Area</vt:lpstr>
      <vt:lpstr>'应付债券后续计量(分期付息到期一次还本)L4-7'!Print_Area</vt:lpstr>
      <vt:lpstr>'应付债券检查表L4-9'!Print_Area</vt:lpstr>
      <vt:lpstr>'应付债券明细表L4-2'!Print_Area</vt:lpstr>
      <vt:lpstr>'应付债券实质性程序表L4A '!Print_Area</vt:lpstr>
      <vt:lpstr>'应付债券账面核对(到期一次还本付息)L4-8'!Print_Area</vt:lpstr>
      <vt:lpstr>'应付债券账面核对(分期付息到期一次还本) L4-8'!Print_Area</vt:lpstr>
      <vt:lpstr>'划分为金融负债的其他金融工具明细表L4-3'!Print_Titles</vt:lpstr>
      <vt:lpstr>'应付债券明细表L4-2'!Print_Titles</vt:lpstr>
      <vt:lpstr>'应付债券实质性程序表L4A '!Print_Titles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2025-10-23T09:51:13Z</cp:lastPrinted>
  <dcterms:created xsi:type="dcterms:W3CDTF">2007-05-20T08:51:00Z</dcterms:created>
  <dcterms:modified xsi:type="dcterms:W3CDTF">2025-11-05T08:05:48Z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2173090A22DE475C97693D2D56CCE927_12</vt:lpwstr>
  </property>
  <property fmtid="{D5CDD505-2E9C-101B-9397-08002B2CF9AE}" pid="3" name="KSOProductBuildVer">
    <vt:lpwstr>2052-12.1.0.22529</vt:lpwstr>
  </property>
</Properties>
</file>