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748" windowHeight="9696" tabRatio="783" firstSheet="0" activeTab="0" autoFilterDateGrouping="1"/>
  </bookViews>
  <sheets>
    <sheet xmlns:r="http://schemas.openxmlformats.org/officeDocument/2006/relationships" name="底稿目录" sheetId="1" state="visible" r:id="rId1"/>
    <sheet xmlns:r="http://schemas.openxmlformats.org/officeDocument/2006/relationships" name="长期应付款实质性程序表L5A" sheetId="2" state="visible" r:id="rId2"/>
    <sheet xmlns:r="http://schemas.openxmlformats.org/officeDocument/2006/relationships" name="审定表L5-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L5-2" sheetId="6" state="visible" r:id="rId6"/>
    <sheet xmlns:r="http://schemas.openxmlformats.org/officeDocument/2006/relationships" name="未确认融资费用明细表L5-3" sheetId="7" state="visible" r:id="rId7"/>
    <sheet xmlns:r="http://schemas.openxmlformats.org/officeDocument/2006/relationships" name="调整分录汇总L5-4" sheetId="8" state="visible" r:id="rId8"/>
    <sheet xmlns:r="http://schemas.openxmlformats.org/officeDocument/2006/relationships" name="未确认融资费用测算表L5-5" sheetId="9" state="visible" r:id="rId9"/>
    <sheet xmlns:r="http://schemas.openxmlformats.org/officeDocument/2006/relationships" name="关联方及交易检查表L5-6" sheetId="10" state="visible" r:id="rId10"/>
    <sheet xmlns:r="http://schemas.openxmlformats.org/officeDocument/2006/relationships" name="长期应付款检查表L5-7" sheetId="11" state="visible" r:id="rId11"/>
    <sheet xmlns:r="http://schemas.openxmlformats.org/officeDocument/2006/relationships" name="GT_Custom" sheetId="12" state="hidden" r:id="rId12"/>
  </sheets>
  <definedNames>
    <definedName name="AFV" hidden="1">#REF!</definedName>
    <definedName name="AS2DocOpenMode" hidden="1">"AS2DocumentEdit"</definedName>
    <definedName name="b" hidden="1">#REF!</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#REF!</definedName>
    <definedName name="FASD" hidden="1">#REF!</definedName>
    <definedName name="FEDC" hidden="1">#REF!</definedName>
    <definedName name="RDES" hidden="1">#REF!</definedName>
    <definedName name="SAPBEXrevision" hidden="1">1</definedName>
    <definedName name="SAPBEXsysID" hidden="1">"PE4"</definedName>
    <definedName name="SAPBEXwbID" hidden="1">"3Q4R7W3VD66V3CXTGQHGIRCBE"</definedName>
    <definedName name="TextRefCopyRangeCount" hidden="1">4</definedName>
    <definedName name="VFE" hidden="1">#REF!</definedName>
    <definedName name="XAP" hidden="1">#REF!</definedName>
    <definedName name="XAQ" hidden="1">#REF!</definedName>
    <definedName name="XCD" hidden="1">#REF!</definedName>
    <definedName name="XREF_COLUMN_1" hidden="1">#REF!</definedName>
    <definedName name="XREF_COLUMN_2" hidden="1">#REF!</definedName>
    <definedName name="XREF_COLUMN_3"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#REF!</definedName>
    <definedName name="底稿目录" hidden="1">#REF!</definedName>
    <definedName name="新目录" hidden="1">#REF!</definedName>
    <definedName name="AFV" localSheetId="1" hidden="1">#REF!</definedName>
    <definedName name="CCD" localSheetId="1" hidden="1">#REF!</definedName>
    <definedName name="CDE" localSheetId="1" hidden="1">#REF!</definedName>
    <definedName name="DEX" localSheetId="1" hidden="1">#REF!</definedName>
    <definedName name="EDC" localSheetId="1" hidden="1">#REF!</definedName>
    <definedName name="FAD" localSheetId="1" hidden="1">#REF!</definedName>
    <definedName name="FASD" localSheetId="1" hidden="1">#REF!</definedName>
    <definedName name="FEDC" localSheetId="1" hidden="1">#REF!</definedName>
    <definedName name="RDES" localSheetId="1" hidden="1">#REF!</definedName>
    <definedName name="TextRefCopyRangeCount" localSheetId="1" hidden="1">136</definedName>
    <definedName name="VFE" localSheetId="1" hidden="1">#REF!</definedName>
    <definedName name="XAP" localSheetId="1" hidden="1">#REF!</definedName>
    <definedName name="XAQ" localSheetId="1" hidden="1">#REF!</definedName>
    <definedName name="XCD" localSheetId="1" hidden="1">#REF!</definedName>
    <definedName name="XREF_COLUMN_1" localSheetId="1" hidden="1">#REF!</definedName>
    <definedName name="XREF_COLUMN_2" localSheetId="1" hidden="1">#REF!</definedName>
    <definedName name="XREF_COLUMN_3" localSheetId="1" hidden="1">#REF!</definedName>
    <definedName name="XREF_COLUMN_5" localSheetId="1" hidden="1">#REF!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底稿目录" localSheetId="1" hidden="1">#REF!</definedName>
    <definedName name="新目录" localSheetId="1" hidden="1">#REF!</definedName>
    <definedName name="_xlnm.Print_Titles" localSheetId="1">'长期应付款实质性程序表L5A'!$15:$15</definedName>
    <definedName name="_xlnm.Print_Area" localSheetId="1">'长期应付款实质性程序表L5A'!$A$1:$I$27</definedName>
    <definedName name="_xlnm.Print_Area" localSheetId="2">'审定表L5-1'!$A$1:$O$35</definedName>
    <definedName name="_xlnm.Print_Area" localSheetId="3">'附注披露信息（上市公司）'!$A$1:$D$22</definedName>
    <definedName name="_xlnm.Print_Area" localSheetId="4">'附注披露信息（国企）'!$A$1:$D$20</definedName>
    <definedName name="_xlnm.Print_Titles" localSheetId="5">'明细表L5-2'!$8:$9,'明细表L5-2'!$A:$A</definedName>
    <definedName name="_xlnm.Print_Area" localSheetId="5">'明细表L5-2'!$A$1:$AC$30</definedName>
    <definedName name="_xlnm.Print_Titles" localSheetId="6">'未确认融资费用明细表L5-3'!$9:$10,'未确认融资费用明细表L5-3'!$A:$A</definedName>
    <definedName name="_xlnm.Print_Area" localSheetId="6">'未确认融资费用明细表L5-3'!$A$1:$AA$29</definedName>
    <definedName name="AFV" localSheetId="7" hidden="1">#REF!</definedName>
    <definedName name="bs" localSheetId="7" hidden="1">{#N/A,#N/A,FALSE,"BBPREP"}</definedName>
    <definedName name="bs_1" localSheetId="7" hidden="1">{#N/A,#N/A,FALSE,"BBPREP"}</definedName>
    <definedName name="CCD" localSheetId="7" hidden="1">#REF!</definedName>
    <definedName name="CDE" localSheetId="7" hidden="1">#REF!</definedName>
    <definedName name="DEX" localSheetId="7" hidden="1">#REF!</definedName>
    <definedName name="EDC" localSheetId="7" hidden="1">#REF!</definedName>
    <definedName name="FAD" localSheetId="7" hidden="1">#REF!</definedName>
    <definedName name="FASD" localSheetId="7" hidden="1">#REF!</definedName>
    <definedName name="FEDC" localSheetId="7" hidden="1">#REF!</definedName>
    <definedName name="RDES" localSheetId="7" hidden="1">#REF!</definedName>
    <definedName name="TextRefCopyRangeCount" localSheetId="7" hidden="1">136</definedName>
    <definedName name="VFE" localSheetId="7" hidden="1">#REF!</definedName>
    <definedName name="XAP" localSheetId="7" hidden="1">#REF!</definedName>
    <definedName name="XAQ" localSheetId="7" hidden="1">#REF!</definedName>
    <definedName name="XCD" localSheetId="7" hidden="1">#REF!</definedName>
    <definedName name="XREF_COLUMN_1" localSheetId="7" hidden="1">#REF!</definedName>
    <definedName name="XREF_COLUMN_2" localSheetId="7" hidden="1">#REF!</definedName>
    <definedName name="XREF_COLUMN_3" localSheetId="7" hidden="1">#REF!</definedName>
    <definedName name="XREF_COLUMN_5" localSheetId="7" hidden="1">#REF!</definedName>
    <definedName name="XRefActiveRow" localSheetId="7" hidden="1">#REF!</definedName>
    <definedName name="XRefCopy1" localSheetId="7" hidden="1">#REF!</definedName>
    <definedName name="XRefCopy1Row" localSheetId="7" hidden="1">#REF!</definedName>
    <definedName name="XRefCopy2Row" localSheetId="7" hidden="1">#REF!</definedName>
    <definedName name="XRefPaste1" localSheetId="7" hidden="1">#REF!</definedName>
    <definedName name="XRefPaste1Row" localSheetId="7" hidden="1">#REF!</definedName>
    <definedName name="XRefPaste2" localSheetId="7" hidden="1">#REF!</definedName>
    <definedName name="XRefPaste2Row" localSheetId="7" hidden="1">#REF!</definedName>
    <definedName name="XRefPaste3" localSheetId="7" hidden="1">#REF!</definedName>
    <definedName name="XRefPaste3Row" localSheetId="7" hidden="1">#REF!</definedName>
    <definedName name="本循环科目" localSheetId="7" hidden="1">#REF!</definedName>
    <definedName name="底稿目录" localSheetId="7" hidden="1">#REF!</definedName>
    <definedName name="新目录" localSheetId="7" hidden="1">#REF!</definedName>
    <definedName name="_xlnm.Print_Area" localSheetId="7">'调整分录汇总L5-4'!$A$1:$J$20</definedName>
    <definedName name="_xlnm.Print_Area" localSheetId="8">'未确认融资费用测算表L5-5'!$A$1:$K$26</definedName>
    <definedName name="_xlnm.Print_Area" localSheetId="9">'关联方及交易检查表L5-6'!$A$1:$O$17</definedName>
    <definedName name="_xlnm.Print_Area" localSheetId="10">'长期应付款检查表L5-7'!$A$1:$P$27</definedName>
  </definedNames>
  <calcPr calcId="162913" fullCalcOnLoad="1"/>
</workbook>
</file>

<file path=xl/styles.xml><?xml version="1.0" encoding="utf-8"?>
<styleSheet xmlns="http://schemas.openxmlformats.org/spreadsheetml/2006/main">
  <numFmts count="53">
    <numFmt numFmtId="164" formatCode="_([$€-2]* #,##0.00_);_([$€-2]* \(#,##0.00\);_([$€-2]* &quot;-&quot;??_)"/>
    <numFmt numFmtId="165" formatCode="_ * #,##0.00_ ;_ * \-#,##0.00_ ;_ * &quot;-&quot;??_ ;_ @_ "/>
    <numFmt numFmtId="166" formatCode="0.0000%"/>
    <numFmt numFmtId="167" formatCode="_-#,##0_-;\(#,##0\);_-\ \ &quot;-&quot;_-;_-@_-"/>
    <numFmt numFmtId="168" formatCode="_-#,##0.00_-;\(#,##0.00\);_-\ \ &quot;-&quot;_-;_-@_-"/>
    <numFmt numFmtId="169" formatCode="mmm/dd/yyyy;_-\ &quot;N/A&quot;_-;_-\ &quot;-&quot;_-"/>
    <numFmt numFmtId="170" formatCode="mmm/yyyy;_-\ &quot;N/A&quot;_-;_-\ &quot;-&quot;_-"/>
    <numFmt numFmtId="171" formatCode="_-#,##0%_-;\(#,##0%\);_-\ &quot;-&quot;_-"/>
    <numFmt numFmtId="172" formatCode="_-#,###,_-;\(#,###,\);_-\ \ &quot;-&quot;_-;_-@_-"/>
    <numFmt numFmtId="173" formatCode="_-#,###.00,_-;\(#,###.00,\);_-\ \ &quot;-&quot;_-;_-@_-"/>
    <numFmt numFmtId="174" formatCode="_-#0&quot;.&quot;0,_-;\(#0&quot;.&quot;0,\);_-\ \ &quot;-&quot;_-;_-@_-"/>
    <numFmt numFmtId="175" formatCode="_-#0&quot;.&quot;0000_-;\(#0&quot;.&quot;0000\);_-\ \ &quot;-&quot;_-;_-@_-"/>
    <numFmt numFmtId="176" formatCode="_-* #,##0.0000000000_-;\-* #,##0.0000000000_-;_-* &quot;-&quot;??_-;_-@_-"/>
    <numFmt numFmtId="177" formatCode="0.0%"/>
    <numFmt numFmtId="178" formatCode="\¥#,##0;\-\¥#,##0"/>
    <numFmt numFmtId="179" formatCode="#.\ \ "/>
    <numFmt numFmtId="180" formatCode="##.\ \ "/>
    <numFmt numFmtId="181" formatCode="&quot;$&quot;#,##0_);\(&quot;$&quot;#,##0\)"/>
    <numFmt numFmtId="182" formatCode="#,##0;\-#,##0;&quot;-&quot;"/>
    <numFmt numFmtId="183" formatCode="#,##0.0_);\(#,##0.0\)"/>
    <numFmt numFmtId="184" formatCode="_(* #,##0.0000_);_(* \(#,##0.0000\);_(* &quot;-&quot;??_);_(@_)"/>
    <numFmt numFmtId="185" formatCode="mmmm\ d\,\ yyyy"/>
    <numFmt numFmtId="186" formatCode="#,##0\ &quot;FB&quot;;\-#,##0\ &quot;FB&quot;"/>
    <numFmt numFmtId="187" formatCode="_(&quot;$&quot;* #,##0.00_);_(&quot;$&quot;* \(#,##0.00\);_(&quot;$&quot;* &quot;-&quot;??_);_(@_)"/>
    <numFmt numFmtId="188" formatCode="0.0%;\(0.0%\)"/>
    <numFmt numFmtId="189" formatCode="&quot;$&quot;#,##0;[Red]&quot;$&quot;&quot;$&quot;&quot;$&quot;&quot;$&quot;&quot;$&quot;&quot;$&quot;&quot;$&quot;\-#,##0"/>
    <numFmt numFmtId="190" formatCode="#,##0;\(#,##0\)"/>
    <numFmt numFmtId="191" formatCode="&quot;$&quot;#,##0.00_);\(&quot;$&quot;#,##0.00\)"/>
    <numFmt numFmtId="192" formatCode="&quot;\&quot;#,##0.00;&quot;\&quot;&quot;\&quot;&quot;\&quot;&quot;\&quot;&quot;\&quot;&quot;\&quot;&quot;\&quot;&quot;\&quot;\-#,##0.00"/>
    <numFmt numFmtId="193" formatCode="\$#,##0.00;\(\$#,##0.00\)"/>
    <numFmt numFmtId="194" formatCode="#,##0.000000"/>
    <numFmt numFmtId="195" formatCode="\$#,##0;\(\$#,##0\)"/>
    <numFmt numFmtId="196" formatCode="&quot;\&quot;#,##0;&quot;\&quot;&quot;\&quot;\-#,##0"/>
    <numFmt numFmtId="197" formatCode="&quot;?#,##0;\-&quot;?#,##0"/>
    <numFmt numFmtId="198" formatCode="_-* #,##0\¥_-;\-* #,##0\¥_-;_-* &quot;-&quot;\¥_-;_-@_-"/>
    <numFmt numFmtId="199" formatCode="_-* #,##0.00\ _B_E_F_-;\-* #,##0.00\ _B_E_F_-;_-* &quot;-&quot;??\ _B_E_F_-;_-@_-"/>
    <numFmt numFmtId="200" formatCode="&quot;$&quot;#,##0;\-&quot;$&quot;#,##0"/>
    <numFmt numFmtId="201" formatCode="#,##0&quot; $&quot;;[Red]\-#,##0&quot; $&quot;"/>
    <numFmt numFmtId="202" formatCode="#,##0.00\ &quot;FB&quot;;\-#,##0.00\ &quot;FB&quot;"/>
    <numFmt numFmtId="203" formatCode="#,##0.00\ &quot;FB&quot;;[Red]\-#,##0.00\ &quot;FB&quot;"/>
    <numFmt numFmtId="204" formatCode="_-* #,##0\ _k_r_-;\-* #,##0\ _k_r_-;_-* &quot;-&quot;\ _k_r_-;_-@_-"/>
    <numFmt numFmtId="205" formatCode="_-* #,##0.00\ _k_r_-;\-* #,##0.00\ _k_r_-;_-* &quot;-&quot;??\ _k_r_-;_-@_-"/>
    <numFmt numFmtId="206" formatCode="#,##0.00_);#,##0.00\)"/>
    <numFmt numFmtId="207" formatCode="0.00000&quot;  &quot;"/>
    <numFmt numFmtId="208" formatCode="_-* #,##0_-;\-* #,##0_-;_-* &quot;-&quot;_-;_-@_-"/>
    <numFmt numFmtId="209" formatCode="_-* #,##0.00_-;\-* #,##0.00_-;_-* &quot;-&quot;??_-;_-@_-"/>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34">
    <font>
      <name val="宋体"/>
      <charset val="134"/>
      <sz val="12"/>
    </font>
    <font>
      <name val="宋体"/>
      <charset val="134"/>
      <family val="2"/>
      <color theme="1"/>
      <sz val="11"/>
      <scheme val="minor"/>
    </font>
    <font>
      <name val="Arial Narrow"/>
      <family val="2"/>
      <b val="1"/>
      <sz val="12"/>
    </font>
    <font>
      <name val="Arial Narrow"/>
      <family val="2"/>
      <sz val="10"/>
    </font>
    <font>
      <name val="Arial Narrow"/>
      <family val="2"/>
      <sz val="12"/>
    </font>
    <font>
      <name val="Arial Narrow"/>
      <family val="2"/>
      <b val="1"/>
      <sz val="14"/>
    </font>
    <font>
      <name val="Arial Narrow"/>
      <family val="2"/>
      <b val="1"/>
      <sz val="10"/>
    </font>
    <font>
      <name val="宋体"/>
      <charset val="134"/>
      <family val="3"/>
      <sz val="10"/>
    </font>
    <font>
      <name val="Arial Narrow"/>
      <family val="2"/>
      <b val="1"/>
      <color indexed="10"/>
      <sz val="10"/>
      <u val="single"/>
    </font>
    <font>
      <name val="宋体"/>
      <charset val="134"/>
      <family val="3"/>
      <b val="1"/>
      <sz val="10"/>
    </font>
    <font>
      <name val="Arial Narrow"/>
      <family val="2"/>
      <color indexed="12"/>
      <sz val="10"/>
    </font>
    <font>
      <name val="Arial Narrow"/>
      <family val="2"/>
      <color rgb="FFFF0000"/>
      <sz val="10"/>
    </font>
    <font>
      <name val="Arial Narrow"/>
      <family val="2"/>
      <color rgb="FF0432FF"/>
      <sz val="10"/>
    </font>
    <font>
      <name val="Arial Narrow"/>
      <family val="2"/>
      <color indexed="12"/>
      <sz val="12"/>
      <u val="single"/>
    </font>
    <font>
      <name val="宋体"/>
      <charset val="134"/>
      <family val="3"/>
      <sz val="10"/>
    </font>
    <font>
      <name val="宋体"/>
      <charset val="134"/>
      <family val="3"/>
      <b val="1"/>
      <sz val="14"/>
    </font>
    <font>
      <name val="Arial Narrow"/>
      <family val="2"/>
      <color rgb="FF0000FF"/>
      <sz val="10"/>
    </font>
    <font>
      <name val="Arial Narrow"/>
      <family val="2"/>
      <i val="1"/>
      <color indexed="12"/>
      <sz val="10"/>
    </font>
    <font>
      <name val="Arial Narrow"/>
      <family val="2"/>
      <b val="1"/>
      <color indexed="12"/>
      <sz val="10"/>
    </font>
    <font>
      <name val="Arial Narrow"/>
      <family val="2"/>
      <sz val="9"/>
    </font>
    <font>
      <name val="Arial Narrow"/>
      <family val="2"/>
      <b val="1"/>
      <sz val="9"/>
    </font>
    <font>
      <name val="宋体"/>
      <charset val="134"/>
      <family val="3"/>
      <b val="1"/>
      <sz val="9"/>
    </font>
    <font>
      <name val="宋体"/>
      <charset val="134"/>
      <family val="3"/>
      <color indexed="12"/>
      <sz val="12"/>
      <u val="single"/>
    </font>
    <font>
      <name val="宋体"/>
      <charset val="134"/>
      <family val="3"/>
      <sz val="12"/>
    </font>
    <font>
      <name val="宋体"/>
      <charset val="134"/>
      <family val="3"/>
      <b val="1"/>
      <color indexed="8"/>
      <sz val="10"/>
    </font>
    <font>
      <name val="宋体"/>
      <charset val="134"/>
      <family val="3"/>
      <b val="1"/>
      <color rgb="FFE92841"/>
      <sz val="10"/>
    </font>
    <font>
      <name val="Arial Narrow"/>
      <family val="2"/>
      <color indexed="8"/>
      <sz val="10"/>
    </font>
    <font>
      <name val="宋体"/>
      <charset val="134"/>
      <family val="3"/>
      <color rgb="FF000000"/>
      <sz val="10"/>
    </font>
    <font>
      <name val="Arial Narrow"/>
      <family val="2"/>
      <i val="1"/>
      <color indexed="12"/>
      <sz val="10"/>
      <u val="single"/>
    </font>
    <font>
      <name val="仿宋_GB2312"/>
      <charset val="134"/>
      <color indexed="12"/>
      <sz val="10"/>
    </font>
    <font>
      <name val="Arial Narrow"/>
      <family val="2"/>
      <b val="1"/>
      <color indexed="8"/>
      <sz val="10"/>
    </font>
    <font>
      <name val="宋体"/>
      <charset val="134"/>
      <family val="3"/>
      <b val="1"/>
      <color rgb="FF000000"/>
      <sz val="10"/>
    </font>
    <font>
      <name val="宋体"/>
      <charset val="134"/>
      <family val="3"/>
      <b val="1"/>
      <color indexed="12"/>
      <sz val="10"/>
    </font>
    <font>
      <name val="Arial Narrow"/>
      <family val="2"/>
      <b val="1"/>
      <color rgb="FF000000"/>
      <sz val="12"/>
    </font>
    <font>
      <name val="Arial Narrow"/>
      <family val="2"/>
      <color rgb="FF000000"/>
      <sz val="12"/>
    </font>
    <font>
      <name val="Arial Narrow"/>
      <family val="2"/>
      <color theme="1"/>
      <sz val="10"/>
    </font>
    <font>
      <name val="Arial Narrow"/>
      <family val="2"/>
      <color theme="1"/>
      <sz val="11"/>
    </font>
    <font>
      <name val="宋体"/>
      <charset val="134"/>
      <family val="3"/>
      <b val="1"/>
      <sz val="10"/>
    </font>
    <font>
      <name val="Arial Narrow"/>
      <family val="2"/>
      <b val="1"/>
      <color theme="1"/>
      <sz val="10"/>
    </font>
    <font>
      <name val="宋体"/>
      <charset val="134"/>
      <family val="3"/>
      <color indexed="8"/>
      <sz val="10"/>
    </font>
    <font>
      <name val="宋体"/>
      <charset val="134"/>
      <family val="3"/>
      <color theme="1"/>
      <sz val="10"/>
    </font>
    <font>
      <name val="宋体"/>
      <charset val="134"/>
      <family val="3"/>
      <color indexed="8"/>
      <sz val="10"/>
    </font>
    <font>
      <name val="宋体"/>
      <charset val="134"/>
      <family val="3"/>
      <b val="1"/>
      <color theme="1"/>
      <sz val="10"/>
    </font>
    <font>
      <name val="宋体"/>
      <charset val="134"/>
      <family val="3"/>
      <color indexed="12"/>
      <sz val="10"/>
    </font>
    <font>
      <name val="宋体"/>
      <charset val="134"/>
      <family val="3"/>
      <b val="1"/>
      <sz val="12"/>
    </font>
    <font>
      <name val="Arial"/>
      <family val="2"/>
      <sz val="10"/>
    </font>
    <font>
      <name val="Arial"/>
      <family val="2"/>
      <color indexed="10"/>
      <sz val="10"/>
    </font>
    <font>
      <name val="Arial"/>
      <family val="2"/>
      <sz val="12"/>
    </font>
    <font>
      <name val="Arial"/>
      <family val="2"/>
      <sz val="10.5"/>
    </font>
    <font>
      <name val="宋体"/>
      <charset val="134"/>
      <family val="3"/>
      <sz val="10.5"/>
    </font>
    <font>
      <name val="Arial"/>
      <family val="2"/>
      <b val="1"/>
      <color indexed="10"/>
      <sz val="10"/>
    </font>
    <font>
      <name val="Arial"/>
      <family val="2"/>
      <b val="1"/>
      <sz val="12"/>
    </font>
    <font>
      <name val="宋体"/>
      <charset val="134"/>
      <family val="3"/>
      <color rgb="FF800080"/>
      <sz val="12"/>
      <u val="single"/>
    </font>
    <font>
      <name val="Times New Roman"/>
      <family val="1"/>
      <sz val="10"/>
    </font>
    <font>
      <name val="Arial"/>
      <family val="2"/>
      <color indexed="8"/>
      <sz val="10"/>
    </font>
    <font>
      <name val="Helv"/>
      <family val="2"/>
      <sz val="10"/>
    </font>
    <font>
      <name val="Times New Roman"/>
      <family val="1"/>
      <sz val="10"/>
      <u val="singleAccounting"/>
      <vertAlign val="subscript"/>
    </font>
    <font>
      <name val="Times New Roman"/>
      <family val="1"/>
      <i val="1"/>
      <sz val="9"/>
    </font>
    <font>
      <name val="Tms Rmn"/>
      <family val="1"/>
      <sz val="13"/>
    </font>
    <font>
      <name val="Book Antiqua"/>
      <family val="1"/>
      <sz val="10"/>
    </font>
    <font>
      <name val="Book Antiqua"/>
      <family val="1"/>
      <b val="1"/>
      <sz val="10"/>
    </font>
    <font>
      <name val="宋体"/>
      <charset val="134"/>
      <family val="3"/>
      <color indexed="9"/>
      <sz val="12"/>
    </font>
    <font>
      <name val="宋体"/>
      <charset val="134"/>
      <family val="3"/>
      <color indexed="8"/>
      <sz val="12"/>
    </font>
    <font>
      <name val="Times New Roman"/>
      <family val="1"/>
      <sz val="8"/>
    </font>
    <font>
      <name val="Helv"/>
      <family val="2"/>
      <sz val="7"/>
    </font>
    <font>
      <name val="MS Sans Serif"/>
      <family val="1"/>
      <b val="1"/>
      <sz val="10"/>
    </font>
    <font>
      <name val="Helv"/>
      <family val="2"/>
      <b val="1"/>
      <sz val="10"/>
    </font>
    <font>
      <name val="Tms Rmn"/>
      <family val="1"/>
      <b val="1"/>
      <sz val="13"/>
    </font>
    <font>
      <name val="Arial"/>
      <family val="2"/>
      <b val="1"/>
      <sz val="8"/>
    </font>
    <font>
      <name val="MS Serif"/>
      <family val="1"/>
      <sz val="10"/>
    </font>
    <font>
      <name val="Courier"/>
      <family val="3"/>
      <sz val="10"/>
    </font>
    <font>
      <name val="MS Serif"/>
      <family val="1"/>
      <color indexed="16"/>
      <sz val="10"/>
    </font>
    <font>
      <name val="Times New Roman"/>
      <family val="1"/>
      <sz val="9"/>
    </font>
    <font>
      <name val="Arial"/>
      <family val="2"/>
      <sz val="8"/>
    </font>
    <font>
      <name val="Arial"/>
      <family val="2"/>
      <color indexed="36"/>
      <sz val="7.5"/>
      <u val="single"/>
    </font>
    <font>
      <name val="Helv"/>
      <family val="2"/>
      <b val="1"/>
      <sz val="12"/>
    </font>
    <font>
      <name val="Arial"/>
      <family val="2"/>
      <color indexed="12"/>
      <sz val="7.5"/>
      <u val="single"/>
    </font>
    <font>
      <name val="Helv"/>
      <family val="2"/>
      <sz val="12"/>
    </font>
    <font>
      <name val="Helv"/>
      <family val="2"/>
      <color indexed="9"/>
      <sz val="12"/>
    </font>
    <font>
      <name val="Helv"/>
      <family val="2"/>
      <b val="1"/>
      <sz val="11"/>
    </font>
    <font>
      <name val="MS Sans Serif"/>
      <family val="2"/>
      <color indexed="8"/>
      <sz val="10"/>
    </font>
    <font>
      <name val="Tms Rmn"/>
      <family val="1"/>
      <sz val="10"/>
    </font>
    <font>
      <name val="MS Sans Serif"/>
      <family val="2"/>
      <sz val="10"/>
    </font>
    <font>
      <name val="Helv"/>
      <family val="2"/>
      <color indexed="10"/>
      <sz val="7"/>
    </font>
    <font>
      <name val="Century Schoolbook"/>
      <family val="1"/>
      <color indexed="16"/>
      <sz val="8"/>
    </font>
    <font>
      <name val="Times New Roman"/>
      <family val="1"/>
      <sz val="12"/>
    </font>
    <font>
      <name val="Arial"/>
      <family val="2"/>
      <b val="1"/>
      <color indexed="8"/>
      <sz val="10"/>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Helv"/>
      <family val="2"/>
      <b val="1"/>
      <color indexed="8"/>
      <sz val="8"/>
    </font>
    <font>
      <name val="Times New Roman"/>
      <family val="1"/>
      <b val="1"/>
      <sz val="9"/>
    </font>
    <font>
      <name val="明朝"/>
      <family val="2"/>
      <sz val="11"/>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color indexed="20"/>
      <sz val="12"/>
    </font>
    <font>
      <name val="宋体"/>
      <charset val="134"/>
      <family val="3"/>
      <color theme="1"/>
      <sz val="11"/>
      <scheme val="minor"/>
    </font>
    <font>
      <name val="宋体"/>
      <charset val="134"/>
      <family val="3"/>
      <color theme="1"/>
      <sz val="11"/>
      <scheme val="minor"/>
    </font>
    <font>
      <name val="Times New Roman"/>
      <family val="1"/>
      <color indexed="12"/>
      <sz val="9"/>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charset val="134"/>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宋体"/>
      <charset val="134"/>
      <family val="3"/>
      <b val="1"/>
      <color rgb="FF0000FF"/>
      <sz val="12"/>
    </font>
    <font>
      <name val="宋体"/>
      <charset val="134"/>
      <family val="3"/>
      <b val="1"/>
      <color rgb="FF000000"/>
      <sz val="12"/>
    </font>
    <font>
      <name val="宋体"/>
      <charset val="134"/>
      <family val="3"/>
      <color indexed="10"/>
      <sz val="10"/>
    </font>
    <font>
      <name val="Arial Narrow"/>
      <family val="2"/>
      <color indexed="10"/>
      <sz val="10"/>
    </font>
    <font>
      <name val="宋体"/>
      <charset val="134"/>
      <family val="3"/>
      <color rgb="FF0000FF"/>
      <sz val="10"/>
    </font>
    <font>
      <name val="宋体"/>
      <charset val="134"/>
      <family val="3"/>
      <b val="1"/>
      <color rgb="FFFF0000"/>
      <sz val="10"/>
    </font>
    <font>
      <name val="宋体"/>
      <charset val="134"/>
      <family val="3"/>
      <color rgb="FFFF0000"/>
      <sz val="10"/>
    </font>
    <font>
      <name val="宋体"/>
      <charset val="134"/>
      <family val="3"/>
      <color rgb="FF000000"/>
      <sz val="12"/>
    </font>
    <font>
      <name val="宋体"/>
      <charset val="134"/>
      <family val="3"/>
      <sz val="9"/>
    </font>
    <font>
      <name val="宋体"/>
      <charset val="134"/>
      <family val="3"/>
      <color rgb="FF0000FF"/>
      <sz val="12"/>
    </font>
    <font>
      <name val="Tahoma"/>
      <family val="2"/>
      <sz val="9"/>
    </font>
    <font>
      <name val="Tahoma"/>
      <family val="2"/>
      <b val="1"/>
      <sz val="9"/>
    </font>
    <font>
      <name val="宋体"/>
      <charset val="134"/>
      <family val="2"/>
      <sz val="9"/>
      <scheme val="minor"/>
    </font>
    <font>
      <name val="宋体"/>
      <charset val="134"/>
      <family val="3"/>
      <b val="1"/>
      <color indexed="81"/>
      <sz val="9"/>
    </font>
    <font>
      <name val="宋体"/>
      <charset val="134"/>
      <family val="3"/>
      <color indexed="81"/>
      <sz val="9"/>
    </font>
    <font>
      <name val="宋体"/>
      <charset val="134"/>
      <family val="3"/>
      <b val="1"/>
      <color rgb="FF0000FF"/>
      <sz val="10"/>
    </font>
  </fonts>
  <fills count="51">
    <fill>
      <patternFill/>
    </fill>
    <fill>
      <patternFill patternType="gray125"/>
    </fill>
    <fill>
      <patternFill patternType="solid">
        <fgColor theme="7" tint="0.7999511703848384"/>
        <bgColor indexed="64"/>
      </patternFill>
    </fill>
    <fill>
      <patternFill patternType="solid">
        <fgColor theme="7" tint="0.7999511703848384"/>
        <bgColor rgb="FFB7DEE8"/>
      </patternFill>
    </fill>
    <fill>
      <patternFill patternType="solid">
        <fgColor rgb="FFE4DFEC"/>
        <bgColor indexed="64"/>
      </patternFill>
    </fill>
    <fill>
      <patternFill patternType="solid">
        <fgColor theme="0"/>
        <bgColor indexed="64"/>
      </patternFill>
    </fill>
    <fill>
      <patternFill patternType="solid">
        <fgColor rgb="FFD9D9D9"/>
        <bgColor indexed="64"/>
      </patternFill>
    </fill>
    <fill>
      <patternFill patternType="solid">
        <fgColor indexed="14"/>
        <bgColor indexed="64"/>
      </patternFill>
    </fill>
    <fill>
      <patternFill patternType="solid">
        <fgColor indexed="65"/>
        <bgColor indexed="64"/>
      </patternFill>
    </fill>
    <fill>
      <patternFill patternType="gray0625">
        <fgColor indexed="10"/>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13"/>
        <bgColor indexed="64"/>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4"/>
        <bgColor indexed="64"/>
      </patternFill>
    </fill>
    <fill>
      <patternFill patternType="solid">
        <fgColor indexed="45"/>
        <bgColor indexed="45"/>
      </patternFill>
    </fill>
    <fill>
      <patternFill patternType="solid">
        <fgColor indexed="56"/>
        <bgColor indexed="64"/>
      </patternFill>
    </fill>
    <fill>
      <patternFill patternType="solid">
        <fgColor indexed="42"/>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
        <bgColor indexed="64"/>
      </patternFill>
    </fill>
  </fills>
  <borders count="38">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diagonal/>
    </border>
    <border>
      <left style="hair">
        <color auto="1"/>
      </left>
      <right style="hair">
        <color auto="1"/>
      </right>
      <top/>
      <bottom/>
      <diagonal/>
    </border>
    <border>
      <left/>
      <right style="hair">
        <color auto="1"/>
      </right>
      <top style="hair">
        <color auto="1"/>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style="hair">
        <color indexed="8"/>
      </left>
      <right style="hair">
        <color indexed="8"/>
      </right>
      <top style="hair">
        <color indexed="8"/>
      </top>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hair">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auto="1"/>
      </top>
      <bottom style="double">
        <color auto="1"/>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hair">
        <color indexed="8"/>
      </top>
      <bottom/>
      <diagonal/>
    </border>
    <border>
      <left/>
      <right style="hair">
        <color indexed="8"/>
      </right>
      <top style="hair">
        <color indexed="8"/>
      </top>
      <bottom/>
      <diagonal/>
    </border>
    <border>
      <left style="hair">
        <color indexed="8"/>
      </left>
      <right/>
      <top/>
      <bottom/>
      <diagonal/>
    </border>
    <border>
      <left style="hair">
        <color indexed="8"/>
      </left>
      <right style="hair">
        <color indexed="8"/>
      </right>
      <top/>
      <bottom/>
      <diagonal/>
    </border>
  </borders>
  <cellStyleXfs count="453">
    <xf numFmtId="0" fontId="0" fillId="0" borderId="0" applyProtection="1">
      <protection locked="0" hidden="0"/>
    </xf>
    <xf numFmtId="43" fontId="23" fillId="0" borderId="0"/>
    <xf numFmtId="9" fontId="23" fillId="0" borderId="0"/>
    <xf numFmtId="0" fontId="22" fillId="0" borderId="0" applyAlignment="1" applyProtection="1">
      <alignment vertical="top"/>
      <protection locked="0" hidden="0"/>
    </xf>
    <xf numFmtId="0" fontId="45" fillId="0" borderId="0"/>
    <xf numFmtId="49" fontId="53" fillId="0" borderId="0" applyAlignment="1">
      <alignment horizontal="left"/>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5" fillId="0" borderId="0"/>
    <xf numFmtId="0" fontId="55" fillId="0" borderId="0"/>
    <xf numFmtId="0" fontId="55" fillId="0" borderId="0"/>
    <xf numFmtId="0" fontId="55" fillId="0" borderId="0"/>
    <xf numFmtId="0" fontId="55" fillId="0" borderId="0"/>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4" fillId="0" borderId="0" applyAlignment="1">
      <alignment vertical="top"/>
    </xf>
    <xf numFmtId="0" fontId="55" fillId="0" borderId="0"/>
    <xf numFmtId="0" fontId="55" fillId="0" borderId="0"/>
    <xf numFmtId="0" fontId="55" fillId="0" borderId="0"/>
    <xf numFmtId="0" fontId="55" fillId="0" borderId="0"/>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4" fillId="0" borderId="0" applyAlignment="1">
      <alignment vertical="top"/>
    </xf>
    <xf numFmtId="0" fontId="55" fillId="0" borderId="0"/>
    <xf numFmtId="0" fontId="55" fillId="0" borderId="0"/>
    <xf numFmtId="0" fontId="55" fillId="0" borderId="0"/>
    <xf numFmtId="0" fontId="55" fillId="0" borderId="0"/>
    <xf numFmtId="167" fontId="53" fillId="0" borderId="0" applyAlignment="1">
      <alignment horizontal="right"/>
    </xf>
    <xf numFmtId="168" fontId="53" fillId="0" borderId="0" applyAlignment="1">
      <alignment horizontal="right"/>
    </xf>
    <xf numFmtId="169" fontId="56" fillId="0" borderId="0" applyAlignment="1">
      <alignment horizontal="center"/>
    </xf>
    <xf numFmtId="170" fontId="56" fillId="0" borderId="0" applyAlignment="1">
      <alignment horizontal="center"/>
    </xf>
    <xf numFmtId="171" fontId="57" fillId="0" borderId="0" applyAlignment="1">
      <alignment horizontal="right"/>
    </xf>
    <xf numFmtId="172" fontId="53" fillId="0" borderId="0" applyAlignment="1">
      <alignment horizontal="right"/>
    </xf>
    <xf numFmtId="173" fontId="53" fillId="0" borderId="0" applyAlignment="1">
      <alignment horizontal="right"/>
    </xf>
    <xf numFmtId="174" fontId="53" fillId="0" borderId="0" applyAlignment="1">
      <alignment horizontal="right"/>
    </xf>
    <xf numFmtId="175" fontId="53" fillId="0" borderId="0" applyAlignment="1">
      <alignment horizontal="right"/>
    </xf>
    <xf numFmtId="176" fontId="23" fillId="0" borderId="0"/>
    <xf numFmtId="177" fontId="58" fillId="0" borderId="0"/>
    <xf numFmtId="10" fontId="58" fillId="0" borderId="0"/>
    <xf numFmtId="178" fontId="23" fillId="0" borderId="0"/>
    <xf numFmtId="0" fontId="59" fillId="0" borderId="23" applyAlignment="1">
      <alignment horizontal="center"/>
    </xf>
    <xf numFmtId="0" fontId="60" fillId="0" borderId="0"/>
    <xf numFmtId="0" fontId="60" fillId="0" borderId="14" applyAlignment="1" applyProtection="1">
      <alignment horizontal="center"/>
      <protection locked="0" hidden="0"/>
    </xf>
    <xf numFmtId="0" fontId="59" fillId="0" borderId="0" applyAlignment="1" applyProtection="1">
      <alignment horizontal="center"/>
      <protection locked="0" hidden="0"/>
    </xf>
    <xf numFmtId="0" fontId="59" fillId="8" borderId="0"/>
    <xf numFmtId="0" fontId="59" fillId="0" borderId="0" applyProtection="1">
      <protection locked="0" hidden="0"/>
    </xf>
    <xf numFmtId="0" fontId="59" fillId="0" borderId="0"/>
    <xf numFmtId="179" fontId="59" fillId="0" borderId="0"/>
    <xf numFmtId="180" fontId="59" fillId="0" borderId="0"/>
    <xf numFmtId="0" fontId="60" fillId="9" borderId="0" applyAlignment="1">
      <alignment horizontal="right"/>
    </xf>
    <xf numFmtId="0" fontId="59" fillId="0" borderId="0"/>
    <xf numFmtId="0" fontId="61" fillId="10" borderId="0"/>
    <xf numFmtId="0" fontId="62" fillId="11" borderId="0"/>
    <xf numFmtId="0" fontId="62" fillId="11" borderId="0"/>
    <xf numFmtId="0" fontId="61" fillId="12" borderId="0"/>
    <xf numFmtId="0" fontId="61" fillId="13" borderId="0"/>
    <xf numFmtId="0" fontId="62" fillId="14" borderId="0"/>
    <xf numFmtId="0" fontId="62" fillId="15" borderId="0"/>
    <xf numFmtId="0" fontId="61" fillId="16" borderId="0"/>
    <xf numFmtId="0" fontId="61" fillId="16" borderId="0"/>
    <xf numFmtId="0" fontId="62" fillId="14" borderId="0"/>
    <xf numFmtId="0" fontId="62" fillId="17" borderId="0"/>
    <xf numFmtId="0" fontId="61" fillId="15" borderId="0"/>
    <xf numFmtId="0" fontId="61" fillId="10" borderId="0"/>
    <xf numFmtId="0" fontId="62" fillId="11" borderId="0"/>
    <xf numFmtId="0" fontId="62" fillId="15" borderId="0"/>
    <xf numFmtId="0" fontId="61" fillId="15" borderId="0"/>
    <xf numFmtId="0" fontId="61" fillId="18" borderId="0"/>
    <xf numFmtId="0" fontId="62" fillId="19" borderId="0"/>
    <xf numFmtId="0" fontId="62" fillId="11" borderId="0"/>
    <xf numFmtId="0" fontId="61" fillId="12" borderId="0"/>
    <xf numFmtId="0" fontId="61" fillId="20" borderId="0"/>
    <xf numFmtId="0" fontId="62" fillId="14" borderId="0"/>
    <xf numFmtId="0" fontId="62" fillId="21" borderId="0"/>
    <xf numFmtId="0" fontId="61" fillId="21" borderId="0"/>
    <xf numFmtId="0" fontId="63" fillId="0" borderId="0" applyAlignment="1" applyProtection="1">
      <alignment horizontal="center" wrapText="1"/>
      <protection locked="0" hidden="0"/>
    </xf>
    <xf numFmtId="3" fontId="64" fillId="0" borderId="0"/>
    <xf numFmtId="181" fontId="65" fillId="0" borderId="24"/>
    <xf numFmtId="182" fontId="54" fillId="0" borderId="0"/>
    <xf numFmtId="183" fontId="55" fillId="0" borderId="0"/>
    <xf numFmtId="184" fontId="55" fillId="0" borderId="0"/>
    <xf numFmtId="185" fontId="45" fillId="0" borderId="0"/>
    <xf numFmtId="186" fontId="45" fillId="0" borderId="0"/>
    <xf numFmtId="187" fontId="55" fillId="0" borderId="0"/>
    <xf numFmtId="188" fontId="55" fillId="0" borderId="0"/>
    <xf numFmtId="183" fontId="55" fillId="0" borderId="0"/>
    <xf numFmtId="0" fontId="66" fillId="0" borderId="0"/>
    <xf numFmtId="0" fontId="67" fillId="0" borderId="22" applyAlignment="1">
      <alignment horizontal="center"/>
    </xf>
    <xf numFmtId="0" fontId="68" fillId="0" borderId="25" applyAlignment="1">
      <alignment horizontal="center"/>
    </xf>
    <xf numFmtId="189" fontId="45" fillId="0" borderId="0"/>
    <xf numFmtId="189" fontId="45" fillId="0" borderId="0"/>
    <xf numFmtId="189" fontId="45" fillId="0" borderId="0"/>
    <xf numFmtId="189" fontId="45" fillId="0" borderId="0"/>
    <xf numFmtId="189" fontId="45" fillId="0" borderId="0"/>
    <xf numFmtId="189" fontId="45" fillId="0" borderId="0"/>
    <xf numFmtId="189" fontId="45" fillId="0" borderId="0"/>
    <xf numFmtId="189" fontId="45" fillId="0" borderId="0"/>
    <xf numFmtId="42" fontId="23" fillId="0" borderId="0"/>
    <xf numFmtId="187" fontId="55" fillId="0" borderId="0"/>
    <xf numFmtId="190" fontId="53" fillId="0" borderId="0"/>
    <xf numFmtId="37" fontId="58" fillId="0" borderId="0"/>
    <xf numFmtId="183" fontId="58" fillId="0" borderId="0"/>
    <xf numFmtId="39" fontId="58" fillId="0" borderId="0"/>
    <xf numFmtId="0" fontId="45" fillId="0" borderId="0"/>
    <xf numFmtId="0" fontId="69" fillId="0" borderId="0" applyAlignment="1">
      <alignment horizontal="left"/>
    </xf>
    <xf numFmtId="0" fontId="70" fillId="0" borderId="0"/>
    <xf numFmtId="42" fontId="47" fillId="0" borderId="0"/>
    <xf numFmtId="183" fontId="55" fillId="0" borderId="0"/>
    <xf numFmtId="181" fontId="58" fillId="0" borderId="0"/>
    <xf numFmtId="191" fontId="58" fillId="0" borderId="0"/>
    <xf numFmtId="192" fontId="45" fillId="0" borderId="0"/>
    <xf numFmtId="193" fontId="53" fillId="0" borderId="0"/>
    <xf numFmtId="194" fontId="45" fillId="0" borderId="0" applyProtection="1">
      <protection locked="0" hidden="0"/>
    </xf>
    <xf numFmtId="14" fontId="54" fillId="0" borderId="0"/>
    <xf numFmtId="194" fontId="45" fillId="0" borderId="0" applyProtection="1">
      <protection locked="0" hidden="0"/>
    </xf>
    <xf numFmtId="41" fontId="45" fillId="0" borderId="0"/>
    <xf numFmtId="43" fontId="45" fillId="0" borderId="0"/>
    <xf numFmtId="195" fontId="53" fillId="0" borderId="0"/>
    <xf numFmtId="187" fontId="55" fillId="0" borderId="0"/>
    <xf numFmtId="183" fontId="55" fillId="0" borderId="0"/>
    <xf numFmtId="187" fontId="55" fillId="0" borderId="0"/>
    <xf numFmtId="188" fontId="55" fillId="0" borderId="0"/>
    <xf numFmtId="183" fontId="55" fillId="0" borderId="0"/>
    <xf numFmtId="0" fontId="71" fillId="0" borderId="0" applyAlignment="1">
      <alignment horizontal="left"/>
    </xf>
    <xf numFmtId="0" fontId="72" fillId="0" borderId="0" applyAlignment="1">
      <alignment horizontal="left"/>
    </xf>
    <xf numFmtId="0" fontId="73" fillId="22" borderId="23"/>
    <xf numFmtId="164" fontId="53" fillId="0" borderId="0"/>
    <xf numFmtId="194" fontId="45" fillId="0" borderId="0" applyProtection="1">
      <protection locked="0" hidden="0"/>
    </xf>
    <xf numFmtId="194" fontId="45" fillId="0" borderId="0" applyProtection="1">
      <protection locked="0" hidden="0"/>
    </xf>
    <xf numFmtId="194" fontId="45" fillId="0" borderId="0" applyProtection="1">
      <protection locked="0" hidden="0"/>
    </xf>
    <xf numFmtId="194" fontId="45" fillId="0" borderId="0" applyProtection="1">
      <protection locked="0" hidden="0"/>
    </xf>
    <xf numFmtId="194" fontId="45" fillId="0" borderId="0" applyProtection="1">
      <protection locked="0" hidden="0"/>
    </xf>
    <xf numFmtId="194" fontId="45" fillId="0" borderId="0" applyProtection="1">
      <protection locked="0" hidden="0"/>
    </xf>
    <xf numFmtId="194" fontId="45" fillId="0" borderId="0" applyProtection="1">
      <protection locked="0" hidden="0"/>
    </xf>
    <xf numFmtId="194" fontId="45" fillId="0" borderId="0" applyProtection="1">
      <protection locked="0" hidden="0"/>
    </xf>
    <xf numFmtId="0" fontId="74" fillId="0" borderId="0" applyAlignment="1" applyProtection="1">
      <alignment vertical="top"/>
      <protection locked="0" hidden="0"/>
    </xf>
    <xf numFmtId="38" fontId="73" fillId="23" borderId="0"/>
    <xf numFmtId="0" fontId="75" fillId="0" borderId="0" applyAlignment="1">
      <alignment horizontal="left"/>
    </xf>
    <xf numFmtId="0" fontId="51" fillId="0" borderId="12" applyAlignment="1">
      <alignment horizontal="left" vertical="center"/>
    </xf>
    <xf numFmtId="0" fontId="51" fillId="0" borderId="26" applyAlignment="1">
      <alignment horizontal="left" vertical="center"/>
    </xf>
    <xf numFmtId="194" fontId="45" fillId="0" borderId="0" applyProtection="1">
      <protection locked="0" hidden="0"/>
    </xf>
    <xf numFmtId="194" fontId="45" fillId="0" borderId="0" applyProtection="1">
      <protection locked="0" hidden="0"/>
    </xf>
    <xf numFmtId="0" fontId="76" fillId="0" borderId="0" applyAlignment="1" applyProtection="1">
      <alignment vertical="top"/>
      <protection locked="0" hidden="0"/>
    </xf>
    <xf numFmtId="10" fontId="73" fillId="24" borderId="23"/>
    <xf numFmtId="183" fontId="77" fillId="25" borderId="0"/>
    <xf numFmtId="187" fontId="55" fillId="0" borderId="0"/>
    <xf numFmtId="183" fontId="55" fillId="0" borderId="0"/>
    <xf numFmtId="187" fontId="55" fillId="0" borderId="0"/>
    <xf numFmtId="188" fontId="55" fillId="0" borderId="0"/>
    <xf numFmtId="183" fontId="55" fillId="0" borderId="0"/>
    <xf numFmtId="183" fontId="78" fillId="26" borderId="0"/>
    <xf numFmtId="0" fontId="45" fillId="0" borderId="0"/>
    <xf numFmtId="0" fontId="45" fillId="0" borderId="0"/>
    <xf numFmtId="0" fontId="79" fillId="0" borderId="14"/>
    <xf numFmtId="0" fontId="45" fillId="0" borderId="0"/>
    <xf numFmtId="0" fontId="45" fillId="0" borderId="0"/>
    <xf numFmtId="0" fontId="70" fillId="0" borderId="0"/>
    <xf numFmtId="196" fontId="23" fillId="0" borderId="0"/>
    <xf numFmtId="0" fontId="45" fillId="0" borderId="0"/>
    <xf numFmtId="0" fontId="80" fillId="0" borderId="0"/>
    <xf numFmtId="197" fontId="23" fillId="0" borderId="0"/>
    <xf numFmtId="198" fontId="23" fillId="0" borderId="0"/>
    <xf numFmtId="14" fontId="63" fillId="0" borderId="0" applyAlignment="1" applyProtection="1">
      <alignment horizontal="center" wrapText="1"/>
      <protection locked="0" hidden="0"/>
    </xf>
    <xf numFmtId="186" fontId="45" fillId="0" borderId="0"/>
    <xf numFmtId="199" fontId="45" fillId="0" borderId="0"/>
    <xf numFmtId="10" fontId="45" fillId="0" borderId="0"/>
    <xf numFmtId="9" fontId="55" fillId="0" borderId="0"/>
    <xf numFmtId="13" fontId="45" fillId="0" borderId="0"/>
    <xf numFmtId="0" fontId="73" fillId="23" borderId="23"/>
    <xf numFmtId="187" fontId="55" fillId="0" borderId="0"/>
    <xf numFmtId="183" fontId="55" fillId="0" borderId="0"/>
    <xf numFmtId="187" fontId="55" fillId="0" borderId="0"/>
    <xf numFmtId="188" fontId="55" fillId="0" borderId="0"/>
    <xf numFmtId="183" fontId="55" fillId="0" borderId="0"/>
    <xf numFmtId="4" fontId="72" fillId="0" borderId="0" applyAlignment="1">
      <alignment horizontal="right"/>
    </xf>
    <xf numFmtId="200" fontId="81" fillId="0" borderId="0"/>
    <xf numFmtId="0" fontId="82" fillId="0" borderId="0" applyAlignment="1">
      <alignment horizontal="left"/>
    </xf>
    <xf numFmtId="0" fontId="65" fillId="0" borderId="14" applyAlignment="1">
      <alignment horizontal="center"/>
    </xf>
    <xf numFmtId="3" fontId="83" fillId="0" borderId="0"/>
    <xf numFmtId="4" fontId="84" fillId="0" borderId="0" applyAlignment="1">
      <alignment horizontal="right"/>
    </xf>
    <xf numFmtId="201" fontId="85" fillId="0" borderId="0" applyAlignment="1">
      <alignment horizontal="left"/>
    </xf>
    <xf numFmtId="41" fontId="53" fillId="0" borderId="0"/>
    <xf numFmtId="4" fontId="86" fillId="27" borderId="27" applyAlignment="1">
      <alignment vertical="center"/>
    </xf>
    <xf numFmtId="4" fontId="87" fillId="27" borderId="27" applyAlignment="1">
      <alignment vertical="center"/>
    </xf>
    <xf numFmtId="4" fontId="86" fillId="27" borderId="27" applyAlignment="1">
      <alignment horizontal="left" vertical="center" indent="1"/>
    </xf>
    <xf numFmtId="0" fontId="86" fillId="27" borderId="27" applyAlignment="1">
      <alignment horizontal="left" vertical="top" indent="1"/>
    </xf>
    <xf numFmtId="4" fontId="86" fillId="28" borderId="0" applyAlignment="1">
      <alignment horizontal="left" vertical="center" indent="1"/>
    </xf>
    <xf numFmtId="4" fontId="54" fillId="29" borderId="27" applyAlignment="1">
      <alignment horizontal="right" vertical="center"/>
    </xf>
    <xf numFmtId="4" fontId="54" fillId="30" borderId="27" applyAlignment="1">
      <alignment horizontal="right" vertical="center"/>
    </xf>
    <xf numFmtId="4" fontId="54" fillId="31" borderId="27" applyAlignment="1">
      <alignment horizontal="right" vertical="center"/>
    </xf>
    <xf numFmtId="4" fontId="54" fillId="32" borderId="27" applyAlignment="1">
      <alignment horizontal="right" vertical="center"/>
    </xf>
    <xf numFmtId="4" fontId="54" fillId="33" borderId="27" applyAlignment="1">
      <alignment horizontal="right" vertical="center"/>
    </xf>
    <xf numFmtId="4" fontId="54" fillId="34" borderId="27" applyAlignment="1">
      <alignment horizontal="right" vertical="center"/>
    </xf>
    <xf numFmtId="4" fontId="54" fillId="35" borderId="27" applyAlignment="1">
      <alignment horizontal="right" vertical="center"/>
    </xf>
    <xf numFmtId="4" fontId="54" fillId="36" borderId="27" applyAlignment="1">
      <alignment horizontal="right" vertical="center"/>
    </xf>
    <xf numFmtId="4" fontId="54" fillId="37" borderId="27" applyAlignment="1">
      <alignment horizontal="right" vertical="center"/>
    </xf>
    <xf numFmtId="4" fontId="86" fillId="38" borderId="28" applyAlignment="1">
      <alignment horizontal="left" vertical="center" indent="1"/>
    </xf>
    <xf numFmtId="4" fontId="54" fillId="39" borderId="0" applyAlignment="1">
      <alignment horizontal="left" vertical="center" indent="1"/>
    </xf>
    <xf numFmtId="4" fontId="88" fillId="40" borderId="0" applyAlignment="1">
      <alignment horizontal="left" vertical="center" indent="1"/>
    </xf>
    <xf numFmtId="4" fontId="54" fillId="28" borderId="27" applyAlignment="1">
      <alignment horizontal="right" vertical="center"/>
    </xf>
    <xf numFmtId="4" fontId="54" fillId="39" borderId="0" applyAlignment="1">
      <alignment horizontal="left" vertical="center" indent="1"/>
    </xf>
    <xf numFmtId="4" fontId="54" fillId="28" borderId="0" applyAlignment="1">
      <alignment horizontal="left" vertical="center" indent="1"/>
    </xf>
    <xf numFmtId="0" fontId="45" fillId="40" borderId="27" applyAlignment="1">
      <alignment horizontal="left" vertical="center" indent="1"/>
    </xf>
    <xf numFmtId="0" fontId="45" fillId="40" borderId="27" applyAlignment="1">
      <alignment horizontal="left" vertical="top" indent="1"/>
    </xf>
    <xf numFmtId="0" fontId="45" fillId="28" borderId="27" applyAlignment="1">
      <alignment horizontal="left" vertical="center" indent="1"/>
    </xf>
    <xf numFmtId="0" fontId="45" fillId="28" borderId="27" applyAlignment="1">
      <alignment horizontal="left" vertical="top" indent="1"/>
    </xf>
    <xf numFmtId="0" fontId="45" fillId="41" borderId="27" applyAlignment="1">
      <alignment horizontal="left" vertical="center" indent="1"/>
    </xf>
    <xf numFmtId="0" fontId="45" fillId="41" borderId="27" applyAlignment="1">
      <alignment horizontal="left" vertical="top" indent="1"/>
    </xf>
    <xf numFmtId="0" fontId="45" fillId="39" borderId="27" applyAlignment="1">
      <alignment horizontal="left" vertical="center" indent="1"/>
    </xf>
    <xf numFmtId="0" fontId="45" fillId="39" borderId="27" applyAlignment="1">
      <alignment horizontal="left" vertical="top" indent="1"/>
    </xf>
    <xf numFmtId="4" fontId="54" fillId="24" borderId="27" applyAlignment="1">
      <alignment vertical="center"/>
    </xf>
    <xf numFmtId="4" fontId="89" fillId="24" borderId="27" applyAlignment="1">
      <alignment vertical="center"/>
    </xf>
    <xf numFmtId="4" fontId="54" fillId="24" borderId="27" applyAlignment="1">
      <alignment horizontal="left" vertical="center" indent="1"/>
    </xf>
    <xf numFmtId="0" fontId="54" fillId="24" borderId="27" applyAlignment="1">
      <alignment horizontal="left" vertical="top" indent="1"/>
    </xf>
    <xf numFmtId="4" fontId="54" fillId="39" borderId="27" applyAlignment="1">
      <alignment horizontal="right" vertical="center"/>
    </xf>
    <xf numFmtId="4" fontId="89" fillId="39" borderId="27" applyAlignment="1">
      <alignment horizontal="right" vertical="center"/>
    </xf>
    <xf numFmtId="4" fontId="54" fillId="28" borderId="27" applyAlignment="1">
      <alignment horizontal="left" vertical="center" indent="1"/>
    </xf>
    <xf numFmtId="0" fontId="54" fillId="28" borderId="27" applyAlignment="1">
      <alignment horizontal="left" vertical="top" indent="1"/>
    </xf>
    <xf numFmtId="4" fontId="90" fillId="25" borderId="0" applyAlignment="1">
      <alignment horizontal="left" vertical="center" indent="1"/>
    </xf>
    <xf numFmtId="4" fontId="46" fillId="39" borderId="27" applyAlignment="1">
      <alignment horizontal="right" vertical="center"/>
    </xf>
    <xf numFmtId="0" fontId="91" fillId="0" borderId="0" applyAlignment="1">
      <alignment horizontal="left"/>
    </xf>
    <xf numFmtId="43" fontId="73" fillId="0" borderId="2"/>
    <xf numFmtId="0" fontId="80" fillId="0" borderId="0"/>
    <xf numFmtId="0" fontId="79" fillId="0" borderId="0"/>
    <xf numFmtId="40" fontId="92" fillId="0" borderId="0" applyAlignment="1">
      <alignment horizontal="right"/>
    </xf>
    <xf numFmtId="49" fontId="54" fillId="0" borderId="0"/>
    <xf numFmtId="202" fontId="45" fillId="0" borderId="0"/>
    <xf numFmtId="203" fontId="45" fillId="0" borderId="0"/>
    <xf numFmtId="0" fontId="93" fillId="0" borderId="0" applyAlignment="1">
      <alignment horizontal="center"/>
    </xf>
    <xf numFmtId="194" fontId="45" fillId="0" borderId="29" applyProtection="1">
      <protection locked="0" hidden="0"/>
    </xf>
    <xf numFmtId="204" fontId="45" fillId="0" borderId="0"/>
    <xf numFmtId="205" fontId="45" fillId="0" borderId="0"/>
    <xf numFmtId="206" fontId="23" fillId="0" borderId="0"/>
    <xf numFmtId="207" fontId="23" fillId="0" borderId="0"/>
    <xf numFmtId="9" fontId="94" fillId="0" borderId="0"/>
    <xf numFmtId="0" fontId="85" fillId="0" borderId="0"/>
    <xf numFmtId="0" fontId="3" fillId="0" borderId="0"/>
    <xf numFmtId="208" fontId="85" fillId="0" borderId="0"/>
    <xf numFmtId="209" fontId="85" fillId="0" borderId="0"/>
    <xf numFmtId="41" fontId="45" fillId="0" borderId="0"/>
    <xf numFmtId="9" fontId="85" fillId="0" borderId="0"/>
    <xf numFmtId="9" fontId="23" fillId="0" borderId="0"/>
    <xf numFmtId="9" fontId="62" fillId="0" borderId="0" applyAlignment="1">
      <alignment vertical="center"/>
    </xf>
    <xf numFmtId="0" fontId="95" fillId="0" borderId="0"/>
    <xf numFmtId="0" fontId="95" fillId="0" borderId="0"/>
    <xf numFmtId="4" fontId="96" fillId="0" borderId="0" applyAlignment="1">
      <alignment horizontal="right"/>
    </xf>
    <xf numFmtId="0" fontId="97" fillId="0" borderId="0"/>
    <xf numFmtId="0" fontId="98" fillId="32" borderId="0" applyAlignment="1">
      <alignment vertical="center"/>
    </xf>
    <xf numFmtId="0" fontId="99" fillId="29" borderId="0" applyAlignment="1">
      <alignment vertical="center"/>
    </xf>
    <xf numFmtId="0" fontId="99" fillId="29" borderId="0" applyAlignment="1">
      <alignment vertical="center"/>
    </xf>
    <xf numFmtId="0" fontId="98" fillId="32" borderId="0" applyAlignment="1">
      <alignment vertical="center"/>
    </xf>
    <xf numFmtId="0" fontId="100" fillId="42" borderId="0"/>
    <xf numFmtId="0" fontId="99" fillId="29" borderId="0" applyAlignment="1">
      <alignment vertical="center"/>
    </xf>
    <xf numFmtId="0" fontId="99" fillId="29" borderId="0" applyAlignment="1">
      <alignment vertical="center"/>
    </xf>
    <xf numFmtId="0" fontId="99" fillId="29" borderId="0" applyAlignment="1">
      <alignment vertical="center"/>
    </xf>
    <xf numFmtId="0" fontId="99" fillId="29" borderId="0" applyAlignment="1">
      <alignment vertical="center"/>
    </xf>
    <xf numFmtId="0" fontId="99" fillId="29" borderId="0" applyAlignment="1">
      <alignment vertical="center"/>
    </xf>
    <xf numFmtId="0" fontId="99" fillId="29" borderId="0" applyAlignment="1">
      <alignment vertical="center"/>
    </xf>
    <xf numFmtId="0" fontId="99" fillId="29" borderId="0" applyAlignment="1">
      <alignment vertical="center"/>
    </xf>
    <xf numFmtId="0" fontId="99" fillId="29" borderId="0" applyAlignment="1">
      <alignment vertical="center"/>
    </xf>
    <xf numFmtId="0" fontId="98" fillId="32" borderId="0" applyAlignment="1">
      <alignment vertical="center"/>
    </xf>
    <xf numFmtId="0" fontId="98" fillId="32" borderId="0" applyAlignment="1">
      <alignment vertical="center"/>
    </xf>
    <xf numFmtId="0" fontId="101" fillId="22" borderId="0" applyAlignment="1">
      <alignment vertical="center"/>
    </xf>
    <xf numFmtId="0" fontId="99" fillId="29" borderId="0" applyAlignment="1">
      <alignment vertical="center"/>
    </xf>
    <xf numFmtId="0" fontId="102" fillId="29"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101" fillId="2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9" fillId="29" borderId="0" applyAlignment="1">
      <alignment vertical="center"/>
    </xf>
    <xf numFmtId="0" fontId="98" fillId="32" borderId="0" applyAlignment="1">
      <alignment vertical="center"/>
    </xf>
    <xf numFmtId="0" fontId="99" fillId="29"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2" borderId="0" applyAlignment="1">
      <alignment vertical="center"/>
    </xf>
    <xf numFmtId="0" fontId="98" fillId="34" borderId="0" applyAlignment="1">
      <alignment vertical="center"/>
    </xf>
    <xf numFmtId="0" fontId="98" fillId="32" borderId="0" applyAlignment="1">
      <alignment vertical="center"/>
    </xf>
    <xf numFmtId="0" fontId="98" fillId="32" borderId="0" applyAlignment="1">
      <alignment vertical="center"/>
    </xf>
    <xf numFmtId="164" fontId="104" fillId="0" borderId="0" applyAlignment="1">
      <alignment vertical="center"/>
    </xf>
    <xf numFmtId="0" fontId="23" fillId="0" borderId="0"/>
    <xf numFmtId="0" fontId="14" fillId="0" borderId="0"/>
    <xf numFmtId="0" fontId="14" fillId="0" borderId="0"/>
    <xf numFmtId="0" fontId="23" fillId="0" borderId="0" applyAlignment="1" applyProtection="1">
      <alignment vertical="center"/>
      <protection locked="0" hidden="0"/>
    </xf>
    <xf numFmtId="0" fontId="104" fillId="0" borderId="0"/>
    <xf numFmtId="0" fontId="23" fillId="0" borderId="0"/>
    <xf numFmtId="0" fontId="23" fillId="0" borderId="0" applyAlignment="1">
      <alignment vertical="center"/>
    </xf>
    <xf numFmtId="0" fontId="104" fillId="0" borderId="0"/>
    <xf numFmtId="0" fontId="23" fillId="0" borderId="0" applyProtection="1">
      <protection locked="0" hidden="0"/>
    </xf>
    <xf numFmtId="164" fontId="23" fillId="0" borderId="0" applyProtection="1">
      <protection locked="0" hidden="0"/>
    </xf>
    <xf numFmtId="0" fontId="23" fillId="0" borderId="0"/>
    <xf numFmtId="0" fontId="14" fillId="0" borderId="0"/>
    <xf numFmtId="0" fontId="14" fillId="0" borderId="0"/>
    <xf numFmtId="0" fontId="23" fillId="0" borderId="0" applyProtection="1">
      <protection locked="0" hidden="0"/>
    </xf>
    <xf numFmtId="0" fontId="14" fillId="0" borderId="0"/>
    <xf numFmtId="0" fontId="14" fillId="0" borderId="0"/>
    <xf numFmtId="164" fontId="23" fillId="0" borderId="0"/>
    <xf numFmtId="0" fontId="14" fillId="0" borderId="0"/>
    <xf numFmtId="0" fontId="23" fillId="0" borderId="0"/>
    <xf numFmtId="0" fontId="104" fillId="0" borderId="0" applyAlignment="1">
      <alignment vertical="center"/>
    </xf>
    <xf numFmtId="0" fontId="104" fillId="0" borderId="0" applyAlignment="1">
      <alignment vertical="center"/>
    </xf>
    <xf numFmtId="0" fontId="14" fillId="0" borderId="0"/>
    <xf numFmtId="0" fontId="23" fillId="0" borderId="0" applyProtection="1">
      <protection locked="0" hidden="0"/>
    </xf>
    <xf numFmtId="164" fontId="104" fillId="0" borderId="0" applyAlignment="1">
      <alignment vertical="center"/>
    </xf>
    <xf numFmtId="0" fontId="104" fillId="0" borderId="0" applyAlignment="1">
      <alignment vertical="center"/>
    </xf>
    <xf numFmtId="164" fontId="104" fillId="0" borderId="0" applyAlignment="1">
      <alignment vertical="center"/>
    </xf>
    <xf numFmtId="164" fontId="104" fillId="0" borderId="0" applyAlignment="1">
      <alignment vertical="center"/>
    </xf>
    <xf numFmtId="0" fontId="23" fillId="0" borderId="0" applyAlignment="1">
      <alignment vertical="center"/>
    </xf>
    <xf numFmtId="0" fontId="23" fillId="0" borderId="0" applyAlignment="1">
      <alignment vertical="center"/>
    </xf>
    <xf numFmtId="164" fontId="23" fillId="0" borderId="0" applyAlignment="1">
      <alignment vertical="center"/>
    </xf>
    <xf numFmtId="0" fontId="85" fillId="0" borderId="0"/>
    <xf numFmtId="0" fontId="85" fillId="0" borderId="0"/>
    <xf numFmtId="0" fontId="53" fillId="0" borderId="0" applyProtection="1">
      <protection locked="0" hidden="0"/>
    </xf>
    <xf numFmtId="0" fontId="23" fillId="0" borderId="0"/>
    <xf numFmtId="0" fontId="23" fillId="0" borderId="0"/>
    <xf numFmtId="0" fontId="23" fillId="0" borderId="0"/>
    <xf numFmtId="0" fontId="23" fillId="0" borderId="0" applyAlignment="1">
      <alignment vertical="center"/>
    </xf>
    <xf numFmtId="0" fontId="23" fillId="0" borderId="0" applyAlignment="1">
      <alignment vertical="center"/>
    </xf>
    <xf numFmtId="0" fontId="105" fillId="0" borderId="0" applyAlignment="1" applyProtection="1">
      <alignment vertical="top"/>
      <protection locked="0" hidden="0"/>
    </xf>
    <xf numFmtId="0" fontId="22" fillId="0" borderId="0" applyAlignment="1" applyProtection="1">
      <alignment vertical="top"/>
      <protection locked="0" hidden="0"/>
    </xf>
    <xf numFmtId="0" fontId="22" fillId="0" borderId="0" applyAlignment="1" applyProtection="1">
      <alignment vertical="top"/>
      <protection locked="0" hidden="0"/>
    </xf>
    <xf numFmtId="0" fontId="106" fillId="43" borderId="0" applyAlignment="1">
      <alignment vertical="center"/>
    </xf>
    <xf numFmtId="0" fontId="107" fillId="44" borderId="0" applyAlignment="1">
      <alignment vertical="center"/>
    </xf>
    <xf numFmtId="0" fontId="107" fillId="43" borderId="0" applyAlignment="1">
      <alignment vertical="center"/>
    </xf>
    <xf numFmtId="0" fontId="107" fillId="43" borderId="0" applyAlignment="1">
      <alignment vertical="center"/>
    </xf>
    <xf numFmtId="0" fontId="107" fillId="43" borderId="0" applyAlignment="1">
      <alignment vertical="center"/>
    </xf>
    <xf numFmtId="0" fontId="107" fillId="44" borderId="0" applyAlignment="1">
      <alignment vertical="center"/>
    </xf>
    <xf numFmtId="0" fontId="106" fillId="43" borderId="0" applyAlignment="1">
      <alignment vertical="center"/>
    </xf>
    <xf numFmtId="0" fontId="108" fillId="17" borderId="0"/>
    <xf numFmtId="0" fontId="107" fillId="44" borderId="0" applyAlignment="1">
      <alignment vertical="center"/>
    </xf>
    <xf numFmtId="0" fontId="107" fillId="44" borderId="0" applyAlignment="1">
      <alignment vertical="center"/>
    </xf>
    <xf numFmtId="0" fontId="107" fillId="44" borderId="0" applyAlignment="1">
      <alignment vertical="center"/>
    </xf>
    <xf numFmtId="0" fontId="107" fillId="44" borderId="0" applyAlignment="1">
      <alignment vertical="center"/>
    </xf>
    <xf numFmtId="0" fontId="107" fillId="44" borderId="0" applyAlignment="1">
      <alignment vertical="center"/>
    </xf>
    <xf numFmtId="0" fontId="107" fillId="44" borderId="0" applyAlignment="1">
      <alignment vertical="center"/>
    </xf>
    <xf numFmtId="0" fontId="107" fillId="44" borderId="0" applyAlignment="1">
      <alignment vertical="center"/>
    </xf>
    <xf numFmtId="0" fontId="107" fillId="44" borderId="0" applyAlignment="1">
      <alignment vertical="center"/>
    </xf>
    <xf numFmtId="0" fontId="107" fillId="43" borderId="0" applyAlignment="1">
      <alignment vertical="center"/>
    </xf>
    <xf numFmtId="0" fontId="106" fillId="43" borderId="0" applyAlignment="1">
      <alignment vertical="center"/>
    </xf>
    <xf numFmtId="0" fontId="107" fillId="44" borderId="0" applyAlignment="1">
      <alignment vertical="center"/>
    </xf>
    <xf numFmtId="0" fontId="108" fillId="44" borderId="0" applyAlignment="1">
      <alignment vertical="center"/>
    </xf>
    <xf numFmtId="0" fontId="106" fillId="43" borderId="0" applyAlignment="1">
      <alignment vertical="center"/>
    </xf>
    <xf numFmtId="0" fontId="107" fillId="43" borderId="0" applyAlignment="1">
      <alignment vertical="center"/>
    </xf>
    <xf numFmtId="0" fontId="106" fillId="43" borderId="0" applyAlignment="1">
      <alignment vertical="center"/>
    </xf>
    <xf numFmtId="0" fontId="106" fillId="43" borderId="0" applyAlignment="1">
      <alignment vertical="center"/>
    </xf>
    <xf numFmtId="0" fontId="106" fillId="43" borderId="0" applyAlignment="1">
      <alignment vertical="center"/>
    </xf>
    <xf numFmtId="0" fontId="109" fillId="45" borderId="0" applyAlignment="1">
      <alignment vertical="center"/>
    </xf>
    <xf numFmtId="0" fontId="106" fillId="43" borderId="0" applyAlignment="1">
      <alignment vertical="center"/>
    </xf>
    <xf numFmtId="0" fontId="109" fillId="45" borderId="0" applyAlignment="1">
      <alignment vertical="center"/>
    </xf>
    <xf numFmtId="0" fontId="107" fillId="43" borderId="0" applyAlignment="1">
      <alignment vertical="center"/>
    </xf>
    <xf numFmtId="0" fontId="106" fillId="43" borderId="0" applyAlignment="1">
      <alignment vertical="center"/>
    </xf>
    <xf numFmtId="0" fontId="106" fillId="43" borderId="0" applyAlignment="1">
      <alignment vertical="center"/>
    </xf>
    <xf numFmtId="0" fontId="107" fillId="44" borderId="0" applyAlignment="1">
      <alignment vertical="center"/>
    </xf>
    <xf numFmtId="0" fontId="106" fillId="43" borderId="0" applyAlignment="1">
      <alignment vertical="center"/>
    </xf>
    <xf numFmtId="0" fontId="107" fillId="44" borderId="0" applyAlignment="1">
      <alignment vertical="center"/>
    </xf>
    <xf numFmtId="0" fontId="106" fillId="43" borderId="0" applyAlignment="1">
      <alignment vertical="center"/>
    </xf>
    <xf numFmtId="0" fontId="107" fillId="43" borderId="0" applyAlignment="1">
      <alignment vertical="center"/>
    </xf>
    <xf numFmtId="0" fontId="106" fillId="43" borderId="0" applyAlignment="1">
      <alignment vertical="center"/>
    </xf>
    <xf numFmtId="0" fontId="107" fillId="43" borderId="0" applyAlignment="1">
      <alignment vertical="center"/>
    </xf>
    <xf numFmtId="0" fontId="106" fillId="43" borderId="0" applyAlignment="1">
      <alignment vertical="center"/>
    </xf>
    <xf numFmtId="0" fontId="106" fillId="43" borderId="0" applyAlignment="1">
      <alignment vertical="center"/>
    </xf>
    <xf numFmtId="0" fontId="106" fillId="43" borderId="0" applyAlignment="1">
      <alignment vertical="center"/>
    </xf>
    <xf numFmtId="0" fontId="106" fillId="43" borderId="0" applyAlignment="1">
      <alignment vertical="center"/>
    </xf>
    <xf numFmtId="0" fontId="107" fillId="43" borderId="0" applyAlignment="1">
      <alignment vertical="center"/>
    </xf>
    <xf numFmtId="0" fontId="106" fillId="43" borderId="0" applyAlignment="1">
      <alignment vertical="center"/>
    </xf>
    <xf numFmtId="0" fontId="106" fillId="43" borderId="0" applyAlignment="1">
      <alignment vertical="center"/>
    </xf>
    <xf numFmtId="0" fontId="107" fillId="43" borderId="0" applyAlignment="1">
      <alignment vertical="center"/>
    </xf>
    <xf numFmtId="0" fontId="106" fillId="43" borderId="0" applyAlignment="1">
      <alignment vertical="center"/>
    </xf>
    <xf numFmtId="0" fontId="106" fillId="43" borderId="0" applyAlignment="1">
      <alignment vertical="center"/>
    </xf>
    <xf numFmtId="0" fontId="107" fillId="43" borderId="0" applyAlignment="1">
      <alignment vertical="center"/>
    </xf>
    <xf numFmtId="0" fontId="106" fillId="43" borderId="0" applyAlignment="1">
      <alignment vertical="center"/>
    </xf>
    <xf numFmtId="0" fontId="107" fillId="46" borderId="0" applyAlignment="1">
      <alignment vertical="center"/>
    </xf>
    <xf numFmtId="0" fontId="106" fillId="43" borderId="0" applyAlignment="1">
      <alignment vertical="center"/>
    </xf>
    <xf numFmtId="0" fontId="109" fillId="45" borderId="0" applyAlignment="1">
      <alignment vertical="center"/>
    </xf>
    <xf numFmtId="0" fontId="106" fillId="43" borderId="0" applyAlignment="1">
      <alignment vertical="center"/>
    </xf>
    <xf numFmtId="0" fontId="109" fillId="45" borderId="0" applyAlignment="1">
      <alignment vertical="center"/>
    </xf>
    <xf numFmtId="0" fontId="107" fillId="43" borderId="0" applyAlignment="1">
      <alignment vertical="center"/>
    </xf>
    <xf numFmtId="4" fontId="110" fillId="0" borderId="0"/>
    <xf numFmtId="41" fontId="45" fillId="0" borderId="0"/>
    <xf numFmtId="210" fontId="111" fillId="0" borderId="0"/>
    <xf numFmtId="211" fontId="111" fillId="0" borderId="0"/>
    <xf numFmtId="212" fontId="45" fillId="0" borderId="0"/>
    <xf numFmtId="213" fontId="45" fillId="0" borderId="0"/>
    <xf numFmtId="0" fontId="85" fillId="0" borderId="0"/>
    <xf numFmtId="1" fontId="85" fillId="0" borderId="0"/>
    <xf numFmtId="214" fontId="112" fillId="0" borderId="0"/>
    <xf numFmtId="215" fontId="112" fillId="0" borderId="0"/>
    <xf numFmtId="210" fontId="85" fillId="0" borderId="0"/>
    <xf numFmtId="211" fontId="85" fillId="0" borderId="0"/>
    <xf numFmtId="0" fontId="53" fillId="0" borderId="0"/>
    <xf numFmtId="41" fontId="53" fillId="0" borderId="0"/>
    <xf numFmtId="43" fontId="53" fillId="0" borderId="0"/>
    <xf numFmtId="41" fontId="23" fillId="0" borderId="0"/>
    <xf numFmtId="43" fontId="23" fillId="0" borderId="0"/>
    <xf numFmtId="43" fontId="23" fillId="0" borderId="0"/>
    <xf numFmtId="43" fontId="23" fillId="0" borderId="0"/>
    <xf numFmtId="43" fontId="23" fillId="0" borderId="0" applyAlignment="1">
      <alignment vertical="center"/>
    </xf>
    <xf numFmtId="43" fontId="14" fillId="0" borderId="0"/>
    <xf numFmtId="43" fontId="14" fillId="0" borderId="0"/>
    <xf numFmtId="43" fontId="23" fillId="0" borderId="0"/>
    <xf numFmtId="43" fontId="104" fillId="0" borderId="0" applyAlignment="1">
      <alignment vertical="center"/>
    </xf>
    <xf numFmtId="43" fontId="23" fillId="0" borderId="0" applyAlignment="1">
      <alignment vertical="center"/>
    </xf>
    <xf numFmtId="41" fontId="23" fillId="0" borderId="0"/>
    <xf numFmtId="0" fontId="113" fillId="0" borderId="0"/>
    <xf numFmtId="0" fontId="114" fillId="47" borderId="0"/>
    <xf numFmtId="0" fontId="114" fillId="48" borderId="0"/>
    <xf numFmtId="0" fontId="114" fillId="49" borderId="0"/>
    <xf numFmtId="187" fontId="45" fillId="0" borderId="0"/>
    <xf numFmtId="216" fontId="110" fillId="0" borderId="0"/>
    <xf numFmtId="0" fontId="85" fillId="0" borderId="0"/>
    <xf numFmtId="0" fontId="111" fillId="0" borderId="0"/>
    <xf numFmtId="0" fontId="115" fillId="0" borderId="0"/>
    <xf numFmtId="40" fontId="95" fillId="0" borderId="0"/>
    <xf numFmtId="38" fontId="95" fillId="0" borderId="0"/>
    <xf numFmtId="209" fontId="45" fillId="0" borderId="23"/>
    <xf numFmtId="38" fontId="116" fillId="0" borderId="0"/>
    <xf numFmtId="40" fontId="116" fillId="0" borderId="0"/>
    <xf numFmtId="0" fontId="116" fillId="0" borderId="0"/>
    <xf numFmtId="0" fontId="116" fillId="0" borderId="0"/>
    <xf numFmtId="0" fontId="117" fillId="0" borderId="0"/>
    <xf numFmtId="164" fontId="1" fillId="0" borderId="0" applyAlignment="1">
      <alignment vertical="center"/>
    </xf>
  </cellStyleXfs>
  <cellXfs count="462">
    <xf numFmtId="0" fontId="0" fillId="0" borderId="0" applyProtection="1" pivotButton="0" quotePrefix="0" xfId="0">
      <protection locked="0" hidden="0"/>
    </xf>
    <xf numFmtId="0" fontId="2"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345">
      <alignment vertical="center"/>
      <protection locked="0" hidden="0"/>
    </xf>
    <xf numFmtId="0" fontId="3"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0" fontId="3" fillId="0" borderId="0" applyAlignment="1" applyProtection="1" pivotButton="0" quotePrefix="0" xfId="0">
      <alignment horizontal="left" vertical="center"/>
      <protection locked="0" hidden="0"/>
    </xf>
    <xf numFmtId="14" fontId="3" fillId="0" borderId="0" applyAlignment="1" applyProtection="1" pivotButton="0" quotePrefix="0" xfId="0">
      <alignment horizontal="left" vertical="center"/>
      <protection locked="0" hidden="0"/>
    </xf>
    <xf numFmtId="14" fontId="3" fillId="0" borderId="0" applyAlignment="1" applyProtection="1" pivotButton="0" quotePrefix="0" xfId="0">
      <alignment vertical="center"/>
      <protection locked="0" hidden="0"/>
    </xf>
    <xf numFmtId="0" fontId="6" fillId="0" borderId="0" applyAlignment="1" pivotButton="0" quotePrefix="0" xfId="345">
      <alignment horizontal="left" vertical="center"/>
    </xf>
    <xf numFmtId="0" fontId="3" fillId="0" borderId="0" applyAlignment="1" pivotButton="0" quotePrefix="0" xfId="345">
      <alignment horizontal="left" vertical="center" wrapText="1"/>
    </xf>
    <xf numFmtId="0" fontId="7" fillId="0" borderId="0" applyAlignment="1" pivotButton="0" quotePrefix="0" xfId="345">
      <alignment vertical="center"/>
    </xf>
    <xf numFmtId="0" fontId="8" fillId="0" borderId="0" applyAlignment="1" pivotButton="0" quotePrefix="0" xfId="313">
      <alignment horizontal="center"/>
    </xf>
    <xf numFmtId="0" fontId="6" fillId="0" borderId="0" applyAlignment="1" pivotButton="0" quotePrefix="0" xfId="345">
      <alignment horizontal="left" vertical="center" wrapText="1"/>
    </xf>
    <xf numFmtId="0" fontId="9" fillId="0" borderId="0" applyAlignment="1" pivotButton="0" quotePrefix="0" xfId="345">
      <alignment vertical="center"/>
    </xf>
    <xf numFmtId="0" fontId="3" fillId="0" borderId="0" applyAlignment="1" pivotButton="0" quotePrefix="0" xfId="345">
      <alignment horizontal="left" vertical="center"/>
    </xf>
    <xf numFmtId="0" fontId="7" fillId="0" borderId="0" applyAlignment="1" pivotButton="0" quotePrefix="0" xfId="345">
      <alignment vertical="center"/>
    </xf>
    <xf numFmtId="0" fontId="3" fillId="0" borderId="0" applyAlignment="1" applyProtection="1" pivotButton="0" quotePrefix="0" xfId="345">
      <alignment horizontal="left" vertical="center"/>
      <protection locked="1" hidden="1"/>
    </xf>
    <xf numFmtId="0" fontId="10" fillId="0" borderId="0" applyAlignment="1" applyProtection="1" pivotButton="0" quotePrefix="0" xfId="345">
      <alignment horizontal="left" vertical="center"/>
      <protection locked="0" hidden="0"/>
    </xf>
    <xf numFmtId="0" fontId="3" fillId="0" borderId="0" applyAlignment="1" applyProtection="1" pivotButton="0" quotePrefix="0" xfId="345">
      <alignment vertical="center"/>
      <protection locked="0" hidden="0"/>
    </xf>
    <xf numFmtId="0" fontId="11" fillId="0" borderId="0" applyAlignment="1" applyProtection="1" pivotButton="0" quotePrefix="0" xfId="0">
      <alignment horizontal="left" vertical="center"/>
      <protection locked="0" hidden="0"/>
    </xf>
    <xf numFmtId="0" fontId="3" fillId="0" borderId="1" applyAlignment="1" applyProtection="1" pivotButton="0" quotePrefix="0" xfId="345">
      <alignment vertical="center"/>
      <protection locked="0" hidden="0"/>
    </xf>
    <xf numFmtId="0" fontId="10" fillId="0" borderId="1" applyAlignment="1" applyProtection="1" pivotButton="0" quotePrefix="0" xfId="345">
      <alignment horizontal="center" vertical="center"/>
      <protection locked="1" hidden="1"/>
    </xf>
    <xf numFmtId="0" fontId="7" fillId="0" borderId="0" applyAlignment="1" applyProtection="1" pivotButton="0" quotePrefix="0" xfId="0">
      <alignment vertical="center"/>
      <protection locked="0" hidden="0"/>
    </xf>
    <xf numFmtId="0" fontId="9" fillId="2" borderId="2" applyAlignment="1" applyProtection="1" pivotButton="0" quotePrefix="0" xfId="316">
      <alignment horizontal="center" vertical="center" wrapText="1"/>
      <protection locked="0" hidden="0"/>
    </xf>
    <xf numFmtId="14" fontId="3" fillId="0" borderId="2" applyAlignment="1" applyProtection="1" pivotButton="0" quotePrefix="0" xfId="0">
      <alignment horizontal="left" vertical="center"/>
      <protection locked="0" hidden="0"/>
    </xf>
    <xf numFmtId="0" fontId="3" fillId="0" borderId="2" applyAlignment="1" applyProtection="1" pivotButton="0" quotePrefix="0" xfId="0">
      <alignment horizontal="left" vertical="center"/>
      <protection locked="0" hidden="0"/>
    </xf>
    <xf numFmtId="0" fontId="3" fillId="0" borderId="2" applyAlignment="1" applyProtection="1" pivotButton="0" quotePrefix="0" xfId="0">
      <alignment vertical="center" wrapText="1"/>
      <protection locked="0" hidden="0"/>
    </xf>
    <xf numFmtId="0" fontId="3" fillId="0" borderId="2" applyAlignment="1" applyProtection="1" pivotButton="0" quotePrefix="0" xfId="0">
      <alignment horizontal="center" vertical="center"/>
      <protection locked="0" hidden="0"/>
    </xf>
    <xf numFmtId="0" fontId="3" fillId="0" borderId="0" applyAlignment="1" applyProtection="1" pivotButton="0" quotePrefix="0" xfId="0">
      <alignment horizontal="left" vertical="center"/>
      <protection locked="0" hidden="0"/>
    </xf>
    <xf numFmtId="0" fontId="3" fillId="0" borderId="0" applyAlignment="1" applyProtection="1" pivotButton="0" quotePrefix="0" xfId="0">
      <alignment horizontal="center" vertical="center"/>
      <protection locked="0" hidden="0"/>
    </xf>
    <xf numFmtId="0" fontId="6" fillId="0" borderId="0" applyAlignment="1" applyProtection="1" pivotButton="0" quotePrefix="0" xfId="0">
      <alignment vertical="center"/>
      <protection locked="0" hidden="0"/>
    </xf>
    <xf numFmtId="0" fontId="12"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164" fontId="13" fillId="0" borderId="0" applyAlignment="1" pivotButton="0" quotePrefix="0" xfId="3">
      <alignment vertical="center"/>
    </xf>
    <xf numFmtId="0" fontId="6" fillId="0" borderId="0" applyAlignment="1" pivotButton="0" quotePrefix="0" xfId="345">
      <alignment vertical="center" wrapText="1"/>
    </xf>
    <xf numFmtId="0" fontId="6" fillId="2" borderId="2" applyAlignment="1" applyProtection="1" pivotButton="0" quotePrefix="0" xfId="0">
      <alignment horizontal="center" vertical="center"/>
      <protection locked="0" hidden="0"/>
    </xf>
    <xf numFmtId="165" fontId="3" fillId="0" borderId="2" applyAlignment="1" applyProtection="1" pivotButton="0" quotePrefix="0" xfId="1">
      <alignment horizontal="center" vertical="center"/>
      <protection locked="0" hidden="0"/>
    </xf>
    <xf numFmtId="0" fontId="14" fillId="0" borderId="2" applyAlignment="1" applyProtection="1" pivotButton="0" quotePrefix="0" xfId="0">
      <alignment horizontal="center" vertical="center" wrapText="1"/>
      <protection locked="0" hidden="0"/>
    </xf>
    <xf numFmtId="0" fontId="3" fillId="0" borderId="0" applyAlignment="1" pivotButton="0" quotePrefix="0" xfId="340">
      <alignment vertical="center" wrapText="1"/>
    </xf>
    <xf numFmtId="0" fontId="4" fillId="0" borderId="0" applyAlignment="1" pivotButton="0" quotePrefix="0" xfId="340">
      <alignment vertical="center" wrapText="1"/>
    </xf>
    <xf numFmtId="0" fontId="6" fillId="0" borderId="0"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3" fillId="0" borderId="0"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6" fillId="0" borderId="0" applyAlignment="1" applyProtection="1" pivotButton="0" quotePrefix="0" xfId="0">
      <alignment horizontal="left" vertical="center"/>
      <protection locked="0" hidden="0"/>
    </xf>
    <xf numFmtId="0" fontId="9" fillId="2" borderId="2" applyAlignment="1" applyProtection="1" pivotButton="0" quotePrefix="0" xfId="0">
      <alignment horizontal="center" vertical="center" wrapText="1"/>
      <protection locked="0" hidden="0"/>
    </xf>
    <xf numFmtId="0" fontId="14" fillId="0" borderId="2" applyAlignment="1" applyProtection="1" pivotButton="0" quotePrefix="0" xfId="0">
      <alignment horizontal="left" vertical="center" wrapText="1"/>
      <protection locked="0" hidden="0"/>
    </xf>
    <xf numFmtId="0" fontId="3" fillId="0" borderId="2" applyAlignment="1" applyProtection="1" pivotButton="0" quotePrefix="0" xfId="0">
      <alignment horizontal="left" vertical="center" wrapText="1"/>
      <protection locked="0" hidden="0"/>
    </xf>
    <xf numFmtId="0" fontId="3" fillId="0" borderId="2" applyAlignment="1" applyProtection="1" pivotButton="0" quotePrefix="0" xfId="0">
      <alignment horizontal="left" vertical="center" wrapText="1"/>
      <protection locked="0" hidden="0"/>
    </xf>
    <xf numFmtId="165" fontId="3" fillId="0" borderId="2" applyAlignment="1" applyProtection="1" pivotButton="0" quotePrefix="0" xfId="1">
      <alignment horizontal="left" vertical="center" wrapText="1"/>
      <protection locked="0" hidden="0"/>
    </xf>
    <xf numFmtId="165" fontId="3" fillId="4" borderId="2" applyAlignment="1" pivotButton="0" quotePrefix="0" xfId="1">
      <alignment horizontal="right" vertical="center" wrapText="1"/>
    </xf>
    <xf numFmtId="0" fontId="6" fillId="0" borderId="2" applyAlignment="1" applyProtection="1" pivotButton="0" quotePrefix="0" xfId="0">
      <alignment horizontal="center" vertical="center" wrapText="1"/>
      <protection locked="0" hidden="0"/>
    </xf>
    <xf numFmtId="0" fontId="9" fillId="0" borderId="7" applyAlignment="1" applyProtection="1" pivotButton="0" quotePrefix="0" xfId="0">
      <alignment vertical="center"/>
      <protection locked="0" hidden="0"/>
    </xf>
    <xf numFmtId="0" fontId="6" fillId="0" borderId="7"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0" fillId="0" borderId="0" applyAlignment="1" applyProtection="1" pivotButton="0" quotePrefix="0" xfId="0">
      <alignment vertical="center"/>
      <protection locked="0" hidden="0"/>
    </xf>
    <xf numFmtId="0" fontId="18" fillId="0" borderId="0" applyAlignment="1" applyProtection="1" pivotButton="0" quotePrefix="0" xfId="0">
      <alignment horizontal="right" vertical="center"/>
      <protection locked="0" hidden="0"/>
    </xf>
    <xf numFmtId="0" fontId="10" fillId="0" borderId="0" applyAlignment="1" applyProtection="1" pivotButton="0" quotePrefix="0" xfId="0">
      <alignment horizontal="right" vertical="center"/>
      <protection locked="0" hidden="0"/>
    </xf>
    <xf numFmtId="0" fontId="3" fillId="0" borderId="0" applyAlignment="1" applyProtection="1" pivotButton="0" quotePrefix="0" xfId="0">
      <alignment horizontal="right" vertical="center"/>
      <protection locked="0" hidden="0"/>
    </xf>
    <xf numFmtId="0" fontId="6" fillId="0" borderId="0" applyAlignment="1" applyProtection="1" pivotButton="0" quotePrefix="0" xfId="0">
      <alignment horizontal="left" vertical="center" wrapText="1"/>
      <protection locked="0" hidden="0"/>
    </xf>
    <xf numFmtId="0" fontId="7" fillId="0" borderId="0" applyAlignment="1" applyProtection="1" pivotButton="0" quotePrefix="0" xfId="0">
      <alignment vertical="center" wrapText="1"/>
      <protection locked="0" hidden="0"/>
    </xf>
    <xf numFmtId="14" fontId="3" fillId="0" borderId="2" applyAlignment="1" applyProtection="1" pivotButton="0" quotePrefix="0" xfId="0">
      <alignment horizontal="left" vertical="center" wrapText="1"/>
      <protection locked="0" hidden="0"/>
    </xf>
    <xf numFmtId="0" fontId="10" fillId="0" borderId="7" applyAlignment="1" applyProtection="1" pivotButton="0" quotePrefix="0" xfId="0">
      <alignment vertical="center"/>
      <protection locked="0" hidden="0"/>
    </xf>
    <xf numFmtId="0" fontId="3" fillId="2" borderId="0" applyAlignment="1" applyProtection="1" pivotButton="0" quotePrefix="0" xfId="0">
      <alignment vertical="center" wrapText="1"/>
      <protection locked="0" hidden="0"/>
    </xf>
    <xf numFmtId="0" fontId="2" fillId="0" borderId="0" applyAlignment="1" pivotButton="0" quotePrefix="0" xfId="340">
      <alignment vertical="center"/>
    </xf>
    <xf numFmtId="0" fontId="19" fillId="0" borderId="0" applyAlignment="1" applyProtection="1" pivotButton="0" quotePrefix="0" xfId="348">
      <alignment vertical="center"/>
      <protection locked="0" hidden="0"/>
    </xf>
    <xf numFmtId="0" fontId="19" fillId="0" borderId="0" applyAlignment="1" applyProtection="1" pivotButton="0" quotePrefix="0" xfId="348">
      <alignment vertical="center"/>
      <protection locked="0" hidden="0"/>
    </xf>
    <xf numFmtId="0" fontId="3" fillId="0" borderId="0" applyAlignment="1" applyProtection="1" pivotButton="0" quotePrefix="0" xfId="0">
      <alignment vertical="center"/>
      <protection locked="0" hidden="0"/>
    </xf>
    <xf numFmtId="0" fontId="20" fillId="2" borderId="2" applyAlignment="1" applyProtection="1" pivotButton="0" quotePrefix="0" xfId="348">
      <alignment horizontal="center" vertical="center" wrapText="1"/>
      <protection locked="0" hidden="0"/>
    </xf>
    <xf numFmtId="49" fontId="20" fillId="2" borderId="2" applyAlignment="1" applyProtection="1" pivotButton="0" quotePrefix="0" xfId="348">
      <alignment horizontal="center" vertical="center" wrapText="1"/>
      <protection locked="0" hidden="0"/>
    </xf>
    <xf numFmtId="0" fontId="19" fillId="0" borderId="2" applyAlignment="1" applyProtection="1" pivotButton="0" quotePrefix="0" xfId="348">
      <alignment vertical="center"/>
      <protection locked="0" hidden="0"/>
    </xf>
    <xf numFmtId="165" fontId="19" fillId="0" borderId="2" applyAlignment="1" applyProtection="1" pivotButton="0" quotePrefix="0" xfId="348">
      <alignment horizontal="right" vertical="center" shrinkToFit="1"/>
      <protection locked="0" hidden="0"/>
    </xf>
    <xf numFmtId="166" fontId="19" fillId="0" borderId="2" applyAlignment="1" applyProtection="1" pivotButton="0" quotePrefix="0" xfId="348">
      <alignment horizontal="center" vertical="center" shrinkToFit="1"/>
      <protection locked="0" hidden="0"/>
    </xf>
    <xf numFmtId="0" fontId="19" fillId="0" borderId="2" applyAlignment="1" applyProtection="1" pivotButton="0" quotePrefix="0" xfId="348">
      <alignment horizontal="left" vertical="center"/>
      <protection locked="0" hidden="0"/>
    </xf>
    <xf numFmtId="165" fontId="3" fillId="0" borderId="2" applyAlignment="1" pivotButton="0" quotePrefix="0" xfId="1">
      <alignment horizontal="right" vertical="center" wrapText="1"/>
    </xf>
    <xf numFmtId="0" fontId="3" fillId="0" borderId="0" applyAlignment="1" applyProtection="1" pivotButton="0" quotePrefix="0" xfId="0">
      <alignment horizontal="justify" vertical="center" wrapText="1"/>
      <protection locked="0" hidden="0"/>
    </xf>
    <xf numFmtId="165" fontId="9" fillId="0" borderId="0" applyAlignment="1" applyProtection="1" pivotButton="0" quotePrefix="0" xfId="1">
      <alignment horizontal="left" vertical="center"/>
      <protection locked="0" hidden="0"/>
    </xf>
    <xf numFmtId="0" fontId="23" fillId="0" borderId="0" applyAlignment="1" applyProtection="1" pivotButton="0" quotePrefix="0" xfId="334">
      <alignment vertical="center"/>
      <protection locked="0" hidden="0"/>
    </xf>
    <xf numFmtId="0" fontId="4" fillId="0" borderId="0" applyAlignment="1" applyProtection="1" pivotButton="0" quotePrefix="0" xfId="334">
      <alignment vertical="center"/>
      <protection locked="0" hidden="0"/>
    </xf>
    <xf numFmtId="165" fontId="3" fillId="0" borderId="0" applyAlignment="1" pivotButton="0" quotePrefix="0" xfId="347">
      <alignment vertical="center"/>
    </xf>
    <xf numFmtId="165" fontId="3" fillId="0" borderId="0" applyAlignment="1" pivotButton="0" quotePrefix="0" xfId="347">
      <alignment horizontal="left" vertical="center"/>
    </xf>
    <xf numFmtId="0" fontId="24" fillId="2" borderId="2" applyAlignment="1" pivotButton="0" quotePrefix="0" xfId="334">
      <alignment vertical="center"/>
    </xf>
    <xf numFmtId="0" fontId="24" fillId="2" borderId="2" applyAlignment="1" pivotButton="0" quotePrefix="0" xfId="334">
      <alignment vertical="center" wrapText="1"/>
    </xf>
    <xf numFmtId="0" fontId="24" fillId="2" borderId="2" applyAlignment="1" pivotButton="0" quotePrefix="0" xfId="334">
      <alignment horizontal="center" vertical="center" wrapText="1"/>
    </xf>
    <xf numFmtId="164" fontId="9" fillId="2" borderId="2" applyAlignment="1" applyProtection="1" pivotButton="0" quotePrefix="0" xfId="328">
      <alignment horizontal="center" vertical="center" wrapText="1"/>
      <protection locked="0" hidden="0"/>
    </xf>
    <xf numFmtId="164" fontId="25" fillId="2" borderId="2" applyAlignment="1" applyProtection="1" pivotButton="0" quotePrefix="0" xfId="328">
      <alignment horizontal="center" vertical="center" wrapText="1"/>
      <protection locked="0" hidden="0"/>
    </xf>
    <xf numFmtId="0" fontId="3" fillId="0" borderId="2" applyAlignment="1" pivotButton="0" quotePrefix="0" xfId="334">
      <alignment horizontal="left" vertical="center"/>
    </xf>
    <xf numFmtId="0" fontId="26" fillId="0" borderId="2" applyAlignment="1" pivotButton="0" quotePrefix="0" xfId="334">
      <alignment horizontal="left" vertical="center"/>
    </xf>
    <xf numFmtId="0" fontId="26" fillId="0" borderId="2" applyAlignment="1" pivotButton="0" quotePrefix="0" xfId="334">
      <alignment vertical="center"/>
    </xf>
    <xf numFmtId="165" fontId="26" fillId="0" borderId="2" applyAlignment="1" pivotButton="0" quotePrefix="0" xfId="1">
      <alignment vertical="center"/>
    </xf>
    <xf numFmtId="0" fontId="14" fillId="0" borderId="2" applyAlignment="1" pivotButton="0" quotePrefix="0" xfId="334">
      <alignment horizontal="left" vertical="center"/>
    </xf>
    <xf numFmtId="0" fontId="27" fillId="0" borderId="2" applyAlignment="1" pivotButton="0" quotePrefix="0" xfId="334">
      <alignment horizontal="left" vertical="center"/>
    </xf>
    <xf numFmtId="0" fontId="6" fillId="0" borderId="2" applyAlignment="1" pivotButton="0" quotePrefix="0" xfId="334">
      <alignment horizontal="left" vertical="center"/>
    </xf>
    <xf numFmtId="0" fontId="11" fillId="0" borderId="2" applyAlignment="1" pivotButton="0" quotePrefix="0" xfId="334">
      <alignment horizontal="left" vertical="center"/>
    </xf>
    <xf numFmtId="165" fontId="6" fillId="0" borderId="7" applyAlignment="1" pivotButton="0" quotePrefix="0" xfId="347">
      <alignment horizontal="left" vertical="center"/>
    </xf>
    <xf numFmtId="165" fontId="3" fillId="0" borderId="7" applyAlignment="1" pivotButton="0" quotePrefix="0" xfId="347">
      <alignment horizontal="left" vertical="center"/>
    </xf>
    <xf numFmtId="165" fontId="28" fillId="0" borderId="7" applyAlignment="1" pivotButton="0" quotePrefix="0" xfId="351">
      <alignment horizontal="center" vertical="center"/>
    </xf>
    <xf numFmtId="0" fontId="6" fillId="0" borderId="0" applyAlignment="1" pivotButton="0" quotePrefix="0" xfId="343">
      <alignment vertical="center"/>
    </xf>
    <xf numFmtId="0" fontId="23" fillId="0" borderId="0" applyProtection="1" pivotButton="0" quotePrefix="0" xfId="0">
      <protection locked="0" hidden="0"/>
    </xf>
    <xf numFmtId="0" fontId="3" fillId="0" borderId="0" applyProtection="1" pivotButton="0" quotePrefix="0" xfId="0">
      <protection locked="0" hidden="0"/>
    </xf>
    <xf numFmtId="0" fontId="4" fillId="0" borderId="0" applyProtection="1" pivotButton="0" quotePrefix="0" xfId="0">
      <protection locked="0" hidden="0"/>
    </xf>
    <xf numFmtId="0" fontId="4" fillId="0" borderId="0" applyProtection="1" pivotButton="0" quotePrefix="0" xfId="0">
      <protection locked="0" hidden="0"/>
    </xf>
    <xf numFmtId="0" fontId="3" fillId="0" borderId="0" applyProtection="1" pivotButton="0" quotePrefix="0" xfId="344">
      <protection locked="0" hidden="0"/>
    </xf>
    <xf numFmtId="165" fontId="24" fillId="2" borderId="2" applyAlignment="1" applyProtection="1" pivotButton="0" quotePrefix="0" xfId="0">
      <alignment horizontal="center" vertical="center" wrapText="1"/>
      <protection locked="0" hidden="0"/>
    </xf>
    <xf numFmtId="0" fontId="24" fillId="2" borderId="3" applyAlignment="1" applyProtection="1" pivotButton="0" quotePrefix="0" xfId="0">
      <alignment vertical="center"/>
      <protection locked="0" hidden="0"/>
    </xf>
    <xf numFmtId="0" fontId="24" fillId="2" borderId="4" applyAlignment="1" applyProtection="1" pivotButton="0" quotePrefix="0" xfId="0">
      <alignment vertical="center"/>
      <protection locked="0" hidden="0"/>
    </xf>
    <xf numFmtId="165" fontId="3" fillId="0" borderId="2" applyAlignment="1" applyProtection="1" pivotButton="0" quotePrefix="0" xfId="1">
      <alignment horizontal="right" vertical="center" wrapText="1"/>
      <protection locked="0" hidden="0"/>
    </xf>
    <xf numFmtId="165" fontId="3" fillId="0" borderId="2" applyAlignment="1" applyProtection="1" pivotButton="0" quotePrefix="0" xfId="0">
      <alignment horizontal="left" vertical="center" wrapText="1"/>
      <protection locked="0" hidden="0"/>
    </xf>
    <xf numFmtId="165" fontId="26" fillId="0" borderId="2" applyAlignment="1" applyProtection="1" pivotButton="0" quotePrefix="0" xfId="0">
      <alignment horizontal="right" vertical="center" wrapText="1"/>
      <protection locked="0" hidden="0"/>
    </xf>
    <xf numFmtId="0" fontId="30" fillId="2" borderId="3" applyAlignment="1" applyProtection="1" pivotButton="0" quotePrefix="0" xfId="0">
      <alignment vertical="center"/>
      <protection locked="0" hidden="0"/>
    </xf>
    <xf numFmtId="165" fontId="30" fillId="2" borderId="4" applyAlignment="1" applyProtection="1" pivotButton="0" quotePrefix="0" xfId="0">
      <alignment vertical="center"/>
      <protection locked="0" hidden="0"/>
    </xf>
    <xf numFmtId="165" fontId="26" fillId="0" borderId="2" applyAlignment="1" applyProtection="1" pivotButton="0" quotePrefix="0" xfId="0">
      <alignment horizontal="left" vertical="center" wrapText="1"/>
      <protection locked="0" hidden="0"/>
    </xf>
    <xf numFmtId="0" fontId="30" fillId="0" borderId="3" applyAlignment="1" applyProtection="1" pivotButton="0" quotePrefix="0" xfId="0">
      <alignment vertical="center"/>
      <protection locked="0" hidden="0"/>
    </xf>
    <xf numFmtId="165" fontId="30" fillId="5" borderId="4" applyAlignment="1" applyProtection="1" pivotButton="0" quotePrefix="0" xfId="0">
      <alignment vertical="center"/>
      <protection locked="0" hidden="0"/>
    </xf>
    <xf numFmtId="0" fontId="3" fillId="0" borderId="7" applyAlignment="1" applyProtection="1" pivotButton="0" quotePrefix="0" xfId="0">
      <alignment vertical="center"/>
      <protection locked="0" hidden="0"/>
    </xf>
    <xf numFmtId="0" fontId="3" fillId="0" borderId="7" applyProtection="1" pivotButton="0" quotePrefix="0" xfId="0">
      <protection locked="0" hidden="0"/>
    </xf>
    <xf numFmtId="0" fontId="10" fillId="0" borderId="0" applyProtection="1" pivotButton="0" quotePrefix="0" xfId="0">
      <protection locked="0" hidden="0"/>
    </xf>
    <xf numFmtId="165" fontId="26" fillId="0" borderId="2" applyAlignment="1" applyProtection="1" pivotButton="0" quotePrefix="0" xfId="0">
      <alignment horizontal="right" vertical="center" wrapText="1"/>
      <protection locked="0" hidden="0"/>
    </xf>
    <xf numFmtId="165" fontId="30" fillId="0" borderId="4" applyAlignment="1" applyProtection="1" pivotButton="0" quotePrefix="0" xfId="0">
      <alignment vertical="center"/>
      <protection locked="0" hidden="0"/>
    </xf>
    <xf numFmtId="0" fontId="3" fillId="0" borderId="0" applyProtection="1" pivotButton="0" quotePrefix="0" xfId="0">
      <protection locked="0" hidden="0"/>
    </xf>
    <xf numFmtId="0" fontId="2" fillId="0" borderId="0" applyAlignment="1" pivotButton="0" quotePrefix="0" xfId="340">
      <alignment vertical="center" wrapText="1"/>
    </xf>
    <xf numFmtId="0" fontId="5" fillId="0" borderId="0" applyAlignment="1" pivotButton="0" quotePrefix="0" xfId="340">
      <alignment vertical="center" wrapText="1"/>
    </xf>
    <xf numFmtId="0" fontId="24" fillId="2" borderId="9" applyAlignment="1" applyProtection="1" pivotButton="0" quotePrefix="0" xfId="0">
      <alignment vertical="center"/>
      <protection locked="0" hidden="0"/>
    </xf>
    <xf numFmtId="165" fontId="30" fillId="0" borderId="2" applyAlignment="1" applyProtection="1" pivotButton="0" quotePrefix="0" xfId="0">
      <alignment horizontal="right" vertical="center" wrapText="1"/>
      <protection locked="0" hidden="0"/>
    </xf>
    <xf numFmtId="0" fontId="30" fillId="2" borderId="9" applyAlignment="1" applyProtection="1" pivotButton="0" quotePrefix="0" xfId="0">
      <alignment vertical="center"/>
      <protection locked="0" hidden="0"/>
    </xf>
    <xf numFmtId="0" fontId="30" fillId="0" borderId="9" applyAlignment="1" applyProtection="1" pivotButton="0" quotePrefix="0" xfId="0">
      <alignment vertical="center"/>
      <protection locked="0" hidden="0"/>
    </xf>
    <xf numFmtId="0" fontId="7" fillId="0" borderId="0" applyAlignment="1" applyProtection="1" pivotButton="0" quotePrefix="0" xfId="344">
      <alignment vertical="center"/>
      <protection locked="0" hidden="0"/>
    </xf>
    <xf numFmtId="0" fontId="3" fillId="0" borderId="0" applyAlignment="1" applyProtection="1" pivotButton="0" quotePrefix="0" xfId="344">
      <alignment vertical="center"/>
      <protection locked="0" hidden="0"/>
    </xf>
    <xf numFmtId="0" fontId="3" fillId="0" borderId="0" applyAlignment="1" applyProtection="1" pivotButton="0" quotePrefix="0" xfId="344">
      <alignment vertical="center"/>
      <protection locked="0" hidden="0"/>
    </xf>
    <xf numFmtId="0" fontId="31" fillId="2" borderId="3" applyAlignment="1" applyProtection="1" pivotButton="0" quotePrefix="0" xfId="0">
      <alignment vertical="center"/>
      <protection locked="0" hidden="0"/>
    </xf>
    <xf numFmtId="0" fontId="26" fillId="0" borderId="2" applyAlignment="1" applyProtection="1" pivotButton="0" quotePrefix="0" xfId="0">
      <alignment horizontal="right" vertical="center" wrapText="1"/>
      <protection locked="0" hidden="0"/>
    </xf>
    <xf numFmtId="0" fontId="32" fillId="0" borderId="0" applyAlignment="1" applyProtection="1" pivotButton="0" quotePrefix="0" xfId="0">
      <alignment vertical="center"/>
      <protection locked="0" hidden="0"/>
    </xf>
    <xf numFmtId="0" fontId="10" fillId="0" borderId="7" applyAlignment="1" applyProtection="1" pivotButton="0" quotePrefix="0" xfId="0">
      <alignment vertical="center"/>
      <protection locked="0" hidden="0"/>
    </xf>
    <xf numFmtId="14" fontId="3" fillId="0" borderId="0" applyAlignment="1" applyProtection="1" pivotButton="0" quotePrefix="0" xfId="344">
      <alignment vertical="center"/>
      <protection locked="0" hidden="0"/>
    </xf>
    <xf numFmtId="0" fontId="3" fillId="0" borderId="7" applyAlignment="1" applyProtection="1" pivotButton="0" quotePrefix="0" xfId="344">
      <alignment vertical="center"/>
      <protection locked="0" hidden="0"/>
    </xf>
    <xf numFmtId="0" fontId="30" fillId="2" borderId="4" applyAlignment="1" applyProtection="1" pivotButton="0" quotePrefix="0" xfId="0">
      <alignment vertical="center"/>
      <protection locked="0" hidden="0"/>
    </xf>
    <xf numFmtId="0" fontId="26" fillId="0" borderId="2" applyAlignment="1" applyProtection="1" pivotButton="0" quotePrefix="0" xfId="0">
      <alignment horizontal="left" vertical="center" wrapText="1"/>
      <protection locked="0" hidden="0"/>
    </xf>
    <xf numFmtId="0" fontId="4" fillId="0" borderId="0" applyAlignment="1" pivotButton="0" quotePrefix="0" xfId="340">
      <alignment vertical="center"/>
    </xf>
    <xf numFmtId="164" fontId="3" fillId="0" borderId="0" applyAlignment="1" applyProtection="1" pivotButton="0" quotePrefix="0" xfId="337">
      <alignment vertical="center"/>
      <protection locked="0" hidden="0"/>
    </xf>
    <xf numFmtId="0" fontId="2" fillId="0" borderId="0" applyAlignment="1" applyProtection="1" pivotButton="0" quotePrefix="0" xfId="0">
      <alignment horizontal="left" vertical="center"/>
      <protection locked="0" hidden="0"/>
    </xf>
    <xf numFmtId="0" fontId="2" fillId="0" borderId="12" applyAlignment="1" applyProtection="1" pivotButton="0" quotePrefix="0" xfId="0">
      <alignment horizontal="center" vertical="center"/>
      <protection locked="0" hidden="0"/>
    </xf>
    <xf numFmtId="0" fontId="4" fillId="0" borderId="13" applyAlignment="1" applyProtection="1" pivotButton="0" quotePrefix="0" xfId="0">
      <alignment vertical="center"/>
      <protection locked="0" hidden="0"/>
    </xf>
    <xf numFmtId="165" fontId="4" fillId="0" borderId="13" applyAlignment="1" applyProtection="1" pivotButton="0" quotePrefix="0" xfId="1">
      <alignment vertical="center"/>
      <protection locked="0" hidden="0"/>
    </xf>
    <xf numFmtId="165" fontId="4" fillId="0" borderId="0" applyAlignment="1" applyProtection="1" pivotButton="0" quotePrefix="0" xfId="1">
      <alignment vertical="center"/>
      <protection locked="0" hidden="0"/>
    </xf>
    <xf numFmtId="165" fontId="4" fillId="0" borderId="14" applyAlignment="1" applyProtection="1" pivotButton="0" quotePrefix="0" xfId="1">
      <alignment vertical="center"/>
      <protection locked="0" hidden="0"/>
    </xf>
    <xf numFmtId="165" fontId="4" fillId="0" borderId="12" applyAlignment="1" applyProtection="1" pivotButton="0" quotePrefix="0" xfId="1">
      <alignment vertical="center"/>
      <protection locked="0" hidden="0"/>
    </xf>
    <xf numFmtId="0" fontId="4" fillId="0" borderId="0" applyAlignment="1" applyProtection="1" pivotButton="0" quotePrefix="0" xfId="0">
      <alignment horizontal="left" vertical="center"/>
      <protection locked="0" hidden="0"/>
    </xf>
    <xf numFmtId="0" fontId="2" fillId="0" borderId="12" applyAlignment="1" applyProtection="1" pivotButton="0" quotePrefix="0" xfId="0">
      <alignment horizontal="justify" vertical="center" wrapText="1"/>
      <protection locked="0" hidden="0"/>
    </xf>
    <xf numFmtId="0" fontId="33" fillId="0" borderId="12"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wrapText="1"/>
      <protection locked="0" hidden="0"/>
    </xf>
    <xf numFmtId="165" fontId="4" fillId="0" borderId="0" applyAlignment="1" applyProtection="1" pivotButton="0" quotePrefix="0" xfId="0">
      <alignment horizontal="right" vertical="center" wrapText="1"/>
      <protection locked="0" hidden="0"/>
    </xf>
    <xf numFmtId="165" fontId="3" fillId="0" borderId="0" applyAlignment="1" applyProtection="1" pivotButton="0" quotePrefix="0" xfId="1">
      <alignment horizontal="right" vertical="center" wrapText="1"/>
      <protection locked="0" hidden="0"/>
    </xf>
    <xf numFmtId="0" fontId="34" fillId="0" borderId="14" applyAlignment="1" applyProtection="1" pivotButton="0" quotePrefix="0" xfId="0">
      <alignment horizontal="justify" vertical="center" wrapText="1"/>
      <protection locked="0" hidden="0"/>
    </xf>
    <xf numFmtId="165" fontId="4" fillId="0" borderId="14" applyAlignment="1" applyProtection="1" pivotButton="0" quotePrefix="0" xfId="0">
      <alignment horizontal="right" vertical="center" wrapText="1"/>
      <protection locked="0" hidden="0"/>
    </xf>
    <xf numFmtId="0" fontId="2" fillId="0" borderId="14" applyAlignment="1" applyProtection="1" pivotButton="0" quotePrefix="0" xfId="0">
      <alignment horizontal="justify" vertical="center" wrapText="1"/>
      <protection locked="0" hidden="0"/>
    </xf>
    <xf numFmtId="165" fontId="33" fillId="0" borderId="14" applyAlignment="1" applyProtection="1" pivotButton="0" quotePrefix="0" xfId="0">
      <alignment horizontal="right" vertical="center" wrapText="1"/>
      <protection locked="0" hidden="0"/>
    </xf>
    <xf numFmtId="0" fontId="4" fillId="0" borderId="0" applyAlignment="1" applyProtection="1" pivotButton="0" quotePrefix="0" xfId="0">
      <alignment horizontal="justify" vertical="center" wrapText="1"/>
      <protection locked="0" hidden="0"/>
    </xf>
    <xf numFmtId="165" fontId="34" fillId="0" borderId="0" applyAlignment="1" applyProtection="1" pivotButton="0" quotePrefix="0" xfId="0">
      <alignment horizontal="right" vertical="center" wrapText="1"/>
      <protection locked="0" hidden="0"/>
    </xf>
    <xf numFmtId="165" fontId="33" fillId="0" borderId="12" applyAlignment="1" applyProtection="1" pivotButton="0" quotePrefix="0" xfId="0">
      <alignment horizontal="right" vertical="center" wrapText="1"/>
      <protection locked="0" hidden="0"/>
    </xf>
    <xf numFmtId="0" fontId="4" fillId="0" borderId="0" applyAlignment="1" applyProtection="1" pivotButton="0" quotePrefix="0" xfId="0">
      <alignment horizontal="justify" vertical="center"/>
      <protection locked="0" hidden="0"/>
    </xf>
    <xf numFmtId="165" fontId="4" fillId="0" borderId="0" applyAlignment="1" applyProtection="1" pivotButton="0" quotePrefix="0" xfId="0">
      <alignment horizontal="justify" vertical="center" wrapText="1"/>
      <protection locked="0" hidden="0"/>
    </xf>
    <xf numFmtId="165" fontId="3" fillId="0" borderId="0" applyAlignment="1" applyProtection="1" pivotButton="0" quotePrefix="0" xfId="1">
      <alignment horizontal="justify" vertical="center" wrapText="1"/>
      <protection locked="0" hidden="0"/>
    </xf>
    <xf numFmtId="0" fontId="4" fillId="0" borderId="12" applyAlignment="1" applyProtection="1" pivotButton="0" quotePrefix="0" xfId="0">
      <alignment horizontal="justify" vertical="center" wrapText="1"/>
      <protection locked="0" hidden="0"/>
    </xf>
    <xf numFmtId="165" fontId="3" fillId="0" borderId="12" applyAlignment="1" applyProtection="1" pivotButton="0" quotePrefix="0" xfId="1">
      <alignment horizontal="right" vertical="center" wrapText="1"/>
      <protection locked="0" hidden="0"/>
    </xf>
    <xf numFmtId="165" fontId="3" fillId="0" borderId="14" applyAlignment="1" applyProtection="1" pivotButton="0" quotePrefix="0" xfId="1">
      <alignment horizontal="right" vertical="center" wrapText="1"/>
      <protection locked="0" hidden="0"/>
    </xf>
    <xf numFmtId="0" fontId="4" fillId="0" borderId="14" applyAlignment="1" applyProtection="1" pivotButton="0" quotePrefix="0" xfId="0">
      <alignment horizontal="justify" vertical="center" wrapText="1"/>
      <protection locked="0" hidden="0"/>
    </xf>
    <xf numFmtId="165" fontId="34" fillId="0" borderId="14" applyAlignment="1" applyProtection="1" pivotButton="0" quotePrefix="0" xfId="0">
      <alignment horizontal="right" vertical="center" wrapText="1"/>
      <protection locked="0" hidden="0"/>
    </xf>
    <xf numFmtId="165" fontId="6" fillId="0" borderId="14" applyAlignment="1" applyProtection="1" pivotButton="0" quotePrefix="0" xfId="1">
      <alignment horizontal="right" vertical="center" wrapText="1"/>
      <protection locked="0" hidden="0"/>
    </xf>
    <xf numFmtId="0" fontId="4" fillId="0" borderId="0" applyAlignment="1" applyProtection="1" pivotButton="0" quotePrefix="0" xfId="0">
      <alignment vertical="center" wrapText="1"/>
      <protection locked="0" hidden="0"/>
    </xf>
    <xf numFmtId="0" fontId="3" fillId="0" borderId="0" applyAlignment="1" pivotButton="0" quotePrefix="0" xfId="349">
      <alignment vertical="center"/>
    </xf>
    <xf numFmtId="165" fontId="9" fillId="2" borderId="20" applyAlignment="1" applyProtection="1" pivotButton="0" quotePrefix="0" xfId="1">
      <alignment horizontal="center" vertical="center" wrapText="1"/>
      <protection locked="0" hidden="0"/>
    </xf>
    <xf numFmtId="165" fontId="3" fillId="2" borderId="2" applyAlignment="1" pivotButton="0" quotePrefix="0" xfId="1">
      <alignment horizontal="right" vertical="center" wrapText="1"/>
    </xf>
    <xf numFmtId="165" fontId="6" fillId="4" borderId="2" applyAlignment="1" pivotButton="0" quotePrefix="0" xfId="1">
      <alignment horizontal="right" vertical="center" wrapText="1"/>
    </xf>
    <xf numFmtId="165" fontId="6" fillId="0" borderId="0" applyAlignment="1" pivotButton="0" quotePrefix="0" xfId="1">
      <alignment horizontal="right" vertical="center" wrapText="1"/>
    </xf>
    <xf numFmtId="165" fontId="3" fillId="0" borderId="0" applyAlignment="1" pivotButton="0" quotePrefix="0" xfId="1">
      <alignment vertical="center"/>
    </xf>
    <xf numFmtId="0" fontId="3" fillId="0" borderId="0" applyAlignment="1" pivotButton="0" quotePrefix="0" xfId="342">
      <alignment vertical="center"/>
    </xf>
    <xf numFmtId="165" fontId="3" fillId="0" borderId="0" applyAlignment="1" pivotButton="0" quotePrefix="0" xfId="346">
      <alignment vertical="center"/>
    </xf>
    <xf numFmtId="0" fontId="3" fillId="0" borderId="2" applyAlignment="1" pivotButton="0" quotePrefix="0" xfId="342">
      <alignment vertical="center"/>
    </xf>
    <xf numFmtId="0" fontId="3" fillId="0" borderId="2" applyAlignment="1" pivotButton="0" quotePrefix="0" xfId="342">
      <alignment horizontal="center" vertical="center"/>
    </xf>
    <xf numFmtId="165" fontId="3" fillId="0" borderId="2" applyAlignment="1" pivotButton="0" quotePrefix="0" xfId="342">
      <alignment vertical="center"/>
    </xf>
    <xf numFmtId="0" fontId="6"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right" vertical="center" wrapText="1"/>
      <protection locked="0" hidden="0"/>
    </xf>
    <xf numFmtId="165" fontId="9" fillId="2" borderId="20" applyAlignment="1" applyProtection="1" pivotButton="0" quotePrefix="0" xfId="1">
      <alignment horizontal="center" vertical="center"/>
      <protection locked="0" hidden="0"/>
    </xf>
    <xf numFmtId="10" fontId="3" fillId="2" borderId="2" applyAlignment="1" pivotButton="0" quotePrefix="0" xfId="2">
      <alignment horizontal="right" vertical="center" wrapText="1"/>
    </xf>
    <xf numFmtId="10" fontId="3" fillId="4" borderId="2" applyAlignment="1" pivotButton="0" quotePrefix="0" xfId="2">
      <alignment horizontal="right" vertical="center" wrapText="1"/>
    </xf>
    <xf numFmtId="10" fontId="6" fillId="4" borderId="2" applyAlignment="1" pivotButton="0" quotePrefix="0" xfId="2">
      <alignment horizontal="right" vertical="center" wrapText="1"/>
    </xf>
    <xf numFmtId="165" fontId="3" fillId="0" borderId="0" applyAlignment="1" pivotButton="0" quotePrefix="0" xfId="1">
      <alignment horizontal="right" vertical="center"/>
    </xf>
    <xf numFmtId="164" fontId="35" fillId="0" borderId="0" applyAlignment="1" pivotButton="0" quotePrefix="0" xfId="337">
      <alignment vertical="center"/>
    </xf>
    <xf numFmtId="164" fontId="36" fillId="0" borderId="0" applyAlignment="1" pivotButton="0" quotePrefix="0" xfId="337">
      <alignment vertical="center"/>
    </xf>
    <xf numFmtId="0" fontId="3" fillId="0" borderId="0" applyAlignment="1" applyProtection="1" pivotButton="0" quotePrefix="0" xfId="325">
      <alignment horizontal="left" vertical="center"/>
      <protection locked="0" hidden="0"/>
    </xf>
    <xf numFmtId="0" fontId="9" fillId="0" borderId="0" applyAlignment="1" applyProtection="1" pivotButton="0" quotePrefix="0" xfId="333">
      <alignment vertical="center"/>
      <protection locked="0" hidden="0"/>
    </xf>
    <xf numFmtId="0" fontId="7" fillId="0" borderId="0" applyAlignment="1" applyProtection="1" pivotButton="0" quotePrefix="0" xfId="333">
      <alignment vertical="center"/>
      <protection locked="0" hidden="0"/>
    </xf>
    <xf numFmtId="49" fontId="9" fillId="0" borderId="0" applyAlignment="1" applyProtection="1" pivotButton="0" quotePrefix="0" xfId="0">
      <alignment horizontal="left" vertical="center"/>
      <protection locked="0" hidden="0"/>
    </xf>
    <xf numFmtId="164" fontId="6" fillId="0" borderId="0" applyAlignment="1" applyProtection="1" pivotButton="0" quotePrefix="0" xfId="337">
      <alignment horizontal="justify" vertical="center"/>
      <protection locked="0" hidden="0"/>
    </xf>
    <xf numFmtId="49" fontId="6" fillId="0" borderId="0" applyAlignment="1" applyProtection="1" pivotButton="0" quotePrefix="0" xfId="337">
      <alignment horizontal="left" vertical="center"/>
      <protection locked="0" hidden="0"/>
    </xf>
    <xf numFmtId="0" fontId="6" fillId="2" borderId="2" applyAlignment="1" applyProtection="1" pivotButton="0" quotePrefix="0" xfId="312">
      <alignment horizontal="center" vertical="center" wrapText="1"/>
      <protection locked="0" hidden="0"/>
    </xf>
    <xf numFmtId="49" fontId="3" fillId="0" borderId="2" applyAlignment="1" applyProtection="1" pivotButton="0" quotePrefix="0" xfId="337">
      <alignment horizontal="center" vertical="center"/>
      <protection locked="0" hidden="0"/>
    </xf>
    <xf numFmtId="164" fontId="35" fillId="0" borderId="2" applyAlignment="1" pivotButton="0" quotePrefix="0" xfId="337">
      <alignment horizontal="center" vertical="center" wrapText="1"/>
    </xf>
    <xf numFmtId="0" fontId="35" fillId="0" borderId="2" applyAlignment="1" pivotButton="0" quotePrefix="0" xfId="323">
      <alignment horizontal="center" vertical="center" wrapText="1"/>
    </xf>
    <xf numFmtId="0" fontId="38" fillId="0" borderId="2" applyAlignment="1" pivotButton="0" quotePrefix="0" xfId="323">
      <alignment horizontal="center" vertical="center" wrapText="1"/>
    </xf>
    <xf numFmtId="49" fontId="3" fillId="0" borderId="2" applyAlignment="1" applyProtection="1" pivotButton="0" quotePrefix="0" xfId="312">
      <alignment horizontal="center" vertical="center"/>
      <protection locked="0" hidden="0"/>
    </xf>
    <xf numFmtId="0" fontId="35" fillId="0" borderId="2" applyAlignment="1" pivotButton="0" quotePrefix="0" xfId="333">
      <alignment horizontal="center" vertical="center" wrapText="1"/>
    </xf>
    <xf numFmtId="0" fontId="26" fillId="0" borderId="2" applyAlignment="1" pivotButton="0" quotePrefix="0" xfId="0">
      <alignment horizontal="center" vertical="center" wrapText="1"/>
    </xf>
    <xf numFmtId="0" fontId="24" fillId="0" borderId="2" applyAlignment="1" pivotButton="0" quotePrefix="0" xfId="0">
      <alignment horizontal="center" vertical="center" wrapText="1"/>
    </xf>
    <xf numFmtId="0" fontId="39" fillId="0" borderId="2" applyAlignment="1" pivotButton="0" quotePrefix="0" xfId="0">
      <alignment horizontal="center" vertical="center" wrapText="1"/>
    </xf>
    <xf numFmtId="0" fontId="40" fillId="0" borderId="2" applyAlignment="1" pivotButton="0" quotePrefix="0" xfId="333">
      <alignment horizontal="center" vertical="center" wrapText="1"/>
    </xf>
    <xf numFmtId="0" fontId="41" fillId="0" borderId="2" applyAlignment="1" pivotButton="0" quotePrefix="0" xfId="0">
      <alignment vertical="center" wrapText="1"/>
    </xf>
    <xf numFmtId="164" fontId="39" fillId="0" borderId="2" applyAlignment="1" pivotButton="0" quotePrefix="0" xfId="0">
      <alignment horizontal="center" vertical="center" wrapText="1"/>
    </xf>
    <xf numFmtId="0" fontId="40" fillId="0" borderId="2" applyAlignment="1" pivotButton="0" quotePrefix="0" xfId="333">
      <alignment horizontal="center" vertical="center" wrapText="1"/>
    </xf>
    <xf numFmtId="0" fontId="35" fillId="0" borderId="2" applyAlignment="1" pivotButton="0" quotePrefix="0" xfId="333">
      <alignment horizontal="center" vertical="center" wrapText="1"/>
    </xf>
    <xf numFmtId="164" fontId="35" fillId="0" borderId="2" applyAlignment="1" pivotButton="0" quotePrefix="0" xfId="311">
      <alignment vertical="center" wrapText="1"/>
    </xf>
    <xf numFmtId="164" fontId="39" fillId="0" borderId="2" applyAlignment="1" pivotButton="0" quotePrefix="0" xfId="0">
      <alignment vertical="center" wrapText="1"/>
    </xf>
    <xf numFmtId="0" fontId="39" fillId="0" borderId="2" applyAlignment="1" pivotButton="0" quotePrefix="0" xfId="0">
      <alignment vertical="center" wrapText="1"/>
    </xf>
    <xf numFmtId="0" fontId="35" fillId="0" borderId="2" applyAlignment="1" pivotButton="0" quotePrefix="0" xfId="323">
      <alignment horizontal="center" vertical="center" wrapText="1"/>
    </xf>
    <xf numFmtId="0" fontId="35" fillId="0" borderId="2" applyAlignment="1" pivotButton="0" quotePrefix="0" xfId="323">
      <alignment vertical="center" wrapText="1"/>
    </xf>
    <xf numFmtId="164" fontId="41" fillId="0" borderId="2" applyAlignment="1" pivotButton="0" quotePrefix="0" xfId="0">
      <alignment vertical="center" wrapText="1"/>
    </xf>
    <xf numFmtId="0" fontId="42" fillId="0" borderId="2" applyAlignment="1" pivotButton="0" quotePrefix="0" xfId="333">
      <alignment horizontal="center" vertical="center" wrapText="1"/>
    </xf>
    <xf numFmtId="164" fontId="35" fillId="0" borderId="2" applyAlignment="1" pivotButton="0" quotePrefix="0" xfId="311">
      <alignment horizontal="center" vertical="center" wrapText="1"/>
    </xf>
    <xf numFmtId="164" fontId="26" fillId="0" borderId="2" applyAlignment="1" pivotButton="0" quotePrefix="0" xfId="0">
      <alignment horizontal="center" vertical="center" wrapText="1"/>
    </xf>
    <xf numFmtId="164" fontId="11" fillId="0" borderId="2" applyAlignment="1" pivotButton="0" quotePrefix="0" xfId="0">
      <alignment horizontal="center" vertical="center" wrapText="1"/>
    </xf>
    <xf numFmtId="0" fontId="10" fillId="6" borderId="0" applyAlignment="1" applyProtection="1" pivotButton="0" quotePrefix="0" xfId="0">
      <alignment horizontal="left" vertical="center" wrapText="1"/>
      <protection locked="0" hidden="0"/>
    </xf>
    <xf numFmtId="164" fontId="3" fillId="0" borderId="2" applyAlignment="1" pivotButton="0" quotePrefix="0" xfId="0">
      <alignment horizontal="center" vertical="center" wrapText="1"/>
    </xf>
    <xf numFmtId="0" fontId="35" fillId="0" borderId="2" applyAlignment="1" pivotButton="0" quotePrefix="0" xfId="323">
      <alignment horizontal="center" vertical="center" wrapText="1"/>
    </xf>
    <xf numFmtId="0" fontId="3" fillId="0" borderId="2" applyAlignment="1" pivotButton="0" quotePrefix="0" xfId="333">
      <alignment horizontal="center" vertical="center" wrapText="1"/>
    </xf>
    <xf numFmtId="0" fontId="0" fillId="0" borderId="0" applyAlignment="1" applyProtection="1" pivotButton="0" quotePrefix="0" xfId="0">
      <alignment vertical="center"/>
      <protection locked="0" hidden="0"/>
    </xf>
    <xf numFmtId="0" fontId="47" fillId="0" borderId="0" applyProtection="1" pivotButton="0" quotePrefix="0" xfId="0">
      <protection locked="0" hidden="0"/>
    </xf>
    <xf numFmtId="0" fontId="44" fillId="0" borderId="0" applyAlignment="1" applyProtection="1" pivotButton="0" quotePrefix="0" xfId="0">
      <alignment vertical="center"/>
      <protection locked="0" hidden="0"/>
    </xf>
    <xf numFmtId="0" fontId="47"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3" fillId="7" borderId="0" applyAlignment="1" applyProtection="1" pivotButton="0" quotePrefix="0" xfId="0">
      <alignment horizontal="justify" vertical="center" wrapText="1"/>
      <protection locked="0" hidden="0"/>
    </xf>
    <xf numFmtId="0" fontId="48" fillId="0" borderId="0" applyAlignment="1" applyProtection="1" pivotButton="0" quotePrefix="0" xfId="0">
      <alignment horizontal="justify" wrapText="1"/>
      <protection locked="0" hidden="0"/>
    </xf>
    <xf numFmtId="0" fontId="23" fillId="0" borderId="23" applyAlignment="1" applyProtection="1" pivotButton="0" quotePrefix="0" xfId="0">
      <alignment horizontal="center" vertical="center"/>
      <protection locked="0" hidden="0"/>
    </xf>
    <xf numFmtId="0" fontId="49" fillId="0" borderId="0" applyAlignment="1" applyProtection="1" pivotButton="0" quotePrefix="0" xfId="0">
      <alignment horizontal="justify" wrapText="1"/>
      <protection locked="0" hidden="0"/>
    </xf>
    <xf numFmtId="0" fontId="47" fillId="0" borderId="23" applyAlignment="1" applyProtection="1" pivotButton="0" quotePrefix="0" xfId="0">
      <alignment horizontal="center" wrapText="1"/>
      <protection locked="0" hidden="0"/>
    </xf>
    <xf numFmtId="0" fontId="22" fillId="0" borderId="23" applyAlignment="1" applyProtection="1" pivotButton="0" quotePrefix="0" xfId="3">
      <alignment vertical="center"/>
      <protection locked="0" hidden="0"/>
    </xf>
    <xf numFmtId="0" fontId="3" fillId="0" borderId="23" applyAlignment="1" applyProtection="1" pivotButton="0" quotePrefix="0" xfId="0">
      <alignment horizontal="center" vertical="center"/>
      <protection locked="0" hidden="0"/>
    </xf>
    <xf numFmtId="0" fontId="7" fillId="7" borderId="0" applyAlignment="1" applyProtection="1" pivotButton="0" quotePrefix="0" xfId="0">
      <alignment horizontal="justify" vertical="center" wrapText="1"/>
      <protection locked="0" hidden="0"/>
    </xf>
    <xf numFmtId="0" fontId="49" fillId="0" borderId="0" applyAlignment="1" applyProtection="1" pivotButton="0" quotePrefix="0" xfId="0">
      <alignment horizontal="justify" vertical="top" wrapText="1"/>
      <protection locked="0" hidden="0"/>
    </xf>
    <xf numFmtId="0" fontId="50" fillId="0" borderId="0" applyAlignment="1" applyProtection="1" pivotButton="0" quotePrefix="0" xfId="0">
      <alignment horizontal="justify"/>
      <protection locked="0" hidden="0"/>
    </xf>
    <xf numFmtId="0" fontId="22" fillId="0" borderId="23" applyProtection="1" pivotButton="0" quotePrefix="0" xfId="3">
      <protection locked="0" hidden="0"/>
    </xf>
    <xf numFmtId="0" fontId="52" fillId="0" borderId="23" applyAlignment="1" applyProtection="1" pivotButton="0" quotePrefix="0" xfId="3">
      <alignment vertical="center"/>
      <protection locked="0" hidden="0"/>
    </xf>
    <xf numFmtId="164" fontId="7" fillId="0" borderId="2" applyAlignment="1" pivotButton="0" quotePrefix="0" xfId="337">
      <alignment vertical="center" wrapText="1"/>
    </xf>
    <xf numFmtId="0" fontId="20" fillId="2" borderId="2" applyAlignment="1" applyProtection="1" pivotButton="0" quotePrefix="0" xfId="348">
      <alignment horizontal="center" vertical="center"/>
      <protection locked="0" hidden="0"/>
    </xf>
    <xf numFmtId="165" fontId="19" fillId="0" borderId="2" applyAlignment="1" applyProtection="1" pivotButton="0" quotePrefix="0" xfId="348">
      <alignment horizontal="right" vertical="center" shrinkToFit="1"/>
      <protection locked="0" hidden="0"/>
    </xf>
    <xf numFmtId="49" fontId="20" fillId="2" borderId="2" applyAlignment="1" applyProtection="1" pivotButton="0" quotePrefix="0" xfId="348">
      <alignment horizontal="center" vertical="center"/>
      <protection locked="0" hidden="0"/>
    </xf>
    <xf numFmtId="0" fontId="20" fillId="2" borderId="2" applyAlignment="1" applyProtection="1" pivotButton="0" quotePrefix="0" xfId="348">
      <alignment horizontal="center" vertical="center" wrapText="1"/>
      <protection locked="0" hidden="0"/>
    </xf>
    <xf numFmtId="0" fontId="9" fillId="2" borderId="2" applyAlignment="1" applyProtection="1" pivotButton="0" quotePrefix="0" xfId="316">
      <alignment horizontal="center" vertical="center"/>
      <protection locked="0" hidden="0"/>
    </xf>
    <xf numFmtId="0" fontId="35" fillId="0" borderId="2" applyAlignment="1" pivotButton="0" quotePrefix="0" xfId="333">
      <alignment vertical="center" wrapText="1"/>
    </xf>
    <xf numFmtId="164" fontId="26" fillId="0" borderId="2" applyAlignment="1" pivotButton="0" quotePrefix="0" xfId="0">
      <alignment vertical="center" wrapText="1"/>
    </xf>
    <xf numFmtId="0" fontId="3" fillId="7" borderId="0" applyAlignment="1" applyProtection="1" pivotButton="0" quotePrefix="0" xfId="0">
      <alignment horizontal="justify" vertical="center" wrapText="1"/>
      <protection locked="0" hidden="0"/>
    </xf>
    <xf numFmtId="0" fontId="15" fillId="0" borderId="0" applyAlignment="1" applyProtection="1" pivotButton="0" quotePrefix="0" xfId="0">
      <alignment horizontal="center" vertical="center"/>
      <protection locked="0" hidden="0"/>
    </xf>
    <xf numFmtId="164" fontId="122" fillId="0" borderId="0" applyAlignment="1" pivotButton="0" quotePrefix="0" xfId="452">
      <alignment horizontal="left" vertical="center"/>
    </xf>
    <xf numFmtId="165" fontId="9" fillId="2" borderId="20" applyAlignment="1" pivotButton="0" quotePrefix="0" xfId="1">
      <alignment vertical="center"/>
    </xf>
    <xf numFmtId="165" fontId="7" fillId="5" borderId="20" applyAlignment="1" pivotButton="0" quotePrefix="0" xfId="1">
      <alignment vertical="center"/>
    </xf>
    <xf numFmtId="165" fontId="9" fillId="5" borderId="20" applyAlignment="1" pivotButton="0" quotePrefix="0" xfId="1">
      <alignment horizontal="center" vertical="center"/>
    </xf>
    <xf numFmtId="0" fontId="30" fillId="50" borderId="2" applyAlignment="1" applyProtection="1" pivotButton="0" quotePrefix="0" xfId="0">
      <alignment horizontal="center" vertical="center" wrapText="1"/>
      <protection locked="0" hidden="0"/>
    </xf>
    <xf numFmtId="165" fontId="3" fillId="50" borderId="2" applyAlignment="1" pivotButton="0" quotePrefix="0" xfId="1">
      <alignment horizontal="right" vertical="center" wrapText="1"/>
    </xf>
    <xf numFmtId="165" fontId="30" fillId="50" borderId="2" applyAlignment="1" applyProtection="1" pivotButton="0" quotePrefix="1" xfId="0">
      <alignment horizontal="center" vertical="center" wrapText="1"/>
      <protection locked="0" hidden="0"/>
    </xf>
    <xf numFmtId="0" fontId="6" fillId="50" borderId="0" applyAlignment="1" applyProtection="1" pivotButton="0" quotePrefix="0" xfId="344">
      <alignment vertical="center"/>
      <protection locked="0" hidden="0"/>
    </xf>
    <xf numFmtId="0" fontId="30" fillId="50" borderId="2" applyAlignment="1" applyProtection="1" pivotButton="0" quotePrefix="0" xfId="0">
      <alignment horizontal="centerContinuous" vertical="center" wrapText="1"/>
      <protection locked="0" hidden="0"/>
    </xf>
    <xf numFmtId="165" fontId="30" fillId="50" borderId="2" applyAlignment="1" applyProtection="1" pivotButton="0" quotePrefix="0" xfId="0">
      <alignment horizontal="right" vertical="center" wrapText="1"/>
      <protection locked="0" hidden="0"/>
    </xf>
    <xf numFmtId="0" fontId="6" fillId="50" borderId="2" applyAlignment="1" applyProtection="1" pivotButton="0" quotePrefix="0" xfId="0">
      <alignment horizontal="left" vertical="center" wrapText="1"/>
      <protection locked="0" hidden="0"/>
    </xf>
    <xf numFmtId="0" fontId="4" fillId="50" borderId="0" applyProtection="1" pivotButton="0" quotePrefix="0" xfId="0">
      <protection locked="0" hidden="0"/>
    </xf>
    <xf numFmtId="0" fontId="30" fillId="50" borderId="2" applyAlignment="1" applyProtection="1" pivotButton="0" quotePrefix="0" xfId="0">
      <alignment horizontal="right" vertical="center" wrapText="1"/>
      <protection locked="0" hidden="0"/>
    </xf>
    <xf numFmtId="165" fontId="19" fillId="0" borderId="2" applyAlignment="1" applyProtection="1" pivotButton="0" quotePrefix="0" xfId="348">
      <alignment vertical="center" shrinkToFit="1"/>
      <protection locked="0" hidden="0"/>
    </xf>
    <xf numFmtId="0" fontId="20" fillId="50" borderId="2" applyAlignment="1" applyProtection="1" pivotButton="0" quotePrefix="0" xfId="348">
      <alignment horizontal="center" vertical="center"/>
      <protection locked="0" hidden="0"/>
    </xf>
    <xf numFmtId="165" fontId="6" fillId="50" borderId="2" applyAlignment="1" pivotButton="0" quotePrefix="0" xfId="1">
      <alignment horizontal="right" vertical="center" wrapText="1"/>
    </xf>
    <xf numFmtId="165" fontId="6" fillId="50" borderId="2" applyAlignment="1" pivotButton="0" quotePrefix="0" xfId="1">
      <alignment horizontal="center" vertical="center" wrapText="1"/>
    </xf>
    <xf numFmtId="0" fontId="20" fillId="50" borderId="0" applyAlignment="1" applyProtection="1" pivotButton="0" quotePrefix="0" xfId="348">
      <alignment vertical="center"/>
      <protection locked="0" hidden="0"/>
    </xf>
    <xf numFmtId="0" fontId="19" fillId="0" borderId="0" applyAlignment="1" applyProtection="1" pivotButton="0" quotePrefix="0" xfId="348">
      <alignment horizontal="center" vertical="center"/>
      <protection locked="0" hidden="0"/>
    </xf>
    <xf numFmtId="0" fontId="9" fillId="0" borderId="0" applyAlignment="1" applyProtection="1" pivotButton="0" quotePrefix="0" xfId="348">
      <alignment vertical="center"/>
      <protection locked="0" hidden="0"/>
    </xf>
    <xf numFmtId="0" fontId="133" fillId="0" borderId="0" applyAlignment="1" applyProtection="1" pivotButton="0" quotePrefix="0" xfId="0">
      <alignment vertical="center"/>
      <protection locked="0" hidden="0"/>
    </xf>
    <xf numFmtId="0" fontId="6" fillId="50" borderId="2" applyAlignment="1" applyProtection="1" pivotButton="0" quotePrefix="0" xfId="0">
      <alignment horizontal="center" vertical="center" wrapText="1"/>
      <protection locked="0" hidden="0"/>
    </xf>
    <xf numFmtId="0" fontId="3" fillId="50" borderId="0" applyAlignment="1" applyProtection="1" pivotButton="0" quotePrefix="0" xfId="0">
      <alignment vertical="center"/>
      <protection locked="0" hidden="0"/>
    </xf>
    <xf numFmtId="0" fontId="3" fillId="50" borderId="0" applyAlignment="1" applyProtection="1" pivotButton="0" quotePrefix="0" xfId="0">
      <alignment vertical="center" wrapText="1"/>
      <protection locked="0" hidden="0"/>
    </xf>
    <xf numFmtId="164" fontId="9" fillId="50" borderId="2" applyAlignment="1" applyProtection="1" pivotButton="0" quotePrefix="0" xfId="321">
      <alignment vertical="center"/>
      <protection locked="0" hidden="0"/>
    </xf>
    <xf numFmtId="165" fontId="6" fillId="50" borderId="2" applyAlignment="1" applyProtection="1" pivotButton="0" quotePrefix="0" xfId="433">
      <alignment vertical="center"/>
      <protection locked="0" hidden="0"/>
    </xf>
    <xf numFmtId="49" fontId="9" fillId="50" borderId="2" applyAlignment="1" applyProtection="1" pivotButton="0" quotePrefix="0" xfId="321">
      <alignment horizontal="center" vertical="center"/>
      <protection locked="0" hidden="0"/>
    </xf>
    <xf numFmtId="0" fontId="6" fillId="50" borderId="2" applyAlignment="1" applyProtection="1" pivotButton="0" quotePrefix="0" xfId="0">
      <alignment horizontal="center" vertical="center"/>
      <protection locked="0" hidden="0"/>
    </xf>
    <xf numFmtId="0" fontId="6" fillId="50" borderId="2" applyAlignment="1" applyProtection="1" pivotButton="0" quotePrefix="0" xfId="433">
      <alignment horizontal="center" vertical="center"/>
      <protection locked="0" hidden="0"/>
    </xf>
    <xf numFmtId="49" fontId="6" fillId="50" borderId="2" applyAlignment="1" applyProtection="1" pivotButton="0" quotePrefix="0" xfId="321">
      <alignment vertical="center"/>
      <protection locked="0" hidden="0"/>
    </xf>
    <xf numFmtId="165" fontId="3" fillId="0" borderId="2" applyAlignment="1" applyProtection="1" pivotButton="0" quotePrefix="0" xfId="1">
      <alignment horizontal="left" vertical="center"/>
      <protection locked="0" hidden="0"/>
    </xf>
    <xf numFmtId="0" fontId="6" fillId="50" borderId="0" applyAlignment="1" applyProtection="1" pivotButton="0" quotePrefix="0" xfId="0">
      <alignment vertical="center"/>
      <protection locked="0" hidden="0"/>
    </xf>
    <xf numFmtId="0" fontId="6" fillId="50" borderId="2" applyAlignment="1" applyProtection="1" pivotButton="0" quotePrefix="0" xfId="0">
      <alignment horizontal="left" vertical="center"/>
      <protection locked="0" hidden="0"/>
    </xf>
    <xf numFmtId="10" fontId="6" fillId="50" borderId="2" applyAlignment="1" applyProtection="1" pivotButton="0" quotePrefix="0" xfId="2">
      <alignment horizontal="right" vertical="center"/>
      <protection locked="0" hidden="0"/>
    </xf>
    <xf numFmtId="0" fontId="6" fillId="50" borderId="2" applyAlignment="1" applyProtection="1" pivotButton="0" quotePrefix="0" xfId="0">
      <alignment horizontal="center" vertical="center"/>
      <protection locked="0" hidden="0"/>
    </xf>
    <xf numFmtId="0" fontId="6" fillId="50" borderId="2" applyAlignment="1" applyProtection="1" pivotButton="0" quotePrefix="0" xfId="0">
      <alignment vertical="center" wrapText="1"/>
      <protection locked="0" hidden="0"/>
    </xf>
    <xf numFmtId="0" fontId="6" fillId="50" borderId="2" applyAlignment="1" applyProtection="1" pivotButton="0" quotePrefix="0" xfId="0">
      <alignment vertical="center"/>
      <protection locked="0" hidden="0"/>
    </xf>
    <xf numFmtId="0" fontId="6" fillId="50" borderId="0" applyAlignment="1" applyProtection="1" pivotButton="0" quotePrefix="0" xfId="0">
      <alignment vertical="center"/>
      <protection locked="0" hidden="0"/>
    </xf>
    <xf numFmtId="0" fontId="3" fillId="0" borderId="2" applyAlignment="1" applyProtection="1" pivotButton="0" quotePrefix="0" xfId="0">
      <alignment vertical="center"/>
      <protection locked="0" hidden="0"/>
    </xf>
    <xf numFmtId="164" fontId="10" fillId="0" borderId="0" applyAlignment="1" applyProtection="1" pivotButton="0" quotePrefix="0" xfId="3">
      <alignment vertical="center" wrapText="1"/>
      <protection locked="0" hidden="0"/>
    </xf>
    <xf numFmtId="0" fontId="0" fillId="0" borderId="23" applyAlignment="1" applyProtection="1" pivotButton="0" quotePrefix="0" xfId="0">
      <alignment vertical="center"/>
      <protection locked="0" hidden="0"/>
    </xf>
    <xf numFmtId="0" fontId="2" fillId="0" borderId="0" applyAlignment="1" applyProtection="1" pivotButton="0" quotePrefix="0" xfId="0">
      <alignment horizontal="left" vertical="center" wrapText="1"/>
      <protection locked="0" hidden="0"/>
    </xf>
    <xf numFmtId="0" fontId="4" fillId="0" borderId="0" applyAlignment="1" applyProtection="1" pivotButton="0" quotePrefix="0" xfId="0">
      <alignment horizontal="left" vertical="center" wrapText="1"/>
      <protection locked="0" hidden="0"/>
    </xf>
    <xf numFmtId="0" fontId="9" fillId="4" borderId="3" applyAlignment="1" applyProtection="1" pivotButton="0" quotePrefix="0" xfId="0">
      <alignment horizontal="center" vertical="center"/>
      <protection locked="0" hidden="0"/>
    </xf>
    <xf numFmtId="0" fontId="9" fillId="4" borderId="4" applyAlignment="1" applyProtection="1" pivotButton="0" quotePrefix="0" xfId="0">
      <alignment horizontal="center" vertical="center"/>
      <protection locked="0" hidden="0"/>
    </xf>
    <xf numFmtId="0" fontId="9" fillId="4" borderId="9" applyAlignment="1" applyProtection="1" pivotButton="0" quotePrefix="0" xfId="0">
      <alignment horizontal="center" vertical="center"/>
      <protection locked="0" hidden="0"/>
    </xf>
    <xf numFmtId="0" fontId="43" fillId="6" borderId="21" applyAlignment="1" applyProtection="1" pivotButton="0" quotePrefix="0" xfId="0">
      <alignment horizontal="left" vertical="center" wrapText="1"/>
      <protection locked="0" hidden="0"/>
    </xf>
    <xf numFmtId="0" fontId="43" fillId="6" borderId="0" applyAlignment="1" applyProtection="1" pivotButton="0" quotePrefix="0" xfId="0">
      <alignment horizontal="left" vertical="center" wrapText="1"/>
      <protection locked="0" hidden="0"/>
    </xf>
    <xf numFmtId="0" fontId="10" fillId="6" borderId="21" applyAlignment="1" applyProtection="1" pivotButton="0" quotePrefix="0" xfId="0">
      <alignment horizontal="left" vertical="center" wrapText="1"/>
      <protection locked="0" hidden="0"/>
    </xf>
    <xf numFmtId="0" fontId="10" fillId="6" borderId="0" applyAlignment="1" applyProtection="1" pivotButton="0" quotePrefix="0" xfId="0">
      <alignment horizontal="left" vertical="center" wrapText="1"/>
      <protection locked="0" hidden="0"/>
    </xf>
    <xf numFmtId="49" fontId="6" fillId="2" borderId="5" applyAlignment="1" applyProtection="1" pivotButton="0" quotePrefix="0" xfId="312">
      <alignment horizontal="center" vertical="center"/>
      <protection locked="0" hidden="0"/>
    </xf>
    <xf numFmtId="49" fontId="6" fillId="2" borderId="6" applyAlignment="1" applyProtection="1" pivotButton="0" quotePrefix="0" xfId="312">
      <alignment horizontal="center" vertical="center"/>
      <protection locked="0" hidden="0"/>
    </xf>
    <xf numFmtId="0" fontId="9" fillId="50" borderId="30" applyAlignment="1" applyProtection="1" pivotButton="0" quotePrefix="0" xfId="333">
      <alignment horizontal="center" vertical="center" wrapText="1"/>
      <protection locked="0" hidden="0"/>
    </xf>
    <xf numFmtId="0" fontId="6" fillId="2" borderId="5" applyAlignment="1" applyProtection="1" pivotButton="0" quotePrefix="0" xfId="312">
      <alignment horizontal="center" vertical="center" wrapText="1"/>
      <protection locked="0" hidden="0"/>
    </xf>
    <xf numFmtId="0" fontId="6" fillId="2" borderId="6" applyAlignment="1" applyProtection="1" pivotButton="0" quotePrefix="0" xfId="312">
      <alignment horizontal="center" vertical="center" wrapText="1"/>
      <protection locked="0" hidden="0"/>
    </xf>
    <xf numFmtId="0" fontId="3" fillId="0" borderId="2" applyAlignment="1" applyProtection="1" pivotButton="0" quotePrefix="0" xfId="329">
      <alignment horizontal="center" vertical="center" wrapText="1"/>
      <protection locked="0" hidden="0"/>
    </xf>
    <xf numFmtId="164" fontId="2" fillId="0" borderId="0" applyAlignment="1" pivotButton="0" quotePrefix="0" xfId="341">
      <alignment horizontal="center" vertical="center"/>
    </xf>
    <xf numFmtId="164" fontId="5" fillId="0" borderId="0" applyAlignment="1" pivotButton="0" quotePrefix="0" xfId="341">
      <alignment horizontal="center" vertical="center"/>
    </xf>
    <xf numFmtId="0" fontId="9" fillId="2" borderId="2" applyAlignment="1" applyProtection="1" pivotButton="0" quotePrefix="0" xfId="0">
      <alignment horizontal="center" vertical="center" wrapText="1"/>
      <protection locked="0" hidden="0"/>
    </xf>
    <xf numFmtId="0" fontId="3" fillId="0" borderId="2" applyAlignment="1" applyProtection="1" pivotButton="0" quotePrefix="0" xfId="333">
      <alignment horizontal="left" vertical="center" wrapText="1"/>
      <protection locked="0" hidden="0"/>
    </xf>
    <xf numFmtId="0" fontId="37" fillId="2" borderId="2" applyAlignment="1" applyProtection="1" pivotButton="0" quotePrefix="0" xfId="0">
      <alignment horizontal="center" vertical="center" wrapText="1"/>
      <protection locked="0" hidden="0"/>
    </xf>
    <xf numFmtId="0" fontId="44" fillId="0" borderId="0" applyAlignment="1" pivotButton="0" quotePrefix="0" xfId="340">
      <alignment horizontal="center" vertical="center" wrapText="1"/>
    </xf>
    <xf numFmtId="0" fontId="15" fillId="0" borderId="0" applyAlignment="1" pivotButton="0" quotePrefix="0" xfId="340">
      <alignment horizontal="center" vertical="center" wrapText="1"/>
    </xf>
    <xf numFmtId="165" fontId="9" fillId="2" borderId="16" applyAlignment="1" applyProtection="1" pivotButton="0" quotePrefix="0" xfId="1">
      <alignment horizontal="center" vertical="center" wrapText="1"/>
      <protection locked="0" hidden="0"/>
    </xf>
    <xf numFmtId="165" fontId="9" fillId="2" borderId="17" applyAlignment="1" applyProtection="1" pivotButton="0" quotePrefix="0" xfId="1">
      <alignment horizontal="center" vertical="center" wrapText="1"/>
      <protection locked="0" hidden="0"/>
    </xf>
    <xf numFmtId="165" fontId="9" fillId="2" borderId="18" applyAlignment="1" applyProtection="1" pivotButton="0" quotePrefix="0" xfId="1">
      <alignment horizontal="center" vertical="center" wrapText="1"/>
      <protection locked="0" hidden="0"/>
    </xf>
    <xf numFmtId="165" fontId="9" fillId="2" borderId="15" applyAlignment="1" pivotButton="0" quotePrefix="0" xfId="1">
      <alignment horizontal="center" vertical="center"/>
    </xf>
    <xf numFmtId="165" fontId="9" fillId="2" borderId="19" applyAlignment="1" pivotButton="0" quotePrefix="0" xfId="1">
      <alignment horizontal="center" vertical="center"/>
    </xf>
    <xf numFmtId="0" fontId="2" fillId="0" borderId="0" applyAlignment="1" pivotButton="0" quotePrefix="0" xfId="340">
      <alignment horizontal="center" vertical="center"/>
    </xf>
    <xf numFmtId="0" fontId="5" fillId="0" borderId="0" applyAlignment="1" pivotButton="0" quotePrefix="0" xfId="340">
      <alignment horizontal="center" vertical="center"/>
    </xf>
    <xf numFmtId="0" fontId="9" fillId="2" borderId="5" applyAlignment="1" applyProtection="1" pivotButton="0" quotePrefix="0" xfId="0">
      <alignment horizontal="center" vertical="center" wrapText="1"/>
      <protection locked="0" hidden="0"/>
    </xf>
    <xf numFmtId="0" fontId="9" fillId="2" borderId="6" applyAlignment="1" applyProtection="1" pivotButton="0" quotePrefix="0" xfId="0">
      <alignment horizontal="center" vertical="center" wrapText="1"/>
      <protection locked="0" hidden="0"/>
    </xf>
    <xf numFmtId="0" fontId="9" fillId="2" borderId="3" applyAlignment="1" applyProtection="1" pivotButton="0" quotePrefix="0" xfId="0">
      <alignment horizontal="center" vertical="center" wrapText="1"/>
      <protection locked="0" hidden="0"/>
    </xf>
    <xf numFmtId="0" fontId="9" fillId="2" borderId="9" applyAlignment="1" applyProtection="1" pivotButton="0" quotePrefix="0" xfId="0">
      <alignment horizontal="center" vertical="center" wrapText="1"/>
      <protection locked="0" hidden="0"/>
    </xf>
    <xf numFmtId="0" fontId="9" fillId="2" borderId="4" applyAlignment="1" applyProtection="1" pivotButton="0" quotePrefix="0" xfId="0">
      <alignment horizontal="center" vertical="center" wrapText="1"/>
      <protection locked="0" hidden="0"/>
    </xf>
    <xf numFmtId="0" fontId="2" fillId="0" borderId="0" applyAlignment="1" pivotButton="0" quotePrefix="0" xfId="340">
      <alignment horizontal="center" vertical="center" wrapText="1"/>
    </xf>
    <xf numFmtId="0" fontId="5" fillId="0" borderId="0" applyAlignment="1" pivotButton="0" quotePrefix="0" xfId="340">
      <alignment horizontal="center" vertical="center" wrapText="1"/>
    </xf>
    <xf numFmtId="0" fontId="3" fillId="0" borderId="0" applyAlignment="1" applyProtection="1" pivotButton="0" quotePrefix="0" xfId="0">
      <alignment horizontal="left" vertical="center" wrapText="1"/>
      <protection locked="0" hidden="0"/>
    </xf>
    <xf numFmtId="0" fontId="9" fillId="2" borderId="2" applyAlignment="1" applyProtection="1" pivotButton="0" quotePrefix="0" xfId="0">
      <alignment horizontal="center" vertical="center" wrapText="1"/>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165" fontId="44" fillId="0" borderId="0" applyAlignment="1" pivotButton="0" quotePrefix="0" xfId="347">
      <alignment horizontal="center" vertical="center"/>
    </xf>
    <xf numFmtId="165" fontId="15" fillId="0" borderId="0" applyAlignment="1" pivotButton="0" quotePrefix="0" xfId="347">
      <alignment horizontal="center" vertical="center"/>
    </xf>
    <xf numFmtId="0" fontId="29" fillId="0" borderId="0" applyAlignment="1" applyProtection="1" pivotButton="0" quotePrefix="0" xfId="313">
      <alignment horizontal="left" vertical="center" wrapText="1"/>
      <protection locked="0" hidden="0"/>
    </xf>
    <xf numFmtId="0" fontId="3" fillId="0" borderId="0" applyAlignment="1" applyProtection="1" pivotButton="0" quotePrefix="0" xfId="313">
      <alignment horizontal="left" vertical="center" wrapText="1"/>
      <protection locked="0" hidden="0"/>
    </xf>
    <xf numFmtId="0" fontId="2"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3" fillId="0" borderId="1" applyAlignment="1" applyProtection="1" pivotButton="0" quotePrefix="0" xfId="0">
      <alignment horizontal="left" vertical="center" wrapText="1"/>
      <protection locked="0" hidden="0"/>
    </xf>
    <xf numFmtId="0" fontId="20" fillId="2" borderId="2" applyAlignment="1" applyProtection="1" pivotButton="0" quotePrefix="0" xfId="348">
      <alignment horizontal="center" vertical="center"/>
      <protection locked="0" hidden="0"/>
    </xf>
    <xf numFmtId="0" fontId="20" fillId="2" borderId="2" applyAlignment="1" applyProtection="1" pivotButton="0" quotePrefix="0" xfId="348">
      <alignment horizontal="center" vertical="center" wrapText="1"/>
      <protection locked="0" hidden="0"/>
    </xf>
    <xf numFmtId="0" fontId="20" fillId="2" borderId="3" applyAlignment="1" applyProtection="1" pivotButton="0" quotePrefix="0" xfId="348">
      <alignment horizontal="center" vertical="center"/>
      <protection locked="0" hidden="0"/>
    </xf>
    <xf numFmtId="0" fontId="20" fillId="2" borderId="9" applyAlignment="1" applyProtection="1" pivotButton="0" quotePrefix="0" xfId="348">
      <alignment horizontal="center" vertical="center"/>
      <protection locked="0" hidden="0"/>
    </xf>
    <xf numFmtId="0" fontId="20" fillId="2" borderId="5" applyAlignment="1" applyProtection="1" pivotButton="0" quotePrefix="0" xfId="348">
      <alignment horizontal="center" vertical="center" wrapText="1"/>
      <protection locked="0" hidden="0"/>
    </xf>
    <xf numFmtId="0" fontId="20" fillId="2" borderId="6" applyAlignment="1" applyProtection="1" pivotButton="0" quotePrefix="0" xfId="348">
      <alignment horizontal="center" vertical="center" wrapText="1"/>
      <protection locked="0" hidden="0"/>
    </xf>
    <xf numFmtId="0" fontId="20" fillId="2" borderId="8" applyAlignment="1" applyProtection="1" pivotButton="0" quotePrefix="0" xfId="348">
      <alignment horizontal="center" vertical="center" wrapText="1"/>
      <protection locked="0" hidden="0"/>
    </xf>
    <xf numFmtId="0" fontId="20" fillId="2" borderId="3" applyAlignment="1" applyProtection="1" pivotButton="0" quotePrefix="0" xfId="348">
      <alignment horizontal="center" vertical="center" wrapText="1"/>
      <protection locked="0" hidden="0"/>
    </xf>
    <xf numFmtId="0" fontId="20" fillId="2" borderId="9" applyAlignment="1" applyProtection="1" pivotButton="0" quotePrefix="0" xfId="348">
      <alignment horizontal="center" vertical="center" wrapText="1"/>
      <protection locked="0" hidden="0"/>
    </xf>
    <xf numFmtId="0" fontId="2" fillId="0" borderId="0" applyAlignment="1" pivotButton="0" quotePrefix="0" xfId="339">
      <alignment horizontal="center" vertical="center" wrapText="1"/>
    </xf>
    <xf numFmtId="0" fontId="15" fillId="0" borderId="0" applyAlignment="1" pivotButton="0" quotePrefix="0" xfId="339">
      <alignment horizontal="center" vertical="center" wrapText="1"/>
    </xf>
    <xf numFmtId="0" fontId="5" fillId="0" borderId="0" applyAlignment="1" pivotButton="0" quotePrefix="0" xfId="339">
      <alignment horizontal="center" vertical="center" wrapText="1"/>
    </xf>
    <xf numFmtId="0" fontId="16" fillId="0" borderId="1" applyAlignment="1" applyProtection="1" pivotButton="0" quotePrefix="0" xfId="0">
      <alignment horizontal="left" vertical="center" wrapText="1"/>
      <protection locked="0" hidden="0"/>
    </xf>
    <xf numFmtId="14" fontId="9" fillId="50" borderId="2" applyAlignment="1" applyProtection="1" pivotButton="0" quotePrefix="0" xfId="321">
      <alignment horizontal="center" vertical="center"/>
      <protection locked="0" hidden="0"/>
    </xf>
    <xf numFmtId="0" fontId="9" fillId="3" borderId="2" applyAlignment="1" pivotButton="0" quotePrefix="0" xfId="316">
      <alignment horizontal="center" vertical="center" wrapText="1"/>
    </xf>
    <xf numFmtId="0" fontId="9" fillId="2" borderId="2" applyAlignment="1" applyProtection="1" pivotButton="0" quotePrefix="0" xfId="313">
      <alignment horizontal="center" vertical="center"/>
      <protection locked="0" hidden="0"/>
    </xf>
    <xf numFmtId="0" fontId="6" fillId="2" borderId="2" applyAlignment="1" applyProtection="1" pivotButton="0" quotePrefix="0" xfId="313">
      <alignment horizontal="center" vertical="center"/>
      <protection locked="0" hidden="0"/>
    </xf>
    <xf numFmtId="0" fontId="3" fillId="0" borderId="0" applyAlignment="1" pivotButton="0" quotePrefix="0" xfId="345">
      <alignment horizontal="left" vertical="center" wrapText="1"/>
    </xf>
    <xf numFmtId="0" fontId="9" fillId="2" borderId="2" applyAlignment="1" applyProtection="1" pivotButton="0" quotePrefix="0" xfId="316">
      <alignment horizontal="center" vertical="center"/>
      <protection locked="0" hidden="0"/>
    </xf>
    <xf numFmtId="0" fontId="6" fillId="2" borderId="2" applyAlignment="1" applyProtection="1" pivotButton="0" quotePrefix="0" xfId="0">
      <alignment horizontal="center" vertical="center"/>
      <protection locked="0" hidden="0"/>
    </xf>
    <xf numFmtId="0" fontId="9" fillId="2" borderId="2" applyAlignment="1" applyProtection="1" pivotButton="0" quotePrefix="0" xfId="313">
      <alignment horizontal="center" vertical="center" wrapText="1"/>
      <protection locked="0" hidden="0"/>
    </xf>
    <xf numFmtId="0" fontId="6" fillId="2" borderId="2" applyAlignment="1" applyProtection="1" pivotButton="0" quotePrefix="0" xfId="313">
      <alignment horizontal="center" vertical="center" wrapText="1"/>
      <protection locked="0" hidden="0"/>
    </xf>
    <xf numFmtId="0" fontId="0" fillId="0" borderId="0" pivotButton="0" quotePrefix="0" xfId="0"/>
    <xf numFmtId="164" fontId="36" fillId="0" borderId="0" applyAlignment="1" pivotButton="0" quotePrefix="0" xfId="337">
      <alignment vertical="center"/>
    </xf>
    <xf numFmtId="164" fontId="2" fillId="0" borderId="0" applyAlignment="1" pivotButton="0" quotePrefix="0" xfId="341">
      <alignment horizontal="center" vertical="center"/>
    </xf>
    <xf numFmtId="164" fontId="5" fillId="0" borderId="0" applyAlignment="1" pivotButton="0" quotePrefix="0" xfId="341">
      <alignment horizontal="center" vertical="center"/>
    </xf>
    <xf numFmtId="164" fontId="3" fillId="0" borderId="0" applyAlignment="1" applyProtection="1" pivotButton="0" quotePrefix="0" xfId="337">
      <alignment vertical="center"/>
      <protection locked="0" hidden="0"/>
    </xf>
    <xf numFmtId="164" fontId="10" fillId="0" borderId="0" applyAlignment="1" applyProtection="1" pivotButton="0" quotePrefix="0" xfId="3">
      <alignment vertical="center" wrapText="1"/>
      <protection locked="0" hidden="0"/>
    </xf>
    <xf numFmtId="164" fontId="6" fillId="0" borderId="0" applyAlignment="1" applyProtection="1" pivotButton="0" quotePrefix="0" xfId="337">
      <alignment horizontal="justify" vertical="center"/>
      <protection locked="0" hidden="0"/>
    </xf>
    <xf numFmtId="0" fontId="0" fillId="0" borderId="4" applyProtection="1" pivotButton="0" quotePrefix="0" xfId="0">
      <protection locked="0" hidden="0"/>
    </xf>
    <xf numFmtId="0" fontId="0" fillId="0" borderId="9" applyProtection="1" pivotButton="0" quotePrefix="0" xfId="0">
      <protection locked="0" hidden="0"/>
    </xf>
    <xf numFmtId="49" fontId="6" fillId="2" borderId="2" applyAlignment="1" applyProtection="1" pivotButton="0" quotePrefix="0" xfId="312">
      <alignment horizontal="center" vertical="center"/>
      <protection locked="0" hidden="0"/>
    </xf>
    <xf numFmtId="0" fontId="9" fillId="4" borderId="2" applyAlignment="1" applyProtection="1" pivotButton="0" quotePrefix="0" xfId="0">
      <alignment horizontal="center" vertical="center"/>
      <protection locked="0" hidden="0"/>
    </xf>
    <xf numFmtId="0" fontId="0" fillId="0" borderId="6" applyProtection="1" pivotButton="0" quotePrefix="0" xfId="0">
      <protection locked="0" hidden="0"/>
    </xf>
    <xf numFmtId="0" fontId="0" fillId="0" borderId="33" applyProtection="1" pivotButton="0" quotePrefix="0" xfId="0">
      <protection locked="0" hidden="0"/>
    </xf>
    <xf numFmtId="164" fontId="122" fillId="0" borderId="0" applyAlignment="1" pivotButton="0" quotePrefix="0" xfId="452">
      <alignment horizontal="left" vertical="center"/>
    </xf>
    <xf numFmtId="164" fontId="35" fillId="0" borderId="2" applyAlignment="1" pivotButton="0" quotePrefix="0" xfId="337">
      <alignment horizontal="center" vertical="center" wrapText="1"/>
    </xf>
    <xf numFmtId="164" fontId="11" fillId="0" borderId="2" applyAlignment="1" pivotButton="0" quotePrefix="0" xfId="0">
      <alignment horizontal="center" vertical="center" wrapText="1"/>
    </xf>
    <xf numFmtId="164" fontId="7" fillId="0" borderId="2" applyAlignment="1" pivotButton="0" quotePrefix="0" xfId="337">
      <alignment vertical="center" wrapText="1"/>
    </xf>
    <xf numFmtId="164" fontId="39" fillId="0" borderId="2" applyAlignment="1" pivotButton="0" quotePrefix="0" xfId="0">
      <alignment horizontal="center" vertical="center" wrapText="1"/>
    </xf>
    <xf numFmtId="164" fontId="35" fillId="0" borderId="2" applyAlignment="1" pivotButton="0" quotePrefix="0" xfId="311">
      <alignment vertical="center" wrapText="1"/>
    </xf>
    <xf numFmtId="164" fontId="3" fillId="0" borderId="2" applyAlignment="1" pivotButton="0" quotePrefix="0" xfId="0">
      <alignment horizontal="center" vertical="center" wrapText="1"/>
    </xf>
    <xf numFmtId="164" fontId="39" fillId="0" borderId="2" applyAlignment="1" pivotButton="0" quotePrefix="0" xfId="0">
      <alignment vertical="center" wrapText="1"/>
    </xf>
    <xf numFmtId="164" fontId="26" fillId="0" borderId="2" applyAlignment="1" pivotButton="0" quotePrefix="0" xfId="0">
      <alignment vertical="center" wrapText="1"/>
    </xf>
    <xf numFmtId="164" fontId="26" fillId="0" borderId="2" applyAlignment="1" pivotButton="0" quotePrefix="0" xfId="0">
      <alignment horizontal="center" vertical="center" wrapText="1"/>
    </xf>
    <xf numFmtId="164" fontId="35" fillId="0" borderId="0" applyAlignment="1" pivotButton="0" quotePrefix="0" xfId="337">
      <alignment vertical="center"/>
    </xf>
    <xf numFmtId="164" fontId="41" fillId="0" borderId="2" applyAlignment="1" pivotButton="0" quotePrefix="0" xfId="0">
      <alignment vertical="center" wrapText="1"/>
    </xf>
    <xf numFmtId="164" fontId="35" fillId="0" borderId="2" applyAlignment="1" pivotButton="0" quotePrefix="0" xfId="311">
      <alignment horizontal="center" vertical="center" wrapText="1"/>
    </xf>
    <xf numFmtId="164" fontId="13" fillId="0" borderId="0" applyAlignment="1" pivotButton="0" quotePrefix="0" xfId="3">
      <alignment vertical="center"/>
    </xf>
    <xf numFmtId="165" fontId="9" fillId="2" borderId="20" applyAlignment="1" pivotButton="0" quotePrefix="0" xfId="1">
      <alignment horizontal="center" vertical="center"/>
    </xf>
    <xf numFmtId="165" fontId="9" fillId="2" borderId="20" applyAlignment="1" applyProtection="1" pivotButton="0" quotePrefix="0" xfId="1">
      <alignment horizontal="center" vertical="center" wrapText="1"/>
      <protection locked="0" hidden="0"/>
    </xf>
    <xf numFmtId="0" fontId="0" fillId="0" borderId="17" applyProtection="1" pivotButton="0" quotePrefix="0" xfId="0">
      <protection locked="0" hidden="0"/>
    </xf>
    <xf numFmtId="0" fontId="0" fillId="0" borderId="18" applyProtection="1" pivotButton="0" quotePrefix="0" xfId="0">
      <protection locked="0" hidden="0"/>
    </xf>
    <xf numFmtId="0" fontId="0" fillId="0" borderId="19" pivotButton="0" quotePrefix="0" xfId="0"/>
    <xf numFmtId="165" fontId="9" fillId="2" borderId="20" applyAlignment="1" applyProtection="1" pivotButton="0" quotePrefix="0" xfId="1">
      <alignment horizontal="center" vertical="center"/>
      <protection locked="0" hidden="0"/>
    </xf>
    <xf numFmtId="165" fontId="9" fillId="2" borderId="20" applyAlignment="1" pivotButton="0" quotePrefix="0" xfId="1">
      <alignment vertical="center"/>
    </xf>
    <xf numFmtId="165" fontId="3" fillId="2" borderId="2" applyAlignment="1" pivotButton="0" quotePrefix="0" xfId="1">
      <alignment horizontal="right" vertical="center" wrapText="1"/>
    </xf>
    <xf numFmtId="165" fontId="7" fillId="5" borderId="20" applyAlignment="1" pivotButton="0" quotePrefix="0" xfId="1">
      <alignment vertical="center"/>
    </xf>
    <xf numFmtId="165" fontId="3" fillId="4" borderId="2" applyAlignment="1" pivotButton="0" quotePrefix="0" xfId="1">
      <alignment horizontal="right" vertical="center" wrapText="1"/>
    </xf>
    <xf numFmtId="165" fontId="9" fillId="5" borderId="20" applyAlignment="1" pivotButton="0" quotePrefix="0" xfId="1">
      <alignment horizontal="center" vertical="center"/>
    </xf>
    <xf numFmtId="165" fontId="6" fillId="4" borderId="2" applyAlignment="1" pivotButton="0" quotePrefix="0" xfId="1">
      <alignment horizontal="right" vertical="center" wrapText="1"/>
    </xf>
    <xf numFmtId="165" fontId="6" fillId="0" borderId="0" applyAlignment="1" pivotButton="0" quotePrefix="0" xfId="1">
      <alignment horizontal="right" vertical="center" wrapText="1"/>
    </xf>
    <xf numFmtId="165" fontId="3" fillId="0" borderId="0" applyAlignment="1" pivotButton="0" quotePrefix="0" xfId="1">
      <alignment vertical="center"/>
    </xf>
    <xf numFmtId="165" fontId="3" fillId="0" borderId="0" applyAlignment="1" pivotButton="0" quotePrefix="0" xfId="1">
      <alignment horizontal="right" vertical="center"/>
    </xf>
    <xf numFmtId="165" fontId="3" fillId="0" borderId="0" applyAlignment="1" pivotButton="0" quotePrefix="0" xfId="346">
      <alignment vertical="center"/>
    </xf>
    <xf numFmtId="165" fontId="3" fillId="0" borderId="2" applyAlignment="1" pivotButton="0" quotePrefix="0" xfId="342">
      <alignment vertical="center"/>
    </xf>
    <xf numFmtId="165" fontId="4" fillId="0" borderId="13" applyAlignment="1" applyProtection="1" pivotButton="0" quotePrefix="0" xfId="1">
      <alignment vertical="center"/>
      <protection locked="0" hidden="0"/>
    </xf>
    <xf numFmtId="165" fontId="4" fillId="0" borderId="0" applyAlignment="1" applyProtection="1" pivotButton="0" quotePrefix="0" xfId="1">
      <alignment vertical="center"/>
      <protection locked="0" hidden="0"/>
    </xf>
    <xf numFmtId="165" fontId="4" fillId="0" borderId="14" applyAlignment="1" applyProtection="1" pivotButton="0" quotePrefix="0" xfId="1">
      <alignment vertical="center"/>
      <protection locked="0" hidden="0"/>
    </xf>
    <xf numFmtId="165" fontId="4" fillId="0" borderId="12" applyAlignment="1" applyProtection="1" pivotButton="0" quotePrefix="0" xfId="1">
      <alignment vertical="center"/>
      <protection locked="0" hidden="0"/>
    </xf>
    <xf numFmtId="165" fontId="4" fillId="0" borderId="0" applyAlignment="1" applyProtection="1" pivotButton="0" quotePrefix="0" xfId="0">
      <alignment horizontal="justify" vertical="center" wrapText="1"/>
      <protection locked="0" hidden="0"/>
    </xf>
    <xf numFmtId="165" fontId="4" fillId="0" borderId="0" applyAlignment="1" applyProtection="1" pivotButton="0" quotePrefix="0" xfId="0">
      <alignment horizontal="right" vertical="center" wrapText="1"/>
      <protection locked="0" hidden="0"/>
    </xf>
    <xf numFmtId="165" fontId="3" fillId="0" borderId="0" applyAlignment="1" applyProtection="1" pivotButton="0" quotePrefix="0" xfId="1">
      <alignment horizontal="justify" vertical="center" wrapText="1"/>
      <protection locked="0" hidden="0"/>
    </xf>
    <xf numFmtId="165" fontId="4" fillId="0" borderId="14" applyAlignment="1" applyProtection="1" pivotButton="0" quotePrefix="0" xfId="0">
      <alignment horizontal="right" vertical="center" wrapText="1"/>
      <protection locked="0" hidden="0"/>
    </xf>
    <xf numFmtId="165" fontId="3" fillId="0" borderId="12" applyAlignment="1" applyProtection="1" pivotButton="0" quotePrefix="0" xfId="1">
      <alignment horizontal="right" vertical="center" wrapText="1"/>
      <protection locked="0" hidden="0"/>
    </xf>
    <xf numFmtId="165" fontId="3" fillId="0" borderId="14" applyAlignment="1" applyProtection="1" pivotButton="0" quotePrefix="0" xfId="1">
      <alignment horizontal="right" vertical="center" wrapText="1"/>
      <protection locked="0" hidden="0"/>
    </xf>
    <xf numFmtId="165" fontId="34" fillId="0" borderId="14" applyAlignment="1" applyProtection="1" pivotButton="0" quotePrefix="0" xfId="0">
      <alignment horizontal="right" vertical="center" wrapText="1"/>
      <protection locked="0" hidden="0"/>
    </xf>
    <xf numFmtId="165" fontId="6" fillId="0" borderId="14" applyAlignment="1" applyProtection="1" pivotButton="0" quotePrefix="0" xfId="1">
      <alignment horizontal="right" vertical="center" wrapText="1"/>
      <protection locked="0" hidden="0"/>
    </xf>
    <xf numFmtId="165" fontId="3" fillId="0" borderId="0" applyAlignment="1" applyProtection="1" pivotButton="0" quotePrefix="0" xfId="1">
      <alignment horizontal="right" vertical="center" wrapText="1"/>
      <protection locked="0" hidden="0"/>
    </xf>
    <xf numFmtId="165" fontId="33" fillId="0" borderId="14" applyAlignment="1" applyProtection="1" pivotButton="0" quotePrefix="0" xfId="0">
      <alignment horizontal="right" vertical="center" wrapText="1"/>
      <protection locked="0" hidden="0"/>
    </xf>
    <xf numFmtId="165" fontId="34" fillId="0" borderId="0" applyAlignment="1" applyProtection="1" pivotButton="0" quotePrefix="0" xfId="0">
      <alignment horizontal="right" vertical="center" wrapText="1"/>
      <protection locked="0" hidden="0"/>
    </xf>
    <xf numFmtId="165" fontId="33" fillId="0" borderId="12" applyAlignment="1" applyProtection="1" pivotButton="0" quotePrefix="0" xfId="0">
      <alignment horizontal="right" vertical="center" wrapText="1"/>
      <protection locked="0" hidden="0"/>
    </xf>
    <xf numFmtId="165" fontId="24" fillId="2" borderId="2" applyAlignment="1" applyProtection="1" pivotButton="0" quotePrefix="0" xfId="0">
      <alignment horizontal="center" vertical="center" wrapText="1"/>
      <protection locked="0" hidden="0"/>
    </xf>
    <xf numFmtId="165" fontId="3" fillId="0" borderId="2" applyAlignment="1" applyProtection="1" pivotButton="0" quotePrefix="0" xfId="0">
      <alignment horizontal="left" vertical="center" wrapText="1"/>
      <protection locked="0" hidden="0"/>
    </xf>
    <xf numFmtId="165" fontId="26" fillId="0" borderId="2" applyAlignment="1" applyProtection="1" pivotButton="0" quotePrefix="0" xfId="0">
      <alignment horizontal="right" vertical="center" wrapText="1"/>
      <protection locked="0" hidden="0"/>
    </xf>
    <xf numFmtId="165" fontId="3" fillId="0" borderId="2" applyAlignment="1" pivotButton="0" quotePrefix="0" xfId="1">
      <alignment horizontal="right" vertical="center" wrapText="1"/>
    </xf>
    <xf numFmtId="165" fontId="3" fillId="50" borderId="2" applyAlignment="1" pivotButton="0" quotePrefix="0" xfId="1">
      <alignment horizontal="right" vertical="center" wrapText="1"/>
    </xf>
    <xf numFmtId="165" fontId="30" fillId="50" borderId="2" applyAlignment="1" applyProtection="1" pivotButton="0" quotePrefix="1" xfId="0">
      <alignment horizontal="center" vertical="center" wrapText="1"/>
      <protection locked="0" hidden="0"/>
    </xf>
    <xf numFmtId="165" fontId="30" fillId="2" borderId="4" applyAlignment="1" applyProtection="1" pivotButton="0" quotePrefix="0" xfId="0">
      <alignment vertical="center"/>
      <protection locked="0" hidden="0"/>
    </xf>
    <xf numFmtId="165" fontId="26" fillId="0" borderId="2" applyAlignment="1" applyProtection="1" pivotButton="0" quotePrefix="0" xfId="0">
      <alignment horizontal="left" vertical="center" wrapText="1"/>
      <protection locked="0" hidden="0"/>
    </xf>
    <xf numFmtId="165" fontId="30" fillId="5" borderId="4" applyAlignment="1" applyProtection="1" pivotButton="0" quotePrefix="0" xfId="0">
      <alignment vertical="center"/>
      <protection locked="0" hidden="0"/>
    </xf>
    <xf numFmtId="165" fontId="30" fillId="0" borderId="2" applyAlignment="1" applyProtection="1" pivotButton="0" quotePrefix="0" xfId="0">
      <alignment horizontal="right" vertical="center" wrapText="1"/>
      <protection locked="0" hidden="0"/>
    </xf>
    <xf numFmtId="0" fontId="0" fillId="0" borderId="11" applyProtection="1" pivotButton="0" quotePrefix="0" xfId="0">
      <protection locked="0" hidden="0"/>
    </xf>
    <xf numFmtId="165" fontId="3" fillId="0" borderId="2" applyAlignment="1" applyProtection="1" pivotButton="0" quotePrefix="0" xfId="1">
      <alignment horizontal="right" vertical="center" wrapText="1"/>
      <protection locked="0" hidden="0"/>
    </xf>
    <xf numFmtId="165" fontId="30" fillId="50" borderId="2" applyAlignment="1" applyProtection="1" pivotButton="0" quotePrefix="0" xfId="0">
      <alignment horizontal="right" vertical="center" wrapText="1"/>
      <protection locked="0" hidden="0"/>
    </xf>
    <xf numFmtId="165" fontId="30" fillId="0" borderId="4" applyAlignment="1" applyProtection="1" pivotButton="0" quotePrefix="0" xfId="0">
      <alignment vertical="center"/>
      <protection locked="0" hidden="0"/>
    </xf>
    <xf numFmtId="165" fontId="44" fillId="0" borderId="0" applyAlignment="1" pivotButton="0" quotePrefix="0" xfId="347">
      <alignment horizontal="center" vertical="center"/>
    </xf>
    <xf numFmtId="165" fontId="15" fillId="0" borderId="0" applyAlignment="1" pivotButton="0" quotePrefix="0" xfId="347">
      <alignment horizontal="center" vertical="center"/>
    </xf>
    <xf numFmtId="165" fontId="3" fillId="0" borderId="0" applyAlignment="1" pivotButton="0" quotePrefix="0" xfId="347">
      <alignment vertical="center"/>
    </xf>
    <xf numFmtId="165" fontId="3" fillId="0" borderId="0" applyAlignment="1" pivotButton="0" quotePrefix="0" xfId="347">
      <alignment horizontal="left" vertical="center"/>
    </xf>
    <xf numFmtId="164" fontId="9" fillId="2" borderId="2" applyAlignment="1" applyProtection="1" pivotButton="0" quotePrefix="0" xfId="328">
      <alignment horizontal="center" vertical="center" wrapText="1"/>
      <protection locked="0" hidden="0"/>
    </xf>
    <xf numFmtId="164" fontId="25" fillId="2" borderId="2" applyAlignment="1" applyProtection="1" pivotButton="0" quotePrefix="0" xfId="328">
      <alignment horizontal="center" vertical="center" wrapText="1"/>
      <protection locked="0" hidden="0"/>
    </xf>
    <xf numFmtId="165" fontId="26" fillId="0" borderId="2" applyAlignment="1" pivotButton="0" quotePrefix="0" xfId="1">
      <alignment vertical="center"/>
    </xf>
    <xf numFmtId="165" fontId="6" fillId="0" borderId="7" applyAlignment="1" pivotButton="0" quotePrefix="0" xfId="347">
      <alignment horizontal="left" vertical="center"/>
    </xf>
    <xf numFmtId="165" fontId="3" fillId="0" borderId="7" applyAlignment="1" pivotButton="0" quotePrefix="0" xfId="347">
      <alignment horizontal="left" vertical="center"/>
    </xf>
    <xf numFmtId="165" fontId="28" fillId="0" borderId="7" applyAlignment="1" pivotButton="0" quotePrefix="0" xfId="351">
      <alignment horizontal="center" vertical="center"/>
    </xf>
    <xf numFmtId="0" fontId="0" fillId="0" borderId="1" applyProtection="1" pivotButton="0" quotePrefix="0" xfId="0">
      <protection locked="0" hidden="0"/>
    </xf>
    <xf numFmtId="0" fontId="0" fillId="0" borderId="8" applyProtection="1" pivotButton="0" quotePrefix="0" xfId="0">
      <protection locked="0" hidden="0"/>
    </xf>
    <xf numFmtId="165" fontId="19" fillId="0" borderId="2" applyAlignment="1" applyProtection="1" pivotButton="0" quotePrefix="0" xfId="348">
      <alignment vertical="center" shrinkToFit="1"/>
      <protection locked="0" hidden="0"/>
    </xf>
    <xf numFmtId="166" fontId="19" fillId="0" borderId="2" applyAlignment="1" applyProtection="1" pivotButton="0" quotePrefix="0" xfId="348">
      <alignment horizontal="center" vertical="center" shrinkToFit="1"/>
      <protection locked="0" hidden="0"/>
    </xf>
    <xf numFmtId="165" fontId="19" fillId="0" borderId="2" applyAlignment="1" applyProtection="1" pivotButton="0" quotePrefix="0" xfId="348">
      <alignment horizontal="right" vertical="center" shrinkToFit="1"/>
      <protection locked="0" hidden="0"/>
    </xf>
    <xf numFmtId="165" fontId="6" fillId="50" borderId="2" applyAlignment="1" pivotButton="0" quotePrefix="0" xfId="1">
      <alignment horizontal="right" vertical="center" wrapText="1"/>
    </xf>
    <xf numFmtId="165" fontId="6" fillId="50" borderId="2" applyAlignment="1" pivotButton="0" quotePrefix="0" xfId="1">
      <alignment horizontal="center" vertical="center" wrapText="1"/>
    </xf>
    <xf numFmtId="165" fontId="9" fillId="0" borderId="0" applyAlignment="1" applyProtection="1" pivotButton="0" quotePrefix="0" xfId="1">
      <alignment horizontal="left" vertical="center"/>
      <protection locked="0" hidden="0"/>
    </xf>
    <xf numFmtId="165" fontId="3" fillId="0" borderId="2" applyAlignment="1" applyProtection="1" pivotButton="0" quotePrefix="0" xfId="1">
      <alignment horizontal="left" vertical="center" wrapText="1"/>
      <protection locked="0" hidden="0"/>
    </xf>
    <xf numFmtId="0" fontId="0" fillId="0" borderId="6" pivotButton="0" quotePrefix="0" xfId="0"/>
    <xf numFmtId="165" fontId="3" fillId="0" borderId="2" applyAlignment="1" applyProtection="1" pivotButton="0" quotePrefix="0" xfId="1">
      <alignment horizontal="left" vertical="center"/>
      <protection locked="0" hidden="0"/>
    </xf>
    <xf numFmtId="165" fontId="3" fillId="0" borderId="2" applyAlignment="1" applyProtection="1" pivotButton="0" quotePrefix="0" xfId="1">
      <alignment horizontal="center" vertical="center"/>
      <protection locked="0" hidden="0"/>
    </xf>
    <xf numFmtId="164" fontId="9" fillId="50" borderId="2" applyAlignment="1" applyProtection="1" pivotButton="0" quotePrefix="0" xfId="321">
      <alignment vertical="center"/>
      <protection locked="0" hidden="0"/>
    </xf>
    <xf numFmtId="165" fontId="6" fillId="50" borderId="2" applyAlignment="1" applyProtection="1" pivotButton="0" quotePrefix="0" xfId="433">
      <alignment vertical="center"/>
      <protection locked="0" hidden="0"/>
    </xf>
  </cellXfs>
  <cellStyles count="453">
    <cellStyle name="常规" xfId="0" builtinId="0"/>
    <cellStyle name="千位分隔" xfId="1" builtinId="3"/>
    <cellStyle name="百分比" xfId="2" builtinId="5"/>
    <cellStyle name="超链接" xfId="3" builtinId="8"/>
    <cellStyle name="_x000a_mouse.drv=lm" xfId="4"/>
    <cellStyle name="@_text" xfId="5"/>
    <cellStyle name="_2005年工作底稿" xfId="6"/>
    <cellStyle name="_2005年工作底稿_3-2-A1B-银行存款" xfId="7"/>
    <cellStyle name="_2005年工作底稿_3-2-Z17A-固定资产" xfId="8"/>
    <cellStyle name="_2005年工作底稿_Sheet1" xfId="9"/>
    <cellStyle name="_3-2-A22-无形资产" xfId="10"/>
    <cellStyle name="_3-2-A4-应收账款" xfId="11"/>
    <cellStyle name="_A17固定资产" xfId="12"/>
    <cellStyle name="_A23无形资产" xfId="13"/>
    <cellStyle name="_A3应收票据" xfId="14"/>
    <cellStyle name="_A6应收账款" xfId="15"/>
    <cellStyle name="_A6应收账款_3-2-A1B-银行存款" xfId="16"/>
    <cellStyle name="_A6应收账款_3-2-Z17A-固定资产" xfId="17"/>
    <cellStyle name="_A6应收账款_Sheet1" xfId="18"/>
    <cellStyle name="_B10其他未交款" xfId="19"/>
    <cellStyle name="_B13预收账款2005" xfId="20"/>
    <cellStyle name="_B6应付工资" xfId="21"/>
    <cellStyle name="_B7应付福利费" xfId="22"/>
    <cellStyle name="_B9应交税金2005" xfId="23"/>
    <cellStyle name="_D11营业外支出" xfId="24"/>
    <cellStyle name="_D12所得税2005" xfId="25"/>
    <cellStyle name="_D1主营业务收入" xfId="26"/>
    <cellStyle name="_D3主营业务税金及附加" xfId="27"/>
    <cellStyle name="_D4其他业务利润" xfId="28"/>
    <cellStyle name="_Sheet1" xfId="29"/>
    <cellStyle name="_封面" xfId="30"/>
    <cellStyle name="_公司填表" xfId="31"/>
    <cellStyle name="_公司填表-2005蔡" xfId="32"/>
    <cellStyle name="_公司填表-2005李志刚" xfId="33"/>
    <cellStyle name="_公司填表2005-吴" xfId="34"/>
    <cellStyle name="_公司填表2005-吴_3-2-A1B-银行存款" xfId="35"/>
    <cellStyle name="_公司填表2005-吴_3-2-Z17A-固定资产" xfId="36"/>
    <cellStyle name="_公司填表2005-吴_Sheet1" xfId="37"/>
    <cellStyle name="_公司填表2005-修改" xfId="38"/>
    <cellStyle name="_公司填表2005-修改_3-2-A1B-银行存款" xfId="39"/>
    <cellStyle name="_公司填表2005-修改_3-2-Z17A-固定资产" xfId="40"/>
    <cellStyle name="_公司填表2005-修改_Sheet1" xfId="41"/>
    <cellStyle name="_公司填表2005-修改后" xfId="42"/>
    <cellStyle name="_公司填表2005-修改后_3-2-A1B-银行存款" xfId="43"/>
    <cellStyle name="_公司填表2005-修改后_3-2-Z17A-固定资产" xfId="44"/>
    <cellStyle name="_公司填表2005-修改后_Sheet1" xfId="45"/>
    <cellStyle name="_公司填表-2005杨" xfId="46"/>
    <cellStyle name="_凭证抽查-05年" xfId="47"/>
    <cellStyle name="_应收账款账龄--04、05" xfId="48"/>
    <cellStyle name="_子公司填表" xfId="49"/>
    <cellStyle name="{Comma [0]}" xfId="50"/>
    <cellStyle name="{Comma}" xfId="51"/>
    <cellStyle name="{Date}" xfId="52"/>
    <cellStyle name="{Month}" xfId="53"/>
    <cellStyle name="{Percent}" xfId="54"/>
    <cellStyle name="{Thousand [0]}" xfId="55"/>
    <cellStyle name="{Thousand}" xfId="56"/>
    <cellStyle name="{Z'0000(1 dec)}" xfId="57"/>
    <cellStyle name="{Z'0000(4 dec)}" xfId="58"/>
    <cellStyle name="0%" xfId="59"/>
    <cellStyle name="0.0%" xfId="60"/>
    <cellStyle name="0.00%" xfId="61"/>
    <cellStyle name="00" xfId="62"/>
    <cellStyle name="AA FRAME" xfId="63"/>
    <cellStyle name="AA HEADING" xfId="64"/>
    <cellStyle name="AA INITIALS" xfId="65"/>
    <cellStyle name="AA INPUT" xfId="66"/>
    <cellStyle name="AA LOCK" xfId="67"/>
    <cellStyle name="AA MGR NAME" xfId="68"/>
    <cellStyle name="AA NORMAL" xfId="69"/>
    <cellStyle name="AA NUMBER" xfId="70"/>
    <cellStyle name="AA NUMBER2" xfId="71"/>
    <cellStyle name="AA QUESTION" xfId="72"/>
    <cellStyle name="AA SHADE" xfId="73"/>
    <cellStyle name="Accent1" xfId="74"/>
    <cellStyle name="Accent1 - 20%" xfId="75"/>
    <cellStyle name="Accent1 - 40%" xfId="76"/>
    <cellStyle name="Accent1 - 60%" xfId="77"/>
    <cellStyle name="Accent2" xfId="78"/>
    <cellStyle name="Accent2 - 20%" xfId="79"/>
    <cellStyle name="Accent2 - 40%" xfId="80"/>
    <cellStyle name="Accent2 - 60%" xfId="81"/>
    <cellStyle name="Accent3" xfId="82"/>
    <cellStyle name="Accent3 - 20%" xfId="83"/>
    <cellStyle name="Accent3 - 40%" xfId="84"/>
    <cellStyle name="Accent3 - 60%" xfId="85"/>
    <cellStyle name="Accent4" xfId="86"/>
    <cellStyle name="Accent4 - 20%" xfId="87"/>
    <cellStyle name="Accent4 - 40%" xfId="88"/>
    <cellStyle name="Accent4 - 60%" xfId="89"/>
    <cellStyle name="Accent5" xfId="90"/>
    <cellStyle name="Accent5 - 20%" xfId="91"/>
    <cellStyle name="Accent5 - 40%" xfId="92"/>
    <cellStyle name="Accent5 - 60%" xfId="93"/>
    <cellStyle name="Accent6" xfId="94"/>
    <cellStyle name="Accent6 - 20%" xfId="95"/>
    <cellStyle name="Accent6 - 40%" xfId="96"/>
    <cellStyle name="Accent6 - 60%" xfId="97"/>
    <cellStyle name="args.style" xfId="98"/>
    <cellStyle name="Black" xfId="99"/>
    <cellStyle name="Border" xfId="100"/>
    <cellStyle name="Calc Currency (0)" xfId="101"/>
    <cellStyle name="Calc Currency (2)" xfId="102"/>
    <cellStyle name="Calc Percent (0)" xfId="103"/>
    <cellStyle name="Calc Percent (1)" xfId="104"/>
    <cellStyle name="Calc Percent (2)" xfId="105"/>
    <cellStyle name="Calc Units (0)" xfId="106"/>
    <cellStyle name="Calc Units (1)" xfId="107"/>
    <cellStyle name="Calc Units (2)" xfId="108"/>
    <cellStyle name="category" xfId="109"/>
    <cellStyle name="Col Heads" xfId="110"/>
    <cellStyle name="Column_Title" xfId="111"/>
    <cellStyle name="Comma  - Style1" xfId="112"/>
    <cellStyle name="Comma  - Style2" xfId="113"/>
    <cellStyle name="Comma  - Style3" xfId="114"/>
    <cellStyle name="Comma  - Style4" xfId="115"/>
    <cellStyle name="Comma  - Style5" xfId="116"/>
    <cellStyle name="Comma  - Style6" xfId="117"/>
    <cellStyle name="Comma  - Style7" xfId="118"/>
    <cellStyle name="Comma  - Style8" xfId="119"/>
    <cellStyle name="Comma [0]" xfId="120"/>
    <cellStyle name="Comma [00]" xfId="121"/>
    <cellStyle name="comma zerodec" xfId="122"/>
    <cellStyle name="Comma,0" xfId="123"/>
    <cellStyle name="Comma,1" xfId="124"/>
    <cellStyle name="Comma,2" xfId="125"/>
    <cellStyle name="Comma_ SG&amp;A Bridge " xfId="126"/>
    <cellStyle name="Copied" xfId="127"/>
    <cellStyle name="COST1" xfId="128"/>
    <cellStyle name="Currency [0]" xfId="129"/>
    <cellStyle name="Currency [00]" xfId="130"/>
    <cellStyle name="Currency,0" xfId="131"/>
    <cellStyle name="Currency,2" xfId="132"/>
    <cellStyle name="Currency_ SG&amp;A Bridge " xfId="133"/>
    <cellStyle name="Currency1" xfId="134"/>
    <cellStyle name="Date" xfId="135"/>
    <cellStyle name="Date Short" xfId="136"/>
    <cellStyle name="Date_ A1-货币资金审定表" xfId="137"/>
    <cellStyle name="Dezimal [0]_laroux" xfId="138"/>
    <cellStyle name="Dezimal_laroux" xfId="139"/>
    <cellStyle name="Dollar (zero dec)" xfId="140"/>
    <cellStyle name="Enter Currency (0)" xfId="141"/>
    <cellStyle name="Enter Currency (2)" xfId="142"/>
    <cellStyle name="Enter Units (0)" xfId="143"/>
    <cellStyle name="Enter Units (1)" xfId="144"/>
    <cellStyle name="Enter Units (2)" xfId="145"/>
    <cellStyle name="Entered" xfId="146"/>
    <cellStyle name="entry" xfId="147"/>
    <cellStyle name="entry box" xfId="148"/>
    <cellStyle name="Euro" xfId="149"/>
    <cellStyle name="F2" xfId="150"/>
    <cellStyle name="F3" xfId="151"/>
    <cellStyle name="F4" xfId="152"/>
    <cellStyle name="F5" xfId="153"/>
    <cellStyle name="F6" xfId="154"/>
    <cellStyle name="F7" xfId="155"/>
    <cellStyle name="F8" xfId="156"/>
    <cellStyle name="Fixed" xfId="157"/>
    <cellStyle name="Followed Hyperlink_AheadBehind.xls Chart 23" xfId="158"/>
    <cellStyle name="Grey" xfId="159"/>
    <cellStyle name="HEADER" xfId="160"/>
    <cellStyle name="Header1" xfId="161"/>
    <cellStyle name="Header2" xfId="162"/>
    <cellStyle name="Heading1" xfId="163"/>
    <cellStyle name="Heading2" xfId="164"/>
    <cellStyle name="Hyperlink_AheadBehind.xls Chart 23" xfId="165"/>
    <cellStyle name="Input [yellow]" xfId="166"/>
    <cellStyle name="Input Cells" xfId="167"/>
    <cellStyle name="Link Currency (0)" xfId="168"/>
    <cellStyle name="Link Currency (2)" xfId="169"/>
    <cellStyle name="Link Units (0)" xfId="170"/>
    <cellStyle name="Link Units (1)" xfId="171"/>
    <cellStyle name="Link Units (2)" xfId="172"/>
    <cellStyle name="Linked Cells" xfId="173"/>
    <cellStyle name="Milliers [0]_!!!GO" xfId="174"/>
    <cellStyle name="Milliers_!!!GO" xfId="175"/>
    <cellStyle name="Model" xfId="176"/>
    <cellStyle name="Monétaire [0]_!!!GO" xfId="177"/>
    <cellStyle name="Monétaire_!!!GO" xfId="178"/>
    <cellStyle name="Non défini" xfId="179"/>
    <cellStyle name="Normal - Style1" xfId="180"/>
    <cellStyle name="Normal_ SG&amp;A Bridge " xfId="181"/>
    <cellStyle name="Normalny_Arkusz1" xfId="182"/>
    <cellStyle name="Œ…‹æØ‚è [0.00]_Region Orders (2)" xfId="183"/>
    <cellStyle name="Œ…‹æØ‚è_Region Orders (2)" xfId="184"/>
    <cellStyle name="per.style" xfId="185"/>
    <cellStyle name="Percent [0]" xfId="186"/>
    <cellStyle name="Percent [00]" xfId="187"/>
    <cellStyle name="Percent [2]" xfId="188"/>
    <cellStyle name="Percent_!!!GO" xfId="189"/>
    <cellStyle name="Pourcentage_pldt" xfId="190"/>
    <cellStyle name="Prefilled" xfId="191"/>
    <cellStyle name="PrePop Currency (0)" xfId="192"/>
    <cellStyle name="PrePop Currency (2)" xfId="193"/>
    <cellStyle name="PrePop Units (0)" xfId="194"/>
    <cellStyle name="PrePop Units (1)" xfId="195"/>
    <cellStyle name="PrePop Units (2)" xfId="196"/>
    <cellStyle name="price" xfId="197"/>
    <cellStyle name="pricing" xfId="198"/>
    <cellStyle name="PSChar" xfId="199"/>
    <cellStyle name="PSHeading" xfId="200"/>
    <cellStyle name="Red" xfId="201"/>
    <cellStyle name="revised" xfId="202"/>
    <cellStyle name="RevList" xfId="203"/>
    <cellStyle name="row_def_array" xfId="204"/>
    <cellStyle name="SAPBEXaggData" xfId="205"/>
    <cellStyle name="SAPBEXaggDataEmph" xfId="206"/>
    <cellStyle name="SAPBEXaggItem" xfId="207"/>
    <cellStyle name="SAPBEXaggItemX" xfId="208"/>
    <cellStyle name="SAPBEXchaText" xfId="209"/>
    <cellStyle name="SAPBEXexcBad7" xfId="210"/>
    <cellStyle name="SAPBEXexcBad8" xfId="211"/>
    <cellStyle name="SAPBEXexcBad9" xfId="212"/>
    <cellStyle name="SAPBEXexcCritical4" xfId="213"/>
    <cellStyle name="SAPBEXexcCritical5" xfId="214"/>
    <cellStyle name="SAPBEXexcCritical6" xfId="215"/>
    <cellStyle name="SAPBEXexcGood1" xfId="216"/>
    <cellStyle name="SAPBEXexcGood2" xfId="217"/>
    <cellStyle name="SAPBEXexcGood3" xfId="218"/>
    <cellStyle name="SAPBEXfilterDrill" xfId="219"/>
    <cellStyle name="SAPBEXfilterItem" xfId="220"/>
    <cellStyle name="SAPBEXfilterText" xfId="221"/>
    <cellStyle name="SAPBEXformats" xfId="222"/>
    <cellStyle name="SAPBEXheaderItem" xfId="223"/>
    <cellStyle name="SAPBEXheaderText" xfId="224"/>
    <cellStyle name="SAPBEXHLevel0" xfId="225"/>
    <cellStyle name="SAPBEXHLevel0X" xfId="226"/>
    <cellStyle name="SAPBEXHLevel1" xfId="227"/>
    <cellStyle name="SAPBEXHLevel1X" xfId="228"/>
    <cellStyle name="SAPBEXHLevel2" xfId="229"/>
    <cellStyle name="SAPBEXHLevel2X" xfId="230"/>
    <cellStyle name="SAPBEXHLevel3" xfId="231"/>
    <cellStyle name="SAPBEXHLevel3X" xfId="232"/>
    <cellStyle name="SAPBEXresData" xfId="233"/>
    <cellStyle name="SAPBEXresDataEmph" xfId="234"/>
    <cellStyle name="SAPBEXresItem" xfId="235"/>
    <cellStyle name="SAPBEXresItemX" xfId="236"/>
    <cellStyle name="SAPBEXstdData" xfId="237"/>
    <cellStyle name="SAPBEXstdDataEmph" xfId="238"/>
    <cellStyle name="SAPBEXstdItem" xfId="239"/>
    <cellStyle name="SAPBEXstdItemX" xfId="240"/>
    <cellStyle name="SAPBEXtitle" xfId="241"/>
    <cellStyle name="SAPBEXundefined" xfId="242"/>
    <cellStyle name="section" xfId="243"/>
    <cellStyle name="SOR" xfId="244"/>
    <cellStyle name="Standard_AREAS" xfId="245"/>
    <cellStyle name="subhead" xfId="246"/>
    <cellStyle name="Subtotal" xfId="247"/>
    <cellStyle name="Text Indent A" xfId="248"/>
    <cellStyle name="Text Indent B" xfId="249"/>
    <cellStyle name="Text Indent C" xfId="250"/>
    <cellStyle name="title" xfId="251"/>
    <cellStyle name="Total" xfId="252"/>
    <cellStyle name="Tusental (0)_pldt" xfId="253"/>
    <cellStyle name="Tusental_pldt" xfId="254"/>
    <cellStyle name="Valuta (0)_pldt" xfId="255"/>
    <cellStyle name="Valuta_pldt" xfId="256"/>
    <cellStyle name="パーセント_laroux" xfId="257"/>
    <cellStyle name="_PLDT" xfId="258"/>
    <cellStyle name="_laroux" xfId="259"/>
    <cellStyle name="だ[0]_PLDT" xfId="260"/>
    <cellStyle name="だ_PLDT" xfId="261"/>
    <cellStyle name="だ[0]_Total (2)" xfId="262"/>
    <cellStyle name="だ_laroux" xfId="263"/>
    <cellStyle name="百分比 2" xfId="264"/>
    <cellStyle name="百分比 3" xfId="265"/>
    <cellStyle name="捠壿 [0.00]_PRODUCT DETAIL Q1" xfId="266"/>
    <cellStyle name="捠壿_PRODUCT DETAIL Q1" xfId="267"/>
    <cellStyle name="標準_１１月価格表" xfId="268"/>
    <cellStyle name="表标题" xfId="269"/>
    <cellStyle name="差_10存货" xfId="270"/>
    <cellStyle name="差_19-无形资产（空白模板）" xfId="271"/>
    <cellStyle name="差_2-交易性金融资产（空白模板）" xfId="272"/>
    <cellStyle name="差_2应收账款" xfId="273"/>
    <cellStyle name="差_3-2 进一步审计程序-采购与付款循环" xfId="274"/>
    <cellStyle name="差_3-3 进一步审计程序-存货与生产循环" xfId="275"/>
    <cellStyle name="差_37-长期借款（空白模板）" xfId="276"/>
    <cellStyle name="差_49-营业收入（空白模板）" xfId="277"/>
    <cellStyle name="差_4-应收账款（空白模板）" xfId="278"/>
    <cellStyle name="差_50-营业成本（空白模板）" xfId="279"/>
    <cellStyle name="差_51-营业税金及附加（空白模板）" xfId="280"/>
    <cellStyle name="差_54-财务费用（空白模板）" xfId="281"/>
    <cellStyle name="差_55-资产减值损失（空白模板）" xfId="282"/>
    <cellStyle name="差_9管理费用" xfId="283"/>
    <cellStyle name="差_Book2" xfId="284"/>
    <cellStyle name="差_dxn底稿目录" xfId="285"/>
    <cellStyle name="差_Sheet1" xfId="286"/>
    <cellStyle name="差_Z14-长期应收款（函证汇总表样本）" xfId="287"/>
    <cellStyle name="差_ZA0货币资金审定表 " xfId="288"/>
    <cellStyle name="差_财务费用" xfId="289"/>
    <cellStyle name="差_程序表模版" xfId="290"/>
    <cellStyle name="差_存货" xfId="291"/>
    <cellStyle name="差_大信底稿目录" xfId="292"/>
    <cellStyle name="差_底稿设置宏" xfId="293"/>
    <cellStyle name="差_管理费用" xfId="294"/>
    <cellStyle name="差_货币资金" xfId="295"/>
    <cellStyle name="差_货币资金 天职" xfId="296"/>
    <cellStyle name="差_货币资金 岳华" xfId="297"/>
    <cellStyle name="差_其他应付款" xfId="298"/>
    <cellStyle name="差_其他应付款—YH" xfId="299"/>
    <cellStyle name="差_未分配利润" xfId="300"/>
    <cellStyle name="差_无形资产" xfId="301"/>
    <cellStyle name="差_应付账款" xfId="302"/>
    <cellStyle name="差_应付职工薪酬" xfId="303"/>
    <cellStyle name="差_应收账款" xfId="304"/>
    <cellStyle name="差_盈余公积" xfId="305"/>
    <cellStyle name="差_长期应付款" xfId="306"/>
    <cellStyle name="差_账项明细表" xfId="307"/>
    <cellStyle name="差_资本公积" xfId="308"/>
    <cellStyle name="差_资产负债标准底稿" xfId="309"/>
    <cellStyle name="差_资产负债类底稿模版" xfId="310"/>
    <cellStyle name="常规 13" xfId="311"/>
    <cellStyle name="常规 2" xfId="312"/>
    <cellStyle name="常规 2 2" xfId="313"/>
    <cellStyle name="常规 2 2 2" xfId="314"/>
    <cellStyle name="常规 2 2 3" xfId="315"/>
    <cellStyle name="常规 2 2 4" xfId="316"/>
    <cellStyle name="常规 2 3" xfId="317"/>
    <cellStyle name="常规 2 3 2" xfId="318"/>
    <cellStyle name="常规 2 4" xfId="319"/>
    <cellStyle name="常规 2 8" xfId="320"/>
    <cellStyle name="常规 2 8 2" xfId="321"/>
    <cellStyle name="常规 2_10存货" xfId="322"/>
    <cellStyle name="常规 3" xfId="323"/>
    <cellStyle name="常规 3 2" xfId="324"/>
    <cellStyle name="常规 3 3" xfId="325"/>
    <cellStyle name="常规 3_10存货" xfId="326"/>
    <cellStyle name="常规 4" xfId="327"/>
    <cellStyle name="常规 4 2" xfId="328"/>
    <cellStyle name="常规 5" xfId="329"/>
    <cellStyle name="常规 6" xfId="330"/>
    <cellStyle name="常规 6 2" xfId="331"/>
    <cellStyle name="常规 6 3" xfId="332"/>
    <cellStyle name="常规 7" xfId="333"/>
    <cellStyle name="常规 7 2" xfId="334"/>
    <cellStyle name="常规 7 3" xfId="335"/>
    <cellStyle name="常规 8" xfId="336"/>
    <cellStyle name="常规 9" xfId="337"/>
    <cellStyle name="常规 9 2" xfId="338"/>
    <cellStyle name="常规_2-1项目审定表－模板" xfId="339"/>
    <cellStyle name="常规_Book1" xfId="340"/>
    <cellStyle name="常规_Book1 2" xfId="341"/>
    <cellStyle name="常规_c-资产类" xfId="342"/>
    <cellStyle name="常规_c-资产类 2" xfId="343"/>
    <cellStyle name="常规_sheet" xfId="344"/>
    <cellStyle name="常规_进一步审计程序--销售与收款循环" xfId="345"/>
    <cellStyle name="常规_新审定表" xfId="346"/>
    <cellStyle name="常规_新审定表 2" xfId="347"/>
    <cellStyle name="常规_长期应收款、长期应付款" xfId="348"/>
    <cellStyle name="常规_制造费用" xfId="349"/>
    <cellStyle name="超级链接_A4应收账款" xfId="350"/>
    <cellStyle name="超链接 2" xfId="351"/>
    <cellStyle name="超链接 3" xfId="352"/>
    <cellStyle name="好_10存货" xfId="353"/>
    <cellStyle name="好_19-无形资产（空白模板）" xfId="354"/>
    <cellStyle name="好_1财务费用" xfId="355"/>
    <cellStyle name="好_1营业收入" xfId="356"/>
    <cellStyle name="好_1资产减值损失" xfId="357"/>
    <cellStyle name="好_2-交易性金融资产（空白模板）" xfId="358"/>
    <cellStyle name="好_2应收账款" xfId="359"/>
    <cellStyle name="好_3-2 进一步审计程序-采购与付款循环" xfId="360"/>
    <cellStyle name="好_3-3 进一步审计程序-存货与生产循环" xfId="361"/>
    <cellStyle name="好_37-长期借款（空白模板）" xfId="362"/>
    <cellStyle name="好_49-营业收入（空白模板）" xfId="363"/>
    <cellStyle name="好_4-应收账款（空白模板）" xfId="364"/>
    <cellStyle name="好_50-营业成本（空白模板）" xfId="365"/>
    <cellStyle name="好_51-营业税金及附加（空白模板）" xfId="366"/>
    <cellStyle name="好_54-财务费用（空白模板）" xfId="367"/>
    <cellStyle name="好_55-资产减值损失（空白模板）" xfId="368"/>
    <cellStyle name="好_9管理费用" xfId="369"/>
    <cellStyle name="好_Book2" xfId="370"/>
    <cellStyle name="好_Sheet1" xfId="371"/>
    <cellStyle name="好_Z14-长期应收款（函证汇总表样本）" xfId="372"/>
    <cellStyle name="好_ZA0货币资金审定表 " xfId="373"/>
    <cellStyle name="好_财务费用" xfId="374"/>
    <cellStyle name="好_程序表模版" xfId="375"/>
    <cellStyle name="好_存货" xfId="376"/>
    <cellStyle name="好_存货 - 复制" xfId="377"/>
    <cellStyle name="好_大信底稿目录" xfId="378"/>
    <cellStyle name="好_底稿设置宏" xfId="379"/>
    <cellStyle name="好_底稿设置宏_大信底稿目录" xfId="380"/>
    <cellStyle name="好_管理费用" xfId="381"/>
    <cellStyle name="好_货币资金" xfId="382"/>
    <cellStyle name="好_货币资金 天职" xfId="383"/>
    <cellStyle name="好_货币资金 岳华" xfId="384"/>
    <cellStyle name="好_其他应付款" xfId="385"/>
    <cellStyle name="好_其他应付款—YH" xfId="386"/>
    <cellStyle name="好_其他应收款" xfId="387"/>
    <cellStyle name="好_实收资本(股本)" xfId="388"/>
    <cellStyle name="好_未分配利润" xfId="389"/>
    <cellStyle name="好_无形资产" xfId="390"/>
    <cellStyle name="好_银行函证结果汇总表" xfId="391"/>
    <cellStyle name="好_应付债券" xfId="392"/>
    <cellStyle name="好_应付账款" xfId="393"/>
    <cellStyle name="好_应付职工薪酬" xfId="394"/>
    <cellStyle name="好_应收利息" xfId="395"/>
    <cellStyle name="好_应收账款" xfId="396"/>
    <cellStyle name="好_盈余公积" xfId="397"/>
    <cellStyle name="好_营业收入" xfId="398"/>
    <cellStyle name="好_预收款项" xfId="399"/>
    <cellStyle name="好_长期借款—TZ" xfId="400"/>
    <cellStyle name="好_长期应付款" xfId="401"/>
    <cellStyle name="好_账项明细表" xfId="402"/>
    <cellStyle name="好_资本公积" xfId="403"/>
    <cellStyle name="好_资产负债标准底稿" xfId="404"/>
    <cellStyle name="好_资产负债标准底稿_大信底稿目录" xfId="405"/>
    <cellStyle name="好_资产负债类底稿模版" xfId="406"/>
    <cellStyle name="好_资产负债类底稿模版_大信底稿目录" xfId="407"/>
    <cellStyle name="好_资产减值损失" xfId="408"/>
    <cellStyle name="桁区切り [0.00]_１１月価格表" xfId="409"/>
    <cellStyle name="桁区切り_１１月価格表" xfId="410"/>
    <cellStyle name="貨幣 [0]_SGV" xfId="411"/>
    <cellStyle name="貨幣_SGV" xfId="412"/>
    <cellStyle name="霓付 [0]_1202" xfId="413"/>
    <cellStyle name="霓付_1202" xfId="414"/>
    <cellStyle name="妞" xfId="415"/>
    <cellStyle name="欧" xfId="416"/>
    <cellStyle name="烹拳 [0]_1202" xfId="417"/>
    <cellStyle name="烹拳_1202" xfId="418"/>
    <cellStyle name="砯刽 [0]_PLDT" xfId="419"/>
    <cellStyle name="砯刽_PLDT" xfId="420"/>
    <cellStyle name="普通_ 白土" xfId="421"/>
    <cellStyle name="千分位[0]_ 白土" xfId="422"/>
    <cellStyle name="千分位_ 白土" xfId="423"/>
    <cellStyle name="千位[0]_1995" xfId="424"/>
    <cellStyle name="千位_1995" xfId="425"/>
    <cellStyle name="千位分隔 2" xfId="426"/>
    <cellStyle name="千位分隔 2 2" xfId="427"/>
    <cellStyle name="千位分隔 2 3" xfId="428"/>
    <cellStyle name="千位分隔 3" xfId="429"/>
    <cellStyle name="千位分隔 3 2" xfId="430"/>
    <cellStyle name="千位分隔 4" xfId="431"/>
    <cellStyle name="千位分隔 5" xfId="432"/>
    <cellStyle name="千位分隔 6" xfId="433"/>
    <cellStyle name="千位分隔[0] 2" xfId="434"/>
    <cellStyle name="钎霖_(沥焊何巩)岿喊牢盔拌裙" xfId="435"/>
    <cellStyle name="强调 1" xfId="436"/>
    <cellStyle name="强调 2" xfId="437"/>
    <cellStyle name="强调 3" xfId="438"/>
    <cellStyle name="通貨 [0.00]_１１月価格表" xfId="439"/>
    <cellStyle name="通貨_１１月価格表" xfId="440"/>
    <cellStyle name="样式 1" xfId="441"/>
    <cellStyle name="一般_SGV" xfId="442"/>
    <cellStyle name="昗弨_BOOKSHIP" xfId="443"/>
    <cellStyle name="寘嬫愗傝 [0.00]_PRODUCT DETAIL Q1" xfId="444"/>
    <cellStyle name="寘嬫愗傝_PRODUCT DETAIL Q1" xfId="445"/>
    <cellStyle name="资产" xfId="446"/>
    <cellStyle name="콤마 [0]_BOILER-CO1" xfId="447"/>
    <cellStyle name="콤마_BOILER-CO1" xfId="448"/>
    <cellStyle name="통화 [0]_BOILER-CO1" xfId="449"/>
    <cellStyle name="통화_BOILER-CO1" xfId="450"/>
    <cellStyle name="표준_0N-HANDLING " xfId="451"/>
    <cellStyle name="常规 11 5" xfId="452"/>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dxn</author>
  </authors>
  <commentList>
    <comment ref="E9" authorId="0" shapeId="0">
      <text>
        <t xml:space="preserve">未确认融资费用=最低租赁付款额-[最低租赁付款额现值与租赁资产公允价值两者之中的较小者]
</t>
      </text>
    </comment>
    <comment ref="G9" authorId="0" shapeId="0">
      <text>
        <t xml:space="preserve">应付本金在融资租赁中等于最低租赁付款额的现值与租赁资产公允价值两者中的较低者，在分期付款中等于长期应付款的现值。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G19"/>
  <sheetViews>
    <sheetView tabSelected="1" workbookViewId="0">
      <selection activeCell="A1" sqref="A1"/>
    </sheetView>
  </sheetViews>
  <sheetFormatPr baseColWidth="8" defaultColWidth="8.796875" defaultRowHeight="19.95" customHeight="1"/>
  <cols>
    <col width="77.59765625" customWidth="1" style="228" min="1" max="1"/>
    <col width="2" customWidth="1" style="228" min="2" max="2"/>
    <col width="2.09765625" customWidth="1" style="228" min="3" max="3"/>
    <col width="6.09765625" customWidth="1" style="228" min="4" max="4"/>
    <col width="33.296875" customWidth="1" style="228" min="5" max="5"/>
    <col width="11" customWidth="1" style="228" min="6" max="6"/>
  </cols>
  <sheetData>
    <row r="1" ht="19.95" customFormat="1" customHeight="1" s="227">
      <c r="A1" s="229" t="inlineStr">
        <is>
          <t>底稿开列时，可先在以下单元格填写有关内容，以便其他底稿引用有关数据：</t>
        </is>
      </c>
      <c r="B1" s="230" t="n"/>
      <c r="C1" s="230" t="n"/>
      <c r="D1" s="231" t="n"/>
      <c r="E1" s="231" t="n"/>
      <c r="F1" s="231" t="n"/>
    </row>
    <row r="2" ht="19.95" customHeight="1" s="364">
      <c r="A2" s="252" t="inlineStr">
        <is>
          <t>被审计单位：</t>
        </is>
      </c>
      <c r="B2" s="233" t="n"/>
      <c r="C2" s="233" t="n"/>
      <c r="D2" s="234" t="inlineStr">
        <is>
          <t>序号</t>
        </is>
      </c>
      <c r="E2" s="234" t="inlineStr">
        <is>
          <t>内容</t>
        </is>
      </c>
      <c r="F2" s="234" t="inlineStr">
        <is>
          <t>索引号</t>
        </is>
      </c>
      <c r="G2" s="235" t="n"/>
    </row>
    <row r="3" ht="19.95" customHeight="1" s="364">
      <c r="A3" s="252" t="inlineStr">
        <is>
          <t>截止日：202X年12月31日</t>
        </is>
      </c>
      <c r="B3" s="233" t="n"/>
      <c r="C3" s="233" t="n"/>
      <c r="D3" s="236" t="n">
        <v>1</v>
      </c>
      <c r="E3" s="237" t="inlineStr">
        <is>
          <t>长期应付款实质性程序表</t>
        </is>
      </c>
      <c r="F3" s="238" t="inlineStr">
        <is>
          <t xml:space="preserve">L5A </t>
        </is>
      </c>
      <c r="G3" s="235" t="n"/>
    </row>
    <row r="4" ht="19.95" customHeight="1" s="364">
      <c r="A4" s="239" t="inlineStr">
        <is>
          <t>编制人：</t>
        </is>
      </c>
      <c r="B4" s="233" t="n"/>
      <c r="D4" s="236" t="n">
        <v>2</v>
      </c>
      <c r="E4" s="237" t="inlineStr">
        <is>
          <t>审定表</t>
        </is>
      </c>
      <c r="F4" s="238" t="inlineStr">
        <is>
          <t>L5-1</t>
        </is>
      </c>
      <c r="G4" s="240" t="n"/>
    </row>
    <row r="5" ht="19.95" customHeight="1" s="364">
      <c r="A5" s="239" t="inlineStr">
        <is>
          <t>编制日期：</t>
        </is>
      </c>
      <c r="D5" s="236" t="n">
        <v>3</v>
      </c>
      <c r="E5" s="237" t="inlineStr">
        <is>
          <t>附注披露信息（上市公司）</t>
        </is>
      </c>
      <c r="F5" s="238" t="n"/>
      <c r="G5" s="227" t="inlineStr">
        <is>
          <t>无需打印</t>
        </is>
      </c>
    </row>
    <row r="6" ht="19.95" customHeight="1" s="364">
      <c r="A6" s="239" t="inlineStr">
        <is>
          <t>复核人：</t>
        </is>
      </c>
      <c r="D6" s="236" t="n">
        <v>4</v>
      </c>
      <c r="E6" s="237" t="inlineStr">
        <is>
          <t>附注披露信息（国企）</t>
        </is>
      </c>
      <c r="F6" s="238" t="n"/>
      <c r="G6" s="227" t="inlineStr">
        <is>
          <t>无需打印</t>
        </is>
      </c>
    </row>
    <row r="7" ht="19.95" customHeight="1" s="364">
      <c r="A7" s="239" t="inlineStr">
        <is>
          <t>复核日期：</t>
        </is>
      </c>
      <c r="D7" s="236" t="n">
        <v>5</v>
      </c>
      <c r="E7" s="237" t="inlineStr">
        <is>
          <t>明细表</t>
        </is>
      </c>
      <c r="F7" s="238" t="inlineStr">
        <is>
          <t>L5-2</t>
        </is>
      </c>
    </row>
    <row r="8" ht="19.95" customHeight="1" s="364">
      <c r="A8" s="241" t="n"/>
      <c r="D8" s="236" t="n">
        <v>6</v>
      </c>
      <c r="E8" s="237" t="inlineStr">
        <is>
          <t>明细表（未确认融资费用）</t>
        </is>
      </c>
      <c r="F8" s="238" t="inlineStr">
        <is>
          <t>L5-3</t>
        </is>
      </c>
    </row>
    <row r="9" ht="19.95" customHeight="1" s="364">
      <c r="A9" s="253" t="inlineStr">
        <is>
          <t>关于工作底稿与审计程序索引号对应的说明</t>
        </is>
      </c>
      <c r="D9" s="236" t="n">
        <v>7</v>
      </c>
      <c r="E9" s="242" t="inlineStr">
        <is>
          <t>调整分录汇总</t>
        </is>
      </c>
      <c r="F9" s="238" t="inlineStr">
        <is>
          <t>L5-4</t>
        </is>
      </c>
    </row>
    <row r="10" ht="19.95" customHeight="1" s="364">
      <c r="A10" s="295"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236" t="n">
        <v>8</v>
      </c>
      <c r="E10" s="237" t="inlineStr">
        <is>
          <t>未确认融资费用测算表</t>
        </is>
      </c>
      <c r="F10" s="238" t="inlineStr">
        <is>
          <t>L5-5</t>
        </is>
      </c>
    </row>
    <row r="11" ht="19.95" customHeight="1" s="364">
      <c r="A11" s="0" t="n"/>
      <c r="D11" s="236" t="n">
        <v>9</v>
      </c>
      <c r="E11" s="294" t="inlineStr">
        <is>
          <t>函证结果汇总表</t>
        </is>
      </c>
      <c r="F11" s="238" t="inlineStr">
        <is>
          <t>L0-1</t>
        </is>
      </c>
    </row>
    <row r="12" ht="19.95" customHeight="1" s="364">
      <c r="A12" s="0" t="n"/>
      <c r="D12" s="236" t="n">
        <v>10</v>
      </c>
      <c r="E12" s="294" t="inlineStr">
        <is>
          <t>核实被函证单位信息</t>
        </is>
      </c>
      <c r="F12" s="238" t="inlineStr">
        <is>
          <t>L0-2</t>
        </is>
      </c>
    </row>
    <row r="13" ht="19.95" customHeight="1" s="364">
      <c r="A13" s="0" t="n"/>
      <c r="D13" s="236" t="n">
        <v>11</v>
      </c>
      <c r="E13" s="294" t="inlineStr">
        <is>
          <t>跟函函证过程控制</t>
        </is>
      </c>
      <c r="F13" s="238" t="inlineStr">
        <is>
          <t>L0-3</t>
        </is>
      </c>
    </row>
    <row r="14" ht="19.95" customHeight="1" s="364">
      <c r="A14" s="295"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D14" s="236" t="n">
        <v>12</v>
      </c>
      <c r="E14" s="294" t="inlineStr">
        <is>
          <t>函证差异调节表</t>
        </is>
      </c>
      <c r="F14" s="238" t="inlineStr">
        <is>
          <t>L0-4</t>
        </is>
      </c>
    </row>
    <row r="15" ht="19.95" customHeight="1" s="364">
      <c r="A15" s="0" t="n"/>
      <c r="D15" s="236" t="n">
        <v>13</v>
      </c>
      <c r="E15" s="294" t="inlineStr">
        <is>
          <t>长期应付款替代程序检查表</t>
        </is>
      </c>
      <c r="F15" s="238" t="inlineStr">
        <is>
          <t>L0-5</t>
        </is>
      </c>
    </row>
    <row r="16" ht="19.95" customHeight="1" s="364">
      <c r="A16" s="0" t="n"/>
      <c r="D16" s="236" t="n">
        <v>14</v>
      </c>
      <c r="E16" s="294" t="inlineStr">
        <is>
          <t>邮件传真回函可靠性验证</t>
        </is>
      </c>
      <c r="F16" s="238" t="inlineStr">
        <is>
          <t>L0-6</t>
        </is>
      </c>
    </row>
    <row r="17" ht="19.95" customHeight="1" s="364">
      <c r="A17" s="296" t="inlineStr">
        <is>
          <t>3.工作底稿索引号的编码规则：实质性程序索引号按循环从“D”到“N”,循环内账户以顺序号排列，模板中底稿索引号按账户顺序+自然数顺序（即模板中索引号按二级自然顺序排列，如D1-1、D1-2、D1-3、……D1-N）。</t>
        </is>
      </c>
      <c r="D17" s="236" t="n">
        <v>15</v>
      </c>
      <c r="E17" s="294" t="inlineStr">
        <is>
          <t>函证程序舞弊风险评价表</t>
        </is>
      </c>
      <c r="F17" s="238" t="inlineStr">
        <is>
          <t>L0-7</t>
        </is>
      </c>
    </row>
    <row r="18" ht="19.95" customHeight="1" s="364">
      <c r="A18" s="0" t="n"/>
      <c r="D18" s="236" t="n">
        <v>16</v>
      </c>
      <c r="E18" s="237">
        <f>'关联方及交易检查表L5-6'!A2</f>
        <v/>
      </c>
      <c r="F18" s="238" t="inlineStr">
        <is>
          <t>L5-6</t>
        </is>
      </c>
    </row>
    <row r="19" ht="19.95" customHeight="1" s="364">
      <c r="A19" s="0" t="n"/>
      <c r="D19" s="236" t="n">
        <v>17</v>
      </c>
      <c r="E19" s="243" t="inlineStr">
        <is>
          <t>长期应付款检查表</t>
        </is>
      </c>
      <c r="F19" s="238" t="inlineStr">
        <is>
          <t>L5-7</t>
        </is>
      </c>
    </row>
  </sheetData>
  <mergeCells count="3">
    <mergeCell ref="A14:A16"/>
    <mergeCell ref="A17:A19"/>
    <mergeCell ref="A10:A13"/>
  </mergeCells>
  <hyperlinks>
    <hyperlink ref="E3" location="长期应付款实质性程序表L5A!A1" display="长期应付款实质性程序表"/>
    <hyperlink ref="E4" location="审定表L5!A1" display="审定表"/>
    <hyperlink ref="E5" location="'附注披露信息（上市公司）'!A1" display="附注披露信息（上市公司）"/>
    <hyperlink ref="E6" location="'附注披露信息（国企）'!A1" display="附注披露信息（国企）"/>
    <hyperlink ref="E7" location="'明细表L5-2'!A1" display="明细表"/>
    <hyperlink ref="E8" location="'未确认融资费用明细表L5-3'!A1" display="明细表（未确认融资费用）"/>
    <hyperlink ref="E9" location="'调整分录汇总L5-4'!A1" display="调整分录汇总"/>
    <hyperlink ref="E10" location="'未确认融资费用测算表L5-5'!A1" display="未确认融资费用测算表"/>
    <hyperlink ref="F11" location="'函证结果汇总表F0-1'!A1" display="L0-1"/>
    <hyperlink ref="F12" location="'核实被函证单位信息F0-2'!A1" display="L0-2"/>
    <hyperlink ref="F13" location="'跟函函证过程控制F0-3'!A1" display="L0-3"/>
    <hyperlink ref="F14" location="'函证差异调节表F0-4'!A1" display="L0-4"/>
    <hyperlink ref="F15" location="'预付及采购替代程序F0-5'!A1" display="L0-5"/>
    <hyperlink ref="F16" location="'跟函函证过程控制F0-3'!A1" display="L0-6"/>
    <hyperlink ref="F17" location="'函证差异调节表F0-4'!A1" display="L0-7"/>
    <hyperlink ref="E18" location="'关联方及交易检查表L5-6'!A1" display="='关联方及交易检查表L5-6'!A2"/>
    <hyperlink ref="E19" location="'长期应付款检查表L5-7'!A1" display="长期应付款检查表"/>
  </hyperlinks>
  <pageMargins left="0.7086614173228351" right="0.7086614173228351" top="0.748031496062992" bottom="0.748031496062992" header="0.31496062992126" footer="0.31496062992126"/>
  <pageSetup orientation="portrait" paperSize="9"/>
</worksheet>
</file>

<file path=xl/worksheets/sheet2.xml><?xml version="1.0" encoding="utf-8"?>
<worksheet xmlns="http://schemas.openxmlformats.org/spreadsheetml/2006/main">
  <sheetPr codeName="Sheet6">
    <outlinePr summaryBelow="1" summaryRight="1"/>
    <pageSetUpPr/>
  </sheetPr>
  <dimension ref="A1:S27"/>
  <sheetViews>
    <sheetView view="pageBreakPreview" zoomScaleNormal="100" workbookViewId="0">
      <selection activeCell="A1" sqref="A1:I1"/>
    </sheetView>
  </sheetViews>
  <sheetFormatPr baseColWidth="8" defaultColWidth="9" defaultRowHeight="13.8"/>
  <cols>
    <col width="4.296875" customWidth="1" style="365" min="1" max="1"/>
    <col width="63.59765625" customWidth="1" style="365" min="2" max="2"/>
    <col width="10.3984375" customWidth="1" style="365" min="3" max="3"/>
    <col width="5.69921875" customWidth="1" style="365" min="4" max="4"/>
    <col width="6.5" customWidth="1" style="365" min="5" max="5"/>
    <col width="6" customWidth="1" style="365" min="6" max="6"/>
    <col width="7.296875" customWidth="1" style="365" min="7" max="7"/>
    <col width="5.19921875" customWidth="1" style="365" min="8" max="8"/>
    <col width="7.09765625" customWidth="1" style="365" min="9" max="9"/>
    <col width="9" customWidth="1" style="365" min="10" max="16384"/>
  </cols>
  <sheetData>
    <row r="1" ht="19.95" customHeight="1" s="364">
      <c r="A1" s="366" t="inlineStr">
        <is>
          <t>致同会计师事务所</t>
        </is>
      </c>
    </row>
    <row r="2" ht="19.95" customHeight="1" s="364">
      <c r="A2" s="367" t="inlineStr">
        <is>
          <t>长期应付款实质性程序</t>
        </is>
      </c>
    </row>
    <row r="3" ht="19.95" customHeight="1" s="364">
      <c r="A3" s="368">
        <f>底稿目录!A2</f>
        <v/>
      </c>
      <c r="B3" s="368" t="n"/>
      <c r="C3" s="192">
        <f>底稿目录!A4</f>
        <v/>
      </c>
      <c r="E3" s="368">
        <f>底稿目录!A5</f>
        <v/>
      </c>
      <c r="F3" s="368" t="n"/>
      <c r="H3" s="368" t="inlineStr">
        <is>
          <t>索引号：</t>
        </is>
      </c>
      <c r="I3" s="369" t="inlineStr">
        <is>
          <t xml:space="preserve">L5A </t>
        </is>
      </c>
    </row>
    <row r="4" ht="19.95" customHeight="1" s="364">
      <c r="A4" s="368">
        <f>底稿目录!A3</f>
        <v/>
      </c>
      <c r="B4" s="368" t="n"/>
      <c r="C4" s="192">
        <f>底稿目录!A6</f>
        <v/>
      </c>
      <c r="E4" s="368">
        <f>底稿目录!A7</f>
        <v/>
      </c>
      <c r="F4" s="368" t="n"/>
      <c r="H4" s="368" t="inlineStr">
        <is>
          <t>页  次：</t>
        </is>
      </c>
      <c r="I4" s="368" t="n"/>
    </row>
    <row r="5" ht="19.95" customHeight="1" s="364">
      <c r="A5" s="193" t="inlineStr">
        <is>
          <t>一、本账户涉及的科目</t>
        </is>
      </c>
      <c r="B5" s="368" t="n"/>
      <c r="C5" s="368" t="n"/>
      <c r="D5" s="368" t="n"/>
      <c r="E5" s="368" t="n"/>
      <c r="F5" s="368" t="n"/>
      <c r="G5" s="368" t="n"/>
      <c r="H5" s="368" t="n"/>
      <c r="I5" s="368" t="n"/>
    </row>
    <row r="6" ht="19.95" customHeight="1" s="364">
      <c r="A6" s="194" t="inlineStr">
        <is>
          <t>长期应付款</t>
        </is>
      </c>
      <c r="B6" s="368" t="n"/>
      <c r="C6" s="368" t="n"/>
      <c r="D6" s="368" t="n"/>
      <c r="E6" s="368" t="n"/>
      <c r="F6" s="368" t="n"/>
      <c r="G6" s="368" t="n"/>
      <c r="H6" s="368" t="n"/>
      <c r="I6" s="368" t="n"/>
    </row>
    <row r="7" ht="19.95" customHeight="1" s="364">
      <c r="A7" s="195" t="inlineStr">
        <is>
          <t>二、审计目标与认定的对应关系</t>
        </is>
      </c>
      <c r="B7" s="370" t="n"/>
      <c r="C7" s="370" t="n"/>
      <c r="D7" s="368" t="n"/>
      <c r="E7" s="368" t="n"/>
      <c r="F7" s="368" t="n"/>
      <c r="G7" s="368" t="n"/>
      <c r="H7" s="368" t="n"/>
      <c r="I7" s="368" t="n"/>
    </row>
    <row r="8" ht="19.95" customHeight="1" s="364">
      <c r="A8" s="332" t="inlineStr">
        <is>
          <t>审计目标</t>
        </is>
      </c>
      <c r="B8" s="371" t="n"/>
      <c r="C8" s="371" t="n"/>
      <c r="D8" s="371" t="n"/>
      <c r="E8" s="371" t="n"/>
      <c r="F8" s="372" t="n"/>
      <c r="G8" s="314" t="inlineStr">
        <is>
          <t xml:space="preserve">财务报表的认定　</t>
        </is>
      </c>
      <c r="H8" s="371" t="n"/>
      <c r="I8" s="372" t="n"/>
    </row>
    <row r="9" ht="19.95" customHeight="1" s="364">
      <c r="A9" s="313" t="inlineStr">
        <is>
          <t>A. 资产负债表中记录的长期应付款是存在的，且已记录于恰当的账户</t>
        </is>
      </c>
      <c r="B9" s="371" t="n"/>
      <c r="C9" s="371" t="n"/>
      <c r="D9" s="371" t="n"/>
      <c r="E9" s="371" t="n"/>
      <c r="F9" s="372" t="n"/>
      <c r="G9" s="309" t="inlineStr">
        <is>
          <t>存在</t>
        </is>
      </c>
      <c r="H9" s="371" t="n"/>
      <c r="I9" s="372" t="n"/>
    </row>
    <row r="10" ht="19.95" customHeight="1" s="364">
      <c r="A10" s="313" t="inlineStr">
        <is>
          <t>B. 所有应记录的长期应付款均已记录，所有应当包括在财务报表中的相关披露均已包括</t>
        </is>
      </c>
      <c r="B10" s="371" t="n"/>
      <c r="C10" s="371" t="n"/>
      <c r="D10" s="371" t="n"/>
      <c r="E10" s="371" t="n"/>
      <c r="F10" s="372" t="n"/>
      <c r="G10" s="309" t="inlineStr">
        <is>
          <t>完整性</t>
        </is>
      </c>
      <c r="H10" s="371" t="n"/>
      <c r="I10" s="372" t="n"/>
    </row>
    <row r="11" ht="19.95" customHeight="1" s="364">
      <c r="A11" s="313" t="inlineStr">
        <is>
          <t>C. 记录的长期应付款是被审计单位应当履行的偿还义务</t>
        </is>
      </c>
      <c r="B11" s="371" t="n"/>
      <c r="C11" s="371" t="n"/>
      <c r="D11" s="371" t="n"/>
      <c r="E11" s="371" t="n"/>
      <c r="F11" s="372" t="n"/>
      <c r="G11" s="309" t="inlineStr">
        <is>
          <t>权利和义务</t>
        </is>
      </c>
      <c r="H11" s="371" t="n"/>
      <c r="I11" s="372" t="n"/>
    </row>
    <row r="12" ht="19.95" customHeight="1" s="364">
      <c r="A12" s="313" t="inlineStr">
        <is>
          <t xml:space="preserve">D. 长期应付款以恰当的金额包括在财务报表中，与之相关的计价或分摊调整已恰当记录，相关披露已得到恰当计量和描述 </t>
        </is>
      </c>
      <c r="B12" s="371" t="n"/>
      <c r="C12" s="371" t="n"/>
      <c r="D12" s="371" t="n"/>
      <c r="E12" s="371" t="n"/>
      <c r="F12" s="372" t="n"/>
      <c r="G12" s="309" t="inlineStr">
        <is>
          <t>准确性、计价和分摊</t>
        </is>
      </c>
      <c r="H12" s="371" t="n"/>
      <c r="I12" s="372" t="n"/>
    </row>
    <row r="13" ht="19.95" customHeight="1" s="364">
      <c r="A13" s="313" t="inlineStr">
        <is>
          <t>E. 长期应付款已被恰当地汇总或分解且表述清楚，相关披露在按照企业会计准则的编制基础下是相关的、可理解的</t>
        </is>
      </c>
      <c r="B13" s="371" t="n"/>
      <c r="C13" s="371" t="n"/>
      <c r="D13" s="371" t="n"/>
      <c r="E13" s="371" t="n"/>
      <c r="F13" s="372" t="n"/>
      <c r="G13" s="309" t="inlineStr">
        <is>
          <t>列报</t>
        </is>
      </c>
      <c r="H13" s="371" t="n"/>
      <c r="I13" s="372" t="n"/>
    </row>
    <row r="14" ht="19.95" customHeight="1" s="364">
      <c r="A14" s="197" t="inlineStr">
        <is>
          <t>三、计划实施的实质性程序</t>
        </is>
      </c>
    </row>
    <row r="15" ht="19.95" customHeight="1" s="364">
      <c r="A15" s="373" t="inlineStr">
        <is>
          <t>序号</t>
        </is>
      </c>
      <c r="B15" s="306" t="inlineStr">
        <is>
          <t>审计程序</t>
        </is>
      </c>
      <c r="C15" s="198" t="inlineStr">
        <is>
          <t>程序分类</t>
        </is>
      </c>
      <c r="D15" s="374" t="inlineStr">
        <is>
          <t>财务报表的认定</t>
        </is>
      </c>
      <c r="E15" s="371" t="n"/>
      <c r="F15" s="371" t="n"/>
      <c r="G15" s="371" t="n"/>
      <c r="H15" s="372" t="n"/>
      <c r="I15" s="198" t="inlineStr">
        <is>
          <t>底稿索引号</t>
        </is>
      </c>
    </row>
    <row r="16" ht="31.5" customHeight="1" s="364">
      <c r="A16" s="375" t="n"/>
      <c r="B16" s="376" t="n"/>
      <c r="C16" s="375" t="n"/>
      <c r="D16" s="198" t="inlineStr">
        <is>
          <t>存在</t>
        </is>
      </c>
      <c r="E16" s="198" t="inlineStr">
        <is>
          <t>完整性</t>
        </is>
      </c>
      <c r="F16" s="198" t="inlineStr">
        <is>
          <t>权利和义务</t>
        </is>
      </c>
      <c r="G16" s="198" t="inlineStr">
        <is>
          <t>准确性、计价和分摊</t>
        </is>
      </c>
      <c r="H16" s="198" t="inlineStr">
        <is>
          <t>列报</t>
        </is>
      </c>
      <c r="I16" s="375" t="n"/>
      <c r="J16" s="377" t="inlineStr">
        <is>
          <t>根据被审计单位实际情况和风险评估情况裁剪、修改或增加审计程序</t>
        </is>
      </c>
    </row>
    <row r="17" ht="75" customHeight="1" s="364">
      <c r="A17" s="199" t="inlineStr">
        <is>
          <t>1</t>
        </is>
      </c>
      <c r="B17" s="250" t="inlineStr">
        <is>
          <t>获取或编制长期应付款明细表，完成以下工作，并编制审定表
（1）复核加计是否正确，与总账、明细账合计数核对是否相符，期初余额与上期审定期末余额是否相符；
（2）获取管理层编制的应付账款账龄分析表，检查账龄划分是否正确；
（2）确定流动负债和非流动负债的划分是否正确 。</t>
        </is>
      </c>
      <c r="C17" s="378" t="inlineStr">
        <is>
          <t>常规★</t>
        </is>
      </c>
      <c r="D17" s="225" t="inlineStr">
        <is>
          <t>√</t>
        </is>
      </c>
      <c r="E17" s="225" t="inlineStr">
        <is>
          <t>√</t>
        </is>
      </c>
      <c r="F17" s="225" t="n"/>
      <c r="G17" s="202" t="inlineStr">
        <is>
          <t>√</t>
        </is>
      </c>
      <c r="H17" s="225" t="n"/>
      <c r="I17" s="212" t="inlineStr">
        <is>
          <t>L5-1
/L5-2</t>
        </is>
      </c>
    </row>
    <row r="18" ht="44.4" customHeight="1" s="364">
      <c r="A18" s="203" t="inlineStr">
        <is>
          <t>2</t>
        </is>
      </c>
      <c r="B18" s="250" t="inlineStr">
        <is>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is>
      </c>
      <c r="C18" s="212" t="inlineStr">
        <is>
          <t>常规★</t>
        </is>
      </c>
      <c r="D18" s="205" t="n"/>
      <c r="E18" s="206" t="inlineStr">
        <is>
          <t>√</t>
        </is>
      </c>
      <c r="F18" s="205" t="n"/>
      <c r="G18" s="207" t="inlineStr">
        <is>
          <t>√</t>
        </is>
      </c>
      <c r="H18" s="225" t="n"/>
      <c r="I18" s="379" t="inlineStr">
        <is>
          <t>T1
/</t>
        </is>
      </c>
      <c r="J18" s="300"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c r="K18" s="0" t="n"/>
      <c r="L18" s="0" t="n"/>
      <c r="M18" s="0" t="n"/>
      <c r="N18" s="0" t="n"/>
      <c r="O18" s="0" t="n"/>
      <c r="P18" s="0" t="n"/>
      <c r="Q18" s="0" t="n"/>
      <c r="R18" s="0" t="n"/>
      <c r="S18" s="0" t="n"/>
    </row>
    <row r="19" ht="42" customHeight="1" s="364">
      <c r="A19" s="199" t="inlineStr">
        <is>
          <t>3</t>
        </is>
      </c>
      <c r="B19" s="380" t="inlineStr">
        <is>
          <t>对期初余额的审计，取得长期应付款期初余额明细表复核加计是否正确，与总账、明细账合计数是否相符，检查上期长期应付款在本期支付情况，函证期初余额以及其他必要追加的审计程序。（适用于首次承接）</t>
        </is>
      </c>
      <c r="C19" s="211" t="inlineStr">
        <is>
          <t>备选</t>
        </is>
      </c>
      <c r="D19" s="207" t="inlineStr">
        <is>
          <t>√</t>
        </is>
      </c>
      <c r="E19" s="206" t="inlineStr">
        <is>
          <t>√</t>
        </is>
      </c>
      <c r="F19" s="207" t="inlineStr">
        <is>
          <t>√</t>
        </is>
      </c>
      <c r="G19" s="207" t="inlineStr">
        <is>
          <t>√</t>
        </is>
      </c>
      <c r="H19" s="225" t="n"/>
      <c r="I19" s="212" t="n"/>
      <c r="J19" s="302"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c r="K19" s="0" t="n"/>
      <c r="L19" s="0" t="n"/>
      <c r="M19" s="0" t="n"/>
      <c r="N19" s="0" t="n"/>
      <c r="O19" s="0" t="n"/>
      <c r="P19" s="0" t="n"/>
      <c r="Q19" s="0" t="n"/>
      <c r="R19" s="0" t="n"/>
      <c r="S19" s="0" t="n"/>
    </row>
    <row r="20" ht="32.4" customHeight="1" s="364">
      <c r="A20" s="199" t="inlineStr">
        <is>
          <t>4</t>
        </is>
      </c>
      <c r="B20" s="209" t="inlineStr">
        <is>
          <t>关注会计政策、会计估计合理性、一贯性，关注其是否利用会计政策和会计估计及其变更操纵利润。</t>
        </is>
      </c>
      <c r="C20" s="381" t="inlineStr">
        <is>
          <t>常规★</t>
        </is>
      </c>
      <c r="D20" s="211" t="inlineStr">
        <is>
          <t>√</t>
        </is>
      </c>
      <c r="E20" s="211" t="inlineStr">
        <is>
          <t>√</t>
        </is>
      </c>
      <c r="F20" s="212" t="n"/>
      <c r="G20" s="211" t="inlineStr">
        <is>
          <t>√</t>
        </is>
      </c>
      <c r="H20" s="382" t="n"/>
      <c r="I20" s="383" t="inlineStr">
        <is>
          <t>L5-1
/L5-2</t>
        </is>
      </c>
      <c r="J20" s="303" t="n"/>
      <c r="K20" s="303" t="n"/>
      <c r="L20" s="303" t="n"/>
      <c r="M20" s="303" t="n"/>
      <c r="N20" s="303" t="n"/>
      <c r="O20" s="303" t="n"/>
      <c r="P20" s="303" t="n"/>
      <c r="Q20" s="303" t="n"/>
      <c r="R20" s="303" t="n"/>
      <c r="S20" s="303" t="n"/>
    </row>
    <row r="21" ht="28.2" customHeight="1" s="364">
      <c r="A21" s="203" t="inlineStr">
        <is>
          <t>5</t>
        </is>
      </c>
      <c r="B21" s="384" t="inlineStr">
        <is>
          <t>检查长期应付款长期挂账的原因并作出记录，分析账龄较长的原因，是否双方有纠纷等，考虑负债计提是否充分，对确实无需支付的应付款的会计处理是否正确。</t>
        </is>
      </c>
      <c r="C21" s="381" t="inlineStr">
        <is>
          <t>常规★</t>
        </is>
      </c>
      <c r="D21" s="207" t="inlineStr">
        <is>
          <t>√</t>
        </is>
      </c>
      <c r="E21" s="207" t="n"/>
      <c r="F21" s="205" t="n"/>
      <c r="G21" s="206" t="inlineStr">
        <is>
          <t>√</t>
        </is>
      </c>
      <c r="H21" s="385" t="n"/>
      <c r="I21" s="383" t="inlineStr">
        <is>
          <t>L5-2</t>
        </is>
      </c>
      <c r="J21" s="303" t="n"/>
      <c r="K21" s="303" t="n"/>
      <c r="L21" s="303" t="n"/>
      <c r="M21" s="303" t="n"/>
      <c r="N21" s="303" t="n"/>
      <c r="O21" s="303" t="n"/>
      <c r="P21" s="303" t="n"/>
      <c r="Q21" s="303" t="n"/>
      <c r="R21" s="303" t="n"/>
      <c r="S21" s="303" t="n"/>
    </row>
    <row r="22" ht="72" customHeight="1" s="364">
      <c r="A22" s="199" t="inlineStr">
        <is>
          <t>6</t>
        </is>
      </c>
      <c r="B22" s="215" t="inlineStr">
        <is>
          <t>对长期应付款的利息费用执行如下程序：
（1）与被审计单位讨论确定实际利率或经信用调整的实际利率确定依据是否充分，复核实际利率或经信用调整的实际利率是否与前期一致；
（2）重新计算占有期间的利息，与被审计单位账面记录核对，如果存在差异，应查明原因并考虑进行审计调整；</t>
        </is>
      </c>
      <c r="C22" s="381" t="inlineStr">
        <is>
          <t>常规★</t>
        </is>
      </c>
      <c r="D22" s="206" t="n"/>
      <c r="E22" s="205" t="n"/>
      <c r="F22" s="207" t="n"/>
      <c r="G22" s="206" t="inlineStr">
        <is>
          <t>√</t>
        </is>
      </c>
      <c r="H22" s="386" t="n"/>
      <c r="I22" s="212" t="inlineStr">
        <is>
          <t>L5-3
/L5-5</t>
        </is>
      </c>
      <c r="J22" s="303" t="n"/>
      <c r="K22" s="303" t="n"/>
      <c r="L22" s="303" t="n"/>
      <c r="M22" s="303" t="n"/>
      <c r="N22" s="303" t="n"/>
      <c r="O22" s="303" t="n"/>
      <c r="P22" s="303" t="n"/>
      <c r="Q22" s="303" t="n"/>
      <c r="R22" s="303" t="n"/>
      <c r="S22" s="303" t="n"/>
    </row>
    <row r="23" ht="178.8" customFormat="1" customHeight="1" s="387">
      <c r="A23" s="199" t="inlineStr">
        <is>
          <t>7</t>
        </is>
      </c>
      <c r="B23" s="215" t="inlineStr">
        <is>
          <t>实施函证程序：
（1）以积极方式对长期应付款进行函证，设计询证函、发函前核实被函证单位信息；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is>
      </c>
      <c r="C23" s="225" t="inlineStr">
        <is>
          <t>常规★</t>
        </is>
      </c>
      <c r="D23" s="206" t="inlineStr">
        <is>
          <t>√</t>
        </is>
      </c>
      <c r="E23" s="207" t="inlineStr">
        <is>
          <t>√</t>
        </is>
      </c>
      <c r="F23" s="206" t="inlineStr">
        <is>
          <t>√</t>
        </is>
      </c>
      <c r="G23" s="207" t="inlineStr">
        <is>
          <t>√</t>
        </is>
      </c>
      <c r="H23" s="217" t="n"/>
      <c r="I23" s="225" t="inlineStr">
        <is>
          <t>L0</t>
        </is>
      </c>
    </row>
    <row r="24" ht="144.6" customFormat="1" customHeight="1" s="387">
      <c r="A24" s="203" t="inlineStr">
        <is>
          <t>8</t>
        </is>
      </c>
      <c r="B24" s="388" t="inlineStr">
        <is>
          <t>检查长期应付关联方款项：
（1）了解交易的商业理由、交易事项的目的、价格和条件，确定关联交易价格是否远高于或低于非关联方交易价格，考虑对关联方应付账款的合理性、合法性；
（2）检查对关联方长期应付款的真实性相关的支持性文件、检查会计处理是否正确；
（3）考虑向关联方或其他注册会计师函证重大的关联采购交易和余额（包括担保和其他重要信息）；
（4）必要时，向与交易相关的人员和机构（如银行、律师）函证或与其讨论有关信息；
（5）考虑是否存在未识别的关联方，关联交易和余额披露是否正确。</t>
        </is>
      </c>
      <c r="C24" s="378" t="inlineStr">
        <is>
          <t>常规★</t>
        </is>
      </c>
      <c r="D24" s="206" t="inlineStr">
        <is>
          <t>√</t>
        </is>
      </c>
      <c r="E24" s="206" t="inlineStr">
        <is>
          <t>√</t>
        </is>
      </c>
      <c r="F24" s="207" t="inlineStr">
        <is>
          <t>√</t>
        </is>
      </c>
      <c r="G24" s="206" t="inlineStr">
        <is>
          <t>√</t>
        </is>
      </c>
      <c r="H24" s="207" t="inlineStr">
        <is>
          <t>√</t>
        </is>
      </c>
      <c r="I24" s="212" t="inlineStr">
        <is>
          <t>L5-6</t>
        </is>
      </c>
    </row>
    <row r="25" ht="38.4" customHeight="1" s="364">
      <c r="A25" s="199" t="inlineStr">
        <is>
          <t>9</t>
        </is>
      </c>
      <c r="B25" s="209" t="inlineStr">
        <is>
          <t>检查与长期应付款有关的的记账凭证和相应的支持性证据以确定交易的真实性，是否按规定进行相应的会计处理和披露。</t>
        </is>
      </c>
      <c r="C25" s="381" t="inlineStr">
        <is>
          <t>常规★</t>
        </is>
      </c>
      <c r="D25" s="219" t="inlineStr">
        <is>
          <t>√</t>
        </is>
      </c>
      <c r="E25" s="212" t="n"/>
      <c r="F25" s="211" t="inlineStr">
        <is>
          <t>√</t>
        </is>
      </c>
      <c r="G25" s="211" t="inlineStr">
        <is>
          <t>√</t>
        </is>
      </c>
      <c r="H25" s="389" t="n"/>
      <c r="I25" s="212" t="inlineStr">
        <is>
          <t>L5-7</t>
        </is>
      </c>
      <c r="J25" s="303" t="n"/>
      <c r="K25" s="303" t="n"/>
      <c r="L25" s="303" t="n"/>
      <c r="M25" s="303" t="n"/>
      <c r="N25" s="303" t="n"/>
      <c r="O25" s="303" t="n"/>
      <c r="P25" s="303" t="n"/>
      <c r="Q25" s="303" t="n"/>
      <c r="R25" s="303" t="n"/>
      <c r="S25" s="303" t="n"/>
    </row>
    <row r="26" ht="36.6" customFormat="1" customHeight="1" s="387">
      <c r="A26" s="199" t="inlineStr">
        <is>
          <t>10</t>
        </is>
      </c>
      <c r="B26" s="388" t="inlineStr">
        <is>
          <t>根据评估的舞弊风险等因素增加的审计程序。</t>
        </is>
      </c>
      <c r="C26" s="207" t="inlineStr">
        <is>
          <t>IPO/上市/新三板/重组/舞弊应对</t>
        </is>
      </c>
      <c r="D26" s="386" t="n"/>
      <c r="E26" s="386" t="n"/>
      <c r="F26" s="386" t="n"/>
      <c r="G26" s="386" t="n"/>
      <c r="H26" s="386" t="n"/>
      <c r="I26" s="383" t="n"/>
    </row>
    <row r="27" ht="27.6" customHeight="1" s="364">
      <c r="A27" s="203" t="inlineStr">
        <is>
          <t>11</t>
        </is>
      </c>
      <c r="B27" s="380" t="inlineStr">
        <is>
          <t>检查长期应付款是否已按企业会计准则或其他适用的规定在财务报表中做出恰当列报和披露。</t>
        </is>
      </c>
      <c r="C27" s="378" t="inlineStr">
        <is>
          <t>常规★</t>
        </is>
      </c>
      <c r="D27" s="217" t="n"/>
      <c r="E27" s="217" t="n"/>
      <c r="F27" s="217" t="n"/>
      <c r="G27" s="217" t="n"/>
      <c r="H27" s="217" t="inlineStr">
        <is>
          <t>√</t>
        </is>
      </c>
      <c r="I27" s="226" t="inlineStr">
        <is>
          <t>A1-1/A1-15 /A1-16</t>
        </is>
      </c>
    </row>
  </sheetData>
  <mergeCells count="21">
    <mergeCell ref="G10:I10"/>
    <mergeCell ref="G13:I13"/>
    <mergeCell ref="A12:F12"/>
    <mergeCell ref="J18:S18"/>
    <mergeCell ref="A2:I2"/>
    <mergeCell ref="A8:F8"/>
    <mergeCell ref="B15:B16"/>
    <mergeCell ref="A10:F10"/>
    <mergeCell ref="J19:S19"/>
    <mergeCell ref="A13:F13"/>
    <mergeCell ref="A9:F9"/>
    <mergeCell ref="G9:I9"/>
    <mergeCell ref="G12:I12"/>
    <mergeCell ref="G11:I11"/>
    <mergeCell ref="A11:F11"/>
    <mergeCell ref="D15:H15"/>
    <mergeCell ref="A1:I1"/>
    <mergeCell ref="G8:I8"/>
    <mergeCell ref="A15:A16"/>
    <mergeCell ref="C15:C16"/>
    <mergeCell ref="I15:I16"/>
  </mergeCells>
  <hyperlinks>
    <hyperlink ref="I3" location="底稿目录!A1" display="L5A "/>
  </hyperlinks>
  <printOptions horizontalCentered="1"/>
  <pageMargins left="0.7086614173228347" right="0.7086614173228347" top="0.7480314960629921" bottom="0.7480314960629921" header="0.3149606299212598" footer="0.3149606299212598"/>
  <pageSetup orientation="portrait" paperSize="9" scale="70" fitToWidth="0" blackAndWhite="1" cellComments="atEnd"/>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fitToPage="1"/>
  </sheetPr>
  <dimension ref="A1:P35"/>
  <sheetViews>
    <sheetView view="pageBreakPreview" zoomScaleNormal="100" zoomScaleSheetLayoutView="100" workbookViewId="0">
      <selection activeCell="A1" sqref="A1:O1"/>
    </sheetView>
  </sheetViews>
  <sheetFormatPr baseColWidth="8" defaultColWidth="9" defaultRowHeight="19.95" customHeight="1"/>
  <cols>
    <col width="24.09765625" customWidth="1" style="171" min="1" max="1"/>
    <col width="10.09765625" customWidth="1" style="171" min="2" max="2"/>
    <col width="11.09765625" customWidth="1" style="171" min="3" max="3"/>
    <col width="10.59765625" customWidth="1" style="171" min="4" max="4"/>
    <col width="11" customWidth="1" style="171" min="5" max="5"/>
    <col width="13.59765625" customWidth="1" style="171" min="6" max="6"/>
    <col width="11" customWidth="1" style="171" min="7" max="7"/>
    <col width="11.09765625" customWidth="1" style="171" min="8" max="8"/>
    <col width="10.59765625" customWidth="1" style="171" min="9" max="9"/>
    <col width="10.5" customWidth="1" style="171" min="10" max="10"/>
    <col width="12.296875" customWidth="1" style="171" min="11" max="11"/>
    <col width="14.09765625" customWidth="1" style="171" min="12" max="12"/>
    <col width="12.296875" customWidth="1" style="171" min="13" max="13"/>
    <col width="10.796875" customWidth="1" style="171" min="14" max="14"/>
    <col width="9" customWidth="1" style="171" min="15" max="16384"/>
  </cols>
  <sheetData>
    <row r="1" ht="19.95" customFormat="1" customHeight="1" s="40">
      <c r="A1" s="315" t="inlineStr">
        <is>
          <t>致同会计师事务所</t>
        </is>
      </c>
    </row>
    <row r="2" ht="19.95" customFormat="1" customHeight="1" s="40">
      <c r="A2" s="316" t="inlineStr">
        <is>
          <t>长期应付款审定表</t>
        </is>
      </c>
      <c r="P2" s="390" t="n"/>
    </row>
    <row r="3" ht="19.95" customFormat="1" customHeight="1" s="43">
      <c r="A3" s="70">
        <f>底稿目录!A2</f>
        <v/>
      </c>
      <c r="B3" s="70" t="n"/>
      <c r="C3" s="172" t="n"/>
      <c r="E3" s="70">
        <f>底稿目录!A4</f>
        <v/>
      </c>
      <c r="F3" s="70" t="n"/>
      <c r="G3" s="70" t="n"/>
      <c r="H3" s="70" t="n"/>
      <c r="I3" s="70" t="n"/>
      <c r="J3" s="8">
        <f>底稿目录!A5</f>
        <v/>
      </c>
      <c r="K3" s="8" t="n"/>
      <c r="L3" s="70" t="n"/>
      <c r="M3" s="70" t="n"/>
      <c r="N3" s="61" t="inlineStr">
        <is>
          <t>索引号：</t>
        </is>
      </c>
      <c r="O3" s="369">
        <f>底稿目录!F4</f>
        <v/>
      </c>
    </row>
    <row r="4" ht="19.95" customFormat="1" customHeight="1" s="43">
      <c r="A4" s="70">
        <f>底稿目录!A3</f>
        <v/>
      </c>
      <c r="B4" s="70" t="n"/>
      <c r="C4" s="172" t="n"/>
      <c r="E4" s="70">
        <f>底稿目录!A6</f>
        <v/>
      </c>
      <c r="F4" s="70" t="n"/>
      <c r="G4" s="70" t="n"/>
      <c r="H4" s="70" t="n"/>
      <c r="I4" s="70" t="n"/>
      <c r="J4" s="368">
        <f>底稿目录!A7</f>
        <v/>
      </c>
      <c r="K4" s="8" t="n"/>
      <c r="L4" s="70" t="n"/>
      <c r="M4" s="70" t="n"/>
      <c r="N4" s="61" t="inlineStr">
        <is>
          <t>页次：</t>
        </is>
      </c>
      <c r="O4" s="70" t="n"/>
    </row>
    <row r="5" ht="29.55" customFormat="1" customHeight="1" s="43">
      <c r="A5" s="391" t="inlineStr">
        <is>
          <t>项目</t>
        </is>
      </c>
      <c r="B5" s="392" t="inlineStr">
        <is>
          <t>期初数</t>
        </is>
      </c>
      <c r="C5" s="393" t="n"/>
      <c r="D5" s="393" t="n"/>
      <c r="E5" s="393" t="n"/>
      <c r="F5" s="393" t="n"/>
      <c r="G5" s="394" t="n"/>
      <c r="H5" s="392" t="inlineStr">
        <is>
          <t>期末数</t>
        </is>
      </c>
      <c r="I5" s="393" t="n"/>
      <c r="J5" s="393" t="n"/>
      <c r="K5" s="393" t="n"/>
      <c r="L5" s="393" t="n"/>
      <c r="M5" s="394" t="n"/>
      <c r="N5" s="392" t="inlineStr">
        <is>
          <t>本期审定数与上期
审定数的比较</t>
        </is>
      </c>
      <c r="O5" s="394" t="n"/>
    </row>
    <row r="6" ht="27" customFormat="1" customHeight="1" s="43">
      <c r="A6" s="395" t="n"/>
      <c r="B6" s="392" t="inlineStr">
        <is>
          <t>未审数</t>
        </is>
      </c>
      <c r="C6" s="392" t="inlineStr">
        <is>
          <t>账项调整</t>
        </is>
      </c>
      <c r="D6" s="392" t="inlineStr">
        <is>
          <t>重分类调整</t>
        </is>
      </c>
      <c r="E6" s="392" t="inlineStr">
        <is>
          <t>审定数</t>
        </is>
      </c>
      <c r="F6" s="392" t="inlineStr">
        <is>
          <t>减：一年内到期的长期应付款</t>
        </is>
      </c>
      <c r="G6" s="392" t="inlineStr">
        <is>
          <t>最终审定数</t>
        </is>
      </c>
      <c r="H6" s="392" t="inlineStr">
        <is>
          <t>未审数</t>
        </is>
      </c>
      <c r="I6" s="392" t="inlineStr">
        <is>
          <t>账项调整</t>
        </is>
      </c>
      <c r="J6" s="392" t="inlineStr">
        <is>
          <t>重分类调整</t>
        </is>
      </c>
      <c r="K6" s="392" t="inlineStr">
        <is>
          <t>审定数</t>
        </is>
      </c>
      <c r="L6" s="392" t="inlineStr">
        <is>
          <t>减：一年内到期的长期应付款</t>
        </is>
      </c>
      <c r="M6" s="392" t="inlineStr">
        <is>
          <t>最终审定数</t>
        </is>
      </c>
      <c r="N6" s="396" t="inlineStr">
        <is>
          <t>变动额</t>
        </is>
      </c>
      <c r="O6" s="392" t="inlineStr">
        <is>
          <t>变动率</t>
        </is>
      </c>
    </row>
    <row r="7" ht="19.95" customFormat="1" customHeight="1" s="43">
      <c r="A7" s="397" t="inlineStr">
        <is>
          <t>一、原值</t>
        </is>
      </c>
      <c r="B7" s="398" t="n"/>
      <c r="C7" s="398" t="n"/>
      <c r="D7" s="398" t="n"/>
      <c r="E7" s="398" t="n"/>
      <c r="F7" s="398" t="n"/>
      <c r="G7" s="398" t="n"/>
      <c r="H7" s="398" t="n"/>
      <c r="I7" s="398" t="n"/>
      <c r="J7" s="398" t="n"/>
      <c r="K7" s="398" t="n"/>
      <c r="L7" s="398" t="n"/>
      <c r="M7" s="398" t="n"/>
      <c r="N7" s="398" t="n"/>
      <c r="O7" s="186" t="n"/>
    </row>
    <row r="8" ht="19.95" customFormat="1" customHeight="1" s="43">
      <c r="A8" s="399" t="inlineStr">
        <is>
          <t>应付融资租赁款</t>
        </is>
      </c>
      <c r="B8" s="400">
        <f>'明细表L5-2'!B16</f>
        <v/>
      </c>
      <c r="C8" s="400">
        <f>'明细表L5-2'!F16</f>
        <v/>
      </c>
      <c r="D8" s="400">
        <f>'明细表L5-2'!G16</f>
        <v/>
      </c>
      <c r="E8" s="400">
        <f>B8+C8+D8</f>
        <v/>
      </c>
      <c r="F8" s="400">
        <f>'明细表L5-2'!P16</f>
        <v/>
      </c>
      <c r="G8" s="400">
        <f>E8-F8</f>
        <v/>
      </c>
      <c r="H8" s="400">
        <f>'明细表L5-2'!E16</f>
        <v/>
      </c>
      <c r="I8" s="400">
        <f>'明细表L5-2'!F16+'明细表L5-2'!I16-'明细表L5-2'!H16</f>
        <v/>
      </c>
      <c r="J8" s="400">
        <f>'明细表L5-2'!G16+'明细表L5-2'!K16-'明细表L5-2'!J16</f>
        <v/>
      </c>
      <c r="K8" s="400">
        <f>H8+I8+J8</f>
        <v/>
      </c>
      <c r="L8" s="400">
        <f>'明细表L5-2'!Q16</f>
        <v/>
      </c>
      <c r="M8" s="400">
        <f>K8-L8</f>
        <v/>
      </c>
      <c r="N8" s="400">
        <f>K8-E8</f>
        <v/>
      </c>
      <c r="O8" s="187">
        <f>IF(AND(E8=0,N8=0),0,IF(AND(E8=0,N8&gt;0),1,N8/E8))</f>
        <v/>
      </c>
    </row>
    <row r="9" ht="19.95" customFormat="1" customHeight="1" s="43">
      <c r="A9" s="399" t="inlineStr">
        <is>
          <t>分期付款方式购入固定资产</t>
        </is>
      </c>
      <c r="B9" s="400">
        <f>'明细表L5-2'!B23</f>
        <v/>
      </c>
      <c r="C9" s="400">
        <f>'明细表L5-2'!F23</f>
        <v/>
      </c>
      <c r="D9" s="400">
        <f>'明细表L5-2'!G23</f>
        <v/>
      </c>
      <c r="E9" s="400">
        <f>B9+C9+D9</f>
        <v/>
      </c>
      <c r="F9" s="400">
        <f>'明细表L5-2'!P23</f>
        <v/>
      </c>
      <c r="G9" s="400">
        <f>E9-F9</f>
        <v/>
      </c>
      <c r="H9" s="400">
        <f>'明细表L5-2'!E23</f>
        <v/>
      </c>
      <c r="I9" s="400">
        <f>'明细表L5-2'!F23+'明细表L5-2'!I23-'明细表L5-2'!H23</f>
        <v/>
      </c>
      <c r="J9" s="400">
        <f>'明细表L5-2'!G23+'明细表L5-2'!K23-'明细表L5-2'!J23</f>
        <v/>
      </c>
      <c r="K9" s="400">
        <f>H9+I9+J9</f>
        <v/>
      </c>
      <c r="L9" s="400">
        <f>'明细表L5-2'!Q23</f>
        <v/>
      </c>
      <c r="M9" s="400">
        <f>K9-L9</f>
        <v/>
      </c>
      <c r="N9" s="400">
        <f>K9-E9</f>
        <v/>
      </c>
      <c r="O9" s="187">
        <f>IF(AND(E9=0,N9=0),0,IF(AND(E9=0,N9&gt;0),1,N9/E9))</f>
        <v/>
      </c>
    </row>
    <row r="10" ht="19.95" customFormat="1" customHeight="1" s="43">
      <c r="A10" s="399" t="inlineStr">
        <is>
          <t>其他</t>
        </is>
      </c>
      <c r="B10" s="400">
        <f>'明细表L5-2'!B24</f>
        <v/>
      </c>
      <c r="C10" s="400">
        <f>'明细表L5-2'!F24</f>
        <v/>
      </c>
      <c r="D10" s="400">
        <f>'明细表L5-2'!G24</f>
        <v/>
      </c>
      <c r="E10" s="400">
        <f>B10+C10+D10</f>
        <v/>
      </c>
      <c r="F10" s="400">
        <f>'明细表L5-2'!P24</f>
        <v/>
      </c>
      <c r="G10" s="400">
        <f>E10-F10</f>
        <v/>
      </c>
      <c r="H10" s="400">
        <f>'明细表L5-2'!E24</f>
        <v/>
      </c>
      <c r="I10" s="400">
        <f>'明细表L5-2'!F24+'明细表L5-2'!I24-'明细表L5-2'!H24</f>
        <v/>
      </c>
      <c r="J10" s="400">
        <f>'明细表L5-2'!G24+'明细表L5-2'!K24-'明细表L5-2'!J24</f>
        <v/>
      </c>
      <c r="K10" s="400">
        <f>H10+I10+J10</f>
        <v/>
      </c>
      <c r="L10" s="400">
        <f>'明细表L5-2'!Q24</f>
        <v/>
      </c>
      <c r="M10" s="400">
        <f>K10-L10</f>
        <v/>
      </c>
      <c r="N10" s="400">
        <f>K10-E10</f>
        <v/>
      </c>
      <c r="O10" s="187">
        <f>IF(AND(E10=0,N10=0),0,IF(AND(E10=0,N10&gt;0),1,N10/E10))</f>
        <v/>
      </c>
    </row>
    <row r="11" ht="19.95" customFormat="1" customHeight="1" s="41">
      <c r="A11" s="401" t="inlineStr">
        <is>
          <t>合计</t>
        </is>
      </c>
      <c r="B11" s="402">
        <f>SUM(B8:B10)</f>
        <v/>
      </c>
      <c r="C11" s="402">
        <f>SUM(C8:C10)</f>
        <v/>
      </c>
      <c r="D11" s="402">
        <f>SUM(D8:D10)</f>
        <v/>
      </c>
      <c r="E11" s="402">
        <f>SUM(E8:E10)</f>
        <v/>
      </c>
      <c r="F11" s="402">
        <f>SUM(F8:F10)</f>
        <v/>
      </c>
      <c r="G11" s="402">
        <f>SUM(G8:G10)</f>
        <v/>
      </c>
      <c r="H11" s="402">
        <f>SUM(H8:H10)</f>
        <v/>
      </c>
      <c r="I11" s="402">
        <f>SUM(I8:I10)</f>
        <v/>
      </c>
      <c r="J11" s="402">
        <f>SUM(J8:J10)</f>
        <v/>
      </c>
      <c r="K11" s="402">
        <f>SUM(K8:K10)</f>
        <v/>
      </c>
      <c r="L11" s="402">
        <f>SUM(L8:L10)</f>
        <v/>
      </c>
      <c r="M11" s="402">
        <f>SUM(M8:M10)</f>
        <v/>
      </c>
      <c r="N11" s="402">
        <f>K11-E11</f>
        <v/>
      </c>
      <c r="O11" s="188">
        <f>IF(AND(E11=0,N11=0),0,IF(AND(E11=0,N11&gt;0),1,N11/E11))</f>
        <v/>
      </c>
    </row>
    <row r="12" ht="19.95" customFormat="1" customHeight="1" s="43">
      <c r="A12" s="397" t="inlineStr">
        <is>
          <t>二、未确认融资费用</t>
        </is>
      </c>
      <c r="B12" s="398" t="n"/>
      <c r="C12" s="398" t="n"/>
      <c r="D12" s="398" t="n"/>
      <c r="E12" s="398" t="n"/>
      <c r="F12" s="398" t="n"/>
      <c r="G12" s="398" t="n"/>
      <c r="H12" s="398" t="n"/>
      <c r="I12" s="398" t="n"/>
      <c r="J12" s="398" t="n"/>
      <c r="K12" s="398" t="n"/>
      <c r="L12" s="398" t="n"/>
      <c r="M12" s="398" t="n"/>
      <c r="N12" s="398" t="n"/>
      <c r="O12" s="186" t="n"/>
    </row>
    <row r="13" ht="19.95" customFormat="1" customHeight="1" s="43">
      <c r="A13" s="399" t="inlineStr">
        <is>
          <t>应付融资租赁款</t>
        </is>
      </c>
      <c r="B13" s="400">
        <f>'未确认融资费用明细表L5-3'!B17</f>
        <v/>
      </c>
      <c r="C13" s="400">
        <f>'未确认融资费用明细表L5-3'!F17</f>
        <v/>
      </c>
      <c r="D13" s="400">
        <f>'未确认融资费用明细表L5-3'!G17</f>
        <v/>
      </c>
      <c r="E13" s="400">
        <f>B13+C13+D13</f>
        <v/>
      </c>
      <c r="F13" s="400">
        <f>'未确认融资费用明细表L5-3'!P17</f>
        <v/>
      </c>
      <c r="G13" s="400">
        <f>E13-F13</f>
        <v/>
      </c>
      <c r="H13" s="400">
        <f>'未确认融资费用明细表L5-3'!E17</f>
        <v/>
      </c>
      <c r="I13" s="400">
        <f>'未确认融资费用明细表L5-3'!F17+'未确认融资费用明细表L5-3'!I17-'未确认融资费用明细表L5-3'!H17</f>
        <v/>
      </c>
      <c r="J13" s="400">
        <f>'未确认融资费用明细表L5-3'!G17+'未确认融资费用明细表L5-3'!K17-'未确认融资费用明细表L5-3'!J17</f>
        <v/>
      </c>
      <c r="K13" s="400">
        <f>H13+I13+J13</f>
        <v/>
      </c>
      <c r="L13" s="400">
        <f>'未确认融资费用明细表L5-3'!Q17</f>
        <v/>
      </c>
      <c r="M13" s="400">
        <f>K13-L13</f>
        <v/>
      </c>
      <c r="N13" s="400">
        <f>K13-E13</f>
        <v/>
      </c>
      <c r="O13" s="187">
        <f>IF(AND(E13=0,N13=0),0,IF(AND(E13=0,N13&gt;0),1,N13/E13))</f>
        <v/>
      </c>
    </row>
    <row r="14" ht="19.95" customFormat="1" customHeight="1" s="43">
      <c r="A14" s="399" t="inlineStr">
        <is>
          <t>分期付款方式购入固定资产</t>
        </is>
      </c>
      <c r="B14" s="400">
        <f>'未确认融资费用明细表L5-3'!B24</f>
        <v/>
      </c>
      <c r="C14" s="400">
        <f>'未确认融资费用明细表L5-3'!F24</f>
        <v/>
      </c>
      <c r="D14" s="400">
        <f>'未确认融资费用明细表L5-3'!G24</f>
        <v/>
      </c>
      <c r="E14" s="400">
        <f>B14+C14+D14</f>
        <v/>
      </c>
      <c r="F14" s="400">
        <f>'未确认融资费用明细表L5-3'!P24</f>
        <v/>
      </c>
      <c r="G14" s="400">
        <f>E14-F14</f>
        <v/>
      </c>
      <c r="H14" s="400">
        <f>'未确认融资费用明细表L5-3'!E24</f>
        <v/>
      </c>
      <c r="I14" s="400">
        <f>'未确认融资费用明细表L5-3'!F24+'未确认融资费用明细表L5-3'!I24-'未确认融资费用明细表L5-3'!H24</f>
        <v/>
      </c>
      <c r="J14" s="400">
        <f>'未确认融资费用明细表L5-3'!G24+'未确认融资费用明细表L5-3'!K24-'未确认融资费用明细表L5-3'!J24</f>
        <v/>
      </c>
      <c r="K14" s="400">
        <f>H14+I14+J14</f>
        <v/>
      </c>
      <c r="L14" s="400">
        <f>'未确认融资费用明细表L5-3'!Q24</f>
        <v/>
      </c>
      <c r="M14" s="400">
        <f>K14-L14</f>
        <v/>
      </c>
      <c r="N14" s="400">
        <f>K14-E14</f>
        <v/>
      </c>
      <c r="O14" s="187">
        <f>IF(AND(E14=0,N14=0),0,IF(AND(E14=0,N14&gt;0),1,N14/E14))</f>
        <v/>
      </c>
    </row>
    <row r="15" ht="19.95" customFormat="1" customHeight="1" s="43">
      <c r="A15" s="399" t="inlineStr">
        <is>
          <t>其他</t>
        </is>
      </c>
      <c r="B15" s="400">
        <f>'未确认融资费用明细表L5-3'!B25</f>
        <v/>
      </c>
      <c r="C15" s="400">
        <f>'未确认融资费用明细表L5-3'!F25</f>
        <v/>
      </c>
      <c r="D15" s="400">
        <f>'未确认融资费用明细表L5-3'!G25</f>
        <v/>
      </c>
      <c r="E15" s="400">
        <f>B15+C15+D15</f>
        <v/>
      </c>
      <c r="F15" s="400">
        <f>'未确认融资费用明细表L5-3'!P25</f>
        <v/>
      </c>
      <c r="G15" s="400">
        <f>E15-F15</f>
        <v/>
      </c>
      <c r="H15" s="400">
        <f>'未确认融资费用明细表L5-3'!E25</f>
        <v/>
      </c>
      <c r="I15" s="400">
        <f>'未确认融资费用明细表L5-3'!F25+'未确认融资费用明细表L5-3'!I25-'未确认融资费用明细表L5-3'!H25</f>
        <v/>
      </c>
      <c r="J15" s="400">
        <f>'未确认融资费用明细表L5-3'!G25+'未确认融资费用明细表L5-3'!K25-'未确认融资费用明细表L5-3'!J25</f>
        <v/>
      </c>
      <c r="K15" s="400">
        <f>H15+I15+J15</f>
        <v/>
      </c>
      <c r="L15" s="400">
        <f>'未确认融资费用明细表L5-3'!Q25</f>
        <v/>
      </c>
      <c r="M15" s="400">
        <f>K15-L15</f>
        <v/>
      </c>
      <c r="N15" s="400">
        <f>K15-E15</f>
        <v/>
      </c>
      <c r="O15" s="187">
        <f>IF(AND(E15=0,N15=0),0,IF(AND(E15=0,N15&gt;0),1,N15/E15))</f>
        <v/>
      </c>
    </row>
    <row r="16" ht="19.95" customFormat="1" customHeight="1" s="41">
      <c r="A16" s="401" t="inlineStr">
        <is>
          <t>合计</t>
        </is>
      </c>
      <c r="B16" s="402">
        <f>SUM(B13:B15)</f>
        <v/>
      </c>
      <c r="C16" s="402">
        <f>SUM(C13:C15)</f>
        <v/>
      </c>
      <c r="D16" s="402">
        <f>SUM(D13:D15)</f>
        <v/>
      </c>
      <c r="E16" s="402">
        <f>SUM(E13:E15)</f>
        <v/>
      </c>
      <c r="F16" s="402">
        <f>SUM(F13:F15)</f>
        <v/>
      </c>
      <c r="G16" s="402">
        <f>SUM(G13:G15)</f>
        <v/>
      </c>
      <c r="H16" s="402">
        <f>SUM(H13:H15)</f>
        <v/>
      </c>
      <c r="I16" s="402">
        <f>SUM(I13:I15)</f>
        <v/>
      </c>
      <c r="J16" s="402">
        <f>SUM(J13:J15)</f>
        <v/>
      </c>
      <c r="K16" s="402">
        <f>SUM(K13:K15)</f>
        <v/>
      </c>
      <c r="L16" s="402">
        <f>SUM(L13:L15)</f>
        <v/>
      </c>
      <c r="M16" s="402">
        <f>SUM(M13:M15)</f>
        <v/>
      </c>
      <c r="N16" s="402">
        <f>K16-E16</f>
        <v/>
      </c>
      <c r="O16" s="188">
        <f>IF(AND(E16=0,N16=0),0,IF(AND(E16=0,N16&gt;0),1,N16/E16))</f>
        <v/>
      </c>
    </row>
    <row r="17" ht="19.95" customFormat="1" customHeight="1" s="43">
      <c r="A17" s="397" t="inlineStr">
        <is>
          <t>三、净值</t>
        </is>
      </c>
      <c r="B17" s="398" t="n"/>
      <c r="C17" s="398" t="n"/>
      <c r="D17" s="398" t="n"/>
      <c r="E17" s="398" t="n"/>
      <c r="F17" s="398" t="n"/>
      <c r="G17" s="398" t="n"/>
      <c r="H17" s="398" t="n"/>
      <c r="I17" s="398" t="n"/>
      <c r="J17" s="398" t="n"/>
      <c r="K17" s="398" t="n"/>
      <c r="L17" s="398" t="n"/>
      <c r="M17" s="398" t="n"/>
      <c r="N17" s="398" t="n"/>
      <c r="O17" s="186" t="n"/>
    </row>
    <row r="18" ht="19.95" customFormat="1" customHeight="1" s="43">
      <c r="A18" s="399" t="inlineStr">
        <is>
          <t>应付融资租赁款</t>
        </is>
      </c>
      <c r="B18" s="400">
        <f>B8-B13</f>
        <v/>
      </c>
      <c r="C18" s="400">
        <f>C8-C13</f>
        <v/>
      </c>
      <c r="D18" s="400">
        <f>D8-D13</f>
        <v/>
      </c>
      <c r="E18" s="400">
        <f>E8-E13</f>
        <v/>
      </c>
      <c r="F18" s="400">
        <f>F8-F13</f>
        <v/>
      </c>
      <c r="G18" s="400">
        <f>G8-G13</f>
        <v/>
      </c>
      <c r="H18" s="400">
        <f>H8-H13</f>
        <v/>
      </c>
      <c r="I18" s="400">
        <f>I8-I13</f>
        <v/>
      </c>
      <c r="J18" s="400">
        <f>J8-J13</f>
        <v/>
      </c>
      <c r="K18" s="400">
        <f>K8-K13</f>
        <v/>
      </c>
      <c r="L18" s="400">
        <f>L8-L13</f>
        <v/>
      </c>
      <c r="M18" s="400">
        <f>M8-M13</f>
        <v/>
      </c>
      <c r="N18" s="400">
        <f>K18-E18</f>
        <v/>
      </c>
      <c r="O18" s="187">
        <f>IF(AND(E18=0,N18=0),0,IF(AND(E18=0,N18&gt;0),1,N18/E18))</f>
        <v/>
      </c>
    </row>
    <row r="19" ht="19.95" customFormat="1" customHeight="1" s="43">
      <c r="A19" s="399" t="inlineStr">
        <is>
          <t>分期付款方式购入固定资产</t>
        </is>
      </c>
      <c r="B19" s="400">
        <f>B9-B14</f>
        <v/>
      </c>
      <c r="C19" s="400">
        <f>C9-C14</f>
        <v/>
      </c>
      <c r="D19" s="400">
        <f>D9-D14</f>
        <v/>
      </c>
      <c r="E19" s="400">
        <f>E9-E14</f>
        <v/>
      </c>
      <c r="F19" s="400">
        <f>F9-F14</f>
        <v/>
      </c>
      <c r="G19" s="400">
        <f>G9-G14</f>
        <v/>
      </c>
      <c r="H19" s="400">
        <f>H9-H14</f>
        <v/>
      </c>
      <c r="I19" s="400">
        <f>I9-I14</f>
        <v/>
      </c>
      <c r="J19" s="400">
        <f>J9-J14</f>
        <v/>
      </c>
      <c r="K19" s="400">
        <f>K9-K14</f>
        <v/>
      </c>
      <c r="L19" s="400">
        <f>L9-L14</f>
        <v/>
      </c>
      <c r="M19" s="400">
        <f>M9-M14</f>
        <v/>
      </c>
      <c r="N19" s="400">
        <f>K19-E19</f>
        <v/>
      </c>
      <c r="O19" s="187">
        <f>IF(AND(E19=0,N19=0),0,IF(AND(E19=0,N19&gt;0),1,N19/E19))</f>
        <v/>
      </c>
    </row>
    <row r="20" ht="19.95" customFormat="1" customHeight="1" s="43">
      <c r="A20" s="399" t="inlineStr">
        <is>
          <t>其他</t>
        </is>
      </c>
      <c r="B20" s="400">
        <f>B10-B15</f>
        <v/>
      </c>
      <c r="C20" s="400">
        <f>C10-C15</f>
        <v/>
      </c>
      <c r="D20" s="400">
        <f>D10-D15</f>
        <v/>
      </c>
      <c r="E20" s="400">
        <f>E10-E15</f>
        <v/>
      </c>
      <c r="F20" s="400">
        <f>F10-F15</f>
        <v/>
      </c>
      <c r="G20" s="400">
        <f>G10-G15</f>
        <v/>
      </c>
      <c r="H20" s="400">
        <f>H10-H15</f>
        <v/>
      </c>
      <c r="I20" s="400">
        <f>I10-I15</f>
        <v/>
      </c>
      <c r="J20" s="400">
        <f>J10-J15</f>
        <v/>
      </c>
      <c r="K20" s="400">
        <f>K10-K15</f>
        <v/>
      </c>
      <c r="L20" s="400">
        <f>L10-L15</f>
        <v/>
      </c>
      <c r="M20" s="400">
        <f>M10-M15</f>
        <v/>
      </c>
      <c r="N20" s="400">
        <f>K20-E20</f>
        <v/>
      </c>
      <c r="O20" s="187">
        <f>IF(AND(E20=0,N20=0),0,IF(AND(E20=0,N20&gt;0),1,N20/E20))</f>
        <v/>
      </c>
    </row>
    <row r="21" ht="19.95" customFormat="1" customHeight="1" s="41">
      <c r="A21" s="401" t="inlineStr">
        <is>
          <t>合计</t>
        </is>
      </c>
      <c r="B21" s="402">
        <f>SUM(B18:B20)</f>
        <v/>
      </c>
      <c r="C21" s="402">
        <f>SUM(C18:C20)</f>
        <v/>
      </c>
      <c r="D21" s="402">
        <f>SUM(D18:D20)</f>
        <v/>
      </c>
      <c r="E21" s="402">
        <f>SUM(E18:E20)</f>
        <v/>
      </c>
      <c r="F21" s="402">
        <f>SUM(F18:F20)</f>
        <v/>
      </c>
      <c r="G21" s="402">
        <f>SUM(G18:G20)</f>
        <v/>
      </c>
      <c r="H21" s="402">
        <f>SUM(H18:H20)</f>
        <v/>
      </c>
      <c r="I21" s="402">
        <f>SUM(I18:I20)</f>
        <v/>
      </c>
      <c r="J21" s="402">
        <f>SUM(J18:J20)</f>
        <v/>
      </c>
      <c r="K21" s="402">
        <f>SUM(K18:K20)</f>
        <v/>
      </c>
      <c r="L21" s="402">
        <f>SUM(L18:L20)</f>
        <v/>
      </c>
      <c r="M21" s="402">
        <f>SUM(M18:M20)</f>
        <v/>
      </c>
      <c r="N21" s="402">
        <f>K21-E21</f>
        <v/>
      </c>
      <c r="O21" s="188">
        <f>IF(AND(E21=0,N21=0),0,IF(AND(E21=0,N21&gt;0),1,N21/E21))</f>
        <v/>
      </c>
    </row>
    <row r="22" ht="19.95" customFormat="1" customHeight="1" s="41">
      <c r="A22" s="62" t="inlineStr">
        <is>
          <t>1、审计说明：</t>
        </is>
      </c>
      <c r="B22" s="403" t="n"/>
      <c r="C22" s="404" t="n"/>
      <c r="D22" s="404" t="n"/>
      <c r="E22" s="404" t="n"/>
      <c r="F22" s="404" t="n"/>
      <c r="G22" s="404" t="n"/>
      <c r="H22" s="404" t="n"/>
      <c r="I22" s="404" t="n"/>
      <c r="J22" s="404" t="n"/>
      <c r="K22" s="405" t="n"/>
      <c r="L22" s="405" t="n"/>
      <c r="M22" s="405" t="n"/>
      <c r="N22" s="404" t="n"/>
    </row>
    <row r="23" ht="19.95" customFormat="1" customHeight="1" s="41">
      <c r="A23" s="178" t="inlineStr">
        <is>
          <t>（1）长期应付款期末净值较期初净值增加（负数为减少）：</t>
        </is>
      </c>
      <c r="B23" s="178" t="n"/>
      <c r="C23" s="406" t="n"/>
      <c r="D23" s="406" t="n"/>
      <c r="E23" s="404" t="n"/>
      <c r="F23" s="404" t="n"/>
      <c r="G23" s="404" t="n"/>
      <c r="H23" s="404" t="n"/>
      <c r="I23" s="404" t="n"/>
      <c r="J23" s="404" t="n"/>
      <c r="K23" s="405" t="n"/>
      <c r="L23" s="405" t="n"/>
      <c r="M23" s="405" t="n"/>
      <c r="N23" s="404" t="n"/>
    </row>
    <row r="24" ht="19.95" customFormat="1" customHeight="1" s="41">
      <c r="A24" s="178" t="inlineStr">
        <is>
          <t>主要原因（比例超过30%的）：</t>
        </is>
      </c>
      <c r="B24" s="178" t="n"/>
      <c r="C24" s="178" t="n"/>
      <c r="D24" s="178" t="n"/>
      <c r="E24" s="404" t="n"/>
      <c r="F24" s="404" t="n"/>
      <c r="G24" s="404" t="n"/>
      <c r="H24" s="404" t="n"/>
      <c r="I24" s="404" t="n"/>
      <c r="J24" s="404" t="n"/>
      <c r="K24" s="405" t="n"/>
      <c r="L24" s="405" t="n"/>
      <c r="M24" s="405" t="n"/>
      <c r="N24" s="404" t="n"/>
    </row>
    <row r="25" ht="19.95" customFormat="1" customHeight="1" s="41">
      <c r="A25" s="178" t="n"/>
      <c r="B25" s="178" t="n"/>
      <c r="C25" s="178" t="n"/>
      <c r="D25" s="178" t="n"/>
      <c r="E25" s="404" t="n"/>
      <c r="F25" s="404" t="n"/>
      <c r="G25" s="404" t="n"/>
      <c r="H25" s="404" t="n"/>
      <c r="I25" s="404" t="n"/>
      <c r="J25" s="404" t="n"/>
      <c r="K25" s="405" t="n"/>
      <c r="L25" s="405" t="n"/>
      <c r="M25" s="405" t="n"/>
      <c r="N25" s="404" t="n"/>
    </row>
    <row r="26" ht="19.95" customFormat="1" customHeight="1" s="41">
      <c r="A26" s="178" t="inlineStr">
        <is>
          <t>（2）与经审计的财务报表核对</t>
        </is>
      </c>
      <c r="B26" s="178" t="n"/>
      <c r="C26" s="178" t="n"/>
      <c r="D26" s="178" t="n"/>
      <c r="E26" s="404" t="n"/>
      <c r="F26" s="404" t="n"/>
      <c r="G26" s="404" t="n"/>
      <c r="H26" s="404" t="n"/>
      <c r="I26" s="404" t="n"/>
      <c r="J26" s="404" t="n"/>
      <c r="K26" s="405" t="n"/>
      <c r="L26" s="405" t="n"/>
      <c r="M26" s="405" t="n"/>
      <c r="N26" s="404" t="n"/>
    </row>
    <row r="27" ht="19.95" customFormat="1" customHeight="1" s="41">
      <c r="A27" s="180" t="n"/>
      <c r="B27" s="181" t="inlineStr">
        <is>
          <t>期末数</t>
        </is>
      </c>
      <c r="C27" s="181" t="inlineStr">
        <is>
          <t>期初数</t>
        </is>
      </c>
      <c r="D27" s="178" t="n"/>
      <c r="E27" s="404" t="n"/>
      <c r="F27" s="404" t="n"/>
      <c r="G27" s="404" t="n"/>
      <c r="H27" s="404" t="n"/>
      <c r="I27" s="404" t="n"/>
      <c r="J27" s="404" t="n"/>
      <c r="K27" s="405" t="n"/>
      <c r="L27" s="405" t="n"/>
      <c r="M27" s="405" t="n"/>
      <c r="N27" s="404" t="n"/>
    </row>
    <row r="28" ht="19.95" customFormat="1" customHeight="1" s="41">
      <c r="A28" s="180" t="inlineStr">
        <is>
          <t>长期应付款审定数</t>
        </is>
      </c>
      <c r="B28" s="407">
        <f>M21</f>
        <v/>
      </c>
      <c r="C28" s="407">
        <f>G21</f>
        <v/>
      </c>
      <c r="D28" s="178" t="n"/>
      <c r="E28" s="404" t="n"/>
      <c r="F28" s="404" t="n"/>
      <c r="G28" s="404" t="n"/>
      <c r="H28" s="404" t="n"/>
      <c r="I28" s="404" t="n"/>
      <c r="J28" s="404" t="n"/>
      <c r="K28" s="405" t="n"/>
      <c r="L28" s="405" t="n"/>
      <c r="M28" s="405" t="n"/>
      <c r="N28" s="404" t="n"/>
    </row>
    <row r="29" ht="19.95" customFormat="1" customHeight="1" s="41">
      <c r="A29" s="180" t="inlineStr">
        <is>
          <t>专项应付款审定数</t>
        </is>
      </c>
      <c r="B29" s="407" t="n"/>
      <c r="C29" s="407" t="n"/>
      <c r="D29" s="178" t="n"/>
      <c r="E29" s="404" t="n"/>
      <c r="F29" s="404" t="n"/>
      <c r="G29" s="404" t="n"/>
      <c r="H29" s="404" t="n"/>
      <c r="I29" s="404" t="n"/>
      <c r="J29" s="404" t="n"/>
      <c r="K29" s="405" t="n"/>
      <c r="L29" s="405" t="n"/>
      <c r="M29" s="405" t="n"/>
      <c r="N29" s="404" t="n"/>
    </row>
    <row r="30" ht="19.95" customFormat="1" customHeight="1" s="41">
      <c r="A30" s="180" t="inlineStr">
        <is>
          <t>长期应付款与专项应付款合计数</t>
        </is>
      </c>
      <c r="B30" s="407">
        <f>B28+B29</f>
        <v/>
      </c>
      <c r="C30" s="407">
        <f>C28+C29</f>
        <v/>
      </c>
      <c r="D30" s="178" t="n"/>
      <c r="E30" s="404" t="n"/>
      <c r="F30" s="404" t="n"/>
      <c r="G30" s="404" t="n"/>
      <c r="H30" s="404" t="n"/>
      <c r="I30" s="404" t="n"/>
      <c r="J30" s="404" t="n"/>
      <c r="K30" s="405" t="n"/>
      <c r="L30" s="405" t="n"/>
      <c r="M30" s="405" t="n"/>
      <c r="N30" s="404" t="n"/>
    </row>
    <row r="31" ht="19.95" customFormat="1" customHeight="1" s="41">
      <c r="A31" s="180" t="inlineStr">
        <is>
          <t>报表数</t>
        </is>
      </c>
      <c r="B31" s="407" t="n"/>
      <c r="C31" s="407" t="n"/>
      <c r="D31" s="178" t="n"/>
      <c r="E31" s="404" t="n"/>
      <c r="F31" s="404" t="n"/>
      <c r="G31" s="404" t="n"/>
      <c r="H31" s="404" t="n"/>
      <c r="I31" s="404" t="n"/>
      <c r="J31" s="404" t="n"/>
      <c r="K31" s="405" t="n"/>
      <c r="L31" s="405" t="n"/>
      <c r="M31" s="405" t="n"/>
      <c r="N31" s="404" t="n"/>
    </row>
    <row r="32" ht="19.95" customFormat="1" customHeight="1" s="41">
      <c r="A32" s="180" t="inlineStr">
        <is>
          <t>差异</t>
        </is>
      </c>
      <c r="B32" s="407">
        <f>B30-B31</f>
        <v/>
      </c>
      <c r="C32" s="407">
        <f>C30-C31</f>
        <v/>
      </c>
      <c r="D32" s="178" t="n"/>
      <c r="E32" s="404" t="n"/>
      <c r="F32" s="404" t="n"/>
      <c r="G32" s="404" t="n"/>
      <c r="H32" s="404" t="n"/>
      <c r="I32" s="404" t="n"/>
      <c r="J32" s="404" t="n"/>
      <c r="K32" s="405" t="n"/>
      <c r="L32" s="405" t="n"/>
      <c r="M32" s="405" t="n"/>
      <c r="N32" s="404" t="n"/>
    </row>
    <row r="33" ht="19.95" customFormat="1" customHeight="1" s="41">
      <c r="A33" s="62" t="n"/>
      <c r="B33" s="403" t="n"/>
      <c r="C33" s="404" t="n"/>
      <c r="D33" s="178" t="n"/>
      <c r="E33" s="404" t="n"/>
      <c r="F33" s="404" t="n"/>
      <c r="G33" s="404" t="n"/>
      <c r="H33" s="404" t="n"/>
      <c r="I33" s="404" t="n"/>
      <c r="J33" s="404" t="n"/>
      <c r="K33" s="405" t="n"/>
      <c r="L33" s="405" t="n"/>
      <c r="M33" s="405" t="n"/>
      <c r="N33" s="404" t="n"/>
    </row>
    <row r="34" ht="19.95" customFormat="1" customHeight="1" s="41">
      <c r="A34" s="41" t="inlineStr">
        <is>
          <t>2、审计结论：</t>
        </is>
      </c>
      <c r="B34" s="403" t="n"/>
      <c r="C34" s="404" t="n"/>
      <c r="D34" s="404" t="n"/>
      <c r="E34" s="404" t="n"/>
      <c r="F34" s="404" t="n"/>
      <c r="G34" s="404" t="n"/>
      <c r="H34" s="404" t="n"/>
      <c r="I34" s="404" t="n"/>
      <c r="J34" s="404" t="n"/>
      <c r="K34" s="405" t="n"/>
      <c r="L34" s="405" t="n"/>
      <c r="M34" s="405" t="n"/>
      <c r="N34" s="404" t="n"/>
    </row>
    <row r="35" ht="19.95" customFormat="1" customHeight="1" s="41">
      <c r="A35" s="183" t="n"/>
      <c r="B35" s="184" t="n"/>
      <c r="C35" s="184" t="n"/>
      <c r="D35" s="184" t="n"/>
      <c r="E35" s="184" t="n"/>
      <c r="F35" s="184" t="n"/>
      <c r="G35" s="184" t="n"/>
      <c r="H35" s="184" t="n"/>
      <c r="I35" s="184" t="n"/>
      <c r="J35" s="184" t="n"/>
      <c r="K35" s="184" t="n"/>
      <c r="L35" s="184" t="n"/>
      <c r="M35" s="184" t="n"/>
      <c r="N35" s="184" t="n"/>
    </row>
  </sheetData>
  <mergeCells count="6">
    <mergeCell ref="A5:A6"/>
    <mergeCell ref="A2:O2"/>
    <mergeCell ref="B5:G5"/>
    <mergeCell ref="H5:M5"/>
    <mergeCell ref="A1:O1"/>
    <mergeCell ref="N5:O5"/>
  </mergeCells>
  <hyperlinks>
    <hyperlink ref="O3" location="底稿目录!A1" display="=底稿目录!F4"/>
  </hyperlinks>
  <printOptions horizontalCentered="1"/>
  <pageMargins left="0.7086614173228351" right="0.7086614173228351" top="0.748031496062992" bottom="0.748031496062992" header="0.31496062992126" footer="0.31496062992126"/>
  <pageSetup orientation="landscape" paperSize="9" scale="67" blackAndWhite="1"/>
  <headerFooter alignWithMargins="0">
    <oddHeader/>
    <oddFooter>&amp;C&amp;P/&amp;N</oddFooter>
    <evenHeader/>
    <evenFooter/>
    <firstHeader/>
    <firstFooter/>
  </headerFooter>
</worksheet>
</file>

<file path=xl/worksheets/sheet4.xml><?xml version="1.0" encoding="utf-8"?>
<worksheet xmlns="http://schemas.openxmlformats.org/spreadsheetml/2006/main">
  <sheetPr codeName="Sheet3">
    <outlinePr summaryBelow="1" summaryRight="1"/>
    <pageSetUpPr fitToPage="1"/>
  </sheetPr>
  <dimension ref="A1:O22"/>
  <sheetViews>
    <sheetView view="pageBreakPreview" zoomScaleNormal="100" workbookViewId="0">
      <selection activeCell="G16" sqref="G16"/>
    </sheetView>
  </sheetViews>
  <sheetFormatPr baseColWidth="8" defaultColWidth="9" defaultRowHeight="19.95" customHeight="1"/>
  <cols>
    <col width="27.796875" customWidth="1" style="5" min="1" max="1"/>
    <col width="13" customWidth="1" style="5" min="2" max="2"/>
    <col width="15" customWidth="1" style="5" min="3" max="3"/>
    <col width="14.09765625" customWidth="1" style="5" min="4" max="4"/>
    <col width="9" customWidth="1" style="5" min="5" max="16384"/>
  </cols>
  <sheetData>
    <row r="1" ht="19.95" customFormat="1" customHeight="1" s="140">
      <c r="A1" s="322" t="inlineStr">
        <is>
          <t>致同会计师事务所</t>
        </is>
      </c>
      <c r="E1" s="67" t="n"/>
      <c r="F1" s="67" t="n"/>
      <c r="G1" s="67" t="n"/>
      <c r="H1" s="67" t="n"/>
      <c r="I1" s="67" t="n"/>
      <c r="J1" s="67" t="n"/>
      <c r="K1" s="67" t="n"/>
      <c r="L1" s="67" t="n"/>
      <c r="M1" s="67" t="n"/>
      <c r="N1" s="67" t="n"/>
      <c r="O1" s="67" t="n"/>
    </row>
    <row r="2" ht="19.95" customFormat="1" customHeight="1" s="140">
      <c r="A2" s="323" t="inlineStr">
        <is>
          <t>长期应付款附注披露信息</t>
        </is>
      </c>
      <c r="E2" s="390" t="inlineStr">
        <is>
          <t>返回目录</t>
        </is>
      </c>
      <c r="F2" s="67" t="n"/>
      <c r="G2" s="67" t="n"/>
      <c r="H2" s="67" t="n"/>
      <c r="I2" s="322" t="n"/>
    </row>
    <row r="3" ht="19.95" customFormat="1" customHeight="1" s="70">
      <c r="A3" s="70">
        <f>底稿目录!A2</f>
        <v/>
      </c>
      <c r="B3" s="70">
        <f>底稿目录!A4</f>
        <v/>
      </c>
      <c r="C3" s="8">
        <f>底稿目录!A5</f>
        <v/>
      </c>
      <c r="D3" s="70" t="inlineStr">
        <is>
          <t>索引号：</t>
        </is>
      </c>
    </row>
    <row r="4" ht="19.95" customFormat="1" customHeight="1" s="70">
      <c r="A4" s="70">
        <f>底稿目录!A3</f>
        <v/>
      </c>
      <c r="B4" s="70">
        <f>底稿目录!A6</f>
        <v/>
      </c>
      <c r="C4" s="368">
        <f>底稿目录!A7</f>
        <v/>
      </c>
      <c r="D4" s="70" t="inlineStr">
        <is>
          <t>页次：</t>
        </is>
      </c>
    </row>
    <row r="5" ht="19.95" customFormat="1" customHeight="1" s="70">
      <c r="A5" s="142" t="inlineStr">
        <is>
          <t>36、长期应付款</t>
        </is>
      </c>
    </row>
    <row r="6" ht="19.95" customFormat="1" customHeight="1" s="70">
      <c r="A6" s="143" t="inlineStr">
        <is>
          <t>项目</t>
        </is>
      </c>
      <c r="B6" s="143" t="inlineStr">
        <is>
          <t>期末数</t>
        </is>
      </c>
      <c r="C6" s="151" t="inlineStr">
        <is>
          <t>上年年末余额</t>
        </is>
      </c>
    </row>
    <row r="7" ht="19.95" customFormat="1" customHeight="1" s="70">
      <c r="A7" s="144" t="inlineStr">
        <is>
          <t>长期应付款</t>
        </is>
      </c>
      <c r="B7" s="408">
        <f>B21</f>
        <v/>
      </c>
      <c r="C7" s="408">
        <f>C21</f>
        <v/>
      </c>
    </row>
    <row r="8" ht="19.95" customFormat="1" customHeight="1" s="70">
      <c r="A8" s="5" t="inlineStr">
        <is>
          <t>专项应付款</t>
        </is>
      </c>
      <c r="B8" s="409" t="n"/>
      <c r="C8" s="410" t="n"/>
    </row>
    <row r="9" ht="19.95" customFormat="1" customHeight="1" s="70">
      <c r="A9" s="143" t="inlineStr">
        <is>
          <t>合计</t>
        </is>
      </c>
      <c r="B9" s="411">
        <f>SUM(B7:B8)</f>
        <v/>
      </c>
      <c r="C9" s="411">
        <f>SUM(C7:C8)</f>
        <v/>
      </c>
    </row>
    <row r="10" ht="19.95" customHeight="1" s="364">
      <c r="A10" s="142" t="inlineStr">
        <is>
          <t>（1）长期应付款（按款项性质列示）</t>
        </is>
      </c>
      <c r="B10" s="162" t="n"/>
    </row>
    <row r="11" ht="19.95" customHeight="1" s="364">
      <c r="A11" s="150" t="inlineStr">
        <is>
          <t>项  目</t>
        </is>
      </c>
      <c r="B11" s="151" t="inlineStr">
        <is>
          <t>期末数</t>
        </is>
      </c>
      <c r="C11" s="151" t="inlineStr">
        <is>
          <t>上年年末余额</t>
        </is>
      </c>
    </row>
    <row r="12" ht="19.95" customHeight="1" s="364">
      <c r="A12" s="412">
        <f>'明细表L5-2'!A10</f>
        <v/>
      </c>
      <c r="B12" s="413">
        <f>'明细表L5-2'!O16</f>
        <v/>
      </c>
      <c r="C12" s="413">
        <f>'明细表L5-2'!L16</f>
        <v/>
      </c>
    </row>
    <row r="13" ht="19.95" customHeight="1" s="364">
      <c r="A13" s="412">
        <f>'明细表L5-2'!A17</f>
        <v/>
      </c>
      <c r="B13" s="413">
        <f>'明细表L5-2'!O23</f>
        <v/>
      </c>
      <c r="C13" s="413">
        <f>'明细表L5-2'!L23</f>
        <v/>
      </c>
    </row>
    <row r="14" ht="19.95" customHeight="1" s="364">
      <c r="A14" s="414">
        <f>'明细表L5-2'!A24</f>
        <v/>
      </c>
      <c r="B14" s="413">
        <f>'明细表L5-2'!O24</f>
        <v/>
      </c>
      <c r="C14" s="413">
        <f>'明细表L5-2'!L24</f>
        <v/>
      </c>
    </row>
    <row r="15" ht="19.95" customHeight="1" s="364">
      <c r="A15" s="412" t="inlineStr">
        <is>
          <t>减：未确认融资费用：</t>
        </is>
      </c>
      <c r="B15" s="413" t="n"/>
      <c r="C15" s="413" t="n"/>
    </row>
    <row r="16" ht="19.95" customHeight="1" s="364">
      <c r="A16" s="412">
        <f>'未确认融资费用明细表L5-3'!A11</f>
        <v/>
      </c>
      <c r="B16" s="413">
        <f>'未确认融资费用明细表L5-3'!O17</f>
        <v/>
      </c>
      <c r="C16" s="413">
        <f>'未确认融资费用明细表L5-3'!L17</f>
        <v/>
      </c>
    </row>
    <row r="17" ht="19.95" customHeight="1" s="364">
      <c r="A17" s="412">
        <f>'未确认融资费用明细表L5-3'!A18</f>
        <v/>
      </c>
      <c r="B17" s="413">
        <f>'未确认融资费用明细表L5-3'!O24</f>
        <v/>
      </c>
      <c r="C17" s="413">
        <f>'未确认融资费用明细表L5-3'!L24</f>
        <v/>
      </c>
    </row>
    <row r="18" ht="19.95" customHeight="1" s="364">
      <c r="A18" s="414">
        <f>'未确认融资费用明细表L5-3'!A25</f>
        <v/>
      </c>
      <c r="B18" s="413">
        <f>'未确认融资费用明细表L5-3'!O25</f>
        <v/>
      </c>
      <c r="C18" s="415">
        <f>'未确认融资费用明细表L5-3'!L25</f>
        <v/>
      </c>
    </row>
    <row r="19" ht="19.95" customHeight="1" s="364">
      <c r="A19" s="165" t="inlineStr">
        <is>
          <t>小计</t>
        </is>
      </c>
      <c r="B19" s="416">
        <f>SUM(B12:B14)-SUM(B16:B18)</f>
        <v/>
      </c>
      <c r="C19" s="417">
        <f>SUM(C12:C14)-SUM(C16:C18)</f>
        <v/>
      </c>
    </row>
    <row r="20" ht="19.95" customHeight="1" s="364">
      <c r="A20" s="168" t="inlineStr">
        <is>
          <t>减：一年内到期长期应付款</t>
        </is>
      </c>
      <c r="B20" s="418">
        <f>'明细表L5-2'!Q25-'未确认融资费用明细表L5-3'!Q26</f>
        <v/>
      </c>
      <c r="C20" s="418">
        <f>'明细表L5-2'!P25-'未确认融资费用明细表L5-3'!P26</f>
        <v/>
      </c>
    </row>
    <row r="21" ht="19.95" customHeight="1" s="364">
      <c r="A21" s="157" t="inlineStr">
        <is>
          <t>合  计</t>
        </is>
      </c>
      <c r="B21" s="419">
        <f>B19-B20</f>
        <v/>
      </c>
      <c r="C21" s="419">
        <f>C19-C20</f>
        <v/>
      </c>
    </row>
    <row r="22" ht="19.95" customHeight="1" s="364">
      <c r="A22" s="5" t="inlineStr">
        <is>
          <t>说明：由独立第三方为公司融资租赁提供担保的金额XX元。</t>
        </is>
      </c>
    </row>
  </sheetData>
  <mergeCells count="3">
    <mergeCell ref="A1:D1"/>
    <mergeCell ref="I2:O2"/>
    <mergeCell ref="A2:D2"/>
  </mergeCells>
  <hyperlinks>
    <hyperlink ref="E2" location="底稿目录!A1" display="返回目录"/>
  </hyperlinks>
  <pageMargins left="0.7086614173228351" right="0.7086614173228351" top="0.748031496062992" bottom="0.748031496062992" header="0.31496062992126" footer="0.31496062992126"/>
  <pageSetup orientation="portrait" paperSize="9" fitToHeight="0" blackAndWhite="1"/>
  <headerFooter>
    <oddHeader/>
    <oddFooter>&amp;C&amp;P/&amp;N</oddFooter>
    <evenHeader/>
    <evenFooter/>
    <firstHeader/>
    <firstFooter/>
  </headerFooter>
</worksheet>
</file>

<file path=xl/worksheets/sheet5.xml><?xml version="1.0" encoding="utf-8"?>
<worksheet xmlns="http://schemas.openxmlformats.org/spreadsheetml/2006/main">
  <sheetPr codeName="Sheet8">
    <outlinePr summaryBelow="1" summaryRight="1"/>
    <pageSetUpPr/>
  </sheetPr>
  <dimension ref="A1:O20"/>
  <sheetViews>
    <sheetView view="pageBreakPreview" zoomScaleNormal="100" workbookViewId="0">
      <selection activeCell="G10" sqref="G10"/>
    </sheetView>
  </sheetViews>
  <sheetFormatPr baseColWidth="8" defaultColWidth="9" defaultRowHeight="19.95" customHeight="1"/>
  <cols>
    <col width="26.796875" customWidth="1" style="5" min="1" max="1"/>
    <col width="11.09765625" customWidth="1" style="5" min="2" max="2"/>
    <col width="17.296875" customWidth="1" style="5" min="3" max="3"/>
    <col width="7.796875" customWidth="1" style="5" min="4" max="4"/>
    <col width="9" customWidth="1" style="5" min="5" max="16384"/>
  </cols>
  <sheetData>
    <row r="1" ht="19.95" customFormat="1" customHeight="1" s="140">
      <c r="A1" s="322" t="inlineStr">
        <is>
          <t>致同会计师事务所</t>
        </is>
      </c>
      <c r="E1" s="67" t="n"/>
      <c r="F1" s="67" t="n"/>
      <c r="G1" s="67" t="n"/>
      <c r="H1" s="67" t="n"/>
      <c r="I1" s="67" t="n"/>
      <c r="J1" s="67" t="n"/>
      <c r="K1" s="67" t="n"/>
      <c r="L1" s="67" t="n"/>
      <c r="M1" s="67" t="n"/>
      <c r="N1" s="67" t="n"/>
      <c r="O1" s="67" t="n"/>
    </row>
    <row r="2" ht="19.95" customFormat="1" customHeight="1" s="140">
      <c r="A2" s="323" t="inlineStr">
        <is>
          <t>长期应付款附注披露信息</t>
        </is>
      </c>
      <c r="E2" s="390" t="inlineStr">
        <is>
          <t>返回目录</t>
        </is>
      </c>
      <c r="F2" s="67" t="n"/>
      <c r="G2" s="67" t="n"/>
      <c r="H2" s="67" t="n"/>
      <c r="I2" s="322" t="n"/>
    </row>
    <row r="3" ht="19.95" customFormat="1" customHeight="1" s="70">
      <c r="A3" s="70">
        <f>底稿目录!A2</f>
        <v/>
      </c>
      <c r="B3" s="70">
        <f>底稿目录!A4</f>
        <v/>
      </c>
      <c r="C3" s="70">
        <f>底稿目录!A5</f>
        <v/>
      </c>
      <c r="D3" s="70" t="inlineStr">
        <is>
          <t>索引号：</t>
        </is>
      </c>
    </row>
    <row r="4" ht="19.95" customFormat="1" customHeight="1" s="70">
      <c r="A4" s="70">
        <f>底稿目录!A3</f>
        <v/>
      </c>
      <c r="B4" s="70">
        <f>底稿目录!A6</f>
        <v/>
      </c>
      <c r="C4" s="368">
        <f>底稿目录!A7</f>
        <v/>
      </c>
      <c r="D4" s="70" t="inlineStr">
        <is>
          <t>页次：</t>
        </is>
      </c>
    </row>
    <row r="5" ht="19.95" customHeight="1" s="364">
      <c r="A5" s="142" t="inlineStr">
        <is>
          <t>长期应付款</t>
        </is>
      </c>
      <c r="B5" s="70" t="n"/>
      <c r="C5" s="70" t="n"/>
    </row>
    <row r="6" ht="19.95" customHeight="1" s="364">
      <c r="A6" s="143" t="inlineStr">
        <is>
          <t>项目</t>
        </is>
      </c>
      <c r="B6" s="143" t="inlineStr">
        <is>
          <t>期末数</t>
        </is>
      </c>
      <c r="C6" s="143" t="inlineStr">
        <is>
          <t>期初数</t>
        </is>
      </c>
    </row>
    <row r="7" ht="19.95" customHeight="1" s="364">
      <c r="A7" s="144" t="inlineStr">
        <is>
          <t>长期应付款</t>
        </is>
      </c>
      <c r="B7" s="408">
        <f>B20</f>
        <v/>
      </c>
      <c r="C7" s="408">
        <f>C20</f>
        <v/>
      </c>
    </row>
    <row r="8" ht="19.95" customHeight="1" s="364">
      <c r="A8" s="5" t="inlineStr">
        <is>
          <t>专项应付款</t>
        </is>
      </c>
      <c r="B8" s="409" t="n"/>
      <c r="C8" s="410" t="n"/>
    </row>
    <row r="9" ht="19.95" customHeight="1" s="364">
      <c r="A9" s="143" t="inlineStr">
        <is>
          <t>合计</t>
        </is>
      </c>
      <c r="B9" s="411">
        <f>SUM(B7:B8)</f>
        <v/>
      </c>
      <c r="C9" s="411">
        <f>SUM(C7:C8)</f>
        <v/>
      </c>
    </row>
    <row r="10" ht="19.95" customHeight="1" s="364">
      <c r="A10" s="149" t="inlineStr">
        <is>
          <t>长期应付款（说明：分项披露长期应付款期末余额最大的前五项）</t>
        </is>
      </c>
      <c r="B10" s="149" t="n"/>
    </row>
    <row r="11" ht="19.95" customHeight="1" s="364">
      <c r="A11" s="150" t="inlineStr">
        <is>
          <t>项  目</t>
        </is>
      </c>
      <c r="B11" s="151" t="inlineStr">
        <is>
          <t>期末余额</t>
        </is>
      </c>
      <c r="C11" s="151" t="inlineStr">
        <is>
          <t>年初余额</t>
        </is>
      </c>
    </row>
    <row r="12" ht="19.95" customHeight="1" s="364">
      <c r="A12" s="152">
        <f>'关联方及交易检查表L5-6'!A8</f>
        <v/>
      </c>
      <c r="B12" s="413" t="n"/>
      <c r="C12" s="420" t="n"/>
    </row>
    <row r="13" ht="19.95" customHeight="1" s="364">
      <c r="A13" s="152">
        <f>'关联方及交易检查表L5-6'!A9</f>
        <v/>
      </c>
      <c r="B13" s="413" t="n"/>
      <c r="C13" s="420" t="n"/>
    </row>
    <row r="14" ht="19.95" customHeight="1" s="364">
      <c r="A14" s="152">
        <f>'关联方及交易检查表L5-6'!A10</f>
        <v/>
      </c>
      <c r="B14" s="413" t="n"/>
      <c r="C14" s="420" t="n"/>
    </row>
    <row r="15" ht="19.95" customHeight="1" s="364">
      <c r="A15" s="152">
        <f>'关联方及交易检查表L5-6'!A11</f>
        <v/>
      </c>
      <c r="B15" s="413" t="n"/>
      <c r="C15" s="420" t="n"/>
    </row>
    <row r="16" ht="19.95" customHeight="1" s="364">
      <c r="A16" s="152">
        <f>'关联方及交易检查表L5-6'!A12</f>
        <v/>
      </c>
      <c r="B16" s="413" t="n"/>
      <c r="C16" s="420" t="n"/>
    </row>
    <row r="17" ht="19.95" customHeight="1" s="364">
      <c r="A17" s="155" t="inlineStr">
        <is>
          <t>其他</t>
        </is>
      </c>
      <c r="B17" s="415">
        <f>'明细表L5-2'!O25-SUM(B12:B16)</f>
        <v/>
      </c>
      <c r="C17" s="415">
        <f>'明细表L5-2'!L25-SUM(C12:C16)</f>
        <v/>
      </c>
    </row>
    <row r="18" ht="19.95" customHeight="1" s="364">
      <c r="A18" s="157" t="inlineStr">
        <is>
          <t>小  计</t>
        </is>
      </c>
      <c r="B18" s="421">
        <f>SUM(B12:B17)</f>
        <v/>
      </c>
      <c r="C18" s="421">
        <f>SUM(C12:C17)</f>
        <v/>
      </c>
    </row>
    <row r="19" ht="19.95" customHeight="1" s="364">
      <c r="A19" s="159" t="inlineStr">
        <is>
          <t>减：一年内到期长期应付款</t>
        </is>
      </c>
      <c r="B19" s="422">
        <f>'明细表L5-2'!Q25-'未确认融资费用明细表L5-3'!Q26</f>
        <v/>
      </c>
      <c r="C19" s="422">
        <f>'明细表L5-2'!P25-'未确认融资费用明细表L5-3'!P26</f>
        <v/>
      </c>
    </row>
    <row r="20" ht="19.95" customHeight="1" s="364">
      <c r="A20" s="150" t="inlineStr">
        <is>
          <t>合  计</t>
        </is>
      </c>
      <c r="B20" s="423">
        <f>B18-B19</f>
        <v/>
      </c>
      <c r="C20" s="423">
        <f>C18-C19</f>
        <v/>
      </c>
    </row>
  </sheetData>
  <mergeCells count="3">
    <mergeCell ref="A1:D1"/>
    <mergeCell ref="I2:O2"/>
    <mergeCell ref="A2:D2"/>
  </mergeCells>
  <hyperlinks>
    <hyperlink ref="E2" location="底稿目录!A1" display="返回目录"/>
  </hyperlinks>
  <pageMargins left="0.7086614173228351" right="0.7086614173228351" top="0.748031496062992" bottom="0.748031496062992" header="0.31496062992126" footer="0.31496062992126"/>
  <pageSetup orientation="portrait" paperSize="9" scale="77" blackAndWhite="1"/>
  <headerFooter>
    <oddHeader/>
    <oddFooter>&amp;C&amp;P/&amp;N</oddFooter>
    <evenHeader/>
    <evenFooter/>
    <firstHeader/>
    <firstFooter/>
  </headerFooter>
</worksheet>
</file>

<file path=xl/worksheets/sheet6.xml><?xml version="1.0" encoding="utf-8"?>
<worksheet xmlns="http://schemas.openxmlformats.org/spreadsheetml/2006/main">
  <sheetPr codeName="Sheet4">
    <outlinePr summaryBelow="1" summaryRight="1"/>
    <pageSetUpPr/>
  </sheetPr>
  <dimension ref="A1:AD35"/>
  <sheetViews>
    <sheetView view="pageBreakPreview" zoomScaleNormal="100" workbookViewId="0">
      <selection activeCell="A1" sqref="A1:O1"/>
    </sheetView>
  </sheetViews>
  <sheetFormatPr baseColWidth="8" defaultColWidth="7" defaultRowHeight="19.95" customHeight="1"/>
  <cols>
    <col width="22.5" customWidth="1" style="131" min="1" max="1"/>
    <col width="11.796875" customWidth="1" style="131" min="2" max="2"/>
    <col width="8.5" customWidth="1" style="131" min="3" max="4"/>
    <col width="10.796875" customWidth="1" style="131" min="5" max="8"/>
    <col width="10.796875" customWidth="1" style="131" min="9" max="9"/>
    <col width="10.796875" customWidth="1" style="131" min="10" max="10"/>
    <col width="10.796875" customWidth="1" style="131" min="11" max="11"/>
    <col width="10.796875" customWidth="1" style="131" min="12" max="17"/>
    <col width="13.59765625" customWidth="1" style="131" min="18" max="19"/>
    <col width="10.796875" customWidth="1" style="131" min="20" max="21"/>
    <col width="8.09765625" customWidth="1" style="131" min="22" max="23"/>
    <col width="9" customWidth="1" style="131" min="24" max="24"/>
    <col width="7.69921875" customWidth="1" style="131" min="25" max="25"/>
    <col width="8.5" customWidth="1" style="131" min="26" max="26"/>
    <col width="8.09765625" customWidth="1" style="131" min="27" max="27"/>
    <col width="10.69921875" customWidth="1" style="131" min="28" max="28"/>
    <col width="9" customWidth="1" style="131" min="29" max="29"/>
    <col width="7" customWidth="1" style="131" min="30" max="16384"/>
  </cols>
  <sheetData>
    <row r="1" ht="19.95" customHeight="1" s="364">
      <c r="A1" s="329" t="inlineStr">
        <is>
          <t>致同会计师事务所</t>
        </is>
      </c>
      <c r="P1" s="329" t="inlineStr">
        <is>
          <t>致同会计师事务所</t>
        </is>
      </c>
      <c r="AA1" s="123" t="n"/>
      <c r="AB1" s="123" t="n"/>
      <c r="AC1" s="123" t="n"/>
      <c r="AD1" s="123" t="n"/>
    </row>
    <row r="2" ht="19.95" customHeight="1" s="364">
      <c r="A2" s="330" t="inlineStr">
        <is>
          <t>长期应付款明细表</t>
        </is>
      </c>
      <c r="P2" s="330" t="inlineStr">
        <is>
          <t>长期应付款明细表</t>
        </is>
      </c>
      <c r="AA2" s="124" t="n"/>
      <c r="AB2" s="124" t="n"/>
      <c r="AC2" s="124" t="n"/>
      <c r="AD2" s="124" t="n"/>
    </row>
    <row r="3" ht="19.95" customHeight="1" s="364">
      <c r="A3" s="70">
        <f>底稿目录!A2</f>
        <v/>
      </c>
      <c r="B3" s="70" t="n"/>
      <c r="C3" s="70" t="n"/>
      <c r="D3" s="70" t="n"/>
      <c r="E3" s="70">
        <f>底稿目录!A4</f>
        <v/>
      </c>
      <c r="F3" s="70" t="n"/>
      <c r="G3" s="70" t="n"/>
      <c r="I3" s="70" t="n"/>
      <c r="J3" s="8">
        <f>底稿目录!A5</f>
        <v/>
      </c>
      <c r="K3" s="70" t="n"/>
      <c r="L3" s="70" t="n"/>
      <c r="M3" s="70" t="n"/>
      <c r="N3" s="70" t="inlineStr">
        <is>
          <t>索引号：</t>
        </is>
      </c>
      <c r="O3" s="369">
        <f>底稿目录!F7</f>
        <v/>
      </c>
      <c r="P3" s="70" t="n"/>
      <c r="Q3" s="70" t="n"/>
      <c r="R3" s="70">
        <f>E3</f>
        <v/>
      </c>
      <c r="U3" s="136">
        <f>J3</f>
        <v/>
      </c>
      <c r="Y3" s="70" t="n"/>
      <c r="Z3" s="70" t="n"/>
      <c r="AB3" s="70" t="inlineStr">
        <is>
          <t>索引号：</t>
        </is>
      </c>
      <c r="AC3" s="369">
        <f>底稿目录!F7</f>
        <v/>
      </c>
    </row>
    <row r="4" ht="19.95" customHeight="1" s="364">
      <c r="A4" s="70">
        <f>底稿目录!A3</f>
        <v/>
      </c>
      <c r="B4" s="70" t="n"/>
      <c r="C4" s="70" t="n"/>
      <c r="D4" s="70" t="n"/>
      <c r="E4" s="70">
        <f>底稿目录!A6</f>
        <v/>
      </c>
      <c r="F4" s="70" t="n"/>
      <c r="G4" s="70" t="n"/>
      <c r="I4" s="70" t="n"/>
      <c r="J4" s="8">
        <f>底稿目录!A7</f>
        <v/>
      </c>
      <c r="K4" s="70" t="n"/>
      <c r="L4" s="70" t="n"/>
      <c r="M4" s="70" t="n"/>
      <c r="N4" s="70" t="inlineStr">
        <is>
          <t>页次：</t>
        </is>
      </c>
      <c r="O4" s="70" t="n"/>
      <c r="P4" s="70" t="n"/>
      <c r="Q4" s="70" t="n"/>
      <c r="R4" s="70">
        <f>E4</f>
        <v/>
      </c>
      <c r="U4" s="136">
        <f>J4</f>
        <v/>
      </c>
      <c r="Y4" s="70" t="n"/>
      <c r="Z4" s="70" t="n"/>
      <c r="AB4" s="70" t="inlineStr">
        <is>
          <t>页次：</t>
        </is>
      </c>
      <c r="AC4" s="70" t="n"/>
    </row>
    <row r="5" ht="19.95" customHeight="1" s="364">
      <c r="A5" s="55" t="inlineStr">
        <is>
          <t>一、审计目标:</t>
        </is>
      </c>
      <c r="C5" s="70" t="n"/>
      <c r="D5" s="70" t="n"/>
      <c r="E5" s="70" t="n"/>
      <c r="F5" s="70" t="n"/>
      <c r="G5" s="70" t="n"/>
      <c r="H5" s="70" t="n"/>
      <c r="J5" s="61" t="n"/>
      <c r="K5" s="70" t="n"/>
      <c r="L5" s="70" t="n"/>
      <c r="M5" s="70" t="n"/>
      <c r="N5" s="70" t="n"/>
      <c r="O5" s="70" t="n"/>
      <c r="P5" s="70" t="n"/>
      <c r="Q5" s="70" t="n"/>
      <c r="R5" s="70" t="n"/>
      <c r="S5" s="70" t="n"/>
      <c r="T5" s="70" t="n"/>
      <c r="U5" s="70" t="n"/>
      <c r="X5" s="70" t="n"/>
      <c r="Y5" s="70" t="n"/>
      <c r="Z5" s="70" t="n"/>
      <c r="AA5" s="70" t="n"/>
      <c r="AB5" s="70" t="n"/>
    </row>
    <row r="6" ht="32.55" customHeight="1" s="364">
      <c r="B6" s="331" t="inlineStr">
        <is>
          <t>1、资产负债表中记录的长期应付款是存在的，且已经记录在恰当的账户中；2、 所有应记录的短期借款均已记录，所有应当包括在财务报表中的相关披露均已包括；3、长期应付款以恰当的金额包括在财务报表中，与之相关的计价或分摊调整已恰当记录，相关披露已得到恰当计量和描述</t>
        </is>
      </c>
      <c r="C6" s="0" t="n"/>
      <c r="D6" s="0" t="n"/>
      <c r="E6" s="0" t="n"/>
      <c r="F6" s="0" t="n"/>
      <c r="G6" s="0" t="n"/>
      <c r="H6" s="0" t="n"/>
      <c r="I6" s="0" t="n"/>
      <c r="J6" s="0" t="n"/>
      <c r="K6" s="0" t="n"/>
      <c r="L6" s="0" t="n"/>
      <c r="M6" s="0" t="n"/>
      <c r="N6" s="0" t="n"/>
      <c r="O6" s="0" t="n"/>
      <c r="P6" s="331" t="inlineStr">
        <is>
          <t>1、资产负债表中记录的长期应付款是存在的，且已经记录在恰当的账户中；2、 所有应记录的短期借款均已记录，所有应当包括在财务报表中的相关披露均已包括；3、长期应付款以恰当的金额包括在财务报表中，与之相关的计价或分摊调整已恰当记录，相关披露已得到恰当计量和描述</t>
        </is>
      </c>
      <c r="Q6" s="0" t="n"/>
      <c r="R6" s="0" t="n"/>
      <c r="S6" s="0" t="n"/>
      <c r="T6" s="0" t="n"/>
      <c r="U6" s="0" t="n"/>
      <c r="V6" s="0" t="n"/>
      <c r="W6" s="0" t="n"/>
      <c r="X6" s="0" t="n"/>
      <c r="Y6" s="0" t="n"/>
      <c r="Z6" s="0" t="n"/>
      <c r="AA6" s="0" t="n"/>
      <c r="AB6" s="0" t="n"/>
      <c r="AC6" s="0" t="n"/>
    </row>
    <row r="7" ht="19.95" customHeight="1" s="364">
      <c r="A7" s="55" t="inlineStr">
        <is>
          <t>二、审计过程：</t>
        </is>
      </c>
      <c r="B7" s="70" t="n"/>
      <c r="C7" s="70" t="n"/>
      <c r="D7" s="70" t="n"/>
      <c r="F7" s="70" t="n"/>
      <c r="G7" s="70" t="n"/>
      <c r="H7" s="70" t="n"/>
      <c r="I7" s="70" t="n"/>
      <c r="J7" s="70" t="n"/>
      <c r="K7" s="70" t="n"/>
      <c r="L7" s="70" t="n"/>
      <c r="M7" s="70" t="n"/>
      <c r="N7" s="70" t="n"/>
      <c r="O7" s="70" t="n"/>
      <c r="P7" s="70" t="n"/>
      <c r="Q7" s="70" t="n"/>
      <c r="R7" s="70" t="n"/>
      <c r="S7" s="70" t="n"/>
      <c r="T7" s="70" t="n"/>
      <c r="U7" s="70" t="n"/>
      <c r="X7" s="70" t="n"/>
      <c r="Y7" s="70" t="n"/>
      <c r="Z7" s="70" t="n"/>
      <c r="AA7" s="70" t="n"/>
      <c r="AB7" s="70" t="n"/>
    </row>
    <row r="8" ht="19.95" customFormat="1" customHeight="1" s="129">
      <c r="A8" s="332" t="inlineStr">
        <is>
          <t>债权人名称</t>
        </is>
      </c>
      <c r="B8" s="332" t="inlineStr">
        <is>
          <t>未审数</t>
        </is>
      </c>
      <c r="C8" s="371" t="n"/>
      <c r="D8" s="371" t="n"/>
      <c r="E8" s="372" t="n"/>
      <c r="F8" s="332" t="inlineStr">
        <is>
          <t>期初调整</t>
        </is>
      </c>
      <c r="G8" s="372" t="n"/>
      <c r="H8" s="332" t="inlineStr">
        <is>
          <t>账项调整</t>
        </is>
      </c>
      <c r="I8" s="372" t="n"/>
      <c r="J8" s="332" t="inlineStr">
        <is>
          <t>重分类调整</t>
        </is>
      </c>
      <c r="K8" s="372" t="n"/>
      <c r="L8" s="332" t="inlineStr">
        <is>
          <t>审定数</t>
        </is>
      </c>
      <c r="M8" s="371" t="n"/>
      <c r="N8" s="371" t="n"/>
      <c r="O8" s="372" t="n"/>
      <c r="P8" s="332" t="inlineStr">
        <is>
          <t>减：期初一年内到期长期应付款</t>
        </is>
      </c>
      <c r="Q8" s="332" t="inlineStr">
        <is>
          <t>减：期末一年内到期长期应付款</t>
        </is>
      </c>
      <c r="R8" s="332" t="inlineStr">
        <is>
          <t>披露审定数</t>
        </is>
      </c>
      <c r="S8" s="372" t="n"/>
      <c r="T8" s="332" t="inlineStr">
        <is>
          <t>期末到期日分析</t>
        </is>
      </c>
      <c r="U8" s="371" t="n"/>
      <c r="V8" s="371" t="n"/>
      <c r="W8" s="371" t="n"/>
      <c r="X8" s="372" t="n"/>
      <c r="Y8" s="332" t="inlineStr">
        <is>
          <t>是否是关联方</t>
        </is>
      </c>
      <c r="Z8" s="332" t="inlineStr">
        <is>
          <t>发函情况</t>
        </is>
      </c>
      <c r="AA8" s="332" t="inlineStr">
        <is>
          <t>期后付款</t>
        </is>
      </c>
      <c r="AB8" s="332" t="inlineStr">
        <is>
          <t>合同索引号</t>
        </is>
      </c>
      <c r="AC8" s="332" t="inlineStr">
        <is>
          <t>备注</t>
        </is>
      </c>
    </row>
    <row r="9" ht="19.95" customFormat="1" customHeight="1" s="129">
      <c r="A9" s="375" t="n"/>
      <c r="B9" s="332" t="inlineStr">
        <is>
          <t>期初余额</t>
        </is>
      </c>
      <c r="C9" s="332" t="inlineStr">
        <is>
          <t>借方发生</t>
        </is>
      </c>
      <c r="D9" s="332" t="inlineStr">
        <is>
          <t>贷方发生</t>
        </is>
      </c>
      <c r="E9" s="332" t="inlineStr">
        <is>
          <t>期末余额</t>
        </is>
      </c>
      <c r="F9" s="332" t="inlineStr">
        <is>
          <t>账项调整</t>
        </is>
      </c>
      <c r="G9" s="332" t="inlineStr">
        <is>
          <t>重分类调整</t>
        </is>
      </c>
      <c r="H9" s="424" t="inlineStr">
        <is>
          <t>借方发生</t>
        </is>
      </c>
      <c r="I9" s="424" t="inlineStr">
        <is>
          <t>贷方发生</t>
        </is>
      </c>
      <c r="J9" s="424" t="inlineStr">
        <is>
          <t>借方发生</t>
        </is>
      </c>
      <c r="K9" s="424" t="inlineStr">
        <is>
          <t>贷方发生</t>
        </is>
      </c>
      <c r="L9" s="332" t="inlineStr">
        <is>
          <t>期初余额</t>
        </is>
      </c>
      <c r="M9" s="332" t="inlineStr">
        <is>
          <t>借方发生</t>
        </is>
      </c>
      <c r="N9" s="332" t="inlineStr">
        <is>
          <t>贷方发生</t>
        </is>
      </c>
      <c r="O9" s="332" t="inlineStr">
        <is>
          <t>期末余额</t>
        </is>
      </c>
      <c r="P9" s="375" t="n"/>
      <c r="Q9" s="375" t="n"/>
      <c r="R9" s="332" t="inlineStr">
        <is>
          <t>期初余额</t>
        </is>
      </c>
      <c r="S9" s="332" t="inlineStr">
        <is>
          <t>期末余额</t>
        </is>
      </c>
      <c r="T9" s="332" t="inlineStr">
        <is>
          <t>6个月以内</t>
        </is>
      </c>
      <c r="U9" s="332" t="inlineStr">
        <is>
          <t>6-12月</t>
        </is>
      </c>
      <c r="V9" s="332" t="inlineStr">
        <is>
          <t>1～2年</t>
        </is>
      </c>
      <c r="W9" s="332" t="inlineStr">
        <is>
          <t>２～3年</t>
        </is>
      </c>
      <c r="X9" s="332" t="inlineStr">
        <is>
          <t>3年以上</t>
        </is>
      </c>
      <c r="Y9" s="375" t="n"/>
      <c r="Z9" s="375" t="n"/>
      <c r="AA9" s="375" t="n"/>
      <c r="AB9" s="375" t="n"/>
      <c r="AC9" s="375" t="n"/>
    </row>
    <row r="10" ht="19.95" customFormat="1" customHeight="1" s="129">
      <c r="A10" s="132" t="inlineStr">
        <is>
          <t>售后租回业务形成的融资</t>
        </is>
      </c>
      <c r="B10" s="108" t="n"/>
      <c r="C10" s="108" t="n"/>
      <c r="D10" s="108" t="n"/>
      <c r="E10" s="108" t="n"/>
      <c r="F10" s="108" t="n"/>
      <c r="G10" s="108" t="n"/>
      <c r="H10" s="108" t="n"/>
      <c r="I10" s="108" t="n"/>
      <c r="J10" s="108" t="n"/>
      <c r="K10" s="108" t="n"/>
      <c r="L10" s="108" t="n"/>
      <c r="M10" s="108" t="n"/>
      <c r="N10" s="108" t="n"/>
      <c r="O10" s="108" t="n"/>
      <c r="P10" s="108" t="n"/>
      <c r="Q10" s="108" t="n"/>
      <c r="R10" s="108" t="n"/>
      <c r="S10" s="108" t="n"/>
      <c r="T10" s="108" t="n"/>
      <c r="U10" s="108" t="n"/>
      <c r="V10" s="108" t="n"/>
      <c r="W10" s="108" t="n"/>
      <c r="X10" s="108" t="n"/>
      <c r="Y10" s="108" t="n"/>
      <c r="Z10" s="108" t="n"/>
      <c r="AA10" s="108" t="n"/>
      <c r="AB10" s="108" t="n"/>
      <c r="AC10" s="125" t="n"/>
    </row>
    <row r="11" ht="19.95" customHeight="1" s="364">
      <c r="A11" s="133" t="n"/>
      <c r="B11" s="425" t="n"/>
      <c r="C11" s="425" t="n"/>
      <c r="D11" s="425" t="n"/>
      <c r="E11" s="400">
        <f>B11-C11+D11</f>
        <v/>
      </c>
      <c r="F11" s="426" t="n"/>
      <c r="G11" s="426" t="n"/>
      <c r="H11" s="426" t="n"/>
      <c r="I11" s="426" t="n"/>
      <c r="J11" s="426" t="n"/>
      <c r="K11" s="426" t="n"/>
      <c r="L11" s="400">
        <f>B11+F11+G11</f>
        <v/>
      </c>
      <c r="M11" s="400">
        <f>C11+H11+J11</f>
        <v/>
      </c>
      <c r="N11" s="400">
        <f>D11+I11+K11</f>
        <v/>
      </c>
      <c r="O11" s="400">
        <f>L11-M11+N11</f>
        <v/>
      </c>
      <c r="P11" s="427" t="n"/>
      <c r="Q11" s="427" t="n"/>
      <c r="R11" s="400">
        <f>L11-P11</f>
        <v/>
      </c>
      <c r="S11" s="400">
        <f>O11-Q11</f>
        <v/>
      </c>
      <c r="T11" s="400" t="n"/>
      <c r="U11" s="400" t="n"/>
      <c r="V11" s="426" t="n"/>
      <c r="W11" s="425" t="n"/>
      <c r="X11" s="425" t="n"/>
      <c r="Y11" s="425" t="n"/>
      <c r="Z11" s="49" t="n"/>
      <c r="AA11" s="425" t="n"/>
      <c r="AB11" s="425" t="n"/>
      <c r="AC11" s="49" t="n"/>
    </row>
    <row r="12" ht="19.95" customHeight="1" s="364">
      <c r="A12" s="133" t="n"/>
      <c r="B12" s="425" t="n"/>
      <c r="C12" s="425" t="n"/>
      <c r="D12" s="425" t="n"/>
      <c r="E12" s="400">
        <f>B12-C12+D12</f>
        <v/>
      </c>
      <c r="F12" s="426" t="n"/>
      <c r="G12" s="426" t="n"/>
      <c r="H12" s="426" t="n"/>
      <c r="I12" s="426" t="n"/>
      <c r="J12" s="426" t="n"/>
      <c r="K12" s="426" t="n"/>
      <c r="L12" s="400">
        <f>B12+F12+G12</f>
        <v/>
      </c>
      <c r="M12" s="400">
        <f>C12+H12+J12</f>
        <v/>
      </c>
      <c r="N12" s="400">
        <f>D12+I12+K12</f>
        <v/>
      </c>
      <c r="O12" s="400">
        <f>L12-M12+N12</f>
        <v/>
      </c>
      <c r="P12" s="427" t="n"/>
      <c r="Q12" s="427" t="n"/>
      <c r="R12" s="400">
        <f>L12-P12</f>
        <v/>
      </c>
      <c r="S12" s="400">
        <f>O12-Q12</f>
        <v/>
      </c>
      <c r="T12" s="400" t="n"/>
      <c r="U12" s="400" t="n"/>
      <c r="V12" s="426" t="n"/>
      <c r="W12" s="425" t="n"/>
      <c r="X12" s="425" t="n"/>
      <c r="Y12" s="425" t="n"/>
      <c r="Z12" s="49" t="n"/>
      <c r="AA12" s="425" t="n"/>
      <c r="AB12" s="425" t="n"/>
      <c r="AC12" s="49" t="n"/>
    </row>
    <row r="13" ht="19.95" customHeight="1" s="364">
      <c r="A13" s="133" t="n"/>
      <c r="B13" s="425" t="n"/>
      <c r="C13" s="425" t="n"/>
      <c r="D13" s="425" t="n"/>
      <c r="E13" s="400">
        <f>B13-C13+D13</f>
        <v/>
      </c>
      <c r="F13" s="426" t="n"/>
      <c r="G13" s="426" t="n"/>
      <c r="H13" s="426" t="n"/>
      <c r="I13" s="426" t="n"/>
      <c r="J13" s="426" t="n"/>
      <c r="K13" s="426" t="n"/>
      <c r="L13" s="400">
        <f>B13+F13+G13</f>
        <v/>
      </c>
      <c r="M13" s="400">
        <f>C13+H13+J13</f>
        <v/>
      </c>
      <c r="N13" s="400">
        <f>D13+I13+K13</f>
        <v/>
      </c>
      <c r="O13" s="400">
        <f>L13-M13+N13</f>
        <v/>
      </c>
      <c r="P13" s="427" t="n"/>
      <c r="Q13" s="427" t="n"/>
      <c r="R13" s="400">
        <f>L13-P13</f>
        <v/>
      </c>
      <c r="S13" s="400">
        <f>O13-Q13</f>
        <v/>
      </c>
      <c r="T13" s="400" t="n"/>
      <c r="U13" s="400" t="n"/>
      <c r="V13" s="426" t="n"/>
      <c r="W13" s="425" t="n"/>
      <c r="X13" s="425" t="n"/>
      <c r="Y13" s="425" t="n"/>
      <c r="Z13" s="49" t="n"/>
      <c r="AA13" s="425" t="n"/>
      <c r="AB13" s="425" t="n"/>
      <c r="AC13" s="49" t="n"/>
    </row>
    <row r="14" ht="19.95" customHeight="1" s="364">
      <c r="A14" s="133" t="n"/>
      <c r="B14" s="425" t="n"/>
      <c r="C14" s="425" t="n"/>
      <c r="D14" s="425" t="n"/>
      <c r="E14" s="400">
        <f>B14-C14+D14</f>
        <v/>
      </c>
      <c r="F14" s="426" t="n"/>
      <c r="G14" s="426" t="n"/>
      <c r="H14" s="426" t="n"/>
      <c r="I14" s="426" t="n"/>
      <c r="J14" s="426" t="n"/>
      <c r="K14" s="426" t="n"/>
      <c r="L14" s="400">
        <f>B14+F14+G14</f>
        <v/>
      </c>
      <c r="M14" s="400">
        <f>C14+H14+J14</f>
        <v/>
      </c>
      <c r="N14" s="400">
        <f>D14+I14+K14</f>
        <v/>
      </c>
      <c r="O14" s="400">
        <f>L14-M14+N14</f>
        <v/>
      </c>
      <c r="P14" s="427" t="n"/>
      <c r="Q14" s="427" t="n"/>
      <c r="R14" s="400">
        <f>L14-P14</f>
        <v/>
      </c>
      <c r="S14" s="400">
        <f>O14-Q14</f>
        <v/>
      </c>
      <c r="T14" s="400" t="n"/>
      <c r="U14" s="400" t="n"/>
      <c r="V14" s="426" t="n"/>
      <c r="W14" s="425" t="n"/>
      <c r="X14" s="425" t="n"/>
      <c r="Y14" s="425" t="n"/>
      <c r="Z14" s="49" t="n"/>
      <c r="AA14" s="425" t="n"/>
      <c r="AB14" s="425" t="n"/>
      <c r="AC14" s="49" t="n"/>
    </row>
    <row r="15" ht="19.95" customHeight="1" s="364">
      <c r="A15" s="133" t="n"/>
      <c r="B15" s="425" t="n"/>
      <c r="C15" s="425" t="n"/>
      <c r="D15" s="425" t="n"/>
      <c r="E15" s="400">
        <f>B15-C15+D15</f>
        <v/>
      </c>
      <c r="F15" s="426" t="n"/>
      <c r="G15" s="426" t="n"/>
      <c r="H15" s="426" t="n"/>
      <c r="I15" s="426" t="n"/>
      <c r="J15" s="426" t="n"/>
      <c r="K15" s="426" t="n"/>
      <c r="L15" s="400">
        <f>B15+F15+G15</f>
        <v/>
      </c>
      <c r="M15" s="400">
        <f>C15+H15+J15</f>
        <v/>
      </c>
      <c r="N15" s="400">
        <f>D15+I15+K15</f>
        <v/>
      </c>
      <c r="O15" s="400">
        <f>L15-M15+N15</f>
        <v/>
      </c>
      <c r="P15" s="427" t="n"/>
      <c r="Q15" s="427" t="n"/>
      <c r="R15" s="400">
        <f>L15-P15</f>
        <v/>
      </c>
      <c r="S15" s="400">
        <f>O15-Q15</f>
        <v/>
      </c>
      <c r="T15" s="400" t="n"/>
      <c r="U15" s="400" t="n"/>
      <c r="V15" s="426" t="n"/>
      <c r="W15" s="425" t="n"/>
      <c r="X15" s="425" t="n"/>
      <c r="Y15" s="425" t="n"/>
      <c r="Z15" s="49" t="n"/>
      <c r="AA15" s="425" t="n"/>
      <c r="AB15" s="425" t="n"/>
      <c r="AC15" s="49" t="n"/>
    </row>
    <row r="16" ht="19.95" customFormat="1" customHeight="1" s="261">
      <c r="A16" s="258" t="inlineStr">
        <is>
          <t>小计</t>
        </is>
      </c>
      <c r="B16" s="428">
        <f>SUM(B11:B15)</f>
        <v/>
      </c>
      <c r="C16" s="428">
        <f>SUM(C11:C15)</f>
        <v/>
      </c>
      <c r="D16" s="428">
        <f>SUM(D11:D15)</f>
        <v/>
      </c>
      <c r="E16" s="428">
        <f>SUM(E11:E15)</f>
        <v/>
      </c>
      <c r="F16" s="428">
        <f>SUM(F11:F15)</f>
        <v/>
      </c>
      <c r="G16" s="428">
        <f>SUM(G11:G15)</f>
        <v/>
      </c>
      <c r="H16" s="428">
        <f>SUM(H11:H15)</f>
        <v/>
      </c>
      <c r="I16" s="428">
        <f>SUM(I11:I15)</f>
        <v/>
      </c>
      <c r="J16" s="428">
        <f>SUM(J11:J15)</f>
        <v/>
      </c>
      <c r="K16" s="428">
        <f>SUM(K11:K15)</f>
        <v/>
      </c>
      <c r="L16" s="428">
        <f>SUM(L11:L15)</f>
        <v/>
      </c>
      <c r="M16" s="428">
        <f>SUM(M11:M15)</f>
        <v/>
      </c>
      <c r="N16" s="428">
        <f>SUM(N11:N15)</f>
        <v/>
      </c>
      <c r="O16" s="428">
        <f>SUM(O11:O15)</f>
        <v/>
      </c>
      <c r="P16" s="428">
        <f>SUM(P11:P15)</f>
        <v/>
      </c>
      <c r="Q16" s="428">
        <f>SUM(Q11:Q15)</f>
        <v/>
      </c>
      <c r="R16" s="428">
        <f>SUM(R11:R15)</f>
        <v/>
      </c>
      <c r="S16" s="428">
        <f>SUM(S11:S15)</f>
        <v/>
      </c>
      <c r="T16" s="428" t="n"/>
      <c r="U16" s="428" t="n"/>
      <c r="V16" s="428">
        <f>SUM(V11:V15)</f>
        <v/>
      </c>
      <c r="W16" s="428">
        <f>SUM(W11:W15)</f>
        <v/>
      </c>
      <c r="X16" s="428">
        <f>SUM(X11:X15)</f>
        <v/>
      </c>
      <c r="Y16" s="429" t="inlineStr">
        <is>
          <t>--</t>
        </is>
      </c>
      <c r="Z16" s="429" t="inlineStr">
        <is>
          <t>--</t>
        </is>
      </c>
      <c r="AA16" s="428">
        <f>SUM(AA11:AA15)</f>
        <v/>
      </c>
      <c r="AB16" s="429" t="inlineStr">
        <is>
          <t>--</t>
        </is>
      </c>
      <c r="AC16" s="429" t="inlineStr">
        <is>
          <t>--</t>
        </is>
      </c>
    </row>
    <row r="17" ht="19.95" customHeight="1" s="364">
      <c r="A17" s="112" t="inlineStr">
        <is>
          <t>分期付款方式购入固定资产</t>
        </is>
      </c>
      <c r="B17" s="430" t="n"/>
      <c r="C17" s="430" t="n"/>
      <c r="D17" s="430" t="n"/>
      <c r="E17" s="430" t="n"/>
      <c r="F17" s="430" t="n"/>
      <c r="G17" s="430" t="n"/>
      <c r="H17" s="430" t="n"/>
      <c r="I17" s="430" t="n"/>
      <c r="J17" s="430" t="n"/>
      <c r="K17" s="430" t="n"/>
      <c r="L17" s="430" t="n"/>
      <c r="M17" s="430" t="n"/>
      <c r="N17" s="430" t="n"/>
      <c r="O17" s="430" t="n"/>
      <c r="P17" s="430" t="n"/>
      <c r="Q17" s="430" t="n"/>
      <c r="R17" s="430" t="n"/>
      <c r="S17" s="430" t="n"/>
      <c r="T17" s="430" t="n"/>
      <c r="U17" s="430" t="n"/>
      <c r="V17" s="430" t="n"/>
      <c r="W17" s="430" t="n"/>
      <c r="X17" s="430" t="n"/>
      <c r="Y17" s="430" t="n"/>
      <c r="Z17" s="138" t="n"/>
      <c r="AA17" s="430" t="n"/>
      <c r="AB17" s="430" t="n"/>
      <c r="AC17" s="127" t="n"/>
    </row>
    <row r="18" ht="19.95" customHeight="1" s="364">
      <c r="A18" s="133" t="n"/>
      <c r="B18" s="431" t="n"/>
      <c r="C18" s="431" t="n"/>
      <c r="D18" s="431" t="n"/>
      <c r="E18" s="400">
        <f>B18-C18+D18</f>
        <v/>
      </c>
      <c r="F18" s="426" t="n"/>
      <c r="G18" s="426" t="n"/>
      <c r="H18" s="426" t="n"/>
      <c r="I18" s="426" t="n"/>
      <c r="J18" s="426" t="n"/>
      <c r="K18" s="426" t="n"/>
      <c r="L18" s="400">
        <f>B18+F18+G18</f>
        <v/>
      </c>
      <c r="M18" s="400">
        <f>C18+H18+J18</f>
        <v/>
      </c>
      <c r="N18" s="400">
        <f>D18+I18+K18</f>
        <v/>
      </c>
      <c r="O18" s="400">
        <f>L18-M18+N18</f>
        <v/>
      </c>
      <c r="P18" s="427" t="n"/>
      <c r="Q18" s="427" t="n"/>
      <c r="R18" s="400">
        <f>L18-P18</f>
        <v/>
      </c>
      <c r="S18" s="400">
        <f>O18-Q18</f>
        <v/>
      </c>
      <c r="T18" s="400" t="n"/>
      <c r="U18" s="400" t="n"/>
      <c r="V18" s="426" t="n"/>
      <c r="W18" s="425" t="n"/>
      <c r="X18" s="425" t="n"/>
      <c r="Y18" s="425" t="n"/>
      <c r="Z18" s="139" t="n"/>
      <c r="AA18" s="425" t="n"/>
      <c r="AB18" s="425" t="n"/>
      <c r="AC18" s="49" t="n"/>
    </row>
    <row r="19" ht="19.95" customHeight="1" s="364">
      <c r="A19" s="133" t="n"/>
      <c r="B19" s="431" t="n"/>
      <c r="C19" s="431" t="n"/>
      <c r="D19" s="431" t="n"/>
      <c r="E19" s="400">
        <f>B19-C19+D19</f>
        <v/>
      </c>
      <c r="F19" s="426" t="n"/>
      <c r="G19" s="426" t="n"/>
      <c r="H19" s="426" t="n"/>
      <c r="I19" s="426" t="n"/>
      <c r="J19" s="426" t="n"/>
      <c r="K19" s="426" t="n"/>
      <c r="L19" s="400">
        <f>B19+F19+G19</f>
        <v/>
      </c>
      <c r="M19" s="400">
        <f>C19+H19+J19</f>
        <v/>
      </c>
      <c r="N19" s="400">
        <f>D19+I19+K19</f>
        <v/>
      </c>
      <c r="O19" s="400">
        <f>L19-M19+N19</f>
        <v/>
      </c>
      <c r="P19" s="427" t="n"/>
      <c r="Q19" s="427" t="n"/>
      <c r="R19" s="400">
        <f>L19-P19</f>
        <v/>
      </c>
      <c r="S19" s="400">
        <f>O19-Q19</f>
        <v/>
      </c>
      <c r="T19" s="400" t="n"/>
      <c r="U19" s="400" t="n"/>
      <c r="V19" s="426" t="n"/>
      <c r="W19" s="425" t="n"/>
      <c r="X19" s="425" t="n"/>
      <c r="Y19" s="425" t="n"/>
      <c r="Z19" s="139" t="n"/>
      <c r="AA19" s="425" t="n"/>
      <c r="AB19" s="425" t="n"/>
      <c r="AC19" s="49" t="n"/>
    </row>
    <row r="20" ht="19.95" customHeight="1" s="364">
      <c r="A20" s="133" t="n"/>
      <c r="B20" s="431" t="n"/>
      <c r="C20" s="431" t="n"/>
      <c r="D20" s="431" t="n"/>
      <c r="E20" s="400">
        <f>B20-C20+D20</f>
        <v/>
      </c>
      <c r="F20" s="426" t="n"/>
      <c r="G20" s="426" t="n"/>
      <c r="H20" s="426" t="n"/>
      <c r="I20" s="426" t="n"/>
      <c r="J20" s="426" t="n"/>
      <c r="K20" s="426" t="n"/>
      <c r="L20" s="400">
        <f>B20+F20+G20</f>
        <v/>
      </c>
      <c r="M20" s="400">
        <f>C20+H20+J20</f>
        <v/>
      </c>
      <c r="N20" s="400">
        <f>D20+I20+K20</f>
        <v/>
      </c>
      <c r="O20" s="400">
        <f>L20-M20+N20</f>
        <v/>
      </c>
      <c r="P20" s="427" t="n"/>
      <c r="Q20" s="427" t="n"/>
      <c r="R20" s="400">
        <f>L20-P20</f>
        <v/>
      </c>
      <c r="S20" s="400">
        <f>O20-Q20</f>
        <v/>
      </c>
      <c r="T20" s="400" t="n"/>
      <c r="U20" s="400" t="n"/>
      <c r="V20" s="426" t="n"/>
      <c r="W20" s="425" t="n"/>
      <c r="X20" s="425" t="n"/>
      <c r="Y20" s="425" t="n"/>
      <c r="Z20" s="139" t="n"/>
      <c r="AA20" s="425" t="n"/>
      <c r="AB20" s="425" t="n"/>
      <c r="AC20" s="49" t="n"/>
    </row>
    <row r="21" ht="19.95" customHeight="1" s="364">
      <c r="A21" s="133" t="n"/>
      <c r="B21" s="431" t="n"/>
      <c r="C21" s="431" t="n"/>
      <c r="D21" s="431" t="n"/>
      <c r="E21" s="400">
        <f>B21-C21+D21</f>
        <v/>
      </c>
      <c r="F21" s="426" t="n"/>
      <c r="G21" s="426" t="n"/>
      <c r="H21" s="426" t="n"/>
      <c r="I21" s="426" t="n"/>
      <c r="J21" s="426" t="n"/>
      <c r="K21" s="426" t="n"/>
      <c r="L21" s="400">
        <f>B21+F21+G21</f>
        <v/>
      </c>
      <c r="M21" s="400">
        <f>C21+H21+J21</f>
        <v/>
      </c>
      <c r="N21" s="400">
        <f>D21+I21+K21</f>
        <v/>
      </c>
      <c r="O21" s="400">
        <f>L21-M21+N21</f>
        <v/>
      </c>
      <c r="P21" s="427" t="n"/>
      <c r="Q21" s="427" t="n"/>
      <c r="R21" s="400">
        <f>L21-P21</f>
        <v/>
      </c>
      <c r="S21" s="400">
        <f>O21-Q21</f>
        <v/>
      </c>
      <c r="T21" s="400" t="n"/>
      <c r="U21" s="400" t="n"/>
      <c r="V21" s="426" t="n"/>
      <c r="W21" s="425" t="n"/>
      <c r="X21" s="425" t="n"/>
      <c r="Y21" s="425" t="n"/>
      <c r="Z21" s="139" t="n"/>
      <c r="AA21" s="425" t="n"/>
      <c r="AB21" s="425" t="n"/>
      <c r="AC21" s="49" t="n"/>
    </row>
    <row r="22" ht="19.95" customHeight="1" s="364">
      <c r="A22" s="133" t="n"/>
      <c r="B22" s="431" t="n"/>
      <c r="C22" s="431" t="n"/>
      <c r="D22" s="431" t="n"/>
      <c r="E22" s="400">
        <f>B22-C22+D22</f>
        <v/>
      </c>
      <c r="F22" s="426" t="n"/>
      <c r="G22" s="426" t="n"/>
      <c r="H22" s="426" t="n"/>
      <c r="I22" s="426" t="n"/>
      <c r="J22" s="426" t="n"/>
      <c r="K22" s="426" t="n"/>
      <c r="L22" s="400">
        <f>B22+F22+G22</f>
        <v/>
      </c>
      <c r="M22" s="400">
        <f>C22+H22+J22</f>
        <v/>
      </c>
      <c r="N22" s="400">
        <f>D22+I22+K22</f>
        <v/>
      </c>
      <c r="O22" s="400">
        <f>L22-M22+N22</f>
        <v/>
      </c>
      <c r="P22" s="427" t="n"/>
      <c r="Q22" s="427" t="n"/>
      <c r="R22" s="400">
        <f>L22-P22</f>
        <v/>
      </c>
      <c r="S22" s="400">
        <f>O22-Q22</f>
        <v/>
      </c>
      <c r="T22" s="400" t="n"/>
      <c r="U22" s="400" t="n"/>
      <c r="V22" s="426" t="n"/>
      <c r="W22" s="425" t="n"/>
      <c r="X22" s="425" t="n"/>
      <c r="Y22" s="425" t="n"/>
      <c r="Z22" s="139" t="n"/>
      <c r="AA22" s="425" t="n"/>
      <c r="AB22" s="425" t="n"/>
      <c r="AC22" s="49" t="n"/>
    </row>
    <row r="23" ht="19.95" customFormat="1" customHeight="1" s="261">
      <c r="A23" s="258" t="inlineStr">
        <is>
          <t>小计</t>
        </is>
      </c>
      <c r="B23" s="428">
        <f>SUM(B18:B22)</f>
        <v/>
      </c>
      <c r="C23" s="428">
        <f>SUM(C18:C22)</f>
        <v/>
      </c>
      <c r="D23" s="428">
        <f>SUM(D18:D22)</f>
        <v/>
      </c>
      <c r="E23" s="428">
        <f>SUM(E18:E22)</f>
        <v/>
      </c>
      <c r="F23" s="428">
        <f>SUM(F18:F22)</f>
        <v/>
      </c>
      <c r="G23" s="428">
        <f>SUM(G18:G22)</f>
        <v/>
      </c>
      <c r="H23" s="428">
        <f>SUM(H18:H22)</f>
        <v/>
      </c>
      <c r="I23" s="428">
        <f>SUM(I18:I22)</f>
        <v/>
      </c>
      <c r="J23" s="428">
        <f>SUM(J18:J22)</f>
        <v/>
      </c>
      <c r="K23" s="428">
        <f>SUM(K18:K22)</f>
        <v/>
      </c>
      <c r="L23" s="428">
        <f>SUM(L18:L22)</f>
        <v/>
      </c>
      <c r="M23" s="428">
        <f>SUM(M18:M22)</f>
        <v/>
      </c>
      <c r="N23" s="428">
        <f>SUM(N18:N22)</f>
        <v/>
      </c>
      <c r="O23" s="428">
        <f>SUM(O18:O22)</f>
        <v/>
      </c>
      <c r="P23" s="428">
        <f>SUM(P18:P22)</f>
        <v/>
      </c>
      <c r="Q23" s="428">
        <f>SUM(Q18:Q22)</f>
        <v/>
      </c>
      <c r="R23" s="428">
        <f>SUM(R18:R22)</f>
        <v/>
      </c>
      <c r="S23" s="428">
        <f>SUM(S18:S22)</f>
        <v/>
      </c>
      <c r="T23" s="428" t="n"/>
      <c r="U23" s="428" t="n"/>
      <c r="V23" s="428">
        <f>SUM(V18:V22)</f>
        <v/>
      </c>
      <c r="W23" s="428">
        <f>SUM(W18:W22)</f>
        <v/>
      </c>
      <c r="X23" s="428">
        <f>SUM(X18:X22)</f>
        <v/>
      </c>
      <c r="Y23" s="429" t="inlineStr">
        <is>
          <t>--</t>
        </is>
      </c>
      <c r="Z23" s="429" t="inlineStr">
        <is>
          <t>--</t>
        </is>
      </c>
      <c r="AA23" s="428">
        <f>SUM(AA18:AA22)</f>
        <v/>
      </c>
      <c r="AB23" s="429" t="inlineStr">
        <is>
          <t>--</t>
        </is>
      </c>
      <c r="AC23" s="429" t="inlineStr">
        <is>
          <t>--</t>
        </is>
      </c>
    </row>
    <row r="24" ht="19.95" customHeight="1" s="364">
      <c r="A24" s="115" t="inlineStr">
        <is>
          <t>…</t>
        </is>
      </c>
      <c r="B24" s="432" t="n"/>
      <c r="C24" s="432" t="n"/>
      <c r="D24" s="432" t="n"/>
      <c r="E24" s="400">
        <f>B24-C24+D24</f>
        <v/>
      </c>
      <c r="F24" s="432" t="n"/>
      <c r="G24" s="432" t="n"/>
      <c r="H24" s="432" t="n"/>
      <c r="I24" s="432" t="n"/>
      <c r="J24" s="432" t="n"/>
      <c r="K24" s="432" t="n"/>
      <c r="L24" s="400">
        <f>B24+F24+G24</f>
        <v/>
      </c>
      <c r="M24" s="400">
        <f>C24+H24+J24</f>
        <v/>
      </c>
      <c r="N24" s="400">
        <f>D24+I24+K24</f>
        <v/>
      </c>
      <c r="O24" s="400">
        <f>L24-M24+N24</f>
        <v/>
      </c>
      <c r="P24" s="427" t="n"/>
      <c r="Q24" s="427" t="n"/>
      <c r="R24" s="400">
        <f>L24-P24</f>
        <v/>
      </c>
      <c r="S24" s="400">
        <f>O24-Q24</f>
        <v/>
      </c>
      <c r="T24" s="400" t="n"/>
      <c r="U24" s="400" t="n"/>
      <c r="V24" s="426" t="n"/>
      <c r="W24" s="425" t="n"/>
      <c r="X24" s="425" t="n"/>
      <c r="Y24" s="433" t="n"/>
      <c r="Z24" s="52" t="n"/>
      <c r="AA24" s="427" t="n"/>
      <c r="AB24" s="427" t="n"/>
      <c r="AC24" s="128" t="n"/>
    </row>
    <row r="25" ht="19.95" customFormat="1" customHeight="1" s="261">
      <c r="A25" s="258" t="inlineStr">
        <is>
          <t>合计</t>
        </is>
      </c>
      <c r="B25" s="428">
        <f>SUM(B16,B23,B24)</f>
        <v/>
      </c>
      <c r="C25" s="428">
        <f>SUM(C16,C23,C24)</f>
        <v/>
      </c>
      <c r="D25" s="428">
        <f>SUM(D16,D23,D24)</f>
        <v/>
      </c>
      <c r="E25" s="428">
        <f>SUM(E16,E23,E24)</f>
        <v/>
      </c>
      <c r="F25" s="428">
        <f>SUM(F16,F23,F24)</f>
        <v/>
      </c>
      <c r="G25" s="428">
        <f>SUM(G16,G23,G24)</f>
        <v/>
      </c>
      <c r="H25" s="428">
        <f>SUM(H16,H23,H24)</f>
        <v/>
      </c>
      <c r="I25" s="428">
        <f>SUM(I16,I23,I24)</f>
        <v/>
      </c>
      <c r="J25" s="428">
        <f>SUM(J16,J23,J24)</f>
        <v/>
      </c>
      <c r="K25" s="428">
        <f>SUM(K16,K23,K24)</f>
        <v/>
      </c>
      <c r="L25" s="428">
        <f>SUM(L16,L23,L24)</f>
        <v/>
      </c>
      <c r="M25" s="428">
        <f>SUM(M16,M23,M24)</f>
        <v/>
      </c>
      <c r="N25" s="428">
        <f>SUM(N16,N23,N24)</f>
        <v/>
      </c>
      <c r="O25" s="428">
        <f>SUM(O16,O23,O24)</f>
        <v/>
      </c>
      <c r="P25" s="428">
        <f>SUM(P16,P23,P24)</f>
        <v/>
      </c>
      <c r="Q25" s="428">
        <f>SUM(Q16,Q23,Q24)</f>
        <v/>
      </c>
      <c r="R25" s="428">
        <f>SUM(R16,R23,R24)</f>
        <v/>
      </c>
      <c r="S25" s="428">
        <f>SUM(S16,S23,S24)</f>
        <v/>
      </c>
      <c r="T25" s="428" t="n"/>
      <c r="U25" s="428" t="n"/>
      <c r="V25" s="428">
        <f>SUM(V16,V23,V24)</f>
        <v/>
      </c>
      <c r="W25" s="428">
        <f>SUM(W16,W23,W24)</f>
        <v/>
      </c>
      <c r="X25" s="428">
        <f>SUM(X16,X23,X24)</f>
        <v/>
      </c>
      <c r="Y25" s="429" t="inlineStr">
        <is>
          <t>--</t>
        </is>
      </c>
      <c r="Z25" s="429" t="inlineStr">
        <is>
          <t>--</t>
        </is>
      </c>
      <c r="AA25" s="428">
        <f>SUM(AA16,AA23,AA24)</f>
        <v/>
      </c>
      <c r="AB25" s="429" t="inlineStr">
        <is>
          <t>--</t>
        </is>
      </c>
      <c r="AC25" s="429" t="inlineStr">
        <is>
          <t>--</t>
        </is>
      </c>
    </row>
    <row r="26" ht="19.95" customHeight="1" s="364">
      <c r="A26" s="54" t="inlineStr">
        <is>
          <t>1、审计说明：</t>
        </is>
      </c>
      <c r="B26" s="135" t="n"/>
      <c r="C26" s="135" t="n"/>
      <c r="D26" s="135" t="n"/>
      <c r="E26" s="135" t="n"/>
      <c r="F26" s="135" t="n"/>
      <c r="G26" s="135" t="n"/>
      <c r="H26" s="135" t="n"/>
      <c r="I26" s="135" t="n"/>
      <c r="J26" s="135" t="n"/>
      <c r="K26" s="135" t="n"/>
      <c r="L26" s="135" t="n"/>
      <c r="M26" s="135" t="n"/>
      <c r="N26" s="135" t="n"/>
      <c r="O26" s="135" t="n"/>
      <c r="P26" s="135" t="n"/>
      <c r="Q26" s="135" t="n"/>
      <c r="R26" s="135" t="n"/>
      <c r="S26" s="135" t="n"/>
      <c r="T26" s="135" t="n"/>
      <c r="U26" s="135" t="n"/>
      <c r="V26" s="137" t="n"/>
      <c r="W26" s="137" t="n"/>
      <c r="X26" s="137" t="n"/>
      <c r="Y26" s="137" t="n"/>
      <c r="Z26" s="135" t="n"/>
      <c r="AA26" s="137" t="n"/>
      <c r="AB26" s="137" t="n"/>
      <c r="AC26" s="137" t="n"/>
    </row>
    <row r="27" ht="19.95" customHeight="1" s="364">
      <c r="A27" s="70" t="n"/>
      <c r="B27" s="70" t="n"/>
      <c r="C27" s="70" t="n"/>
      <c r="D27" s="70" t="n"/>
      <c r="E27" s="70" t="n"/>
      <c r="F27" s="70" t="n"/>
      <c r="G27" s="70" t="n"/>
      <c r="H27" s="70" t="n"/>
      <c r="I27" s="70" t="n"/>
      <c r="J27" s="70" t="n"/>
      <c r="K27" s="70" t="n"/>
      <c r="L27" s="70" t="n"/>
      <c r="M27" s="70" t="n"/>
      <c r="N27" s="70" t="n"/>
      <c r="O27" s="70" t="n"/>
      <c r="P27" s="70" t="n"/>
      <c r="Q27" s="70" t="n"/>
      <c r="R27" s="70" t="n"/>
      <c r="S27" s="70" t="n"/>
      <c r="T27" s="70" t="n"/>
      <c r="U27" s="70" t="n"/>
      <c r="Z27" s="70" t="n"/>
    </row>
    <row r="28" ht="19.95" customHeight="1" s="364">
      <c r="A28" s="70" t="n"/>
      <c r="B28" s="70" t="n"/>
      <c r="C28" s="70" t="n"/>
      <c r="D28" s="70" t="n"/>
      <c r="E28" s="70" t="n"/>
      <c r="F28" s="70" t="n"/>
      <c r="G28" s="70" t="n"/>
      <c r="H28" s="70" t="n"/>
      <c r="I28" s="70" t="n"/>
      <c r="J28" s="70" t="n"/>
      <c r="K28" s="70" t="n"/>
      <c r="L28" s="70" t="n"/>
      <c r="M28" s="70" t="n"/>
      <c r="N28" s="70" t="n"/>
      <c r="O28" s="70" t="n"/>
      <c r="P28" s="70" t="n"/>
      <c r="Q28" s="70" t="n"/>
      <c r="R28" s="70" t="n"/>
      <c r="S28" s="70" t="n"/>
      <c r="T28" s="70" t="n"/>
      <c r="U28" s="70" t="n"/>
      <c r="Z28" s="70" t="n"/>
    </row>
    <row r="29" ht="19.95" customHeight="1" s="364">
      <c r="A29" s="55" t="inlineStr">
        <is>
          <t>2、审计结论：</t>
        </is>
      </c>
      <c r="B29" s="70" t="n"/>
      <c r="C29" s="70" t="n"/>
      <c r="D29" s="70" t="n"/>
      <c r="E29" s="70" t="n"/>
      <c r="F29" s="70" t="n"/>
      <c r="G29" s="70" t="n"/>
      <c r="H29" s="70" t="n"/>
      <c r="I29" s="70" t="n"/>
      <c r="J29" s="70" t="n"/>
      <c r="K29" s="70" t="n"/>
      <c r="L29" s="70" t="n"/>
      <c r="M29" s="70" t="n"/>
      <c r="N29" s="70" t="n"/>
      <c r="O29" s="70" t="n"/>
      <c r="P29" s="70" t="n"/>
      <c r="Q29" s="70" t="n"/>
      <c r="R29" s="70" t="n"/>
      <c r="S29" s="70" t="n"/>
      <c r="T29" s="70" t="n"/>
      <c r="U29" s="70" t="n"/>
      <c r="Z29" s="70" t="n"/>
    </row>
    <row r="30" ht="19.95" customHeight="1" s="364">
      <c r="A30" s="70" t="n"/>
      <c r="B30" s="70" t="n"/>
      <c r="C30" s="70" t="n"/>
      <c r="D30" s="70" t="n"/>
      <c r="E30" s="70" t="n"/>
      <c r="F30" s="70" t="n"/>
      <c r="G30" s="70" t="n"/>
      <c r="H30" s="70" t="n"/>
      <c r="I30" s="70" t="n"/>
      <c r="J30" s="70" t="n"/>
      <c r="K30" s="70" t="n"/>
      <c r="L30" s="70" t="n"/>
      <c r="M30" s="70" t="n"/>
      <c r="N30" s="70" t="n"/>
      <c r="O30" s="70" t="n"/>
      <c r="P30" s="70" t="n"/>
      <c r="Q30" s="70" t="n"/>
      <c r="R30" s="70" t="n"/>
      <c r="S30" s="70" t="n"/>
      <c r="T30" s="70" t="n"/>
      <c r="U30" s="70" t="n"/>
      <c r="Z30" s="70" t="n"/>
    </row>
    <row r="31" ht="18" customHeight="1" s="364">
      <c r="A31" s="134" t="inlineStr">
        <is>
          <t>提示：</t>
        </is>
      </c>
      <c r="B31" s="134" t="n"/>
      <c r="C31" s="134" t="n"/>
      <c r="D31" s="70" t="n"/>
      <c r="E31" s="70" t="n"/>
      <c r="F31" s="70" t="n"/>
      <c r="G31" s="70" t="n"/>
      <c r="H31" s="70" t="n"/>
      <c r="I31" s="70" t="n"/>
      <c r="J31" s="70" t="n"/>
      <c r="K31" s="70" t="n"/>
      <c r="L31" s="70" t="n"/>
      <c r="M31" s="70" t="n"/>
      <c r="N31" s="70" t="n"/>
      <c r="O31" s="70" t="n"/>
      <c r="P31" s="70" t="n"/>
      <c r="Q31" s="70" t="n"/>
      <c r="R31" s="70" t="n"/>
      <c r="S31" s="70" t="n"/>
      <c r="T31" s="70" t="n"/>
      <c r="U31" s="70" t="n"/>
      <c r="AA31" s="70" t="n"/>
    </row>
    <row r="32" ht="18" customHeight="1" s="364">
      <c r="A32" s="58" t="inlineStr">
        <is>
          <t>1.本科目核算企业除长期借款和应付债券以外的其他各种长期应付款项，包括应付融资租入固定资产的租赁费.以分期付款方式购入固定资产等发生的应付款项等。</t>
        </is>
      </c>
      <c r="B32" s="58" t="n"/>
      <c r="C32" s="58" t="n"/>
      <c r="D32" s="70" t="n"/>
      <c r="E32" s="70" t="n"/>
      <c r="F32" s="70" t="n"/>
      <c r="G32" s="70" t="n"/>
      <c r="H32" s="70" t="n"/>
      <c r="I32" s="70" t="n"/>
      <c r="J32" s="70" t="n"/>
      <c r="K32" s="70" t="n"/>
      <c r="L32" s="70" t="n"/>
      <c r="M32" s="70" t="n"/>
      <c r="N32" s="70" t="n"/>
      <c r="O32" s="70" t="n"/>
      <c r="P32" s="70" t="n"/>
      <c r="Q32" s="70" t="n"/>
      <c r="R32" s="70" t="n"/>
      <c r="S32" s="70" t="n"/>
      <c r="T32" s="70" t="n"/>
      <c r="U32" s="70" t="n"/>
      <c r="AA32" s="70" t="n"/>
    </row>
    <row r="33" ht="18" customHeight="1" s="364">
      <c r="A33" s="58" t="inlineStr">
        <is>
          <t>2.一年内到期长期应付款，应重分类至一年内到期的非流动负债。</t>
        </is>
      </c>
      <c r="B33" s="58" t="n"/>
      <c r="C33" s="58" t="n"/>
      <c r="D33" s="70" t="n"/>
      <c r="E33" s="70" t="n"/>
      <c r="F33" s="70" t="n"/>
      <c r="G33" s="70" t="n"/>
      <c r="H33" s="70" t="n"/>
      <c r="I33" s="70" t="n"/>
      <c r="J33" s="70" t="n"/>
      <c r="K33" s="70" t="n"/>
      <c r="L33" s="70" t="n"/>
      <c r="M33" s="70" t="n"/>
      <c r="N33" s="70" t="n"/>
      <c r="O33" s="70" t="n"/>
      <c r="P33" s="70" t="n"/>
      <c r="Q33" s="70" t="n"/>
      <c r="R33" s="70" t="n"/>
      <c r="S33" s="70" t="n"/>
      <c r="T33" s="70" t="n"/>
      <c r="U33" s="70" t="n"/>
      <c r="AA33" s="70" t="n"/>
    </row>
    <row r="34" ht="18" customHeight="1" s="364">
      <c r="A34" s="58" t="inlineStr">
        <is>
          <t>3.审计说明可以概述：（1）程序的测试情况、结果；（2）拟调整事项及其调整分录、未调整事项及其影响，审计范围受到限制情况及其影响。</t>
        </is>
      </c>
      <c r="B34" s="58" t="n"/>
      <c r="C34" s="58" t="n"/>
      <c r="D34" s="70" t="n"/>
      <c r="E34" s="70" t="n"/>
      <c r="F34" s="70" t="n"/>
      <c r="G34" s="70" t="n"/>
      <c r="H34" s="70" t="n"/>
      <c r="I34" s="70" t="n"/>
      <c r="J34" s="70" t="n"/>
      <c r="K34" s="70" t="n"/>
      <c r="L34" s="70" t="n"/>
      <c r="M34" s="70" t="n"/>
      <c r="N34" s="70" t="n"/>
      <c r="O34" s="70" t="n"/>
      <c r="P34" s="70" t="n"/>
      <c r="Q34" s="70" t="n"/>
      <c r="R34" s="70" t="n"/>
      <c r="S34" s="70" t="n"/>
      <c r="T34" s="70" t="n"/>
      <c r="U34" s="70" t="n"/>
      <c r="AA34" s="70" t="n"/>
    </row>
    <row r="35" ht="18" customHeight="1" s="364">
      <c r="A35" s="58" t="inlineStr">
        <is>
          <t>4.审计结论可参考：A、未见异常。 B、除上述重大不符事项应当作为调整事项予以调整外，其余未见异常。  C、由于存在以下重大未调整事项（或审计范围受到限制无法获取充分、适当证据），不可确认。</t>
        </is>
      </c>
      <c r="B35" s="58" t="n"/>
      <c r="C35" s="58" t="n"/>
      <c r="E35" s="70" t="n"/>
      <c r="F35" s="70" t="n"/>
      <c r="G35" s="70" t="n"/>
      <c r="H35" s="70" t="n"/>
      <c r="I35" s="70" t="n"/>
      <c r="J35" s="70" t="n"/>
      <c r="K35" s="70" t="n"/>
      <c r="L35" s="70" t="n"/>
      <c r="M35" s="70" t="n"/>
      <c r="N35" s="70" t="n"/>
      <c r="O35" s="70" t="n"/>
      <c r="P35" s="70" t="n"/>
      <c r="Q35" s="70" t="n"/>
      <c r="R35" s="70" t="n"/>
      <c r="S35" s="70" t="n"/>
      <c r="T35" s="70" t="n"/>
      <c r="U35" s="70" t="n"/>
      <c r="AA35" s="70" t="n"/>
    </row>
  </sheetData>
  <mergeCells count="21">
    <mergeCell ref="Q8:Q9"/>
    <mergeCell ref="AC8:AC9"/>
    <mergeCell ref="P1:Z1"/>
    <mergeCell ref="A2:O2"/>
    <mergeCell ref="Z8:Z9"/>
    <mergeCell ref="P8:P9"/>
    <mergeCell ref="AB8:AB9"/>
    <mergeCell ref="P6:AC6"/>
    <mergeCell ref="P2:Z2"/>
    <mergeCell ref="F8:G8"/>
    <mergeCell ref="A8:A9"/>
    <mergeCell ref="T8:X8"/>
    <mergeCell ref="L8:O8"/>
    <mergeCell ref="B8:E8"/>
    <mergeCell ref="Y8:Y9"/>
    <mergeCell ref="B6:O6"/>
    <mergeCell ref="AA8:AA9"/>
    <mergeCell ref="A1:O1"/>
    <mergeCell ref="H8:I8"/>
    <mergeCell ref="J8:K8"/>
    <mergeCell ref="R8:S8"/>
  </mergeCells>
  <dataValidations count="1">
    <dataValidation sqref="Y11:Y15 Y18:Y22" showDropDown="0" showInputMessage="1" showErrorMessage="1" allowBlank="1" type="list">
      <formula1>"关联方（合并范围内),关联方（合并范围外）,非关联方"</formula1>
    </dataValidation>
  </dataValidations>
  <hyperlinks>
    <hyperlink ref="AC3" location="底稿目录!A1" display="=底稿目录!F7"/>
  </hyperlinks>
  <printOptions horizontalCentered="1"/>
  <pageMargins left="0.7086614173228351" right="0.7086614173228351" top="0.748031496062992" bottom="0.748031496062992" header="0.31496062992126" footer="0.31496062992126"/>
  <pageSetup orientation="landscape" paperSize="9" scale="72" fitToHeight="5" blackAndWhite="1" cellComments="asDisplayed"/>
  <headerFooter alignWithMargins="0">
    <oddHeader/>
    <oddFooter>&amp;C&amp;P/&amp;N</oddFooter>
    <evenHeader/>
    <evenFooter/>
    <firstHeader/>
    <firstFooter/>
  </headerFooter>
  <colBreaks count="1" manualBreakCount="1">
    <brk id="15" min="0" max="29" man="1"/>
  </colBreaks>
</worksheet>
</file>

<file path=xl/worksheets/sheet7.xml><?xml version="1.0" encoding="utf-8"?>
<worksheet xmlns="http://schemas.openxmlformats.org/spreadsheetml/2006/main">
  <sheetPr codeName="Sheet9">
    <outlinePr summaryBelow="1" summaryRight="1"/>
    <pageSetUpPr/>
  </sheetPr>
  <dimension ref="A1:AD31"/>
  <sheetViews>
    <sheetView view="pageBreakPreview" zoomScaleNormal="100" workbookViewId="0">
      <selection activeCell="A1" sqref="A1:O1"/>
    </sheetView>
  </sheetViews>
  <sheetFormatPr baseColWidth="8" defaultColWidth="9" defaultRowHeight="19.95" customHeight="1"/>
  <cols>
    <col width="17" customWidth="1" style="104" min="1" max="1"/>
    <col width="9" customWidth="1" style="104" min="2" max="6"/>
    <col width="10.59765625" customWidth="1" style="104" min="7" max="7"/>
    <col width="9" customWidth="1" style="104" min="8" max="8"/>
    <col width="9" customWidth="1" style="104" min="9" max="9"/>
    <col width="9" customWidth="1" style="104" min="10" max="10"/>
    <col width="9" customWidth="1" style="104" min="11" max="11"/>
    <col width="9" customWidth="1" style="104" min="12" max="15"/>
    <col width="11.296875" customWidth="1" style="104" min="16" max="16"/>
    <col width="11.59765625" customWidth="1" style="104" min="17" max="17"/>
    <col width="11.5" customWidth="1" style="104" min="18" max="19"/>
    <col width="9" customWidth="1" style="104" min="20" max="16384"/>
  </cols>
  <sheetData>
    <row r="1" ht="19.95" customHeight="1" s="364">
      <c r="A1" s="329" t="inlineStr">
        <is>
          <t>致同会计师事务所</t>
        </is>
      </c>
      <c r="P1" s="329" t="inlineStr">
        <is>
          <t>致同会计师事务所</t>
        </is>
      </c>
      <c r="Y1" s="123" t="n"/>
      <c r="Z1" s="123" t="n"/>
      <c r="AA1" s="123" t="n"/>
      <c r="AB1" s="123" t="n"/>
      <c r="AC1" s="123" t="n"/>
      <c r="AD1" s="123" t="n"/>
    </row>
    <row r="2" ht="19.95" customHeight="1" s="364">
      <c r="A2" s="330" t="inlineStr">
        <is>
          <t>未确认融资费用明细表</t>
        </is>
      </c>
      <c r="P2" s="330" t="inlineStr">
        <is>
          <t>未确认融资费用明细表</t>
        </is>
      </c>
      <c r="Y2" s="124" t="n"/>
      <c r="Z2" s="124" t="n"/>
      <c r="AA2" s="124" t="n"/>
      <c r="AB2" s="124" t="n"/>
      <c r="AC2" s="124" t="n"/>
      <c r="AD2" s="124" t="n"/>
    </row>
    <row r="3" ht="19.95" customHeight="1" s="364">
      <c r="A3" s="70">
        <f>底稿目录!A2</f>
        <v/>
      </c>
      <c r="B3" s="70" t="n"/>
      <c r="C3" s="70" t="n"/>
      <c r="D3" s="70" t="n"/>
      <c r="E3" s="70">
        <f>底稿目录!A4</f>
        <v/>
      </c>
      <c r="F3" s="70" t="n"/>
      <c r="G3" s="70" t="n"/>
      <c r="I3" s="8">
        <f>底稿目录!A5</f>
        <v/>
      </c>
      <c r="J3" s="70" t="n"/>
      <c r="K3" s="70" t="n"/>
      <c r="L3" s="70" t="n"/>
      <c r="M3" s="70" t="n"/>
      <c r="N3" s="70" t="inlineStr">
        <is>
          <t>索引号：</t>
        </is>
      </c>
      <c r="O3" s="369">
        <f>底稿目录!F8</f>
        <v/>
      </c>
      <c r="P3" s="70" t="n"/>
      <c r="Q3" s="70">
        <f>E3</f>
        <v/>
      </c>
      <c r="R3" s="70" t="n"/>
      <c r="T3" s="8" t="n"/>
      <c r="U3" s="8">
        <f>I3</f>
        <v/>
      </c>
      <c r="V3" s="8" t="n"/>
      <c r="W3" s="105" t="n"/>
      <c r="X3" s="105" t="n"/>
      <c r="Z3" s="70" t="inlineStr">
        <is>
          <t>索引号：</t>
        </is>
      </c>
      <c r="AA3" s="369">
        <f>底稿目录!F8</f>
        <v/>
      </c>
    </row>
    <row r="4" ht="19.95" customHeight="1" s="364">
      <c r="A4" s="70">
        <f>底稿目录!A3</f>
        <v/>
      </c>
      <c r="B4" s="70" t="n"/>
      <c r="C4" s="70" t="n"/>
      <c r="D4" s="70" t="n"/>
      <c r="E4" s="70">
        <f>底稿目录!A6</f>
        <v/>
      </c>
      <c r="F4" s="70" t="n"/>
      <c r="G4" s="70" t="n"/>
      <c r="I4" s="8">
        <f>底稿目录!A7</f>
        <v/>
      </c>
      <c r="J4" s="70" t="n"/>
      <c r="K4" s="70" t="n"/>
      <c r="L4" s="70" t="n"/>
      <c r="M4" s="70" t="n"/>
      <c r="N4" s="70" t="inlineStr">
        <is>
          <t>页次：</t>
        </is>
      </c>
      <c r="O4" s="70" t="n"/>
      <c r="P4" s="70" t="n"/>
      <c r="Q4" s="70">
        <f>E4</f>
        <v/>
      </c>
      <c r="R4" s="70" t="n"/>
      <c r="T4" s="8" t="n"/>
      <c r="U4" s="8">
        <f>I4</f>
        <v/>
      </c>
      <c r="V4" s="8" t="n"/>
      <c r="W4" s="105" t="n"/>
      <c r="X4" s="105" t="n"/>
      <c r="Z4" s="70" t="inlineStr">
        <is>
          <t>页次：</t>
        </is>
      </c>
      <c r="AA4" s="70" t="n"/>
    </row>
    <row r="5" ht="19.95" customHeight="1" s="364">
      <c r="A5" s="55" t="inlineStr">
        <is>
          <t>一、审计目标:</t>
        </is>
      </c>
      <c r="C5" s="70" t="n"/>
      <c r="D5" s="70" t="n"/>
      <c r="E5" s="105" t="n"/>
      <c r="F5" s="70" t="n"/>
      <c r="G5" s="70" t="n"/>
      <c r="H5" s="70" t="n"/>
      <c r="I5" s="70" t="n"/>
      <c r="J5" s="70" t="n"/>
      <c r="K5" s="70" t="n"/>
      <c r="L5" s="70" t="n"/>
      <c r="M5" s="70" t="n"/>
      <c r="N5" s="70" t="n"/>
      <c r="O5" s="70" t="n"/>
      <c r="P5" s="70" t="n"/>
      <c r="Q5" s="70" t="n"/>
      <c r="R5" s="70" t="n"/>
      <c r="S5" s="70" t="n"/>
      <c r="T5" s="70" t="n"/>
      <c r="U5" s="70" t="n"/>
      <c r="V5" s="70" t="n"/>
      <c r="W5" s="105" t="n"/>
      <c r="X5" s="105" t="n"/>
      <c r="Y5" s="70" t="n"/>
      <c r="Z5" s="70" t="n"/>
      <c r="AA5" s="105" t="n"/>
    </row>
    <row r="6" ht="29.55" customHeight="1" s="364">
      <c r="B6" s="331" t="inlineStr">
        <is>
          <t>1、资产负债表中记录的应付债券是存在的，且已经记录在恰当的账户中；2、 所有应记录的短期借款均已记录，所有应当包括在财务报表中的相关披露均已包括；3、应付债券以恰当的金额包括在财务报表中，与之相关的计价或分摊调整已恰当记录，相关披露已得到恰当计量和描述</t>
        </is>
      </c>
      <c r="C6" s="0" t="n"/>
      <c r="D6" s="0" t="n"/>
      <c r="E6" s="0" t="n"/>
      <c r="F6" s="0" t="n"/>
      <c r="G6" s="0" t="n"/>
      <c r="H6" s="0" t="n"/>
      <c r="I6" s="0" t="n"/>
      <c r="J6" s="0" t="n"/>
      <c r="K6" s="0" t="n"/>
      <c r="L6" s="0" t="n"/>
      <c r="M6" s="0" t="n"/>
      <c r="N6" s="0" t="n"/>
      <c r="O6" s="0" t="n"/>
      <c r="P6" s="331" t="inlineStr">
        <is>
          <t>1、资产负债表中记录的应付债券是存在的，且已经记录在恰当的账户中；2、 所有应记录的短期借款均已记录，所有应当包括在财务报表中的相关披露均已包括；3、应付债券以恰当的金额包括在财务报表中，与之相关的计价或分摊调整已恰当记录，相关披露已得到恰当计量和描述</t>
        </is>
      </c>
      <c r="Q6" s="0" t="n"/>
      <c r="R6" s="0" t="n"/>
      <c r="S6" s="0" t="n"/>
      <c r="T6" s="0" t="n"/>
      <c r="U6" s="0" t="n"/>
      <c r="V6" s="0" t="n"/>
      <c r="W6" s="0" t="n"/>
      <c r="X6" s="0" t="n"/>
      <c r="Y6" s="0" t="n"/>
      <c r="Z6" s="0" t="n"/>
      <c r="AA6" s="0" t="n"/>
      <c r="AB6" s="43" t="n"/>
      <c r="AC6" s="43" t="n"/>
    </row>
    <row r="7" ht="19.95" customHeight="1" s="364">
      <c r="A7" s="55" t="inlineStr">
        <is>
          <t>二、审计过程：</t>
        </is>
      </c>
      <c r="C7" s="70" t="n"/>
      <c r="D7" s="70" t="n"/>
      <c r="E7" s="105" t="n"/>
      <c r="F7" s="70" t="n"/>
      <c r="G7" s="70" t="n"/>
      <c r="H7" s="70" t="n"/>
      <c r="I7" s="70" t="n"/>
      <c r="J7" s="70" t="n"/>
      <c r="K7" s="70" t="n"/>
      <c r="L7" s="70" t="n"/>
      <c r="M7" s="70" t="n"/>
      <c r="N7" s="70" t="n"/>
      <c r="O7" s="70" t="n"/>
      <c r="P7" s="70" t="n"/>
      <c r="Q7" s="70" t="n"/>
      <c r="R7" s="70" t="n"/>
      <c r="S7" s="70" t="n"/>
      <c r="T7" s="70" t="n"/>
      <c r="U7" s="70" t="n"/>
      <c r="V7" s="70" t="n"/>
      <c r="W7" s="105" t="n"/>
      <c r="X7" s="105" t="n"/>
      <c r="Y7" s="70" t="n"/>
      <c r="Z7" s="70" t="n"/>
      <c r="AA7" s="105" t="n"/>
    </row>
    <row r="8" ht="19.95" customHeight="1" s="364">
      <c r="B8" s="70" t="inlineStr">
        <is>
          <t>获取或编制长期应付款明细表，复核加计正确,将总金额与报表、总账、明细账合计数核对相符。</t>
        </is>
      </c>
      <c r="C8" s="70" t="n"/>
      <c r="D8" s="70" t="n"/>
      <c r="E8" s="105" t="n"/>
      <c r="F8" s="70" t="n"/>
      <c r="G8" s="70" t="n"/>
      <c r="H8" s="70" t="n"/>
      <c r="I8" s="70" t="n"/>
      <c r="J8" s="70" t="n"/>
      <c r="K8" s="70" t="n"/>
      <c r="L8" s="70" t="n"/>
      <c r="M8" s="70" t="n"/>
      <c r="N8" s="70" t="n"/>
      <c r="O8" s="70" t="n"/>
      <c r="P8" s="70" t="inlineStr">
        <is>
          <t>获取或编制长期应付款明细表，复核加计正确,将总金额与报表、总账、明细账合计数核对相符。</t>
        </is>
      </c>
      <c r="Q8" s="70" t="n"/>
      <c r="R8" s="70" t="n"/>
      <c r="S8" s="70" t="n"/>
      <c r="T8" s="70" t="n"/>
      <c r="U8" s="70" t="n"/>
      <c r="V8" s="70" t="n"/>
      <c r="W8" s="105" t="n"/>
      <c r="X8" s="105" t="n"/>
      <c r="Y8" s="70" t="n"/>
      <c r="Z8" s="70" t="n"/>
      <c r="AA8" s="105" t="n"/>
    </row>
    <row r="9" ht="19.95" customFormat="1" customHeight="1" s="101">
      <c r="A9" s="332" t="inlineStr">
        <is>
          <t>债权人名称</t>
        </is>
      </c>
      <c r="B9" s="332" t="inlineStr">
        <is>
          <t>未审数</t>
        </is>
      </c>
      <c r="C9" s="371" t="n"/>
      <c r="D9" s="371" t="n"/>
      <c r="E9" s="372" t="n"/>
      <c r="F9" s="332" t="inlineStr">
        <is>
          <t>期初调整</t>
        </is>
      </c>
      <c r="G9" s="372" t="n"/>
      <c r="H9" s="324" t="inlineStr">
        <is>
          <t>账项调整</t>
        </is>
      </c>
      <c r="I9" s="434" t="n"/>
      <c r="J9" s="332" t="inlineStr">
        <is>
          <t>重分类调整</t>
        </is>
      </c>
      <c r="K9" s="372" t="n"/>
      <c r="L9" s="332" t="inlineStr">
        <is>
          <t>审定数</t>
        </is>
      </c>
      <c r="M9" s="371" t="n"/>
      <c r="N9" s="371" t="n"/>
      <c r="O9" s="372" t="n"/>
      <c r="P9" s="332" t="inlineStr">
        <is>
          <t>减：期初一年内到期未确认融资费用</t>
        </is>
      </c>
      <c r="Q9" s="332" t="inlineStr">
        <is>
          <t>减：期末一年内到期未确认融资费用</t>
        </is>
      </c>
      <c r="R9" s="332" t="inlineStr">
        <is>
          <t>披露审定数</t>
        </is>
      </c>
      <c r="S9" s="372" t="n"/>
      <c r="T9" s="332" t="inlineStr">
        <is>
          <t>到期日</t>
        </is>
      </c>
      <c r="U9" s="371" t="n"/>
      <c r="V9" s="371" t="n"/>
      <c r="W9" s="371" t="n"/>
      <c r="X9" s="371" t="n"/>
      <c r="Y9" s="372" t="n"/>
      <c r="Z9" s="332" t="inlineStr">
        <is>
          <t>是否是关联方</t>
        </is>
      </c>
      <c r="AA9" s="332" t="inlineStr">
        <is>
          <t>备注</t>
        </is>
      </c>
    </row>
    <row r="10" ht="19.95" customFormat="1" customHeight="1" s="101">
      <c r="A10" s="375" t="n"/>
      <c r="B10" s="332" t="inlineStr">
        <is>
          <t>期初余额</t>
        </is>
      </c>
      <c r="C10" s="332" t="inlineStr">
        <is>
          <t>借方发生</t>
        </is>
      </c>
      <c r="D10" s="332" t="inlineStr">
        <is>
          <t>贷方发生</t>
        </is>
      </c>
      <c r="E10" s="332" t="inlineStr">
        <is>
          <t>期末余额</t>
        </is>
      </c>
      <c r="F10" s="332" t="inlineStr">
        <is>
          <t>账项调整</t>
        </is>
      </c>
      <c r="G10" s="332" t="inlineStr">
        <is>
          <t>重分类调整</t>
        </is>
      </c>
      <c r="H10" s="424" t="inlineStr">
        <is>
          <t>借方发生</t>
        </is>
      </c>
      <c r="I10" s="424" t="inlineStr">
        <is>
          <t>贷方发生</t>
        </is>
      </c>
      <c r="J10" s="424" t="inlineStr">
        <is>
          <t>借方发生</t>
        </is>
      </c>
      <c r="K10" s="424" t="inlineStr">
        <is>
          <t>贷方发生</t>
        </is>
      </c>
      <c r="L10" s="332" t="inlineStr">
        <is>
          <t>期初余额</t>
        </is>
      </c>
      <c r="M10" s="332" t="inlineStr">
        <is>
          <t>借方发生</t>
        </is>
      </c>
      <c r="N10" s="332" t="inlineStr">
        <is>
          <t>贷方发生</t>
        </is>
      </c>
      <c r="O10" s="332" t="inlineStr">
        <is>
          <t>期末余额</t>
        </is>
      </c>
      <c r="P10" s="375" t="n"/>
      <c r="Q10" s="375" t="n"/>
      <c r="R10" s="332" t="inlineStr">
        <is>
          <t>期初余额</t>
        </is>
      </c>
      <c r="S10" s="332" t="inlineStr">
        <is>
          <t>期末余额</t>
        </is>
      </c>
      <c r="T10" s="332" t="inlineStr">
        <is>
          <t>6个月以内</t>
        </is>
      </c>
      <c r="U10" s="332" t="inlineStr">
        <is>
          <t>6-12月</t>
        </is>
      </c>
      <c r="V10" s="332" t="inlineStr">
        <is>
          <t>1年以下</t>
        </is>
      </c>
      <c r="W10" s="332" t="inlineStr">
        <is>
          <t>1～2年</t>
        </is>
      </c>
      <c r="X10" s="332" t="inlineStr">
        <is>
          <t>２～3年</t>
        </is>
      </c>
      <c r="Y10" s="332" t="inlineStr">
        <is>
          <t>3年以上</t>
        </is>
      </c>
      <c r="Z10" s="375" t="n"/>
      <c r="AA10" s="375" t="n"/>
    </row>
    <row r="11" ht="19.95" customFormat="1" customHeight="1" s="101">
      <c r="A11" s="107">
        <f>'明细表L5-2'!A10</f>
        <v/>
      </c>
      <c r="B11" s="108" t="n"/>
      <c r="C11" s="108" t="n"/>
      <c r="D11" s="108" t="n"/>
      <c r="E11" s="108" t="n"/>
      <c r="F11" s="108" t="n"/>
      <c r="G11" s="108" t="n"/>
      <c r="H11" s="108" t="n"/>
      <c r="I11" s="108" t="n"/>
      <c r="J11" s="108" t="n"/>
      <c r="K11" s="108" t="n"/>
      <c r="L11" s="108" t="n"/>
      <c r="M11" s="108" t="n"/>
      <c r="N11" s="108" t="n"/>
      <c r="O11" s="108" t="n"/>
      <c r="P11" s="108" t="n"/>
      <c r="Q11" s="108" t="n"/>
      <c r="R11" s="108" t="n"/>
      <c r="S11" s="108" t="n"/>
      <c r="T11" s="108" t="n"/>
      <c r="U11" s="108" t="n"/>
      <c r="V11" s="108" t="n"/>
      <c r="W11" s="108" t="n"/>
      <c r="X11" s="108" t="n"/>
      <c r="Y11" s="108" t="n"/>
      <c r="Z11" s="108" t="n"/>
      <c r="AA11" s="125" t="n"/>
    </row>
    <row r="12" ht="19.95" customHeight="1" s="364">
      <c r="A12" s="435">
        <f>'明细表L5-2'!A11</f>
        <v/>
      </c>
      <c r="B12" s="425" t="n"/>
      <c r="C12" s="425" t="n"/>
      <c r="D12" s="425" t="n"/>
      <c r="E12" s="400">
        <f>B12-C12+D12</f>
        <v/>
      </c>
      <c r="F12" s="426" t="n"/>
      <c r="G12" s="426" t="n"/>
      <c r="H12" s="426" t="n"/>
      <c r="I12" s="426" t="n"/>
      <c r="J12" s="426" t="n"/>
      <c r="K12" s="426" t="n"/>
      <c r="L12" s="400">
        <f>B12+F12+G12</f>
        <v/>
      </c>
      <c r="M12" s="400">
        <f>C12+H12+J12</f>
        <v/>
      </c>
      <c r="N12" s="400">
        <f>D12+I12+K12</f>
        <v/>
      </c>
      <c r="O12" s="400">
        <f>L12-M12+N12</f>
        <v/>
      </c>
      <c r="P12" s="427" t="n"/>
      <c r="Q12" s="427" t="n"/>
      <c r="R12" s="400">
        <f>L12-P12</f>
        <v/>
      </c>
      <c r="S12" s="400">
        <f>O12-Q12</f>
        <v/>
      </c>
      <c r="T12" s="400" t="n"/>
      <c r="U12" s="400" t="n"/>
      <c r="V12" s="425" t="n"/>
      <c r="W12" s="426" t="n"/>
      <c r="X12" s="425" t="n"/>
      <c r="Y12" s="425" t="n"/>
      <c r="Z12" s="425" t="n"/>
      <c r="AA12" s="49" t="n"/>
    </row>
    <row r="13" ht="19.95" customHeight="1" s="364">
      <c r="A13" s="435">
        <f>'明细表L5-2'!A12</f>
        <v/>
      </c>
      <c r="B13" s="425" t="n"/>
      <c r="C13" s="425" t="n"/>
      <c r="D13" s="425" t="n"/>
      <c r="E13" s="400">
        <f>B13-C13+D13</f>
        <v/>
      </c>
      <c r="F13" s="426" t="n"/>
      <c r="G13" s="426" t="n"/>
      <c r="H13" s="426" t="n"/>
      <c r="I13" s="426" t="n"/>
      <c r="J13" s="426" t="n"/>
      <c r="K13" s="426" t="n"/>
      <c r="L13" s="400">
        <f>B13+F13+G13</f>
        <v/>
      </c>
      <c r="M13" s="400">
        <f>C13+H13+J13</f>
        <v/>
      </c>
      <c r="N13" s="400">
        <f>D13+I13+K13</f>
        <v/>
      </c>
      <c r="O13" s="400">
        <f>L13-M13+N13</f>
        <v/>
      </c>
      <c r="P13" s="427" t="n"/>
      <c r="Q13" s="427" t="n"/>
      <c r="R13" s="400">
        <f>L13-P13</f>
        <v/>
      </c>
      <c r="S13" s="400">
        <f>O13-Q13</f>
        <v/>
      </c>
      <c r="T13" s="400" t="n"/>
      <c r="U13" s="400" t="n"/>
      <c r="V13" s="425" t="n"/>
      <c r="W13" s="426" t="n"/>
      <c r="X13" s="425" t="n"/>
      <c r="Y13" s="425" t="n"/>
      <c r="Z13" s="425" t="n"/>
      <c r="AA13" s="49" t="n"/>
    </row>
    <row r="14" ht="19.95" customHeight="1" s="364">
      <c r="A14" s="435">
        <f>'明细表L5-2'!A13</f>
        <v/>
      </c>
      <c r="B14" s="425" t="n"/>
      <c r="C14" s="425" t="n"/>
      <c r="D14" s="425" t="n"/>
      <c r="E14" s="400">
        <f>B14-C14+D14</f>
        <v/>
      </c>
      <c r="F14" s="426" t="n"/>
      <c r="G14" s="426" t="n"/>
      <c r="H14" s="426" t="n"/>
      <c r="I14" s="426" t="n"/>
      <c r="J14" s="426" t="n"/>
      <c r="K14" s="426" t="n"/>
      <c r="L14" s="400">
        <f>B14+F14+G14</f>
        <v/>
      </c>
      <c r="M14" s="400">
        <f>C14+H14+J14</f>
        <v/>
      </c>
      <c r="N14" s="400">
        <f>D14+I14+K14</f>
        <v/>
      </c>
      <c r="O14" s="400">
        <f>L14-M14+N14</f>
        <v/>
      </c>
      <c r="P14" s="427" t="n"/>
      <c r="Q14" s="427" t="n"/>
      <c r="R14" s="400">
        <f>L14-P14</f>
        <v/>
      </c>
      <c r="S14" s="400">
        <f>O14-Q14</f>
        <v/>
      </c>
      <c r="T14" s="400" t="n"/>
      <c r="U14" s="400" t="n"/>
      <c r="V14" s="425" t="n"/>
      <c r="W14" s="426" t="n"/>
      <c r="X14" s="425" t="n"/>
      <c r="Y14" s="425" t="n"/>
      <c r="Z14" s="425" t="n"/>
      <c r="AA14" s="49" t="n"/>
    </row>
    <row r="15" ht="19.95" customHeight="1" s="364">
      <c r="A15" s="435">
        <f>'明细表L5-2'!A14</f>
        <v/>
      </c>
      <c r="B15" s="425" t="n"/>
      <c r="C15" s="425" t="n"/>
      <c r="D15" s="425" t="n"/>
      <c r="E15" s="400">
        <f>B15-C15+D15</f>
        <v/>
      </c>
      <c r="F15" s="426" t="n"/>
      <c r="G15" s="426" t="n"/>
      <c r="H15" s="426" t="n"/>
      <c r="I15" s="426" t="n"/>
      <c r="J15" s="426" t="n"/>
      <c r="K15" s="426" t="n"/>
      <c r="L15" s="400">
        <f>B15+F15+G15</f>
        <v/>
      </c>
      <c r="M15" s="400">
        <f>C15+H15+J15</f>
        <v/>
      </c>
      <c r="N15" s="400">
        <f>D15+I15+K15</f>
        <v/>
      </c>
      <c r="O15" s="400">
        <f>L15-M15+N15</f>
        <v/>
      </c>
      <c r="P15" s="427" t="n"/>
      <c r="Q15" s="427" t="n"/>
      <c r="R15" s="400">
        <f>L15-P15</f>
        <v/>
      </c>
      <c r="S15" s="400">
        <f>O15-Q15</f>
        <v/>
      </c>
      <c r="T15" s="400" t="n"/>
      <c r="U15" s="400" t="n"/>
      <c r="V15" s="425" t="n"/>
      <c r="W15" s="426" t="n"/>
      <c r="X15" s="425" t="n"/>
      <c r="Y15" s="425" t="n"/>
      <c r="Z15" s="425" t="n"/>
      <c r="AA15" s="49" t="n"/>
    </row>
    <row r="16" ht="19.95" customHeight="1" s="364">
      <c r="A16" s="435">
        <f>'明细表L5-2'!A15</f>
        <v/>
      </c>
      <c r="B16" s="425" t="n"/>
      <c r="C16" s="425" t="n"/>
      <c r="D16" s="425" t="n"/>
      <c r="E16" s="400">
        <f>B16-C16+D16</f>
        <v/>
      </c>
      <c r="F16" s="426" t="n"/>
      <c r="G16" s="426" t="n"/>
      <c r="H16" s="426" t="n"/>
      <c r="I16" s="426" t="n"/>
      <c r="J16" s="426" t="n"/>
      <c r="K16" s="426" t="n"/>
      <c r="L16" s="400">
        <f>B16+F16+G16</f>
        <v/>
      </c>
      <c r="M16" s="400">
        <f>C16+H16+J16</f>
        <v/>
      </c>
      <c r="N16" s="400">
        <f>D16+I16+K16</f>
        <v/>
      </c>
      <c r="O16" s="400">
        <f>L16-M16+N16</f>
        <v/>
      </c>
      <c r="P16" s="427" t="n"/>
      <c r="Q16" s="427" t="n"/>
      <c r="R16" s="400">
        <f>L16-P16</f>
        <v/>
      </c>
      <c r="S16" s="400">
        <f>O16-Q16</f>
        <v/>
      </c>
      <c r="T16" s="400" t="n"/>
      <c r="U16" s="400" t="n"/>
      <c r="V16" s="425" t="n"/>
      <c r="W16" s="426" t="n"/>
      <c r="X16" s="425" t="n"/>
      <c r="Y16" s="425" t="n"/>
      <c r="Z16" s="425" t="n"/>
      <c r="AA16" s="49" t="n"/>
    </row>
    <row r="17" ht="19.95" customFormat="1" customHeight="1" s="265">
      <c r="A17" s="262" t="inlineStr">
        <is>
          <t>小计</t>
        </is>
      </c>
      <c r="B17" s="428">
        <f>SUM(B12:B16)</f>
        <v/>
      </c>
      <c r="C17" s="428">
        <f>SUM(C12:C16)</f>
        <v/>
      </c>
      <c r="D17" s="428">
        <f>SUM(D12:D16)</f>
        <v/>
      </c>
      <c r="E17" s="428">
        <f>SUM(E12:E16)</f>
        <v/>
      </c>
      <c r="F17" s="428">
        <f>SUM(F12:F16)</f>
        <v/>
      </c>
      <c r="G17" s="428">
        <f>SUM(G12:G16)</f>
        <v/>
      </c>
      <c r="H17" s="428">
        <f>SUM(H12:H16)</f>
        <v/>
      </c>
      <c r="I17" s="428">
        <f>SUM(I12:I16)</f>
        <v/>
      </c>
      <c r="J17" s="428">
        <f>SUM(J12:J16)</f>
        <v/>
      </c>
      <c r="K17" s="428">
        <f>SUM(K12:K16)</f>
        <v/>
      </c>
      <c r="L17" s="428">
        <f>SUM(L12:L16)</f>
        <v/>
      </c>
      <c r="M17" s="428">
        <f>SUM(M12:M16)</f>
        <v/>
      </c>
      <c r="N17" s="428">
        <f>SUM(N12:N16)</f>
        <v/>
      </c>
      <c r="O17" s="428">
        <f>SUM(O12:O16)</f>
        <v/>
      </c>
      <c r="P17" s="428">
        <f>SUM(P12:P16)</f>
        <v/>
      </c>
      <c r="Q17" s="428">
        <f>SUM(Q12:Q16)</f>
        <v/>
      </c>
      <c r="R17" s="428">
        <f>SUM(R12:R16)</f>
        <v/>
      </c>
      <c r="S17" s="428">
        <f>SUM(S12:S16)</f>
        <v/>
      </c>
      <c r="T17" s="428" t="n"/>
      <c r="U17" s="428" t="n"/>
      <c r="V17" s="428">
        <f>SUM(V12:V16)</f>
        <v/>
      </c>
      <c r="W17" s="428">
        <f>SUM(W12:W16)</f>
        <v/>
      </c>
      <c r="X17" s="428">
        <f>SUM(X12:X16)</f>
        <v/>
      </c>
      <c r="Y17" s="428">
        <f>SUM(Y12:Y16)</f>
        <v/>
      </c>
      <c r="Z17" s="436" t="n"/>
      <c r="AA17" s="264" t="n"/>
    </row>
    <row r="18" ht="19.95" customHeight="1" s="364">
      <c r="A18" s="112" t="inlineStr">
        <is>
          <t>分期付款方式购入固定资产</t>
        </is>
      </c>
      <c r="B18" s="430" t="n"/>
      <c r="C18" s="430" t="n"/>
      <c r="D18" s="430" t="n"/>
      <c r="E18" s="430" t="n"/>
      <c r="F18" s="430" t="n"/>
      <c r="G18" s="430" t="n"/>
      <c r="H18" s="430" t="n"/>
      <c r="I18" s="430" t="n"/>
      <c r="J18" s="430" t="n"/>
      <c r="K18" s="430" t="n"/>
      <c r="L18" s="430" t="n"/>
      <c r="M18" s="430" t="n"/>
      <c r="N18" s="430" t="n"/>
      <c r="O18" s="430" t="n"/>
      <c r="P18" s="430" t="n"/>
      <c r="Q18" s="430" t="n"/>
      <c r="R18" s="430" t="n"/>
      <c r="S18" s="430" t="n"/>
      <c r="T18" s="430" t="n"/>
      <c r="U18" s="430" t="n"/>
      <c r="V18" s="430" t="n"/>
      <c r="W18" s="430" t="n"/>
      <c r="X18" s="430" t="n"/>
      <c r="Y18" s="430" t="n"/>
      <c r="Z18" s="430" t="n"/>
      <c r="AA18" s="127" t="n"/>
    </row>
    <row r="19" ht="19.95" customHeight="1" s="364">
      <c r="A19" s="435">
        <f>'明细表L5-2'!A18</f>
        <v/>
      </c>
      <c r="B19" s="431" t="n"/>
      <c r="C19" s="431" t="n"/>
      <c r="D19" s="431" t="n"/>
      <c r="E19" s="400">
        <f>B19-C19+D19</f>
        <v/>
      </c>
      <c r="F19" s="426" t="n"/>
      <c r="G19" s="426" t="n"/>
      <c r="H19" s="426" t="n"/>
      <c r="I19" s="426" t="n"/>
      <c r="J19" s="426" t="n"/>
      <c r="K19" s="426" t="n"/>
      <c r="L19" s="400">
        <f>B19+F19+G19</f>
        <v/>
      </c>
      <c r="M19" s="400">
        <f>C19+H19+J19</f>
        <v/>
      </c>
      <c r="N19" s="400">
        <f>D19+I19+K19</f>
        <v/>
      </c>
      <c r="O19" s="400">
        <f>L19-M19+N19</f>
        <v/>
      </c>
      <c r="P19" s="427" t="n"/>
      <c r="Q19" s="427" t="n"/>
      <c r="R19" s="400">
        <f>L19-P19</f>
        <v/>
      </c>
      <c r="S19" s="400">
        <f>O19-Q19</f>
        <v/>
      </c>
      <c r="T19" s="400" t="n"/>
      <c r="U19" s="400" t="n"/>
      <c r="V19" s="425" t="n"/>
      <c r="W19" s="426" t="n"/>
      <c r="X19" s="425" t="n"/>
      <c r="Y19" s="425" t="n"/>
      <c r="Z19" s="425" t="n"/>
      <c r="AA19" s="49" t="n"/>
    </row>
    <row r="20" ht="19.95" customHeight="1" s="364">
      <c r="A20" s="435">
        <f>'明细表L5-2'!A19</f>
        <v/>
      </c>
      <c r="B20" s="431" t="n"/>
      <c r="C20" s="431" t="n"/>
      <c r="D20" s="431" t="n"/>
      <c r="E20" s="400">
        <f>B20-C20+D20</f>
        <v/>
      </c>
      <c r="F20" s="426" t="n"/>
      <c r="G20" s="426" t="n"/>
      <c r="H20" s="426" t="n"/>
      <c r="I20" s="426" t="n"/>
      <c r="J20" s="426" t="n"/>
      <c r="K20" s="426" t="n"/>
      <c r="L20" s="400">
        <f>B20+F20+G20</f>
        <v/>
      </c>
      <c r="M20" s="400">
        <f>C20+H20+J20</f>
        <v/>
      </c>
      <c r="N20" s="400">
        <f>D20+I20+K20</f>
        <v/>
      </c>
      <c r="O20" s="400">
        <f>L20-M20+N20</f>
        <v/>
      </c>
      <c r="P20" s="427" t="n"/>
      <c r="Q20" s="427" t="n"/>
      <c r="R20" s="400">
        <f>L20-P20</f>
        <v/>
      </c>
      <c r="S20" s="400">
        <f>O20-Q20</f>
        <v/>
      </c>
      <c r="T20" s="400" t="n"/>
      <c r="U20" s="400" t="n"/>
      <c r="V20" s="425" t="n"/>
      <c r="W20" s="426" t="n"/>
      <c r="X20" s="425" t="n"/>
      <c r="Y20" s="425" t="n"/>
      <c r="Z20" s="425" t="n"/>
      <c r="AA20" s="49" t="n"/>
    </row>
    <row r="21" ht="19.95" customHeight="1" s="364">
      <c r="A21" s="435">
        <f>'明细表L5-2'!A20</f>
        <v/>
      </c>
      <c r="B21" s="431" t="n"/>
      <c r="C21" s="431" t="n"/>
      <c r="D21" s="431" t="n"/>
      <c r="E21" s="400">
        <f>B21-C21+D21</f>
        <v/>
      </c>
      <c r="F21" s="426" t="n"/>
      <c r="G21" s="426" t="n"/>
      <c r="H21" s="426" t="n"/>
      <c r="I21" s="426" t="n"/>
      <c r="J21" s="426" t="n"/>
      <c r="K21" s="426" t="n"/>
      <c r="L21" s="400">
        <f>B21+F21+G21</f>
        <v/>
      </c>
      <c r="M21" s="400">
        <f>C21+H21+J21</f>
        <v/>
      </c>
      <c r="N21" s="400">
        <f>D21+I21+K21</f>
        <v/>
      </c>
      <c r="O21" s="400">
        <f>L21-M21+N21</f>
        <v/>
      </c>
      <c r="P21" s="427" t="n"/>
      <c r="Q21" s="427" t="n"/>
      <c r="R21" s="400">
        <f>L21-P21</f>
        <v/>
      </c>
      <c r="S21" s="400">
        <f>O21-Q21</f>
        <v/>
      </c>
      <c r="T21" s="400" t="n"/>
      <c r="U21" s="400" t="n"/>
      <c r="V21" s="425" t="n"/>
      <c r="W21" s="426" t="n"/>
      <c r="X21" s="425" t="n"/>
      <c r="Y21" s="425" t="n"/>
      <c r="Z21" s="425" t="n"/>
      <c r="AA21" s="49" t="n"/>
    </row>
    <row r="22" ht="19.95" customHeight="1" s="364">
      <c r="A22" s="435">
        <f>'明细表L5-2'!A21</f>
        <v/>
      </c>
      <c r="B22" s="431" t="n"/>
      <c r="C22" s="431" t="n"/>
      <c r="D22" s="431" t="n"/>
      <c r="E22" s="400">
        <f>B22-C22+D22</f>
        <v/>
      </c>
      <c r="F22" s="426" t="n"/>
      <c r="G22" s="426" t="n"/>
      <c r="H22" s="426" t="n"/>
      <c r="I22" s="426" t="n"/>
      <c r="J22" s="426" t="n"/>
      <c r="K22" s="426" t="n"/>
      <c r="L22" s="400">
        <f>B22+F22+G22</f>
        <v/>
      </c>
      <c r="M22" s="400">
        <f>C22+H22+J22</f>
        <v/>
      </c>
      <c r="N22" s="400">
        <f>D22+I22+K22</f>
        <v/>
      </c>
      <c r="O22" s="400">
        <f>L22-M22+N22</f>
        <v/>
      </c>
      <c r="P22" s="427" t="n"/>
      <c r="Q22" s="427" t="n"/>
      <c r="R22" s="400">
        <f>L22-P22</f>
        <v/>
      </c>
      <c r="S22" s="400">
        <f>O22-Q22</f>
        <v/>
      </c>
      <c r="T22" s="400" t="n"/>
      <c r="U22" s="400" t="n"/>
      <c r="V22" s="425" t="n"/>
      <c r="W22" s="426" t="n"/>
      <c r="X22" s="425" t="n"/>
      <c r="Y22" s="425" t="n"/>
      <c r="Z22" s="425" t="n"/>
      <c r="AA22" s="49" t="n"/>
    </row>
    <row r="23" ht="19.95" customHeight="1" s="364">
      <c r="A23" s="435">
        <f>'明细表L5-2'!A22</f>
        <v/>
      </c>
      <c r="B23" s="431" t="n"/>
      <c r="C23" s="431" t="n"/>
      <c r="D23" s="431" t="n"/>
      <c r="E23" s="400">
        <f>B23-C23+D23</f>
        <v/>
      </c>
      <c r="F23" s="426" t="n"/>
      <c r="G23" s="426" t="n"/>
      <c r="H23" s="426" t="n"/>
      <c r="I23" s="426" t="n"/>
      <c r="J23" s="426" t="n"/>
      <c r="K23" s="426" t="n"/>
      <c r="L23" s="400">
        <f>B23+F23+G23</f>
        <v/>
      </c>
      <c r="M23" s="400">
        <f>C23+H23+J23</f>
        <v/>
      </c>
      <c r="N23" s="400">
        <f>D23+I23+K23</f>
        <v/>
      </c>
      <c r="O23" s="400">
        <f>L23-M23+N23</f>
        <v/>
      </c>
      <c r="P23" s="427" t="n"/>
      <c r="Q23" s="427" t="n"/>
      <c r="R23" s="400">
        <f>L23-P23</f>
        <v/>
      </c>
      <c r="S23" s="400">
        <f>O23-Q23</f>
        <v/>
      </c>
      <c r="T23" s="400" t="n"/>
      <c r="U23" s="400" t="n"/>
      <c r="V23" s="425" t="n"/>
      <c r="W23" s="426" t="n"/>
      <c r="X23" s="425" t="n"/>
      <c r="Y23" s="425" t="n"/>
      <c r="Z23" s="425" t="n"/>
      <c r="AA23" s="49" t="n"/>
    </row>
    <row r="24" ht="19.95" customFormat="1" customHeight="1" s="265">
      <c r="A24" s="262" t="inlineStr">
        <is>
          <t>小计</t>
        </is>
      </c>
      <c r="B24" s="428">
        <f>SUM(B19:B23)</f>
        <v/>
      </c>
      <c r="C24" s="428">
        <f>SUM(C19:C23)</f>
        <v/>
      </c>
      <c r="D24" s="428">
        <f>SUM(D19:D23)</f>
        <v/>
      </c>
      <c r="E24" s="428">
        <f>SUM(E19:E23)</f>
        <v/>
      </c>
      <c r="F24" s="428">
        <f>SUM(F19:F23)</f>
        <v/>
      </c>
      <c r="G24" s="428">
        <f>SUM(G19:G23)</f>
        <v/>
      </c>
      <c r="H24" s="428">
        <f>SUM(H19:H23)</f>
        <v/>
      </c>
      <c r="I24" s="428">
        <f>SUM(I19:I23)</f>
        <v/>
      </c>
      <c r="J24" s="428">
        <f>SUM(J19:J23)</f>
        <v/>
      </c>
      <c r="K24" s="428">
        <f>SUM(K19:K23)</f>
        <v/>
      </c>
      <c r="L24" s="428">
        <f>SUM(L19:L23)</f>
        <v/>
      </c>
      <c r="M24" s="428">
        <f>SUM(M19:M23)</f>
        <v/>
      </c>
      <c r="N24" s="428">
        <f>SUM(N19:N23)</f>
        <v/>
      </c>
      <c r="O24" s="428">
        <f>SUM(O19:O23)</f>
        <v/>
      </c>
      <c r="P24" s="428">
        <f>SUM(P19:P23)</f>
        <v/>
      </c>
      <c r="Q24" s="428">
        <f>SUM(Q19:Q23)</f>
        <v/>
      </c>
      <c r="R24" s="428">
        <f>SUM(R19:R23)</f>
        <v/>
      </c>
      <c r="S24" s="428">
        <f>SUM(S19:S23)</f>
        <v/>
      </c>
      <c r="T24" s="428" t="n"/>
      <c r="U24" s="428" t="n"/>
      <c r="V24" s="428">
        <f>SUM(V19:V23)</f>
        <v/>
      </c>
      <c r="W24" s="428">
        <f>SUM(W19:W23)</f>
        <v/>
      </c>
      <c r="X24" s="428">
        <f>SUM(X19:X23)</f>
        <v/>
      </c>
      <c r="Y24" s="428">
        <f>SUM(Y19:Y23)</f>
        <v/>
      </c>
      <c r="Z24" s="436" t="n"/>
      <c r="AA24" s="266" t="n"/>
    </row>
    <row r="25" ht="19.95" customHeight="1" s="364">
      <c r="A25" s="115">
        <f>'明细表L5-2'!A24</f>
        <v/>
      </c>
      <c r="B25" s="432" t="n"/>
      <c r="C25" s="432" t="n"/>
      <c r="D25" s="432" t="n"/>
      <c r="E25" s="400">
        <f>B25-C25+D25</f>
        <v/>
      </c>
      <c r="F25" s="432" t="n"/>
      <c r="G25" s="432" t="n"/>
      <c r="H25" s="432" t="n"/>
      <c r="I25" s="437" t="n"/>
      <c r="J25" s="432" t="n"/>
      <c r="K25" s="437" t="n"/>
      <c r="L25" s="400">
        <f>B25+F25+G25</f>
        <v/>
      </c>
      <c r="M25" s="400">
        <f>C25+H25+J25</f>
        <v/>
      </c>
      <c r="N25" s="400">
        <f>D25+I25+K25</f>
        <v/>
      </c>
      <c r="O25" s="400">
        <f>L25-M25+N25</f>
        <v/>
      </c>
      <c r="P25" s="427" t="n"/>
      <c r="Q25" s="427" t="n"/>
      <c r="R25" s="400">
        <f>L25-P25</f>
        <v/>
      </c>
      <c r="S25" s="400">
        <f>O25-Q25</f>
        <v/>
      </c>
      <c r="T25" s="400" t="n"/>
      <c r="U25" s="400" t="n"/>
      <c r="V25" s="425" t="n"/>
      <c r="W25" s="426" t="n"/>
      <c r="X25" s="425" t="n"/>
      <c r="Y25" s="425" t="n"/>
      <c r="Z25" s="433" t="n"/>
      <c r="AA25" s="128" t="n"/>
    </row>
    <row r="26" ht="19.95" customFormat="1" customHeight="1" s="265">
      <c r="A26" s="262" t="inlineStr">
        <is>
          <t>合计</t>
        </is>
      </c>
      <c r="B26" s="428">
        <f>SUM(B17,B24,B25)</f>
        <v/>
      </c>
      <c r="C26" s="428">
        <f>SUM(C17,C24,C25)</f>
        <v/>
      </c>
      <c r="D26" s="428">
        <f>SUM(D17,D24,D25)</f>
        <v/>
      </c>
      <c r="E26" s="428">
        <f>SUM(E17,E24,E25)</f>
        <v/>
      </c>
      <c r="F26" s="428">
        <f>SUM(F17,F24,F25)</f>
        <v/>
      </c>
      <c r="G26" s="428">
        <f>SUM(G17,G24,G25)</f>
        <v/>
      </c>
      <c r="H26" s="428">
        <f>SUM(H17,H24,H25)</f>
        <v/>
      </c>
      <c r="I26" s="428">
        <f>SUM(I17,I24,I25)</f>
        <v/>
      </c>
      <c r="J26" s="428">
        <f>SUM(J17,J24,J25)</f>
        <v/>
      </c>
      <c r="K26" s="428">
        <f>SUM(K17,K24,K25)</f>
        <v/>
      </c>
      <c r="L26" s="428">
        <f>SUM(L17,L24,L25)</f>
        <v/>
      </c>
      <c r="M26" s="428">
        <f>SUM(M17,M24,M25)</f>
        <v/>
      </c>
      <c r="N26" s="428">
        <f>SUM(N17,N24,N25)</f>
        <v/>
      </c>
      <c r="O26" s="428">
        <f>SUM(O17,O24,O25)</f>
        <v/>
      </c>
      <c r="P26" s="428">
        <f>SUM(P17,P24,P25)</f>
        <v/>
      </c>
      <c r="Q26" s="428">
        <f>SUM(Q17,Q24,Q25)</f>
        <v/>
      </c>
      <c r="R26" s="428">
        <f>SUM(R17,R24,R25)</f>
        <v/>
      </c>
      <c r="S26" s="428">
        <f>SUM(S17,S24,S25)</f>
        <v/>
      </c>
      <c r="T26" s="428" t="n"/>
      <c r="U26" s="428" t="n"/>
      <c r="V26" s="428">
        <f>SUM(V17,V24,V25)</f>
        <v/>
      </c>
      <c r="W26" s="428">
        <f>SUM(W17,W24,W25)</f>
        <v/>
      </c>
      <c r="X26" s="428">
        <f>SUM(X17,X24,X25)</f>
        <v/>
      </c>
      <c r="Y26" s="428">
        <f>SUM(Y17,Y24,Y25)</f>
        <v/>
      </c>
      <c r="Z26" s="436" t="n"/>
      <c r="AA26" s="264" t="n"/>
    </row>
    <row r="27" ht="19.95" customFormat="1" customHeight="1" s="122">
      <c r="A27" s="54" t="inlineStr">
        <is>
          <t>三、审计说明：</t>
        </is>
      </c>
      <c r="B27" s="117" t="n"/>
      <c r="C27" s="117" t="n"/>
      <c r="D27" s="117" t="n"/>
      <c r="E27" s="117" t="n"/>
      <c r="F27" s="117" t="n"/>
      <c r="G27" s="118" t="n"/>
      <c r="H27" s="118" t="n"/>
      <c r="I27" s="118" t="n"/>
      <c r="J27" s="118" t="n"/>
      <c r="K27" s="118" t="n"/>
      <c r="L27" s="118" t="n"/>
      <c r="M27" s="118" t="n"/>
      <c r="N27" s="118" t="n"/>
      <c r="O27" s="118" t="n"/>
      <c r="P27" s="118" t="n"/>
      <c r="Q27" s="118" t="n"/>
      <c r="R27" s="118" t="n"/>
      <c r="S27" s="118" t="n"/>
      <c r="T27" s="118" t="n"/>
      <c r="U27" s="118" t="n"/>
      <c r="V27" s="118" t="n"/>
      <c r="W27" s="118" t="n"/>
      <c r="X27" s="118" t="n"/>
      <c r="Y27" s="118" t="n"/>
      <c r="Z27" s="118" t="n"/>
      <c r="AA27" s="118" t="n"/>
    </row>
    <row r="28" ht="19.95" customFormat="1" customHeight="1" s="122">
      <c r="A28" s="55" t="n"/>
      <c r="B28" s="70" t="n"/>
      <c r="C28" s="70" t="n"/>
      <c r="D28" s="70" t="n"/>
      <c r="E28" s="70" t="n"/>
      <c r="F28" s="70" t="n"/>
      <c r="I28" s="122" t="n"/>
      <c r="K28" s="122" t="n"/>
    </row>
    <row r="29" ht="19.95" customFormat="1" customHeight="1" s="122">
      <c r="A29" s="55" t="inlineStr">
        <is>
          <t>四、审计结论：</t>
        </is>
      </c>
      <c r="B29" s="70" t="n"/>
      <c r="C29" s="70" t="n"/>
      <c r="D29" s="70" t="n"/>
      <c r="E29" s="70" t="n"/>
      <c r="F29" s="70" t="n"/>
      <c r="I29" s="122" t="n"/>
      <c r="K29" s="122" t="n"/>
    </row>
    <row r="30" ht="19.95" customFormat="1" customHeight="1" s="122">
      <c r="A30" s="119" t="n"/>
      <c r="I30" s="122" t="n"/>
      <c r="K30" s="122" t="n"/>
    </row>
    <row r="31" ht="19.95" customFormat="1" customHeight="1" s="122">
      <c r="I31" s="122" t="n"/>
      <c r="K31" s="122" t="n"/>
    </row>
  </sheetData>
  <mergeCells count="18">
    <mergeCell ref="B9:E9"/>
    <mergeCell ref="Z9:Z10"/>
    <mergeCell ref="A2:O2"/>
    <mergeCell ref="P6:AA6"/>
    <mergeCell ref="AA9:AA10"/>
    <mergeCell ref="P2:X2"/>
    <mergeCell ref="B6:O6"/>
    <mergeCell ref="P1:X1"/>
    <mergeCell ref="T9:Y9"/>
    <mergeCell ref="A9:A10"/>
    <mergeCell ref="P9:P10"/>
    <mergeCell ref="Q9:Q10"/>
    <mergeCell ref="A1:O1"/>
    <mergeCell ref="L9:O9"/>
    <mergeCell ref="R9:S9"/>
    <mergeCell ref="H9:I9"/>
    <mergeCell ref="F9:G9"/>
    <mergeCell ref="J9:K9"/>
  </mergeCells>
  <dataValidations count="1">
    <dataValidation sqref="Z12:Z16 Z19:Z23" showDropDown="0" showInputMessage="1" showErrorMessage="1" allowBlank="1" type="list">
      <formula1>"关联方（合并范围内),关联方（合并范围外）,非关联方"</formula1>
    </dataValidation>
  </dataValidations>
  <hyperlinks>
    <hyperlink ref="AA3" location="底稿目录!A1" display="=底稿目录!F8"/>
  </hyperlinks>
  <pageMargins left="0.7086614173228351" right="0.7086614173228351" top="0.748031496062992" bottom="0.748031496062992" header="0.31496062992126" footer="0.31496062992126"/>
  <pageSetup orientation="landscape" paperSize="9" scale="83" fitToHeight="0" blackAndWhite="1"/>
  <headerFooter>
    <oddHeader/>
    <oddFooter>&amp;C&amp;P/&amp;N</oddFooter>
    <evenHeader/>
    <evenFooter/>
    <firstHeader/>
    <firstFooter/>
  </headerFooter>
  <colBreaks count="1" manualBreakCount="1">
    <brk id="15" min="0" max="32" man="1"/>
  </colBreaks>
</worksheet>
</file>

<file path=xl/worksheets/sheet8.xml><?xml version="1.0" encoding="utf-8"?>
<worksheet xmlns="http://schemas.openxmlformats.org/spreadsheetml/2006/main">
  <sheetPr codeName="Sheet10">
    <outlinePr summaryBelow="1" summaryRight="1"/>
    <pageSetUpPr/>
  </sheetPr>
  <dimension ref="A1:K23"/>
  <sheetViews>
    <sheetView view="pageBreakPreview" zoomScaleNormal="100" workbookViewId="0">
      <selection activeCell="A1" sqref="A1:J1"/>
    </sheetView>
  </sheetViews>
  <sheetFormatPr baseColWidth="8" defaultColWidth="9" defaultRowHeight="19.95" customHeight="1"/>
  <cols>
    <col width="20.59765625" customWidth="1" style="81" min="1" max="1"/>
    <col width="18.09765625" customWidth="1" style="81" min="2" max="2"/>
    <col width="9" customWidth="1" style="81" min="3" max="16384"/>
  </cols>
  <sheetData>
    <row r="1" ht="19.95" customHeight="1" s="364">
      <c r="A1" s="438" t="inlineStr">
        <is>
          <t>致同会计师事务所</t>
        </is>
      </c>
    </row>
    <row r="2" ht="19.95" customHeight="1" s="364">
      <c r="A2" s="439" t="inlineStr">
        <is>
          <t>长期应付款调整分录汇总表</t>
        </is>
      </c>
      <c r="K2" s="390" t="n"/>
    </row>
    <row r="3" ht="19.95" customHeight="1" s="364">
      <c r="A3" s="440" t="inlineStr">
        <is>
          <t>客户名称：</t>
        </is>
      </c>
      <c r="B3" s="440" t="n"/>
      <c r="C3" s="440" t="inlineStr">
        <is>
          <t>编制人：</t>
        </is>
      </c>
      <c r="D3" s="440" t="n"/>
      <c r="E3" s="440" t="n"/>
      <c r="F3" s="441" t="n"/>
      <c r="G3" s="440" t="inlineStr">
        <is>
          <t>编制日期：</t>
        </is>
      </c>
      <c r="H3" s="440" t="n"/>
      <c r="I3" s="441" t="inlineStr">
        <is>
          <t>索引：</t>
        </is>
      </c>
      <c r="J3" s="369">
        <f>底稿目录!F9</f>
        <v/>
      </c>
    </row>
    <row r="4" ht="19.95" customHeight="1" s="364">
      <c r="A4" s="440" t="inlineStr">
        <is>
          <t>截止日：202X年12月31日</t>
        </is>
      </c>
      <c r="B4" s="440" t="n"/>
      <c r="C4" s="440" t="inlineStr">
        <is>
          <t>复核人：</t>
        </is>
      </c>
      <c r="D4" s="440" t="n"/>
      <c r="E4" s="440" t="n"/>
      <c r="F4" s="441" t="n"/>
      <c r="G4" s="440" t="inlineStr">
        <is>
          <t>复核日期：</t>
        </is>
      </c>
      <c r="H4" s="440" t="n"/>
      <c r="I4" s="441" t="inlineStr">
        <is>
          <t>页次：</t>
        </is>
      </c>
      <c r="J4" s="441" t="n"/>
    </row>
    <row r="5" ht="30" customFormat="1" customHeight="1" s="80">
      <c r="A5" s="84" t="inlineStr">
        <is>
          <t>调整事项说明</t>
        </is>
      </c>
      <c r="B5" s="85" t="inlineStr">
        <is>
          <t>类别（报表调整/账项调整/其他）</t>
        </is>
      </c>
      <c r="C5" s="86" t="inlineStr">
        <is>
          <t>报表项目</t>
        </is>
      </c>
      <c r="D5" s="442" t="inlineStr">
        <is>
          <t>科目名称</t>
        </is>
      </c>
      <c r="E5" s="442" t="inlineStr">
        <is>
          <t>附注项目</t>
        </is>
      </c>
      <c r="F5" s="443" t="inlineStr">
        <is>
          <t>……</t>
        </is>
      </c>
      <c r="G5" s="442" t="inlineStr">
        <is>
          <t>借方调整金额</t>
        </is>
      </c>
      <c r="H5" s="442" t="inlineStr">
        <is>
          <t>贷方调整金额</t>
        </is>
      </c>
      <c r="I5" s="442" t="inlineStr">
        <is>
          <t>索引</t>
        </is>
      </c>
      <c r="J5" s="442" t="inlineStr">
        <is>
          <t>备注</t>
        </is>
      </c>
    </row>
    <row r="6" ht="19.95" customHeight="1" s="364">
      <c r="A6" s="89" t="n"/>
      <c r="B6" s="90" t="n"/>
      <c r="C6" s="90" t="n"/>
      <c r="D6" s="90" t="n"/>
      <c r="E6" s="90" t="n"/>
      <c r="F6" s="91" t="n"/>
      <c r="G6" s="444" t="n"/>
      <c r="H6" s="444" t="n"/>
      <c r="I6" s="90" t="n"/>
      <c r="J6" s="90" t="n"/>
    </row>
    <row r="7" ht="19.95" customHeight="1" s="364">
      <c r="A7" s="89" t="n"/>
      <c r="B7" s="90" t="n"/>
      <c r="C7" s="90" t="n"/>
      <c r="D7" s="90" t="n"/>
      <c r="E7" s="90" t="n"/>
      <c r="F7" s="91" t="n"/>
      <c r="G7" s="444" t="n"/>
      <c r="H7" s="444" t="n"/>
      <c r="I7" s="90" t="n"/>
      <c r="J7" s="90" t="n"/>
    </row>
    <row r="8" ht="19.95" customHeight="1" s="364">
      <c r="A8" s="93" t="n"/>
      <c r="B8" s="90" t="n"/>
      <c r="C8" s="94" t="n"/>
      <c r="D8" s="94" t="n"/>
      <c r="E8" s="94" t="n"/>
      <c r="F8" s="91" t="n"/>
      <c r="G8" s="444" t="n"/>
      <c r="H8" s="444" t="n"/>
      <c r="I8" s="90" t="n"/>
      <c r="J8" s="94" t="n"/>
    </row>
    <row r="9" ht="19.95" customHeight="1" s="364">
      <c r="A9" s="89" t="n"/>
      <c r="B9" s="90" t="n"/>
      <c r="C9" s="90" t="n"/>
      <c r="D9" s="90" t="n"/>
      <c r="E9" s="90" t="n"/>
      <c r="F9" s="91" t="n"/>
      <c r="G9" s="444" t="n"/>
      <c r="H9" s="444" t="n"/>
      <c r="I9" s="90" t="n"/>
      <c r="J9" s="90" t="n"/>
    </row>
    <row r="10" ht="19.95" customHeight="1" s="364">
      <c r="A10" s="89" t="n"/>
      <c r="B10" s="90" t="n"/>
      <c r="C10" s="90" t="n"/>
      <c r="D10" s="90" t="n"/>
      <c r="E10" s="90" t="n"/>
      <c r="F10" s="91" t="n"/>
      <c r="G10" s="444" t="n"/>
      <c r="H10" s="444" t="n"/>
      <c r="I10" s="90" t="n"/>
      <c r="J10" s="90" t="n"/>
    </row>
    <row r="11" ht="19.95" customHeight="1" s="364">
      <c r="A11" s="95" t="n"/>
      <c r="B11" s="90" t="n"/>
      <c r="C11" s="90" t="n"/>
      <c r="D11" s="90" t="n"/>
      <c r="E11" s="90" t="n"/>
      <c r="F11" s="91" t="n"/>
      <c r="G11" s="444" t="n"/>
      <c r="H11" s="444" t="n"/>
      <c r="I11" s="90" t="n"/>
      <c r="J11" s="90" t="n"/>
    </row>
    <row r="12" ht="19.95" customHeight="1" s="364">
      <c r="A12" s="89" t="n"/>
      <c r="B12" s="90" t="n"/>
      <c r="C12" s="90" t="n"/>
      <c r="D12" s="90" t="n"/>
      <c r="E12" s="90" t="n"/>
      <c r="F12" s="91" t="n"/>
      <c r="G12" s="444" t="n"/>
      <c r="H12" s="444" t="n"/>
      <c r="I12" s="90" t="n"/>
      <c r="J12" s="90" t="n"/>
    </row>
    <row r="13" ht="19.95" customHeight="1" s="364">
      <c r="A13" s="89" t="n"/>
      <c r="B13" s="90" t="n"/>
      <c r="C13" s="90" t="n"/>
      <c r="D13" s="90" t="n"/>
      <c r="E13" s="90" t="n"/>
      <c r="F13" s="91" t="n"/>
      <c r="G13" s="444" t="n"/>
      <c r="H13" s="444" t="n"/>
      <c r="I13" s="90" t="n"/>
      <c r="J13" s="90" t="n"/>
    </row>
    <row r="14" ht="19.95" customHeight="1" s="364">
      <c r="A14" s="89" t="n"/>
      <c r="B14" s="90" t="n"/>
      <c r="C14" s="90" t="n"/>
      <c r="D14" s="90" t="n"/>
      <c r="E14" s="90" t="n"/>
      <c r="F14" s="91" t="n"/>
      <c r="G14" s="444" t="n"/>
      <c r="H14" s="444" t="n"/>
      <c r="I14" s="90" t="n"/>
      <c r="J14" s="90" t="n"/>
    </row>
    <row r="15" ht="19.95" customHeight="1" s="364">
      <c r="A15" s="89" t="n"/>
      <c r="B15" s="90" t="n"/>
      <c r="C15" s="90" t="n"/>
      <c r="D15" s="90" t="n"/>
      <c r="E15" s="90" t="n"/>
      <c r="F15" s="91" t="n"/>
      <c r="G15" s="444" t="n"/>
      <c r="H15" s="444" t="n"/>
      <c r="I15" s="90" t="n"/>
      <c r="J15" s="90" t="n"/>
    </row>
    <row r="16" ht="19.95" customHeight="1" s="364">
      <c r="A16" s="96" t="n"/>
      <c r="B16" s="90" t="n"/>
      <c r="C16" s="90" t="n"/>
      <c r="D16" s="90" t="n"/>
      <c r="E16" s="90" t="n"/>
      <c r="F16" s="91" t="n"/>
      <c r="G16" s="444" t="n"/>
      <c r="H16" s="444" t="n"/>
      <c r="I16" s="90" t="n"/>
      <c r="J16" s="90" t="n"/>
    </row>
    <row r="17" ht="19.95" customHeight="1" s="364">
      <c r="A17" s="96" t="n"/>
      <c r="B17" s="90" t="n"/>
      <c r="C17" s="90" t="n"/>
      <c r="D17" s="90" t="n"/>
      <c r="E17" s="90" t="n"/>
      <c r="F17" s="91" t="n"/>
      <c r="G17" s="444" t="n"/>
      <c r="H17" s="444" t="n"/>
      <c r="I17" s="90" t="n"/>
      <c r="J17" s="90" t="n"/>
    </row>
    <row r="18" ht="19.95" customHeight="1" s="364">
      <c r="A18" s="96" t="n"/>
      <c r="B18" s="90" t="n"/>
      <c r="C18" s="90" t="n"/>
      <c r="D18" s="90" t="n"/>
      <c r="E18" s="90" t="n"/>
      <c r="F18" s="91" t="n"/>
      <c r="G18" s="444" t="n"/>
      <c r="H18" s="444" t="n"/>
      <c r="I18" s="90" t="n"/>
      <c r="J18" s="90" t="n"/>
    </row>
    <row r="19" ht="19.95" customHeight="1" s="364">
      <c r="A19" s="96" t="n"/>
      <c r="B19" s="90" t="n"/>
      <c r="C19" s="90" t="n"/>
      <c r="D19" s="90" t="n"/>
      <c r="E19" s="90" t="n"/>
      <c r="F19" s="91" t="n"/>
      <c r="G19" s="444" t="n"/>
      <c r="H19" s="444" t="n"/>
      <c r="I19" s="90" t="n"/>
      <c r="J19" s="90" t="n"/>
    </row>
    <row r="20" ht="19.95" customHeight="1" s="364">
      <c r="A20" s="96" t="n"/>
      <c r="B20" s="90" t="n"/>
      <c r="C20" s="90" t="n"/>
      <c r="D20" s="90" t="n"/>
      <c r="E20" s="90" t="n"/>
      <c r="F20" s="91" t="n"/>
      <c r="G20" s="444" t="n"/>
      <c r="H20" s="444" t="n"/>
      <c r="I20" s="90" t="n"/>
      <c r="J20" s="90" t="n"/>
    </row>
    <row r="21" ht="19.95" customHeight="1" s="364">
      <c r="A21" s="445" t="n"/>
      <c r="B21" s="445" t="n"/>
      <c r="C21" s="446" t="n"/>
      <c r="D21" s="446" t="n"/>
      <c r="E21" s="446" t="n"/>
      <c r="F21" s="446" t="n"/>
      <c r="G21" s="447" t="n"/>
      <c r="H21" s="447" t="n"/>
      <c r="I21" s="446" t="n"/>
      <c r="J21" s="100" t="n"/>
    </row>
    <row r="22" ht="25.8" customHeight="1" s="364">
      <c r="A22" s="337" t="inlineStr">
        <is>
          <t>注：本底稿适用于调整分录较多、较复杂的项目，且仅列示与本报表项目相关的审计调整。项目组可根据项目实际情况选择是否使用该底稿。</t>
        </is>
      </c>
      <c r="B22" s="0" t="n"/>
      <c r="C22" s="0" t="n"/>
      <c r="D22" s="0" t="n"/>
      <c r="E22" s="0" t="n"/>
      <c r="F22" s="0" t="n"/>
      <c r="G22" s="0" t="n"/>
      <c r="H22" s="0" t="n"/>
      <c r="I22" s="0" t="n"/>
      <c r="J22" s="0" t="n"/>
    </row>
    <row r="23" ht="19.95" customHeight="1" s="364">
      <c r="A23" s="337" t="n"/>
      <c r="B23" s="0" t="n"/>
      <c r="C23" s="0" t="n"/>
      <c r="D23" s="0" t="n"/>
      <c r="E23" s="0" t="n"/>
      <c r="F23" s="0" t="n"/>
      <c r="G23" s="0" t="n"/>
      <c r="H23" s="0" t="n"/>
      <c r="I23" s="0" t="n"/>
      <c r="J23" s="0" t="n"/>
    </row>
  </sheetData>
  <mergeCells count="4">
    <mergeCell ref="A22:J22"/>
    <mergeCell ref="A1:J1"/>
    <mergeCell ref="A23:J23"/>
    <mergeCell ref="A2:J2"/>
  </mergeCells>
  <dataValidations count="1">
    <dataValidation sqref="B6:B20" showDropDown="0" showInputMessage="1" showErrorMessage="1" allowBlank="1" type="list">
      <formula1>"账项调整,报表调整,其他"</formula1>
    </dataValidation>
  </dataValidations>
  <hyperlinks>
    <hyperlink ref="J3" location="底稿目录!A1" display="=底稿目录!F9"/>
  </hyperlinks>
  <pageMargins left="0.7086614173228351" right="0.7086614173228351" top="0.748031496062992" bottom="0.748031496062992" header="0.31496062992126" footer="0.31496062992126"/>
  <pageSetup orientation="portrait" paperSize="9" scale="74"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12">
    <outlinePr summaryBelow="1" summaryRight="1"/>
    <pageSetUpPr fitToPage="1"/>
  </sheetPr>
  <dimension ref="A1:Q26"/>
  <sheetViews>
    <sheetView view="pageBreakPreview" zoomScaleNormal="100" workbookViewId="0">
      <selection activeCell="A1" sqref="A1:K1"/>
    </sheetView>
  </sheetViews>
  <sheetFormatPr baseColWidth="8" defaultColWidth="8.796875" defaultRowHeight="19.95" customHeight="1"/>
  <cols>
    <col width="9.296875" customWidth="1" style="69" min="1" max="1"/>
    <col width="13.3984375" customWidth="1" style="69" min="2" max="2"/>
    <col width="10.59765625" customWidth="1" style="69" min="3" max="4"/>
    <col width="12.3984375" customWidth="1" style="69" min="5" max="5"/>
    <col width="12.69921875" customWidth="1" style="69" min="6" max="6"/>
    <col width="12.19921875" customWidth="1" style="69" min="7" max="7"/>
    <col width="13.296875" customWidth="1" style="69" min="8" max="8"/>
    <col width="12.796875" customWidth="1" style="69" min="9" max="9"/>
    <col width="12.296875" customWidth="1" style="69" min="10" max="11"/>
    <col width="9" customWidth="1" style="69" min="12" max="253"/>
    <col hidden="1" width="8.796875" customWidth="1" style="69" min="254" max="254"/>
    <col width="4.5" customWidth="1" style="69" min="255" max="255"/>
    <col width="4.796875" customWidth="1" style="69" min="256" max="256"/>
    <col width="9.296875" customWidth="1" style="69" min="257" max="257"/>
    <col width="10.59765625" customWidth="1" style="69" min="258" max="259"/>
    <col width="8.59765625" customWidth="1" style="69" min="260" max="261"/>
    <col width="10.59765625" customWidth="1" style="69" min="262" max="263"/>
    <col width="11.09765625" customWidth="1" style="69" min="264" max="264"/>
    <col width="10.59765625" customWidth="1" style="69" min="265" max="266"/>
    <col width="12.59765625" customWidth="1" style="69" min="267" max="267"/>
    <col width="9" customWidth="1" style="69" min="268" max="509"/>
    <col hidden="1" width="8.796875" customWidth="1" style="69" min="510" max="510"/>
    <col width="4.5" customWidth="1" style="69" min="511" max="511"/>
    <col width="4.796875" customWidth="1" style="69" min="512" max="512"/>
    <col width="9.296875" customWidth="1" style="69" min="513" max="513"/>
    <col width="10.59765625" customWidth="1" style="69" min="514" max="515"/>
    <col width="8.59765625" customWidth="1" style="69" min="516" max="517"/>
    <col width="10.59765625" customWidth="1" style="69" min="518" max="519"/>
    <col width="11.09765625" customWidth="1" style="69" min="520" max="520"/>
    <col width="10.59765625" customWidth="1" style="69" min="521" max="522"/>
    <col width="12.59765625" customWidth="1" style="69" min="523" max="523"/>
    <col width="9" customWidth="1" style="69" min="524" max="765"/>
    <col hidden="1" width="8.796875" customWidth="1" style="69" min="766" max="766"/>
    <col width="4.5" customWidth="1" style="69" min="767" max="767"/>
    <col width="4.796875" customWidth="1" style="69" min="768" max="768"/>
    <col width="9.296875" customWidth="1" style="69" min="769" max="769"/>
    <col width="10.59765625" customWidth="1" style="69" min="770" max="771"/>
    <col width="8.59765625" customWidth="1" style="69" min="772" max="773"/>
    <col width="10.59765625" customWidth="1" style="69" min="774" max="775"/>
    <col width="11.09765625" customWidth="1" style="69" min="776" max="776"/>
    <col width="10.59765625" customWidth="1" style="69" min="777" max="778"/>
    <col width="12.59765625" customWidth="1" style="69" min="779" max="779"/>
    <col width="9" customWidth="1" style="69" min="780" max="1021"/>
    <col hidden="1" width="8.796875" customWidth="1" style="69" min="1022" max="1022"/>
    <col width="4.5" customWidth="1" style="69" min="1023" max="1023"/>
    <col width="4.796875" customWidth="1" style="69" min="1024" max="1024"/>
    <col width="9.296875" customWidth="1" style="69" min="1025" max="1025"/>
    <col width="10.59765625" customWidth="1" style="69" min="1026" max="1027"/>
    <col width="8.59765625" customWidth="1" style="69" min="1028" max="1029"/>
    <col width="10.59765625" customWidth="1" style="69" min="1030" max="1031"/>
    <col width="11.09765625" customWidth="1" style="69" min="1032" max="1032"/>
    <col width="10.59765625" customWidth="1" style="69" min="1033" max="1034"/>
    <col width="12.59765625" customWidth="1" style="69" min="1035" max="1035"/>
    <col width="9" customWidth="1" style="69" min="1036" max="1277"/>
    <col hidden="1" width="8.796875" customWidth="1" style="69" min="1278" max="1278"/>
    <col width="4.5" customWidth="1" style="69" min="1279" max="1279"/>
    <col width="4.796875" customWidth="1" style="69" min="1280" max="1280"/>
    <col width="9.296875" customWidth="1" style="69" min="1281" max="1281"/>
    <col width="10.59765625" customWidth="1" style="69" min="1282" max="1283"/>
    <col width="8.59765625" customWidth="1" style="69" min="1284" max="1285"/>
    <col width="10.59765625" customWidth="1" style="69" min="1286" max="1287"/>
    <col width="11.09765625" customWidth="1" style="69" min="1288" max="1288"/>
    <col width="10.59765625" customWidth="1" style="69" min="1289" max="1290"/>
    <col width="12.59765625" customWidth="1" style="69" min="1291" max="1291"/>
    <col width="9" customWidth="1" style="69" min="1292" max="1533"/>
    <col hidden="1" width="8.796875" customWidth="1" style="69" min="1534" max="1534"/>
    <col width="4.5" customWidth="1" style="69" min="1535" max="1535"/>
    <col width="4.796875" customWidth="1" style="69" min="1536" max="1536"/>
    <col width="9.296875" customWidth="1" style="69" min="1537" max="1537"/>
    <col width="10.59765625" customWidth="1" style="69" min="1538" max="1539"/>
    <col width="8.59765625" customWidth="1" style="69" min="1540" max="1541"/>
    <col width="10.59765625" customWidth="1" style="69" min="1542" max="1543"/>
    <col width="11.09765625" customWidth="1" style="69" min="1544" max="1544"/>
    <col width="10.59765625" customWidth="1" style="69" min="1545" max="1546"/>
    <col width="12.59765625" customWidth="1" style="69" min="1547" max="1547"/>
    <col width="9" customWidth="1" style="69" min="1548" max="1789"/>
    <col hidden="1" width="8.796875" customWidth="1" style="69" min="1790" max="1790"/>
    <col width="4.5" customWidth="1" style="69" min="1791" max="1791"/>
    <col width="4.796875" customWidth="1" style="69" min="1792" max="1792"/>
    <col width="9.296875" customWidth="1" style="69" min="1793" max="1793"/>
    <col width="10.59765625" customWidth="1" style="69" min="1794" max="1795"/>
    <col width="8.59765625" customWidth="1" style="69" min="1796" max="1797"/>
    <col width="10.59765625" customWidth="1" style="69" min="1798" max="1799"/>
    <col width="11.09765625" customWidth="1" style="69" min="1800" max="1800"/>
    <col width="10.59765625" customWidth="1" style="69" min="1801" max="1802"/>
    <col width="12.59765625" customWidth="1" style="69" min="1803" max="1803"/>
    <col width="9" customWidth="1" style="69" min="1804" max="2045"/>
    <col hidden="1" width="8.796875" customWidth="1" style="69" min="2046" max="2046"/>
    <col width="4.5" customWidth="1" style="69" min="2047" max="2047"/>
    <col width="4.796875" customWidth="1" style="69" min="2048" max="2048"/>
    <col width="9.296875" customWidth="1" style="69" min="2049" max="2049"/>
    <col width="10.59765625" customWidth="1" style="69" min="2050" max="2051"/>
    <col width="8.59765625" customWidth="1" style="69" min="2052" max="2053"/>
    <col width="10.59765625" customWidth="1" style="69" min="2054" max="2055"/>
    <col width="11.09765625" customWidth="1" style="69" min="2056" max="2056"/>
    <col width="10.59765625" customWidth="1" style="69" min="2057" max="2058"/>
    <col width="12.59765625" customWidth="1" style="69" min="2059" max="2059"/>
    <col width="9" customWidth="1" style="69" min="2060" max="2301"/>
    <col hidden="1" width="8.796875" customWidth="1" style="69" min="2302" max="2302"/>
    <col width="4.5" customWidth="1" style="69" min="2303" max="2303"/>
    <col width="4.796875" customWidth="1" style="69" min="2304" max="2304"/>
    <col width="9.296875" customWidth="1" style="69" min="2305" max="2305"/>
    <col width="10.59765625" customWidth="1" style="69" min="2306" max="2307"/>
    <col width="8.59765625" customWidth="1" style="69" min="2308" max="2309"/>
    <col width="10.59765625" customWidth="1" style="69" min="2310" max="2311"/>
    <col width="11.09765625" customWidth="1" style="69" min="2312" max="2312"/>
    <col width="10.59765625" customWidth="1" style="69" min="2313" max="2314"/>
    <col width="12.59765625" customWidth="1" style="69" min="2315" max="2315"/>
    <col width="9" customWidth="1" style="69" min="2316" max="2557"/>
    <col hidden="1" width="8.796875" customWidth="1" style="69" min="2558" max="2558"/>
    <col width="4.5" customWidth="1" style="69" min="2559" max="2559"/>
    <col width="4.796875" customWidth="1" style="69" min="2560" max="2560"/>
    <col width="9.296875" customWidth="1" style="69" min="2561" max="2561"/>
    <col width="10.59765625" customWidth="1" style="69" min="2562" max="2563"/>
    <col width="8.59765625" customWidth="1" style="69" min="2564" max="2565"/>
    <col width="10.59765625" customWidth="1" style="69" min="2566" max="2567"/>
    <col width="11.09765625" customWidth="1" style="69" min="2568" max="2568"/>
    <col width="10.59765625" customWidth="1" style="69" min="2569" max="2570"/>
    <col width="12.59765625" customWidth="1" style="69" min="2571" max="2571"/>
    <col width="9" customWidth="1" style="69" min="2572" max="2813"/>
    <col hidden="1" width="8.796875" customWidth="1" style="69" min="2814" max="2814"/>
    <col width="4.5" customWidth="1" style="69" min="2815" max="2815"/>
    <col width="4.796875" customWidth="1" style="69" min="2816" max="2816"/>
    <col width="9.296875" customWidth="1" style="69" min="2817" max="2817"/>
    <col width="10.59765625" customWidth="1" style="69" min="2818" max="2819"/>
    <col width="8.59765625" customWidth="1" style="69" min="2820" max="2821"/>
    <col width="10.59765625" customWidth="1" style="69" min="2822" max="2823"/>
    <col width="11.09765625" customWidth="1" style="69" min="2824" max="2824"/>
    <col width="10.59765625" customWidth="1" style="69" min="2825" max="2826"/>
    <col width="12.59765625" customWidth="1" style="69" min="2827" max="2827"/>
    <col width="9" customWidth="1" style="69" min="2828" max="3069"/>
    <col hidden="1" width="8.796875" customWidth="1" style="69" min="3070" max="3070"/>
    <col width="4.5" customWidth="1" style="69" min="3071" max="3071"/>
    <col width="4.796875" customWidth="1" style="69" min="3072" max="3072"/>
    <col width="9.296875" customWidth="1" style="69" min="3073" max="3073"/>
    <col width="10.59765625" customWidth="1" style="69" min="3074" max="3075"/>
    <col width="8.59765625" customWidth="1" style="69" min="3076" max="3077"/>
    <col width="10.59765625" customWidth="1" style="69" min="3078" max="3079"/>
    <col width="11.09765625" customWidth="1" style="69" min="3080" max="3080"/>
    <col width="10.59765625" customWidth="1" style="69" min="3081" max="3082"/>
    <col width="12.59765625" customWidth="1" style="69" min="3083" max="3083"/>
    <col width="9" customWidth="1" style="69" min="3084" max="3325"/>
    <col hidden="1" width="8.796875" customWidth="1" style="69" min="3326" max="3326"/>
    <col width="4.5" customWidth="1" style="69" min="3327" max="3327"/>
    <col width="4.796875" customWidth="1" style="69" min="3328" max="3328"/>
    <col width="9.296875" customWidth="1" style="69" min="3329" max="3329"/>
    <col width="10.59765625" customWidth="1" style="69" min="3330" max="3331"/>
    <col width="8.59765625" customWidth="1" style="69" min="3332" max="3333"/>
    <col width="10.59765625" customWidth="1" style="69" min="3334" max="3335"/>
    <col width="11.09765625" customWidth="1" style="69" min="3336" max="3336"/>
    <col width="10.59765625" customWidth="1" style="69" min="3337" max="3338"/>
    <col width="12.59765625" customWidth="1" style="69" min="3339" max="3339"/>
    <col width="9" customWidth="1" style="69" min="3340" max="3581"/>
    <col hidden="1" width="8.796875" customWidth="1" style="69" min="3582" max="3582"/>
    <col width="4.5" customWidth="1" style="69" min="3583" max="3583"/>
    <col width="4.796875" customWidth="1" style="69" min="3584" max="3584"/>
    <col width="9.296875" customWidth="1" style="69" min="3585" max="3585"/>
    <col width="10.59765625" customWidth="1" style="69" min="3586" max="3587"/>
    <col width="8.59765625" customWidth="1" style="69" min="3588" max="3589"/>
    <col width="10.59765625" customWidth="1" style="69" min="3590" max="3591"/>
    <col width="11.09765625" customWidth="1" style="69" min="3592" max="3592"/>
    <col width="10.59765625" customWidth="1" style="69" min="3593" max="3594"/>
    <col width="12.59765625" customWidth="1" style="69" min="3595" max="3595"/>
    <col width="9" customWidth="1" style="69" min="3596" max="3837"/>
    <col hidden="1" width="8.796875" customWidth="1" style="69" min="3838" max="3838"/>
    <col width="4.5" customWidth="1" style="69" min="3839" max="3839"/>
    <col width="4.796875" customWidth="1" style="69" min="3840" max="3840"/>
    <col width="9.296875" customWidth="1" style="69" min="3841" max="3841"/>
    <col width="10.59765625" customWidth="1" style="69" min="3842" max="3843"/>
    <col width="8.59765625" customWidth="1" style="69" min="3844" max="3845"/>
    <col width="10.59765625" customWidth="1" style="69" min="3846" max="3847"/>
    <col width="11.09765625" customWidth="1" style="69" min="3848" max="3848"/>
    <col width="10.59765625" customWidth="1" style="69" min="3849" max="3850"/>
    <col width="12.59765625" customWidth="1" style="69" min="3851" max="3851"/>
    <col width="9" customWidth="1" style="69" min="3852" max="4093"/>
    <col hidden="1" width="8.796875" customWidth="1" style="69" min="4094" max="4094"/>
    <col width="4.5" customWidth="1" style="69" min="4095" max="4095"/>
    <col width="4.796875" customWidth="1" style="69" min="4096" max="4096"/>
    <col width="9.296875" customWidth="1" style="69" min="4097" max="4097"/>
    <col width="10.59765625" customWidth="1" style="69" min="4098" max="4099"/>
    <col width="8.59765625" customWidth="1" style="69" min="4100" max="4101"/>
    <col width="10.59765625" customWidth="1" style="69" min="4102" max="4103"/>
    <col width="11.09765625" customWidth="1" style="69" min="4104" max="4104"/>
    <col width="10.59765625" customWidth="1" style="69" min="4105" max="4106"/>
    <col width="12.59765625" customWidth="1" style="69" min="4107" max="4107"/>
    <col width="9" customWidth="1" style="69" min="4108" max="4349"/>
    <col hidden="1" width="8.796875" customWidth="1" style="69" min="4350" max="4350"/>
    <col width="4.5" customWidth="1" style="69" min="4351" max="4351"/>
    <col width="4.796875" customWidth="1" style="69" min="4352" max="4352"/>
    <col width="9.296875" customWidth="1" style="69" min="4353" max="4353"/>
    <col width="10.59765625" customWidth="1" style="69" min="4354" max="4355"/>
    <col width="8.59765625" customWidth="1" style="69" min="4356" max="4357"/>
    <col width="10.59765625" customWidth="1" style="69" min="4358" max="4359"/>
    <col width="11.09765625" customWidth="1" style="69" min="4360" max="4360"/>
    <col width="10.59765625" customWidth="1" style="69" min="4361" max="4362"/>
    <col width="12.59765625" customWidth="1" style="69" min="4363" max="4363"/>
    <col width="9" customWidth="1" style="69" min="4364" max="4605"/>
    <col hidden="1" width="8.796875" customWidth="1" style="69" min="4606" max="4606"/>
    <col width="4.5" customWidth="1" style="69" min="4607" max="4607"/>
    <col width="4.796875" customWidth="1" style="69" min="4608" max="4608"/>
    <col width="9.296875" customWidth="1" style="69" min="4609" max="4609"/>
    <col width="10.59765625" customWidth="1" style="69" min="4610" max="4611"/>
    <col width="8.59765625" customWidth="1" style="69" min="4612" max="4613"/>
    <col width="10.59765625" customWidth="1" style="69" min="4614" max="4615"/>
    <col width="11.09765625" customWidth="1" style="69" min="4616" max="4616"/>
    <col width="10.59765625" customWidth="1" style="69" min="4617" max="4618"/>
    <col width="12.59765625" customWidth="1" style="69" min="4619" max="4619"/>
    <col width="9" customWidth="1" style="69" min="4620" max="4861"/>
    <col hidden="1" width="8.796875" customWidth="1" style="69" min="4862" max="4862"/>
    <col width="4.5" customWidth="1" style="69" min="4863" max="4863"/>
    <col width="4.796875" customWidth="1" style="69" min="4864" max="4864"/>
    <col width="9.296875" customWidth="1" style="69" min="4865" max="4865"/>
    <col width="10.59765625" customWidth="1" style="69" min="4866" max="4867"/>
    <col width="8.59765625" customWidth="1" style="69" min="4868" max="4869"/>
    <col width="10.59765625" customWidth="1" style="69" min="4870" max="4871"/>
    <col width="11.09765625" customWidth="1" style="69" min="4872" max="4872"/>
    <col width="10.59765625" customWidth="1" style="69" min="4873" max="4874"/>
    <col width="12.59765625" customWidth="1" style="69" min="4875" max="4875"/>
    <col width="9" customWidth="1" style="69" min="4876" max="5117"/>
    <col hidden="1" width="8.796875" customWidth="1" style="69" min="5118" max="5118"/>
    <col width="4.5" customWidth="1" style="69" min="5119" max="5119"/>
    <col width="4.796875" customWidth="1" style="69" min="5120" max="5120"/>
    <col width="9.296875" customWidth="1" style="69" min="5121" max="5121"/>
    <col width="10.59765625" customWidth="1" style="69" min="5122" max="5123"/>
    <col width="8.59765625" customWidth="1" style="69" min="5124" max="5125"/>
    <col width="10.59765625" customWidth="1" style="69" min="5126" max="5127"/>
    <col width="11.09765625" customWidth="1" style="69" min="5128" max="5128"/>
    <col width="10.59765625" customWidth="1" style="69" min="5129" max="5130"/>
    <col width="12.59765625" customWidth="1" style="69" min="5131" max="5131"/>
    <col width="9" customWidth="1" style="69" min="5132" max="5373"/>
    <col hidden="1" width="8.796875" customWidth="1" style="69" min="5374" max="5374"/>
    <col width="4.5" customWidth="1" style="69" min="5375" max="5375"/>
    <col width="4.796875" customWidth="1" style="69" min="5376" max="5376"/>
    <col width="9.296875" customWidth="1" style="69" min="5377" max="5377"/>
    <col width="10.59765625" customWidth="1" style="69" min="5378" max="5379"/>
    <col width="8.59765625" customWidth="1" style="69" min="5380" max="5381"/>
    <col width="10.59765625" customWidth="1" style="69" min="5382" max="5383"/>
    <col width="11.09765625" customWidth="1" style="69" min="5384" max="5384"/>
    <col width="10.59765625" customWidth="1" style="69" min="5385" max="5386"/>
    <col width="12.59765625" customWidth="1" style="69" min="5387" max="5387"/>
    <col width="9" customWidth="1" style="69" min="5388" max="5629"/>
    <col hidden="1" width="8.796875" customWidth="1" style="69" min="5630" max="5630"/>
    <col width="4.5" customWidth="1" style="69" min="5631" max="5631"/>
    <col width="4.796875" customWidth="1" style="69" min="5632" max="5632"/>
    <col width="9.296875" customWidth="1" style="69" min="5633" max="5633"/>
    <col width="10.59765625" customWidth="1" style="69" min="5634" max="5635"/>
    <col width="8.59765625" customWidth="1" style="69" min="5636" max="5637"/>
    <col width="10.59765625" customWidth="1" style="69" min="5638" max="5639"/>
    <col width="11.09765625" customWidth="1" style="69" min="5640" max="5640"/>
    <col width="10.59765625" customWidth="1" style="69" min="5641" max="5642"/>
    <col width="12.59765625" customWidth="1" style="69" min="5643" max="5643"/>
    <col width="9" customWidth="1" style="69" min="5644" max="5885"/>
    <col hidden="1" width="8.796875" customWidth="1" style="69" min="5886" max="5886"/>
    <col width="4.5" customWidth="1" style="69" min="5887" max="5887"/>
    <col width="4.796875" customWidth="1" style="69" min="5888" max="5888"/>
    <col width="9.296875" customWidth="1" style="69" min="5889" max="5889"/>
    <col width="10.59765625" customWidth="1" style="69" min="5890" max="5891"/>
    <col width="8.59765625" customWidth="1" style="69" min="5892" max="5893"/>
    <col width="10.59765625" customWidth="1" style="69" min="5894" max="5895"/>
    <col width="11.09765625" customWidth="1" style="69" min="5896" max="5896"/>
    <col width="10.59765625" customWidth="1" style="69" min="5897" max="5898"/>
    <col width="12.59765625" customWidth="1" style="69" min="5899" max="5899"/>
    <col width="9" customWidth="1" style="69" min="5900" max="6141"/>
    <col hidden="1" width="8.796875" customWidth="1" style="69" min="6142" max="6142"/>
    <col width="4.5" customWidth="1" style="69" min="6143" max="6143"/>
    <col width="4.796875" customWidth="1" style="69" min="6144" max="6144"/>
    <col width="9.296875" customWidth="1" style="69" min="6145" max="6145"/>
    <col width="10.59765625" customWidth="1" style="69" min="6146" max="6147"/>
    <col width="8.59765625" customWidth="1" style="69" min="6148" max="6149"/>
    <col width="10.59765625" customWidth="1" style="69" min="6150" max="6151"/>
    <col width="11.09765625" customWidth="1" style="69" min="6152" max="6152"/>
    <col width="10.59765625" customWidth="1" style="69" min="6153" max="6154"/>
    <col width="12.59765625" customWidth="1" style="69" min="6155" max="6155"/>
    <col width="9" customWidth="1" style="69" min="6156" max="6397"/>
    <col hidden="1" width="8.796875" customWidth="1" style="69" min="6398" max="6398"/>
    <col width="4.5" customWidth="1" style="69" min="6399" max="6399"/>
    <col width="4.796875" customWidth="1" style="69" min="6400" max="6400"/>
    <col width="9.296875" customWidth="1" style="69" min="6401" max="6401"/>
    <col width="10.59765625" customWidth="1" style="69" min="6402" max="6403"/>
    <col width="8.59765625" customWidth="1" style="69" min="6404" max="6405"/>
    <col width="10.59765625" customWidth="1" style="69" min="6406" max="6407"/>
    <col width="11.09765625" customWidth="1" style="69" min="6408" max="6408"/>
    <col width="10.59765625" customWidth="1" style="69" min="6409" max="6410"/>
    <col width="12.59765625" customWidth="1" style="69" min="6411" max="6411"/>
    <col width="9" customWidth="1" style="69" min="6412" max="6653"/>
    <col hidden="1" width="8.796875" customWidth="1" style="69" min="6654" max="6654"/>
    <col width="4.5" customWidth="1" style="69" min="6655" max="6655"/>
    <col width="4.796875" customWidth="1" style="69" min="6656" max="6656"/>
    <col width="9.296875" customWidth="1" style="69" min="6657" max="6657"/>
    <col width="10.59765625" customWidth="1" style="69" min="6658" max="6659"/>
    <col width="8.59765625" customWidth="1" style="69" min="6660" max="6661"/>
    <col width="10.59765625" customWidth="1" style="69" min="6662" max="6663"/>
    <col width="11.09765625" customWidth="1" style="69" min="6664" max="6664"/>
    <col width="10.59765625" customWidth="1" style="69" min="6665" max="6666"/>
    <col width="12.59765625" customWidth="1" style="69" min="6667" max="6667"/>
    <col width="9" customWidth="1" style="69" min="6668" max="6909"/>
    <col hidden="1" width="8.796875" customWidth="1" style="69" min="6910" max="6910"/>
    <col width="4.5" customWidth="1" style="69" min="6911" max="6911"/>
    <col width="4.796875" customWidth="1" style="69" min="6912" max="6912"/>
    <col width="9.296875" customWidth="1" style="69" min="6913" max="6913"/>
    <col width="10.59765625" customWidth="1" style="69" min="6914" max="6915"/>
    <col width="8.59765625" customWidth="1" style="69" min="6916" max="6917"/>
    <col width="10.59765625" customWidth="1" style="69" min="6918" max="6919"/>
    <col width="11.09765625" customWidth="1" style="69" min="6920" max="6920"/>
    <col width="10.59765625" customWidth="1" style="69" min="6921" max="6922"/>
    <col width="12.59765625" customWidth="1" style="69" min="6923" max="6923"/>
    <col width="9" customWidth="1" style="69" min="6924" max="7165"/>
    <col hidden="1" width="8.796875" customWidth="1" style="69" min="7166" max="7166"/>
    <col width="4.5" customWidth="1" style="69" min="7167" max="7167"/>
    <col width="4.796875" customWidth="1" style="69" min="7168" max="7168"/>
    <col width="9.296875" customWidth="1" style="69" min="7169" max="7169"/>
    <col width="10.59765625" customWidth="1" style="69" min="7170" max="7171"/>
    <col width="8.59765625" customWidth="1" style="69" min="7172" max="7173"/>
    <col width="10.59765625" customWidth="1" style="69" min="7174" max="7175"/>
    <col width="11.09765625" customWidth="1" style="69" min="7176" max="7176"/>
    <col width="10.59765625" customWidth="1" style="69" min="7177" max="7178"/>
    <col width="12.59765625" customWidth="1" style="69" min="7179" max="7179"/>
    <col width="9" customWidth="1" style="69" min="7180" max="7421"/>
    <col hidden="1" width="8.796875" customWidth="1" style="69" min="7422" max="7422"/>
    <col width="4.5" customWidth="1" style="69" min="7423" max="7423"/>
    <col width="4.796875" customWidth="1" style="69" min="7424" max="7424"/>
    <col width="9.296875" customWidth="1" style="69" min="7425" max="7425"/>
    <col width="10.59765625" customWidth="1" style="69" min="7426" max="7427"/>
    <col width="8.59765625" customWidth="1" style="69" min="7428" max="7429"/>
    <col width="10.59765625" customWidth="1" style="69" min="7430" max="7431"/>
    <col width="11.09765625" customWidth="1" style="69" min="7432" max="7432"/>
    <col width="10.59765625" customWidth="1" style="69" min="7433" max="7434"/>
    <col width="12.59765625" customWidth="1" style="69" min="7435" max="7435"/>
    <col width="9" customWidth="1" style="69" min="7436" max="7677"/>
    <col hidden="1" width="8.796875" customWidth="1" style="69" min="7678" max="7678"/>
    <col width="4.5" customWidth="1" style="69" min="7679" max="7679"/>
    <col width="4.796875" customWidth="1" style="69" min="7680" max="7680"/>
    <col width="9.296875" customWidth="1" style="69" min="7681" max="7681"/>
    <col width="10.59765625" customWidth="1" style="69" min="7682" max="7683"/>
    <col width="8.59765625" customWidth="1" style="69" min="7684" max="7685"/>
    <col width="10.59765625" customWidth="1" style="69" min="7686" max="7687"/>
    <col width="11.09765625" customWidth="1" style="69" min="7688" max="7688"/>
    <col width="10.59765625" customWidth="1" style="69" min="7689" max="7690"/>
    <col width="12.59765625" customWidth="1" style="69" min="7691" max="7691"/>
    <col width="9" customWidth="1" style="69" min="7692" max="7933"/>
    <col hidden="1" width="8.796875" customWidth="1" style="69" min="7934" max="7934"/>
    <col width="4.5" customWidth="1" style="69" min="7935" max="7935"/>
    <col width="4.796875" customWidth="1" style="69" min="7936" max="7936"/>
    <col width="9.296875" customWidth="1" style="69" min="7937" max="7937"/>
    <col width="10.59765625" customWidth="1" style="69" min="7938" max="7939"/>
    <col width="8.59765625" customWidth="1" style="69" min="7940" max="7941"/>
    <col width="10.59765625" customWidth="1" style="69" min="7942" max="7943"/>
    <col width="11.09765625" customWidth="1" style="69" min="7944" max="7944"/>
    <col width="10.59765625" customWidth="1" style="69" min="7945" max="7946"/>
    <col width="12.59765625" customWidth="1" style="69" min="7947" max="7947"/>
    <col width="9" customWidth="1" style="69" min="7948" max="8189"/>
    <col hidden="1" width="8.796875" customWidth="1" style="69" min="8190" max="8190"/>
    <col width="4.5" customWidth="1" style="69" min="8191" max="8191"/>
    <col width="4.796875" customWidth="1" style="69" min="8192" max="8192"/>
    <col width="9.296875" customWidth="1" style="69" min="8193" max="8193"/>
    <col width="10.59765625" customWidth="1" style="69" min="8194" max="8195"/>
    <col width="8.59765625" customWidth="1" style="69" min="8196" max="8197"/>
    <col width="10.59765625" customWidth="1" style="69" min="8198" max="8199"/>
    <col width="11.09765625" customWidth="1" style="69" min="8200" max="8200"/>
    <col width="10.59765625" customWidth="1" style="69" min="8201" max="8202"/>
    <col width="12.59765625" customWidth="1" style="69" min="8203" max="8203"/>
    <col width="9" customWidth="1" style="69" min="8204" max="8445"/>
    <col hidden="1" width="8.796875" customWidth="1" style="69" min="8446" max="8446"/>
    <col width="4.5" customWidth="1" style="69" min="8447" max="8447"/>
    <col width="4.796875" customWidth="1" style="69" min="8448" max="8448"/>
    <col width="9.296875" customWidth="1" style="69" min="8449" max="8449"/>
    <col width="10.59765625" customWidth="1" style="69" min="8450" max="8451"/>
    <col width="8.59765625" customWidth="1" style="69" min="8452" max="8453"/>
    <col width="10.59765625" customWidth="1" style="69" min="8454" max="8455"/>
    <col width="11.09765625" customWidth="1" style="69" min="8456" max="8456"/>
    <col width="10.59765625" customWidth="1" style="69" min="8457" max="8458"/>
    <col width="12.59765625" customWidth="1" style="69" min="8459" max="8459"/>
    <col width="9" customWidth="1" style="69" min="8460" max="8701"/>
    <col hidden="1" width="8.796875" customWidth="1" style="69" min="8702" max="8702"/>
    <col width="4.5" customWidth="1" style="69" min="8703" max="8703"/>
    <col width="4.796875" customWidth="1" style="69" min="8704" max="8704"/>
    <col width="9.296875" customWidth="1" style="69" min="8705" max="8705"/>
    <col width="10.59765625" customWidth="1" style="69" min="8706" max="8707"/>
    <col width="8.59765625" customWidth="1" style="69" min="8708" max="8709"/>
    <col width="10.59765625" customWidth="1" style="69" min="8710" max="8711"/>
    <col width="11.09765625" customWidth="1" style="69" min="8712" max="8712"/>
    <col width="10.59765625" customWidth="1" style="69" min="8713" max="8714"/>
    <col width="12.59765625" customWidth="1" style="69" min="8715" max="8715"/>
    <col width="9" customWidth="1" style="69" min="8716" max="8957"/>
    <col hidden="1" width="8.796875" customWidth="1" style="69" min="8958" max="8958"/>
    <col width="4.5" customWidth="1" style="69" min="8959" max="8959"/>
    <col width="4.796875" customWidth="1" style="69" min="8960" max="8960"/>
    <col width="9.296875" customWidth="1" style="69" min="8961" max="8961"/>
    <col width="10.59765625" customWidth="1" style="69" min="8962" max="8963"/>
    <col width="8.59765625" customWidth="1" style="69" min="8964" max="8965"/>
    <col width="10.59765625" customWidth="1" style="69" min="8966" max="8967"/>
    <col width="11.09765625" customWidth="1" style="69" min="8968" max="8968"/>
    <col width="10.59765625" customWidth="1" style="69" min="8969" max="8970"/>
    <col width="12.59765625" customWidth="1" style="69" min="8971" max="8971"/>
    <col width="9" customWidth="1" style="69" min="8972" max="9213"/>
    <col hidden="1" width="8.796875" customWidth="1" style="69" min="9214" max="9214"/>
    <col width="4.5" customWidth="1" style="69" min="9215" max="9215"/>
    <col width="4.796875" customWidth="1" style="69" min="9216" max="9216"/>
    <col width="9.296875" customWidth="1" style="69" min="9217" max="9217"/>
    <col width="10.59765625" customWidth="1" style="69" min="9218" max="9219"/>
    <col width="8.59765625" customWidth="1" style="69" min="9220" max="9221"/>
    <col width="10.59765625" customWidth="1" style="69" min="9222" max="9223"/>
    <col width="11.09765625" customWidth="1" style="69" min="9224" max="9224"/>
    <col width="10.59765625" customWidth="1" style="69" min="9225" max="9226"/>
    <col width="12.59765625" customWidth="1" style="69" min="9227" max="9227"/>
    <col width="9" customWidth="1" style="69" min="9228" max="9469"/>
    <col hidden="1" width="8.796875" customWidth="1" style="69" min="9470" max="9470"/>
    <col width="4.5" customWidth="1" style="69" min="9471" max="9471"/>
    <col width="4.796875" customWidth="1" style="69" min="9472" max="9472"/>
    <col width="9.296875" customWidth="1" style="69" min="9473" max="9473"/>
    <col width="10.59765625" customWidth="1" style="69" min="9474" max="9475"/>
    <col width="8.59765625" customWidth="1" style="69" min="9476" max="9477"/>
    <col width="10.59765625" customWidth="1" style="69" min="9478" max="9479"/>
    <col width="11.09765625" customWidth="1" style="69" min="9480" max="9480"/>
    <col width="10.59765625" customWidth="1" style="69" min="9481" max="9482"/>
    <col width="12.59765625" customWidth="1" style="69" min="9483" max="9483"/>
    <col width="9" customWidth="1" style="69" min="9484" max="9725"/>
    <col hidden="1" width="8.796875" customWidth="1" style="69" min="9726" max="9726"/>
    <col width="4.5" customWidth="1" style="69" min="9727" max="9727"/>
    <col width="4.796875" customWidth="1" style="69" min="9728" max="9728"/>
    <col width="9.296875" customWidth="1" style="69" min="9729" max="9729"/>
    <col width="10.59765625" customWidth="1" style="69" min="9730" max="9731"/>
    <col width="8.59765625" customWidth="1" style="69" min="9732" max="9733"/>
    <col width="10.59765625" customWidth="1" style="69" min="9734" max="9735"/>
    <col width="11.09765625" customWidth="1" style="69" min="9736" max="9736"/>
    <col width="10.59765625" customWidth="1" style="69" min="9737" max="9738"/>
    <col width="12.59765625" customWidth="1" style="69" min="9739" max="9739"/>
    <col width="9" customWidth="1" style="69" min="9740" max="9981"/>
    <col hidden="1" width="8.796875" customWidth="1" style="69" min="9982" max="9982"/>
    <col width="4.5" customWidth="1" style="69" min="9983" max="9983"/>
    <col width="4.796875" customWidth="1" style="69" min="9984" max="9984"/>
    <col width="9.296875" customWidth="1" style="69" min="9985" max="9985"/>
    <col width="10.59765625" customWidth="1" style="69" min="9986" max="9987"/>
    <col width="8.59765625" customWidth="1" style="69" min="9988" max="9989"/>
    <col width="10.59765625" customWidth="1" style="69" min="9990" max="9991"/>
    <col width="11.09765625" customWidth="1" style="69" min="9992" max="9992"/>
    <col width="10.59765625" customWidth="1" style="69" min="9993" max="9994"/>
    <col width="12.59765625" customWidth="1" style="69" min="9995" max="9995"/>
    <col width="9" customWidth="1" style="69" min="9996" max="10237"/>
    <col hidden="1" width="8.796875" customWidth="1" style="69" min="10238" max="10238"/>
    <col width="4.5" customWidth="1" style="69" min="10239" max="10239"/>
    <col width="4.796875" customWidth="1" style="69" min="10240" max="10240"/>
    <col width="9.296875" customWidth="1" style="69" min="10241" max="10241"/>
    <col width="10.59765625" customWidth="1" style="69" min="10242" max="10243"/>
    <col width="8.59765625" customWidth="1" style="69" min="10244" max="10245"/>
    <col width="10.59765625" customWidth="1" style="69" min="10246" max="10247"/>
    <col width="11.09765625" customWidth="1" style="69" min="10248" max="10248"/>
    <col width="10.59765625" customWidth="1" style="69" min="10249" max="10250"/>
    <col width="12.59765625" customWidth="1" style="69" min="10251" max="10251"/>
    <col width="9" customWidth="1" style="69" min="10252" max="10493"/>
    <col hidden="1" width="8.796875" customWidth="1" style="69" min="10494" max="10494"/>
    <col width="4.5" customWidth="1" style="69" min="10495" max="10495"/>
    <col width="4.796875" customWidth="1" style="69" min="10496" max="10496"/>
    <col width="9.296875" customWidth="1" style="69" min="10497" max="10497"/>
    <col width="10.59765625" customWidth="1" style="69" min="10498" max="10499"/>
    <col width="8.59765625" customWidth="1" style="69" min="10500" max="10501"/>
    <col width="10.59765625" customWidth="1" style="69" min="10502" max="10503"/>
    <col width="11.09765625" customWidth="1" style="69" min="10504" max="10504"/>
    <col width="10.59765625" customWidth="1" style="69" min="10505" max="10506"/>
    <col width="12.59765625" customWidth="1" style="69" min="10507" max="10507"/>
    <col width="9" customWidth="1" style="69" min="10508" max="10749"/>
    <col hidden="1" width="8.796875" customWidth="1" style="69" min="10750" max="10750"/>
    <col width="4.5" customWidth="1" style="69" min="10751" max="10751"/>
    <col width="4.796875" customWidth="1" style="69" min="10752" max="10752"/>
    <col width="9.296875" customWidth="1" style="69" min="10753" max="10753"/>
    <col width="10.59765625" customWidth="1" style="69" min="10754" max="10755"/>
    <col width="8.59765625" customWidth="1" style="69" min="10756" max="10757"/>
    <col width="10.59765625" customWidth="1" style="69" min="10758" max="10759"/>
    <col width="11.09765625" customWidth="1" style="69" min="10760" max="10760"/>
    <col width="10.59765625" customWidth="1" style="69" min="10761" max="10762"/>
    <col width="12.59765625" customWidth="1" style="69" min="10763" max="10763"/>
    <col width="9" customWidth="1" style="69" min="10764" max="11005"/>
    <col hidden="1" width="8.796875" customWidth="1" style="69" min="11006" max="11006"/>
    <col width="4.5" customWidth="1" style="69" min="11007" max="11007"/>
    <col width="4.796875" customWidth="1" style="69" min="11008" max="11008"/>
    <col width="9.296875" customWidth="1" style="69" min="11009" max="11009"/>
    <col width="10.59765625" customWidth="1" style="69" min="11010" max="11011"/>
    <col width="8.59765625" customWidth="1" style="69" min="11012" max="11013"/>
    <col width="10.59765625" customWidth="1" style="69" min="11014" max="11015"/>
    <col width="11.09765625" customWidth="1" style="69" min="11016" max="11016"/>
    <col width="10.59765625" customWidth="1" style="69" min="11017" max="11018"/>
    <col width="12.59765625" customWidth="1" style="69" min="11019" max="11019"/>
    <col width="9" customWidth="1" style="69" min="11020" max="11261"/>
    <col hidden="1" width="8.796875" customWidth="1" style="69" min="11262" max="11262"/>
    <col width="4.5" customWidth="1" style="69" min="11263" max="11263"/>
    <col width="4.796875" customWidth="1" style="69" min="11264" max="11264"/>
    <col width="9.296875" customWidth="1" style="69" min="11265" max="11265"/>
    <col width="10.59765625" customWidth="1" style="69" min="11266" max="11267"/>
    <col width="8.59765625" customWidth="1" style="69" min="11268" max="11269"/>
    <col width="10.59765625" customWidth="1" style="69" min="11270" max="11271"/>
    <col width="11.09765625" customWidth="1" style="69" min="11272" max="11272"/>
    <col width="10.59765625" customWidth="1" style="69" min="11273" max="11274"/>
    <col width="12.59765625" customWidth="1" style="69" min="11275" max="11275"/>
    <col width="9" customWidth="1" style="69" min="11276" max="11517"/>
    <col hidden="1" width="8.796875" customWidth="1" style="69" min="11518" max="11518"/>
    <col width="4.5" customWidth="1" style="69" min="11519" max="11519"/>
    <col width="4.796875" customWidth="1" style="69" min="11520" max="11520"/>
    <col width="9.296875" customWidth="1" style="69" min="11521" max="11521"/>
    <col width="10.59765625" customWidth="1" style="69" min="11522" max="11523"/>
    <col width="8.59765625" customWidth="1" style="69" min="11524" max="11525"/>
    <col width="10.59765625" customWidth="1" style="69" min="11526" max="11527"/>
    <col width="11.09765625" customWidth="1" style="69" min="11528" max="11528"/>
    <col width="10.59765625" customWidth="1" style="69" min="11529" max="11530"/>
    <col width="12.59765625" customWidth="1" style="69" min="11531" max="11531"/>
    <col width="9" customWidth="1" style="69" min="11532" max="11773"/>
    <col hidden="1" width="8.796875" customWidth="1" style="69" min="11774" max="11774"/>
    <col width="4.5" customWidth="1" style="69" min="11775" max="11775"/>
    <col width="4.796875" customWidth="1" style="69" min="11776" max="11776"/>
    <col width="9.296875" customWidth="1" style="69" min="11777" max="11777"/>
    <col width="10.59765625" customWidth="1" style="69" min="11778" max="11779"/>
    <col width="8.59765625" customWidth="1" style="69" min="11780" max="11781"/>
    <col width="10.59765625" customWidth="1" style="69" min="11782" max="11783"/>
    <col width="11.09765625" customWidth="1" style="69" min="11784" max="11784"/>
    <col width="10.59765625" customWidth="1" style="69" min="11785" max="11786"/>
    <col width="12.59765625" customWidth="1" style="69" min="11787" max="11787"/>
    <col width="9" customWidth="1" style="69" min="11788" max="12029"/>
    <col hidden="1" width="8.796875" customWidth="1" style="69" min="12030" max="12030"/>
    <col width="4.5" customWidth="1" style="69" min="12031" max="12031"/>
    <col width="4.796875" customWidth="1" style="69" min="12032" max="12032"/>
    <col width="9.296875" customWidth="1" style="69" min="12033" max="12033"/>
    <col width="10.59765625" customWidth="1" style="69" min="12034" max="12035"/>
    <col width="8.59765625" customWidth="1" style="69" min="12036" max="12037"/>
    <col width="10.59765625" customWidth="1" style="69" min="12038" max="12039"/>
    <col width="11.09765625" customWidth="1" style="69" min="12040" max="12040"/>
    <col width="10.59765625" customWidth="1" style="69" min="12041" max="12042"/>
    <col width="12.59765625" customWidth="1" style="69" min="12043" max="12043"/>
    <col width="9" customWidth="1" style="69" min="12044" max="12285"/>
    <col hidden="1" width="8.796875" customWidth="1" style="69" min="12286" max="12286"/>
    <col width="4.5" customWidth="1" style="69" min="12287" max="12287"/>
    <col width="4.796875" customWidth="1" style="69" min="12288" max="12288"/>
    <col width="9.296875" customWidth="1" style="69" min="12289" max="12289"/>
    <col width="10.59765625" customWidth="1" style="69" min="12290" max="12291"/>
    <col width="8.59765625" customWidth="1" style="69" min="12292" max="12293"/>
    <col width="10.59765625" customWidth="1" style="69" min="12294" max="12295"/>
    <col width="11.09765625" customWidth="1" style="69" min="12296" max="12296"/>
    <col width="10.59765625" customWidth="1" style="69" min="12297" max="12298"/>
    <col width="12.59765625" customWidth="1" style="69" min="12299" max="12299"/>
    <col width="9" customWidth="1" style="69" min="12300" max="12541"/>
    <col hidden="1" width="8.796875" customWidth="1" style="69" min="12542" max="12542"/>
    <col width="4.5" customWidth="1" style="69" min="12543" max="12543"/>
    <col width="4.796875" customWidth="1" style="69" min="12544" max="12544"/>
    <col width="9.296875" customWidth="1" style="69" min="12545" max="12545"/>
    <col width="10.59765625" customWidth="1" style="69" min="12546" max="12547"/>
    <col width="8.59765625" customWidth="1" style="69" min="12548" max="12549"/>
    <col width="10.59765625" customWidth="1" style="69" min="12550" max="12551"/>
    <col width="11.09765625" customWidth="1" style="69" min="12552" max="12552"/>
    <col width="10.59765625" customWidth="1" style="69" min="12553" max="12554"/>
    <col width="12.59765625" customWidth="1" style="69" min="12555" max="12555"/>
    <col width="9" customWidth="1" style="69" min="12556" max="12797"/>
    <col hidden="1" width="8.796875" customWidth="1" style="69" min="12798" max="12798"/>
    <col width="4.5" customWidth="1" style="69" min="12799" max="12799"/>
    <col width="4.796875" customWidth="1" style="69" min="12800" max="12800"/>
    <col width="9.296875" customWidth="1" style="69" min="12801" max="12801"/>
    <col width="10.59765625" customWidth="1" style="69" min="12802" max="12803"/>
    <col width="8.59765625" customWidth="1" style="69" min="12804" max="12805"/>
    <col width="10.59765625" customWidth="1" style="69" min="12806" max="12807"/>
    <col width="11.09765625" customWidth="1" style="69" min="12808" max="12808"/>
    <col width="10.59765625" customWidth="1" style="69" min="12809" max="12810"/>
    <col width="12.59765625" customWidth="1" style="69" min="12811" max="12811"/>
    <col width="9" customWidth="1" style="69" min="12812" max="13053"/>
    <col hidden="1" width="8.796875" customWidth="1" style="69" min="13054" max="13054"/>
    <col width="4.5" customWidth="1" style="69" min="13055" max="13055"/>
    <col width="4.796875" customWidth="1" style="69" min="13056" max="13056"/>
    <col width="9.296875" customWidth="1" style="69" min="13057" max="13057"/>
    <col width="10.59765625" customWidth="1" style="69" min="13058" max="13059"/>
    <col width="8.59765625" customWidth="1" style="69" min="13060" max="13061"/>
    <col width="10.59765625" customWidth="1" style="69" min="13062" max="13063"/>
    <col width="11.09765625" customWidth="1" style="69" min="13064" max="13064"/>
    <col width="10.59765625" customWidth="1" style="69" min="13065" max="13066"/>
    <col width="12.59765625" customWidth="1" style="69" min="13067" max="13067"/>
    <col width="9" customWidth="1" style="69" min="13068" max="13309"/>
    <col hidden="1" width="8.796875" customWidth="1" style="69" min="13310" max="13310"/>
    <col width="4.5" customWidth="1" style="69" min="13311" max="13311"/>
    <col width="4.796875" customWidth="1" style="69" min="13312" max="13312"/>
    <col width="9.296875" customWidth="1" style="69" min="13313" max="13313"/>
    <col width="10.59765625" customWidth="1" style="69" min="13314" max="13315"/>
    <col width="8.59765625" customWidth="1" style="69" min="13316" max="13317"/>
    <col width="10.59765625" customWidth="1" style="69" min="13318" max="13319"/>
    <col width="11.09765625" customWidth="1" style="69" min="13320" max="13320"/>
    <col width="10.59765625" customWidth="1" style="69" min="13321" max="13322"/>
    <col width="12.59765625" customWidth="1" style="69" min="13323" max="13323"/>
    <col width="9" customWidth="1" style="69" min="13324" max="13565"/>
    <col hidden="1" width="8.796875" customWidth="1" style="69" min="13566" max="13566"/>
    <col width="4.5" customWidth="1" style="69" min="13567" max="13567"/>
    <col width="4.796875" customWidth="1" style="69" min="13568" max="13568"/>
    <col width="9.296875" customWidth="1" style="69" min="13569" max="13569"/>
    <col width="10.59765625" customWidth="1" style="69" min="13570" max="13571"/>
    <col width="8.59765625" customWidth="1" style="69" min="13572" max="13573"/>
    <col width="10.59765625" customWidth="1" style="69" min="13574" max="13575"/>
    <col width="11.09765625" customWidth="1" style="69" min="13576" max="13576"/>
    <col width="10.59765625" customWidth="1" style="69" min="13577" max="13578"/>
    <col width="12.59765625" customWidth="1" style="69" min="13579" max="13579"/>
    <col width="9" customWidth="1" style="69" min="13580" max="13821"/>
    <col hidden="1" width="8.796875" customWidth="1" style="69" min="13822" max="13822"/>
    <col width="4.5" customWidth="1" style="69" min="13823" max="13823"/>
    <col width="4.796875" customWidth="1" style="69" min="13824" max="13824"/>
    <col width="9.296875" customWidth="1" style="69" min="13825" max="13825"/>
    <col width="10.59765625" customWidth="1" style="69" min="13826" max="13827"/>
    <col width="8.59765625" customWidth="1" style="69" min="13828" max="13829"/>
    <col width="10.59765625" customWidth="1" style="69" min="13830" max="13831"/>
    <col width="11.09765625" customWidth="1" style="69" min="13832" max="13832"/>
    <col width="10.59765625" customWidth="1" style="69" min="13833" max="13834"/>
    <col width="12.59765625" customWidth="1" style="69" min="13835" max="13835"/>
    <col width="9" customWidth="1" style="69" min="13836" max="14077"/>
    <col hidden="1" width="8.796875" customWidth="1" style="69" min="14078" max="14078"/>
    <col width="4.5" customWidth="1" style="69" min="14079" max="14079"/>
    <col width="4.796875" customWidth="1" style="69" min="14080" max="14080"/>
    <col width="9.296875" customWidth="1" style="69" min="14081" max="14081"/>
    <col width="10.59765625" customWidth="1" style="69" min="14082" max="14083"/>
    <col width="8.59765625" customWidth="1" style="69" min="14084" max="14085"/>
    <col width="10.59765625" customWidth="1" style="69" min="14086" max="14087"/>
    <col width="11.09765625" customWidth="1" style="69" min="14088" max="14088"/>
    <col width="10.59765625" customWidth="1" style="69" min="14089" max="14090"/>
    <col width="12.59765625" customWidth="1" style="69" min="14091" max="14091"/>
    <col width="9" customWidth="1" style="69" min="14092" max="14333"/>
    <col hidden="1" width="8.796875" customWidth="1" style="69" min="14334" max="14334"/>
    <col width="4.5" customWidth="1" style="69" min="14335" max="14335"/>
    <col width="4.796875" customWidth="1" style="69" min="14336" max="14336"/>
    <col width="9.296875" customWidth="1" style="69" min="14337" max="14337"/>
    <col width="10.59765625" customWidth="1" style="69" min="14338" max="14339"/>
    <col width="8.59765625" customWidth="1" style="69" min="14340" max="14341"/>
    <col width="10.59765625" customWidth="1" style="69" min="14342" max="14343"/>
    <col width="11.09765625" customWidth="1" style="69" min="14344" max="14344"/>
    <col width="10.59765625" customWidth="1" style="69" min="14345" max="14346"/>
    <col width="12.59765625" customWidth="1" style="69" min="14347" max="14347"/>
    <col width="9" customWidth="1" style="69" min="14348" max="14589"/>
    <col hidden="1" width="8.796875" customWidth="1" style="69" min="14590" max="14590"/>
    <col width="4.5" customWidth="1" style="69" min="14591" max="14591"/>
    <col width="4.796875" customWidth="1" style="69" min="14592" max="14592"/>
    <col width="9.296875" customWidth="1" style="69" min="14593" max="14593"/>
    <col width="10.59765625" customWidth="1" style="69" min="14594" max="14595"/>
    <col width="8.59765625" customWidth="1" style="69" min="14596" max="14597"/>
    <col width="10.59765625" customWidth="1" style="69" min="14598" max="14599"/>
    <col width="11.09765625" customWidth="1" style="69" min="14600" max="14600"/>
    <col width="10.59765625" customWidth="1" style="69" min="14601" max="14602"/>
    <col width="12.59765625" customWidth="1" style="69" min="14603" max="14603"/>
    <col width="9" customWidth="1" style="69" min="14604" max="14845"/>
    <col hidden="1" width="8.796875" customWidth="1" style="69" min="14846" max="14846"/>
    <col width="4.5" customWidth="1" style="69" min="14847" max="14847"/>
    <col width="4.796875" customWidth="1" style="69" min="14848" max="14848"/>
    <col width="9.296875" customWidth="1" style="69" min="14849" max="14849"/>
    <col width="10.59765625" customWidth="1" style="69" min="14850" max="14851"/>
    <col width="8.59765625" customWidth="1" style="69" min="14852" max="14853"/>
    <col width="10.59765625" customWidth="1" style="69" min="14854" max="14855"/>
    <col width="11.09765625" customWidth="1" style="69" min="14856" max="14856"/>
    <col width="10.59765625" customWidth="1" style="69" min="14857" max="14858"/>
    <col width="12.59765625" customWidth="1" style="69" min="14859" max="14859"/>
    <col width="9" customWidth="1" style="69" min="14860" max="15101"/>
    <col hidden="1" width="8.796875" customWidth="1" style="69" min="15102" max="15102"/>
    <col width="4.5" customWidth="1" style="69" min="15103" max="15103"/>
    <col width="4.796875" customWidth="1" style="69" min="15104" max="15104"/>
    <col width="9.296875" customWidth="1" style="69" min="15105" max="15105"/>
    <col width="10.59765625" customWidth="1" style="69" min="15106" max="15107"/>
    <col width="8.59765625" customWidth="1" style="69" min="15108" max="15109"/>
    <col width="10.59765625" customWidth="1" style="69" min="15110" max="15111"/>
    <col width="11.09765625" customWidth="1" style="69" min="15112" max="15112"/>
    <col width="10.59765625" customWidth="1" style="69" min="15113" max="15114"/>
    <col width="12.59765625" customWidth="1" style="69" min="15115" max="15115"/>
    <col width="9" customWidth="1" style="69" min="15116" max="15357"/>
    <col hidden="1" width="8.796875" customWidth="1" style="69" min="15358" max="15358"/>
    <col width="4.5" customWidth="1" style="69" min="15359" max="15359"/>
    <col width="4.796875" customWidth="1" style="69" min="15360" max="15360"/>
    <col width="9.296875" customWidth="1" style="69" min="15361" max="15361"/>
    <col width="10.59765625" customWidth="1" style="69" min="15362" max="15363"/>
    <col width="8.59765625" customWidth="1" style="69" min="15364" max="15365"/>
    <col width="10.59765625" customWidth="1" style="69" min="15366" max="15367"/>
    <col width="11.09765625" customWidth="1" style="69" min="15368" max="15368"/>
    <col width="10.59765625" customWidth="1" style="69" min="15369" max="15370"/>
    <col width="12.59765625" customWidth="1" style="69" min="15371" max="15371"/>
    <col width="9" customWidth="1" style="69" min="15372" max="15613"/>
    <col hidden="1" width="8.796875" customWidth="1" style="69" min="15614" max="15614"/>
    <col width="4.5" customWidth="1" style="69" min="15615" max="15615"/>
    <col width="4.796875" customWidth="1" style="69" min="15616" max="15616"/>
    <col width="9.296875" customWidth="1" style="69" min="15617" max="15617"/>
    <col width="10.59765625" customWidth="1" style="69" min="15618" max="15619"/>
    <col width="8.59765625" customWidth="1" style="69" min="15620" max="15621"/>
    <col width="10.59765625" customWidth="1" style="69" min="15622" max="15623"/>
    <col width="11.09765625" customWidth="1" style="69" min="15624" max="15624"/>
    <col width="10.59765625" customWidth="1" style="69" min="15625" max="15626"/>
    <col width="12.59765625" customWidth="1" style="69" min="15627" max="15627"/>
    <col width="9" customWidth="1" style="69" min="15628" max="15869"/>
    <col hidden="1" width="8.796875" customWidth="1" style="69" min="15870" max="15870"/>
    <col width="4.5" customWidth="1" style="69" min="15871" max="15871"/>
    <col width="4.796875" customWidth="1" style="69" min="15872" max="15872"/>
    <col width="9.296875" customWidth="1" style="69" min="15873" max="15873"/>
    <col width="10.59765625" customWidth="1" style="69" min="15874" max="15875"/>
    <col width="8.59765625" customWidth="1" style="69" min="15876" max="15877"/>
    <col width="10.59765625" customWidth="1" style="69" min="15878" max="15879"/>
    <col width="11.09765625" customWidth="1" style="69" min="15880" max="15880"/>
    <col width="10.59765625" customWidth="1" style="69" min="15881" max="15882"/>
    <col width="12.59765625" customWidth="1" style="69" min="15883" max="15883"/>
    <col width="9" customWidth="1" style="69" min="15884" max="16125"/>
    <col hidden="1" width="8.796875" customWidth="1" style="69" min="16126" max="16126"/>
    <col width="4.5" customWidth="1" style="69" min="16127" max="16127"/>
    <col width="4.796875" customWidth="1" style="69" min="16128" max="16128"/>
    <col width="9.296875" customWidth="1" style="69" min="16129" max="16129"/>
    <col width="10.59765625" customWidth="1" style="69" min="16130" max="16131"/>
    <col width="8.59765625" customWidth="1" style="69" min="16132" max="16133"/>
    <col width="10.59765625" customWidth="1" style="69" min="16134" max="16135"/>
    <col width="11.09765625" customWidth="1" style="69" min="16136" max="16136"/>
    <col width="10.59765625" customWidth="1" style="69" min="16137" max="16138"/>
    <col width="12.59765625" customWidth="1" style="69" min="16139" max="16139"/>
    <col width="9" customWidth="1" style="69" min="16140" max="16379"/>
    <col width="9" customWidth="1" style="69" min="16380" max="16384"/>
  </cols>
  <sheetData>
    <row r="1" ht="19.95" customFormat="1" customHeight="1" s="67">
      <c r="A1" s="339" t="inlineStr">
        <is>
          <t>致同会计师事务所</t>
        </is>
      </c>
      <c r="B1" s="0" t="n"/>
      <c r="C1" s="0" t="n"/>
      <c r="D1" s="0" t="n"/>
      <c r="E1" s="0" t="n"/>
      <c r="F1" s="0" t="n"/>
      <c r="G1" s="0" t="n"/>
      <c r="H1" s="0" t="n"/>
      <c r="I1" s="0" t="n"/>
      <c r="J1" s="0" t="n"/>
      <c r="K1" s="0" t="n"/>
      <c r="L1" s="1" t="n"/>
      <c r="M1" s="1" t="n"/>
      <c r="N1" s="1" t="n"/>
      <c r="O1" s="1" t="n"/>
      <c r="P1" s="1" t="n"/>
      <c r="Q1" s="1" t="n"/>
    </row>
    <row r="2" ht="19.95" customFormat="1" customHeight="1" s="1">
      <c r="A2" s="340" t="inlineStr">
        <is>
          <t>未确认融资费用测算表</t>
        </is>
      </c>
      <c r="B2" s="0" t="n"/>
      <c r="C2" s="0" t="n"/>
      <c r="D2" s="0" t="n"/>
      <c r="E2" s="0" t="n"/>
      <c r="F2" s="0" t="n"/>
      <c r="G2" s="0" t="n"/>
      <c r="H2" s="0" t="n"/>
      <c r="I2" s="0" t="n"/>
      <c r="J2" s="0" t="n"/>
      <c r="K2" s="0" t="n"/>
      <c r="L2" s="390" t="n"/>
    </row>
    <row r="3" ht="19.95" customFormat="1" customHeight="1" s="70">
      <c r="A3" s="70">
        <f>底稿目录!A2</f>
        <v/>
      </c>
      <c r="B3" s="70" t="n"/>
      <c r="E3" s="70">
        <f>底稿目录!A4</f>
        <v/>
      </c>
      <c r="H3" s="70">
        <f>底稿目录!A5</f>
        <v/>
      </c>
      <c r="J3" s="70" t="inlineStr">
        <is>
          <t>索引号：</t>
        </is>
      </c>
      <c r="K3" s="369">
        <f>底稿目录!F10</f>
        <v/>
      </c>
      <c r="N3" s="78" t="n"/>
    </row>
    <row r="4" ht="19.95" customFormat="1" customHeight="1" s="70">
      <c r="A4" s="70">
        <f>底稿目录!A3</f>
        <v/>
      </c>
      <c r="B4" s="70" t="n"/>
      <c r="E4" s="70">
        <f>底稿目录!A6</f>
        <v/>
      </c>
      <c r="H4" s="70">
        <f>底稿目录!A7</f>
        <v/>
      </c>
      <c r="J4" s="70" t="inlineStr">
        <is>
          <t>页次：</t>
        </is>
      </c>
      <c r="N4" s="78" t="n"/>
    </row>
    <row r="5" ht="19.95" customFormat="1" customHeight="1" s="70">
      <c r="A5" s="55" t="inlineStr">
        <is>
          <t>一、审计目标：</t>
        </is>
      </c>
      <c r="B5" s="70" t="n"/>
      <c r="N5" s="78" t="n"/>
    </row>
    <row r="6" ht="19.95" customFormat="1" customHeight="1" s="70">
      <c r="A6" s="70" t="inlineStr">
        <is>
          <t>确定被审计单位长期应付款与未确认融资费用准确性。</t>
        </is>
      </c>
      <c r="B6" s="70" t="n"/>
      <c r="N6" s="78" t="n"/>
    </row>
    <row r="7" ht="19.95" customFormat="1" customHeight="1" s="70">
      <c r="A7" s="55" t="inlineStr">
        <is>
          <t>二、审计过程：</t>
        </is>
      </c>
      <c r="B7" s="70" t="n"/>
      <c r="N7" s="78" t="n"/>
    </row>
    <row r="8" ht="30" customFormat="1" customHeight="1" s="70">
      <c r="A8" s="341" t="inlineStr">
        <is>
          <t>1.检查各项长期应付款本息的计算是否准确，会计处理是否正确。2.检查未确认融资费用,重新计算实际利率，并与被审计单位的所计算确定的实际利率进行比较，检查被审计单位是否按照实际利率分摊未确认融资费用，分摊是否正确，相应的会计处理是否正确等。</t>
        </is>
      </c>
      <c r="B8" s="448" t="n"/>
      <c r="C8" s="448" t="n"/>
      <c r="D8" s="448" t="n"/>
      <c r="E8" s="448" t="n"/>
      <c r="F8" s="448" t="n"/>
      <c r="G8" s="448" t="n"/>
      <c r="H8" s="448" t="n"/>
      <c r="I8" s="448" t="n"/>
      <c r="J8" s="448" t="n"/>
      <c r="K8" s="448" t="n"/>
      <c r="N8" s="78" t="n"/>
    </row>
    <row r="9" ht="19.95" customHeight="1" s="364">
      <c r="A9" s="343" t="inlineStr">
        <is>
          <t>长期应付款初始确认金额</t>
        </is>
      </c>
      <c r="B9" s="372" t="n"/>
      <c r="C9" s="343" t="inlineStr">
        <is>
          <t>实际利率</t>
        </is>
      </c>
      <c r="D9" s="343" t="inlineStr">
        <is>
          <t>长期应付款现值</t>
        </is>
      </c>
      <c r="E9" s="342" t="inlineStr">
        <is>
          <t>未确认融资费用</t>
        </is>
      </c>
      <c r="F9" s="372" t="n"/>
      <c r="G9" s="342" t="inlineStr">
        <is>
          <t xml:space="preserve">应付本金 </t>
        </is>
      </c>
      <c r="H9" s="372" t="n"/>
      <c r="I9" s="342" t="inlineStr">
        <is>
          <t>年末账面余额</t>
        </is>
      </c>
      <c r="J9" s="342" t="inlineStr">
        <is>
          <t>差异</t>
        </is>
      </c>
      <c r="K9" s="342" t="inlineStr">
        <is>
          <t>差异原因</t>
        </is>
      </c>
    </row>
    <row r="10" ht="19.95" customFormat="1" customHeight="1" s="272">
      <c r="A10" s="342" t="inlineStr">
        <is>
          <t>年份</t>
        </is>
      </c>
      <c r="B10" s="342" t="inlineStr">
        <is>
          <t>各期付款金额</t>
        </is>
      </c>
      <c r="C10" s="375" t="n"/>
      <c r="D10" s="449" t="n"/>
      <c r="E10" s="343" t="inlineStr">
        <is>
          <t>尚未确认的未确认融资费用</t>
        </is>
      </c>
      <c r="F10" s="343" t="inlineStr">
        <is>
          <t>确认的融资费用</t>
        </is>
      </c>
      <c r="G10" s="343" t="inlineStr">
        <is>
          <t>应付本金减少额</t>
        </is>
      </c>
      <c r="H10" s="343" t="inlineStr">
        <is>
          <t>应付本金余额</t>
        </is>
      </c>
      <c r="I10" s="449" t="n"/>
      <c r="J10" s="449" t="n"/>
      <c r="K10" s="449" t="n"/>
    </row>
    <row r="11" ht="30" customHeight="1" s="364">
      <c r="A11" s="72" t="inlineStr">
        <is>
          <t>（1）</t>
        </is>
      </c>
      <c r="B11" s="247" t="inlineStr">
        <is>
          <t>（2）</t>
        </is>
      </c>
      <c r="C11" s="72" t="inlineStr">
        <is>
          <t>（6）</t>
        </is>
      </c>
      <c r="D11" s="375" t="n"/>
      <c r="E11" s="375" t="n"/>
      <c r="F11" s="343" t="inlineStr">
        <is>
          <t>（3）=期初（5）×（6）</t>
        </is>
      </c>
      <c r="G11" s="343" t="inlineStr">
        <is>
          <t>（4）=（2）-（3）</t>
        </is>
      </c>
      <c r="H11" s="343" t="inlineStr">
        <is>
          <t>期末（5）=期初（5）-（4）</t>
        </is>
      </c>
      <c r="I11" s="375" t="n"/>
      <c r="J11" s="375" t="n"/>
      <c r="K11" s="375" t="n"/>
    </row>
    <row r="12" ht="19.95" customHeight="1" s="364">
      <c r="A12" s="73" t="n"/>
      <c r="B12" s="450" t="n"/>
      <c r="C12" s="451" t="n"/>
      <c r="D12" s="452" t="n"/>
      <c r="E12" s="450" t="n"/>
      <c r="F12" s="452" t="n"/>
      <c r="G12" s="400">
        <f>B12-F12</f>
        <v/>
      </c>
      <c r="H12" s="452" t="n"/>
      <c r="I12" s="452" t="n"/>
      <c r="J12" s="400">
        <f>H12-I12</f>
        <v/>
      </c>
      <c r="K12" s="73" t="n"/>
    </row>
    <row r="13" ht="19.95" customHeight="1" s="364">
      <c r="A13" s="73" t="n"/>
      <c r="B13" s="450" t="n"/>
      <c r="C13" s="451" t="n"/>
      <c r="D13" s="452" t="n"/>
      <c r="E13" s="450" t="n"/>
      <c r="F13" s="400">
        <f>H12*C12</f>
        <v/>
      </c>
      <c r="G13" s="400">
        <f>B13-F13</f>
        <v/>
      </c>
      <c r="H13" s="400">
        <f>H12-G13</f>
        <v/>
      </c>
      <c r="I13" s="427" t="n"/>
      <c r="J13" s="400">
        <f>H13-I13</f>
        <v/>
      </c>
      <c r="K13" s="73" t="n"/>
    </row>
    <row r="14" ht="19.95" customHeight="1" s="364">
      <c r="A14" s="73" t="n"/>
      <c r="B14" s="450" t="n"/>
      <c r="C14" s="451" t="n"/>
      <c r="D14" s="452" t="n"/>
      <c r="E14" s="450" t="n"/>
      <c r="F14" s="400">
        <f>H13*C13</f>
        <v/>
      </c>
      <c r="G14" s="400">
        <f>B14-F14</f>
        <v/>
      </c>
      <c r="H14" s="400">
        <f>H13-G14</f>
        <v/>
      </c>
      <c r="I14" s="427" t="n"/>
      <c r="J14" s="400">
        <f>H14-I14</f>
        <v/>
      </c>
      <c r="K14" s="73" t="n"/>
    </row>
    <row r="15" ht="19.95" customHeight="1" s="364">
      <c r="A15" s="76" t="n"/>
      <c r="B15" s="450" t="n"/>
      <c r="C15" s="451" t="n"/>
      <c r="D15" s="452" t="n"/>
      <c r="E15" s="450" t="n"/>
      <c r="F15" s="400">
        <f>H14*C14</f>
        <v/>
      </c>
      <c r="G15" s="400">
        <f>B15-F15</f>
        <v/>
      </c>
      <c r="H15" s="400">
        <f>H14-G15</f>
        <v/>
      </c>
      <c r="I15" s="427" t="n"/>
      <c r="J15" s="400">
        <f>H15-I15</f>
        <v/>
      </c>
      <c r="K15" s="73" t="n"/>
    </row>
    <row r="16" ht="19.95" customHeight="1" s="364">
      <c r="A16" s="73" t="n"/>
      <c r="B16" s="450" t="n"/>
      <c r="C16" s="451" t="n"/>
      <c r="D16" s="452" t="n"/>
      <c r="E16" s="450" t="n"/>
      <c r="F16" s="400">
        <f>H15*C15</f>
        <v/>
      </c>
      <c r="G16" s="400">
        <f>B16-F16</f>
        <v/>
      </c>
      <c r="H16" s="400">
        <f>H15-G16</f>
        <v/>
      </c>
      <c r="I16" s="427" t="n"/>
      <c r="J16" s="400">
        <f>H16-I16</f>
        <v/>
      </c>
      <c r="K16" s="73" t="n"/>
    </row>
    <row r="17" ht="19.95" customHeight="1" s="364">
      <c r="A17" s="73" t="n"/>
      <c r="B17" s="450" t="n"/>
      <c r="C17" s="451" t="n"/>
      <c r="D17" s="452" t="n"/>
      <c r="E17" s="450" t="n"/>
      <c r="F17" s="400">
        <f>H16*C16</f>
        <v/>
      </c>
      <c r="G17" s="400">
        <f>B17-F17</f>
        <v/>
      </c>
      <c r="H17" s="400">
        <f>H16-G17</f>
        <v/>
      </c>
      <c r="I17" s="427" t="n"/>
      <c r="J17" s="400">
        <f>H17-I17</f>
        <v/>
      </c>
      <c r="K17" s="73" t="n"/>
    </row>
    <row r="18" ht="19.95" customHeight="1" s="364">
      <c r="A18" s="73" t="n"/>
      <c r="B18" s="450" t="n"/>
      <c r="C18" s="451" t="n"/>
      <c r="D18" s="452" t="n"/>
      <c r="E18" s="450" t="n"/>
      <c r="F18" s="400">
        <f>H17*C17</f>
        <v/>
      </c>
      <c r="G18" s="400">
        <f>B18-F18</f>
        <v/>
      </c>
      <c r="H18" s="400">
        <f>H17-G18</f>
        <v/>
      </c>
      <c r="I18" s="427" t="n"/>
      <c r="J18" s="400">
        <f>H18-I18</f>
        <v/>
      </c>
      <c r="K18" s="73" t="n"/>
    </row>
    <row r="19" ht="19.95" customHeight="1" s="364">
      <c r="A19" s="73" t="n"/>
      <c r="B19" s="450" t="n"/>
      <c r="C19" s="451" t="n"/>
      <c r="D19" s="452" t="n"/>
      <c r="E19" s="450" t="n"/>
      <c r="F19" s="400">
        <f>H18*C18</f>
        <v/>
      </c>
      <c r="G19" s="400">
        <f>B19-F19</f>
        <v/>
      </c>
      <c r="H19" s="400">
        <f>H18-G19</f>
        <v/>
      </c>
      <c r="I19" s="427" t="n"/>
      <c r="J19" s="400">
        <f>H19-I19</f>
        <v/>
      </c>
      <c r="K19" s="73" t="n"/>
    </row>
    <row r="20" ht="19.95" customHeight="1" s="364">
      <c r="A20" s="73" t="n"/>
      <c r="B20" s="450" t="n"/>
      <c r="C20" s="451" t="n"/>
      <c r="D20" s="452" t="n"/>
      <c r="E20" s="450" t="n"/>
      <c r="F20" s="400">
        <f>H19*C19</f>
        <v/>
      </c>
      <c r="G20" s="400">
        <f>B20-F20</f>
        <v/>
      </c>
      <c r="H20" s="400">
        <f>H19-G20</f>
        <v/>
      </c>
      <c r="I20" s="427" t="n"/>
      <c r="J20" s="400">
        <f>H20-I20</f>
        <v/>
      </c>
      <c r="K20" s="73" t="n"/>
    </row>
    <row r="21" ht="19.95" customHeight="1" s="364">
      <c r="A21" s="73" t="n"/>
      <c r="B21" s="450" t="n"/>
      <c r="C21" s="451" t="n"/>
      <c r="D21" s="452" t="n"/>
      <c r="E21" s="450" t="n"/>
      <c r="F21" s="400">
        <f>H20*C20</f>
        <v/>
      </c>
      <c r="G21" s="400">
        <f>B21-F21</f>
        <v/>
      </c>
      <c r="H21" s="400">
        <f>H20-G21</f>
        <v/>
      </c>
      <c r="I21" s="427" t="n"/>
      <c r="J21" s="400">
        <f>H21-I21</f>
        <v/>
      </c>
      <c r="K21" s="73" t="n"/>
    </row>
    <row r="22" ht="19.95" customHeight="1" s="364">
      <c r="A22" s="73" t="n"/>
      <c r="B22" s="450" t="n"/>
      <c r="C22" s="451" t="n"/>
      <c r="D22" s="452" t="n"/>
      <c r="E22" s="450" t="n"/>
      <c r="F22" s="400">
        <f>H21*C21</f>
        <v/>
      </c>
      <c r="G22" s="400">
        <f>B22-F22</f>
        <v/>
      </c>
      <c r="H22" s="400">
        <f>H21-G22</f>
        <v/>
      </c>
      <c r="I22" s="427" t="n"/>
      <c r="J22" s="400">
        <f>H22-I22</f>
        <v/>
      </c>
      <c r="K22" s="73" t="n"/>
    </row>
    <row r="23" ht="19.95" customFormat="1" customHeight="1" s="271">
      <c r="A23" s="268" t="inlineStr">
        <is>
          <t>合计</t>
        </is>
      </c>
      <c r="B23" s="453">
        <f>SUM(B12:B22)</f>
        <v/>
      </c>
      <c r="C23" s="454" t="inlineStr">
        <is>
          <t>--</t>
        </is>
      </c>
      <c r="D23" s="453">
        <f>SUM(D12:D22)</f>
        <v/>
      </c>
      <c r="E23" s="453">
        <f>SUM(E12:E22)</f>
        <v/>
      </c>
      <c r="F23" s="453">
        <f>SUM(F12:F22)</f>
        <v/>
      </c>
      <c r="G23" s="453">
        <f>SUM(G12:G22)</f>
        <v/>
      </c>
      <c r="H23" s="453">
        <f>SUM(H12:H22)</f>
        <v/>
      </c>
      <c r="I23" s="453">
        <f>SUM(I12:I22)</f>
        <v/>
      </c>
      <c r="J23" s="453">
        <f>SUM(J12:J22)</f>
        <v/>
      </c>
      <c r="K23" s="453" t="n"/>
    </row>
    <row r="24" ht="19.95" customHeight="1" s="364">
      <c r="A24" s="455" t="inlineStr">
        <is>
          <t>三、审计说明：</t>
        </is>
      </c>
    </row>
    <row r="26" ht="19.95" customHeight="1" s="364">
      <c r="A26" s="273" t="inlineStr">
        <is>
          <t>四、审计结论：</t>
        </is>
      </c>
    </row>
  </sheetData>
  <mergeCells count="12">
    <mergeCell ref="I9:I11"/>
    <mergeCell ref="C9:C10"/>
    <mergeCell ref="E10:E11"/>
    <mergeCell ref="J9:J11"/>
    <mergeCell ref="A2:K2"/>
    <mergeCell ref="A8:K8"/>
    <mergeCell ref="A9:B9"/>
    <mergeCell ref="G9:H9"/>
    <mergeCell ref="E9:F9"/>
    <mergeCell ref="A1:K1"/>
    <mergeCell ref="K9:K11"/>
    <mergeCell ref="D9:D11"/>
  </mergeCells>
  <hyperlinks>
    <hyperlink ref="K3" location="底稿目录!A1" display="=底稿目录!F10"/>
  </hyperlinks>
  <printOptions horizontalCentered="1"/>
  <pageMargins left="0.7086614173228351" right="0.7086614173228351" top="0.748031496062992" bottom="0.748031496062992" header="0.31496062992126" footer="0.31496062992126"/>
  <pageSetup orientation="landscape" paperSize="9" scale="93" fitToHeight="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codeName="Sheet13">
    <outlinePr summaryBelow="1" summaryRight="1"/>
    <pageSetUpPr fitToPage="1"/>
  </sheetPr>
  <dimension ref="A1:P29"/>
  <sheetViews>
    <sheetView view="pageBreakPreview" zoomScaleNormal="100" workbookViewId="0">
      <selection activeCell="A1" sqref="A1:N1"/>
    </sheetView>
  </sheetViews>
  <sheetFormatPr baseColWidth="8" defaultColWidth="9" defaultRowHeight="19.95" customHeight="1"/>
  <cols>
    <col width="17.19921875" customWidth="1" style="43" min="1" max="1"/>
    <col width="10.59765625" customWidth="1" style="43" min="2" max="2"/>
    <col width="14.09765625" customWidth="1" style="43" min="3" max="3"/>
    <col width="11.19921875" customWidth="1" style="43" min="4" max="4"/>
    <col width="8.5" customWidth="1" style="43" min="5" max="5"/>
    <col width="13.296875" customWidth="1" style="43" min="6" max="6"/>
    <col width="10.19921875" customWidth="1" style="43" min="7" max="7"/>
    <col width="11.19921875" customWidth="1" style="43" min="8" max="8"/>
    <col width="14.8984375" customWidth="1" style="43" min="9" max="9"/>
    <col width="14.59765625" customWidth="1" style="43" min="10" max="10"/>
    <col width="9.5" customWidth="1" style="43" min="11" max="11"/>
    <col width="8.3984375" customWidth="1" style="43" min="12" max="12"/>
    <col width="12.796875" customWidth="1" style="43" min="13" max="13"/>
    <col width="8.796875" customWidth="1" style="43" min="14" max="14"/>
    <col width="9" customWidth="1" style="43" min="15" max="16384"/>
  </cols>
  <sheetData>
    <row r="1" ht="19.95" customFormat="1" customHeight="1" s="39">
      <c r="A1" s="351" t="inlineStr">
        <is>
          <t>致同会计师事务所</t>
        </is>
      </c>
    </row>
    <row r="2" ht="19.95" customFormat="1" customHeight="1" s="40">
      <c r="A2" s="352" t="inlineStr">
        <is>
          <t>关联方及交易检查表</t>
        </is>
      </c>
      <c r="P2" s="390" t="n"/>
    </row>
    <row r="3" ht="19.95" customHeight="1" s="364">
      <c r="A3" s="70">
        <f>底稿目录!A2</f>
        <v/>
      </c>
      <c r="B3" s="70" t="n"/>
      <c r="C3" s="70" t="n"/>
      <c r="D3" s="70" t="n"/>
      <c r="F3" s="70">
        <f>底稿目录!A4</f>
        <v/>
      </c>
      <c r="G3" s="70" t="n"/>
      <c r="H3" s="70" t="n"/>
      <c r="I3" s="70" t="n"/>
      <c r="J3" s="70">
        <f>底稿目录!A5</f>
        <v/>
      </c>
      <c r="K3" s="70" t="n"/>
      <c r="L3" s="70" t="n"/>
      <c r="N3" s="61" t="inlineStr">
        <is>
          <t>索引号：</t>
        </is>
      </c>
      <c r="O3" s="369">
        <f>底稿目录!F18</f>
        <v/>
      </c>
    </row>
    <row r="4" ht="19.95" customHeight="1" s="364">
      <c r="A4" s="70">
        <f>底稿目录!A3</f>
        <v/>
      </c>
      <c r="B4" s="70" t="n"/>
      <c r="C4" s="70" t="n"/>
      <c r="D4" s="70" t="n"/>
      <c r="F4" s="70">
        <f>底稿目录!A6</f>
        <v/>
      </c>
      <c r="G4" s="70" t="n"/>
      <c r="H4" s="70" t="n"/>
      <c r="I4" s="70" t="n"/>
      <c r="J4" s="70">
        <f>底稿目录!A7</f>
        <v/>
      </c>
      <c r="K4" s="70" t="n"/>
      <c r="L4" s="70" t="n"/>
      <c r="N4" s="61" t="inlineStr">
        <is>
          <t>页次：</t>
        </is>
      </c>
    </row>
    <row r="5" ht="19.95" customFormat="1" customHeight="1" s="41">
      <c r="A5" s="44" t="inlineStr">
        <is>
          <t>关注对关联方的预付款项的真实性、合理性、合法性、会计处理是否正确，考虑是否存在未识别的关联方，检查关联交易和余额披露是否正确。</t>
        </is>
      </c>
      <c r="B5" s="44" t="n"/>
      <c r="C5" s="44" t="n"/>
      <c r="D5" s="45" t="n"/>
      <c r="E5" s="45" t="n"/>
      <c r="F5" s="45" t="n"/>
      <c r="G5" s="45" t="n"/>
      <c r="H5" s="45" t="n"/>
      <c r="I5" s="45" t="n"/>
      <c r="J5" s="62" t="n"/>
      <c r="K5" s="62" t="n"/>
      <c r="L5" s="62" t="n"/>
      <c r="M5" s="62" t="n"/>
      <c r="N5" s="62" t="n"/>
    </row>
    <row r="6" ht="30" customFormat="1" customHeight="1" s="41">
      <c r="A6" s="354" t="inlineStr">
        <is>
          <t>考虑发生在企业与关联方之间的交易是否得到适当的会计处理。了解关联交易事项的目的、价格和条件，检查交易的支持性文件，同时向关联方或其他注册会计师函证重大的交易（包括担保和其他重要信息），以确认交易的真实性；必要时，向与交易相关的人员和机构（如银行、律师）函证或与其讨论有关信息。</t>
        </is>
      </c>
      <c r="B6" s="448" t="n"/>
      <c r="C6" s="448" t="n"/>
      <c r="D6" s="448" t="n"/>
      <c r="E6" s="448" t="n"/>
      <c r="F6" s="448" t="n"/>
      <c r="G6" s="448" t="n"/>
      <c r="H6" s="448" t="n"/>
      <c r="I6" s="448" t="n"/>
      <c r="J6" s="448" t="n"/>
      <c r="K6" s="448" t="n"/>
      <c r="L6" s="448" t="n"/>
      <c r="M6" s="448" t="n"/>
      <c r="N6" s="448" t="n"/>
      <c r="O6" s="448" t="n"/>
    </row>
    <row r="7" ht="51" customFormat="1" customHeight="1" s="42">
      <c r="A7" s="332" t="inlineStr">
        <is>
          <t>项目</t>
        </is>
      </c>
      <c r="B7" s="332" t="inlineStr">
        <is>
          <t>关联方名称</t>
        </is>
      </c>
      <c r="C7" s="332" t="inlineStr">
        <is>
          <t>关联关系</t>
        </is>
      </c>
      <c r="D7" s="332" t="inlineStr">
        <is>
          <t>长期应付款</t>
        </is>
      </c>
      <c r="E7" s="332" t="inlineStr">
        <is>
          <t>未确认融资费用</t>
        </is>
      </c>
      <c r="F7" s="332" t="inlineStr">
        <is>
          <t>账面余额</t>
        </is>
      </c>
      <c r="G7" s="332" t="inlineStr">
        <is>
          <t>减：期末一年内到期长期应付款</t>
        </is>
      </c>
      <c r="H7" s="332" t="inlineStr">
        <is>
          <t>减：期末一年内到期未确认融资费用</t>
        </is>
      </c>
      <c r="I7" s="332" t="inlineStr">
        <is>
          <t>期末一年内到期长期应付款余额</t>
        </is>
      </c>
      <c r="J7" s="332" t="inlineStr">
        <is>
          <t>审定数</t>
        </is>
      </c>
      <c r="K7" s="332" t="inlineStr">
        <is>
          <t>发生时间及账龄</t>
        </is>
      </c>
      <c r="L7" s="332" t="inlineStr">
        <is>
          <t>到期日</t>
        </is>
      </c>
      <c r="M7" s="332" t="inlineStr">
        <is>
          <t>发生原因（款项性质）</t>
        </is>
      </c>
      <c r="N7" s="332" t="inlineStr">
        <is>
          <t>索引号</t>
        </is>
      </c>
      <c r="O7" s="332" t="inlineStr">
        <is>
          <t>备注</t>
        </is>
      </c>
      <c r="P7" s="63" t="n"/>
    </row>
    <row r="8" ht="19.95" customHeight="1" s="364">
      <c r="A8" s="47" t="n"/>
      <c r="B8" s="49" t="n"/>
      <c r="C8" s="49" t="n"/>
      <c r="D8" s="456" t="n"/>
      <c r="E8" s="456" t="n"/>
      <c r="F8" s="400">
        <f>D8-E8</f>
        <v/>
      </c>
      <c r="G8" s="49" t="n"/>
      <c r="H8" s="49" t="n"/>
      <c r="I8" s="400">
        <f>G8-H8</f>
        <v/>
      </c>
      <c r="J8" s="400">
        <f>F8-I8</f>
        <v/>
      </c>
      <c r="K8" s="49" t="n"/>
      <c r="L8" s="64" t="n"/>
      <c r="M8" s="47" t="n"/>
      <c r="N8" s="49" t="n"/>
      <c r="O8" s="49" t="n"/>
    </row>
    <row r="9" ht="19.95" customHeight="1" s="364">
      <c r="A9" s="49" t="n"/>
      <c r="B9" s="49" t="n"/>
      <c r="C9" s="49" t="n"/>
      <c r="D9" s="456" t="n"/>
      <c r="E9" s="456" t="n"/>
      <c r="F9" s="400">
        <f>D9-E9</f>
        <v/>
      </c>
      <c r="G9" s="49" t="n"/>
      <c r="H9" s="49" t="n"/>
      <c r="I9" s="400">
        <f>G9-H9</f>
        <v/>
      </c>
      <c r="J9" s="400">
        <f>F9-I9</f>
        <v/>
      </c>
      <c r="K9" s="49" t="n"/>
      <c r="L9" s="49" t="n"/>
      <c r="M9" s="49" t="n"/>
      <c r="N9" s="49" t="n"/>
      <c r="O9" s="52" t="n"/>
    </row>
    <row r="10" ht="19.95" customHeight="1" s="364">
      <c r="A10" s="49" t="n"/>
      <c r="B10" s="49" t="n"/>
      <c r="C10" s="49" t="n"/>
      <c r="D10" s="456" t="n"/>
      <c r="E10" s="456" t="n"/>
      <c r="F10" s="400">
        <f>D10-E10</f>
        <v/>
      </c>
      <c r="G10" s="49" t="n"/>
      <c r="H10" s="49" t="n"/>
      <c r="I10" s="400">
        <f>G10-H10</f>
        <v/>
      </c>
      <c r="J10" s="400">
        <f>F10-I10</f>
        <v/>
      </c>
      <c r="K10" s="49" t="n"/>
      <c r="L10" s="49" t="n"/>
      <c r="M10" s="49" t="n"/>
      <c r="N10" s="49" t="n"/>
      <c r="O10" s="52" t="n"/>
    </row>
    <row r="11" ht="19.95" customHeight="1" s="364">
      <c r="A11" s="49" t="n"/>
      <c r="B11" s="49" t="n"/>
      <c r="C11" s="49" t="n"/>
      <c r="D11" s="456" t="n"/>
      <c r="E11" s="456" t="n"/>
      <c r="F11" s="400">
        <f>D11-E11</f>
        <v/>
      </c>
      <c r="G11" s="49" t="n"/>
      <c r="H11" s="49" t="n"/>
      <c r="I11" s="400">
        <f>G11-H11</f>
        <v/>
      </c>
      <c r="J11" s="400">
        <f>F11-I11</f>
        <v/>
      </c>
      <c r="K11" s="49" t="n"/>
      <c r="L11" s="49" t="n"/>
      <c r="M11" s="49" t="n"/>
      <c r="N11" s="49" t="n"/>
      <c r="O11" s="52" t="n"/>
    </row>
    <row r="12" ht="19.95" customHeight="1" s="364">
      <c r="A12" s="49" t="n"/>
      <c r="B12" s="49" t="n"/>
      <c r="C12" s="49" t="n"/>
      <c r="D12" s="456" t="n"/>
      <c r="E12" s="456" t="n"/>
      <c r="F12" s="400">
        <f>D12-E12</f>
        <v/>
      </c>
      <c r="G12" s="49" t="n"/>
      <c r="H12" s="49" t="n"/>
      <c r="I12" s="400">
        <f>G12-H12</f>
        <v/>
      </c>
      <c r="J12" s="400">
        <f>F12-I12</f>
        <v/>
      </c>
      <c r="K12" s="49" t="n"/>
      <c r="L12" s="49" t="n"/>
      <c r="M12" s="49" t="n"/>
      <c r="N12" s="49" t="n"/>
      <c r="O12" s="52" t="n"/>
    </row>
    <row r="13" ht="19.95" customFormat="1" customHeight="1" s="277">
      <c r="A13" s="275" t="inlineStr">
        <is>
          <t>小计</t>
        </is>
      </c>
      <c r="B13" s="275" t="n"/>
      <c r="C13" s="275" t="n"/>
      <c r="D13" s="428">
        <f>SUM(D8:D12)</f>
        <v/>
      </c>
      <c r="E13" s="428">
        <f>SUM(E8:E12)</f>
        <v/>
      </c>
      <c r="F13" s="428">
        <f>SUM(F8:F12)</f>
        <v/>
      </c>
      <c r="G13" s="428">
        <f>SUM(G8:G12)</f>
        <v/>
      </c>
      <c r="H13" s="428">
        <f>SUM(H8:H12)</f>
        <v/>
      </c>
      <c r="I13" s="428">
        <f>SUM(I8:I12)</f>
        <v/>
      </c>
      <c r="J13" s="428">
        <f>SUM(J8:J12)</f>
        <v/>
      </c>
      <c r="K13" s="428" t="n"/>
      <c r="L13" s="428" t="n"/>
      <c r="M13" s="428" t="n"/>
      <c r="N13" s="428" t="inlineStr">
        <is>
          <t>——</t>
        </is>
      </c>
      <c r="O13" s="428" t="inlineStr">
        <is>
          <t>——</t>
        </is>
      </c>
      <c r="P13" s="276" t="n"/>
    </row>
    <row r="14" ht="19.95" customFormat="1" customHeight="1" s="70">
      <c r="A14" s="53" t="inlineStr">
        <is>
          <t>一、审计说明：</t>
        </is>
      </c>
      <c r="B14" s="54" t="n"/>
      <c r="C14" s="54" t="n"/>
      <c r="D14" s="54" t="n"/>
      <c r="E14" s="54" t="n"/>
      <c r="F14" s="54" t="n"/>
      <c r="G14" s="54" t="n"/>
      <c r="H14" s="54" t="n"/>
      <c r="I14" s="54" t="n"/>
      <c r="J14" s="135" t="n"/>
      <c r="K14" s="135" t="n"/>
      <c r="L14" s="135" t="n"/>
      <c r="M14" s="135" t="n"/>
      <c r="N14" s="135" t="n"/>
      <c r="O14" s="58" t="n"/>
      <c r="P14" s="43" t="n"/>
    </row>
    <row r="15" ht="19.95" customFormat="1" customHeight="1" s="70">
      <c r="D15" s="55" t="n"/>
      <c r="E15" s="55" t="n"/>
      <c r="F15" s="55" t="n"/>
      <c r="G15" s="55" t="n"/>
      <c r="H15" s="55" t="n"/>
      <c r="I15" s="55" t="n"/>
      <c r="J15" s="58" t="n"/>
      <c r="K15" s="58" t="n"/>
      <c r="L15" s="58" t="n"/>
      <c r="M15" s="58" t="n"/>
      <c r="N15" s="58" t="n"/>
      <c r="O15" s="58" t="n"/>
      <c r="P15" s="43" t="n"/>
    </row>
    <row r="16" ht="19.95" customFormat="1" customHeight="1" s="70">
      <c r="D16" s="55" t="n"/>
      <c r="E16" s="55" t="n"/>
      <c r="F16" s="55" t="n"/>
      <c r="G16" s="55" t="n"/>
      <c r="H16" s="55" t="n"/>
      <c r="I16" s="55" t="n"/>
      <c r="J16" s="58" t="n"/>
      <c r="K16" s="58" t="n"/>
      <c r="L16" s="58" t="n"/>
      <c r="M16" s="58" t="n"/>
      <c r="N16" s="58" t="n"/>
      <c r="O16" s="58" t="n"/>
      <c r="P16" s="43" t="n"/>
    </row>
    <row r="17" ht="19.95" customFormat="1" customHeight="1" s="70">
      <c r="A17" s="56" t="inlineStr">
        <is>
          <t>二、审计结论：</t>
        </is>
      </c>
      <c r="D17" s="55" t="n"/>
      <c r="E17" s="55" t="n"/>
      <c r="F17" s="55" t="n"/>
      <c r="G17" s="55" t="n"/>
      <c r="H17" s="55" t="n"/>
      <c r="I17" s="55" t="n"/>
      <c r="J17" s="58" t="n"/>
      <c r="K17" s="58" t="n"/>
      <c r="L17" s="58" t="n"/>
      <c r="M17" s="58" t="n"/>
      <c r="N17" s="58" t="n"/>
      <c r="O17" s="58" t="n"/>
      <c r="P17" s="43" t="n"/>
    </row>
    <row r="18" ht="19.95" customFormat="1" customHeight="1" s="70">
      <c r="A18" s="55" t="n"/>
      <c r="B18" s="55" t="n"/>
      <c r="C18" s="55" t="n"/>
      <c r="D18" s="55" t="n"/>
      <c r="E18" s="55" t="n"/>
      <c r="F18" s="55" t="n"/>
      <c r="G18" s="55" t="n"/>
      <c r="H18" s="55" t="n"/>
      <c r="I18" s="274" t="inlineStr">
        <is>
          <t>勿删、勿改</t>
        </is>
      </c>
      <c r="J18" s="63" t="inlineStr">
        <is>
          <t>实际控制人</t>
        </is>
      </c>
      <c r="K18" s="58" t="n"/>
      <c r="L18" s="58" t="n"/>
      <c r="M18" s="58" t="n"/>
      <c r="N18" s="58" t="n"/>
      <c r="O18" s="58" t="n"/>
    </row>
    <row r="19" ht="19.95" customFormat="1" customHeight="1" s="70">
      <c r="A19" s="55" t="n"/>
      <c r="B19" s="55" t="n"/>
      <c r="C19" s="55" t="n"/>
      <c r="D19" s="44" t="n"/>
      <c r="E19" s="55" t="n"/>
      <c r="F19" s="55" t="n"/>
      <c r="G19" s="55" t="n"/>
      <c r="H19" s="55" t="n"/>
      <c r="I19" s="55" t="n"/>
      <c r="J19" s="63" t="inlineStr">
        <is>
          <t>控股股东</t>
        </is>
      </c>
      <c r="K19" s="58" t="n"/>
      <c r="L19" s="58" t="n"/>
      <c r="M19" s="58" t="n"/>
      <c r="N19" s="58" t="n"/>
      <c r="O19" s="58" t="n"/>
    </row>
    <row r="20" ht="19.95" customHeight="1" s="364">
      <c r="B20" s="41" t="n"/>
      <c r="C20" s="41" t="n"/>
      <c r="D20" s="41" t="n"/>
      <c r="E20" s="41" t="n"/>
      <c r="F20" s="41" t="n"/>
      <c r="G20" s="41" t="n"/>
      <c r="H20" s="41" t="n"/>
      <c r="I20" s="41" t="n"/>
      <c r="J20" s="63" t="inlineStr">
        <is>
          <t>控股股东、实际控制人的附属企业</t>
        </is>
      </c>
    </row>
    <row r="21" ht="19.95" customHeight="1" s="364">
      <c r="A21" s="41" t="n"/>
      <c r="B21" s="41" t="n"/>
      <c r="C21" s="41" t="n"/>
      <c r="D21" s="41" t="n"/>
      <c r="E21" s="41" t="n"/>
      <c r="F21" s="41" t="n"/>
      <c r="G21" s="41" t="n"/>
      <c r="H21" s="41" t="n"/>
      <c r="I21" s="41" t="n"/>
      <c r="J21" s="66" t="inlineStr">
        <is>
          <t>持有5%以上股份的法人或其他组织</t>
        </is>
      </c>
    </row>
    <row r="22" ht="19.95" customHeight="1" s="364">
      <c r="A22" s="70" t="n"/>
      <c r="B22" s="70" t="n"/>
      <c r="C22" s="70" t="n"/>
      <c r="D22" s="70" t="n"/>
      <c r="E22" s="70" t="n"/>
      <c r="F22" s="70" t="n"/>
      <c r="G22" s="70" t="n"/>
      <c r="H22" s="70" t="n"/>
      <c r="I22" s="70" t="n"/>
      <c r="J22" s="63" t="inlineStr">
        <is>
          <t>联营企业</t>
        </is>
      </c>
      <c r="K22" s="70" t="n"/>
      <c r="L22" s="70" t="n"/>
      <c r="M22" s="70" t="n"/>
      <c r="N22" s="70" t="n"/>
      <c r="O22" s="70" t="n"/>
    </row>
    <row r="23" ht="19.95" customHeight="1" s="364">
      <c r="A23" s="57" t="n"/>
      <c r="B23" s="57" t="n"/>
      <c r="C23" s="57" t="n"/>
      <c r="D23" s="57" t="n"/>
      <c r="E23" s="57" t="n"/>
      <c r="F23" s="57" t="n"/>
      <c r="G23" s="57" t="n"/>
      <c r="H23" s="57" t="n"/>
      <c r="I23" s="57" t="n"/>
      <c r="J23" s="23" t="inlineStr">
        <is>
          <t>合营企业</t>
        </is>
      </c>
      <c r="K23" s="70" t="n"/>
      <c r="L23" s="70" t="n"/>
      <c r="M23" s="70" t="n"/>
      <c r="N23" s="70" t="n"/>
      <c r="O23" s="70" t="n"/>
    </row>
    <row r="24" ht="19.95" customHeight="1" s="364">
      <c r="A24" s="58" t="n"/>
      <c r="B24" s="58" t="n"/>
      <c r="C24" s="58" t="n"/>
      <c r="D24" s="58" t="n"/>
      <c r="E24" s="58" t="n"/>
      <c r="F24" s="58" t="n"/>
      <c r="G24" s="58" t="n"/>
      <c r="H24" s="58" t="n"/>
      <c r="I24" s="58" t="n"/>
      <c r="J24" s="63" t="inlineStr">
        <is>
          <t>董高监等关键管理人员</t>
        </is>
      </c>
      <c r="K24" s="70" t="n"/>
      <c r="L24" s="70" t="n"/>
      <c r="M24" s="70" t="n"/>
      <c r="N24" s="70" t="n"/>
      <c r="O24" s="70" t="n"/>
    </row>
    <row r="25" ht="19.95" customHeight="1" s="364">
      <c r="A25" s="58" t="n"/>
      <c r="B25" s="58" t="n"/>
      <c r="C25" s="58" t="n"/>
      <c r="D25" s="58" t="n"/>
      <c r="E25" s="58" t="n"/>
      <c r="F25" s="58" t="n"/>
      <c r="G25" s="58" t="n"/>
      <c r="H25" s="58" t="n"/>
      <c r="I25" s="58" t="n"/>
      <c r="J25" s="63" t="inlineStr">
        <is>
          <t>其他关联方</t>
        </is>
      </c>
      <c r="K25" s="70" t="n"/>
      <c r="L25" s="70" t="n"/>
      <c r="M25" s="70" t="n"/>
      <c r="N25" s="70" t="n"/>
      <c r="O25" s="70" t="n"/>
    </row>
    <row r="26" ht="19.95" customHeight="1" s="364">
      <c r="A26" s="59" t="n"/>
      <c r="B26" s="59" t="n"/>
      <c r="C26" s="59" t="n"/>
      <c r="D26" s="59" t="n"/>
      <c r="E26" s="59" t="n"/>
      <c r="F26" s="59" t="n"/>
      <c r="G26" s="59" t="n"/>
      <c r="H26" s="59" t="n"/>
      <c r="I26" s="59" t="n"/>
      <c r="J26" s="70" t="n"/>
      <c r="K26" s="70" t="n"/>
      <c r="L26" s="70" t="n"/>
      <c r="M26" s="70" t="n"/>
      <c r="N26" s="70" t="n"/>
      <c r="O26" s="70" t="n"/>
    </row>
    <row r="27" ht="19.95" customHeight="1" s="364">
      <c r="A27" s="60" t="n"/>
      <c r="B27" s="60" t="n"/>
      <c r="C27" s="60" t="n"/>
      <c r="D27" s="60" t="n"/>
      <c r="E27" s="60" t="n"/>
      <c r="F27" s="60" t="n"/>
      <c r="G27" s="60" t="n"/>
      <c r="H27" s="60" t="n"/>
      <c r="I27" s="60" t="n"/>
      <c r="J27" s="58" t="n"/>
      <c r="K27" s="70" t="n"/>
      <c r="L27" s="70" t="n"/>
      <c r="M27" s="70" t="n"/>
      <c r="N27" s="70" t="n"/>
      <c r="O27" s="70" t="n"/>
    </row>
    <row r="28" ht="19.95" customHeight="1" s="364">
      <c r="A28" s="60" t="n"/>
      <c r="B28" s="60" t="n"/>
      <c r="C28" s="60" t="n"/>
      <c r="D28" s="60" t="n"/>
      <c r="E28" s="60" t="n"/>
      <c r="F28" s="60" t="n"/>
      <c r="G28" s="60" t="n"/>
      <c r="H28" s="60" t="n"/>
      <c r="I28" s="60" t="n"/>
      <c r="J28" s="58" t="n"/>
      <c r="K28" s="70" t="n"/>
      <c r="L28" s="70" t="n"/>
      <c r="M28" s="70" t="n"/>
      <c r="N28" s="70" t="n"/>
      <c r="O28" s="70" t="n"/>
    </row>
    <row r="29" ht="19.95" customHeight="1" s="364">
      <c r="A29" s="60" t="n"/>
      <c r="B29" s="60" t="n"/>
      <c r="C29" s="60" t="n"/>
      <c r="D29" s="60" t="n"/>
      <c r="E29" s="60" t="n"/>
      <c r="F29" s="60" t="n"/>
      <c r="G29" s="60" t="n"/>
      <c r="H29" s="60" t="n"/>
      <c r="I29" s="60" t="n"/>
      <c r="J29" s="58" t="n"/>
      <c r="K29" s="70" t="n"/>
      <c r="L29" s="70" t="n"/>
      <c r="M29" s="70" t="n"/>
      <c r="N29" s="70" t="n"/>
      <c r="O29" s="70" t="n"/>
    </row>
  </sheetData>
  <mergeCells count="3">
    <mergeCell ref="A1:N1"/>
    <mergeCell ref="A2:N2"/>
    <mergeCell ref="A6:O6"/>
  </mergeCells>
  <dataValidations count="1">
    <dataValidation sqref="C8:C12" showDropDown="0" showInputMessage="1" showErrorMessage="1" allowBlank="1" type="list">
      <formula1>$J$18:$J$25</formula1>
    </dataValidation>
  </dataValidations>
  <hyperlinks>
    <hyperlink ref="O3" location="底稿目录!A1" display="=底稿目录!F11"/>
  </hyperlinks>
  <pageMargins left="0.7086614173228351" right="0.7086614173228351" top="0.748031496062992" bottom="0.748031496062992" header="0.31496062992126" footer="0.31496062992126"/>
  <pageSetup orientation="landscape" paperSize="9" scale="70" fitToHeight="0" blackAndWhite="1"/>
  <headerFooter>
    <oddHeader/>
    <oddFooter>&amp;C&amp;P/&amp;N</oddFooter>
    <evenHeader/>
    <evenFooter/>
    <firstHeader/>
    <firstFooter/>
  </headerFooter>
</worksheet>
</file>

<file path=xl/worksheets/sheet11.xml><?xml version="1.0" encoding="utf-8"?>
<worksheet xmlns="http://schemas.openxmlformats.org/spreadsheetml/2006/main">
  <sheetPr codeName="Sheet7">
    <outlinePr summaryBelow="1" summaryRight="1"/>
    <pageSetUpPr/>
  </sheetPr>
  <dimension ref="A1:S27"/>
  <sheetViews>
    <sheetView view="pageBreakPreview" zoomScaleNormal="100" workbookViewId="0">
      <selection activeCell="P3" sqref="P3"/>
    </sheetView>
  </sheetViews>
  <sheetFormatPr baseColWidth="8" defaultColWidth="9" defaultRowHeight="19.95" customHeight="1"/>
  <cols>
    <col width="9" customWidth="1" style="5" min="1" max="2"/>
    <col width="20.8984375" customWidth="1" style="5" min="3" max="3"/>
    <col width="13.59765625" customWidth="1" style="5" min="4" max="5"/>
    <col width="11.796875" customWidth="1" style="5" min="6" max="6"/>
    <col width="10.5" customWidth="1" style="5" min="7" max="7"/>
    <col width="16.796875" customWidth="1" style="5" min="8" max="8"/>
    <col width="3.59765625" customWidth="1" style="5" min="9" max="13"/>
    <col width="12.5" customWidth="1" style="5" min="14" max="14"/>
    <col width="8" customWidth="1" style="5" min="15" max="15"/>
    <col width="14.5" customWidth="1" style="5" min="16" max="16"/>
    <col width="9" customWidth="1" style="5" min="17" max="16384"/>
  </cols>
  <sheetData>
    <row r="1" ht="19.95" customFormat="1" customHeight="1" s="1">
      <c r="A1" s="339" t="inlineStr">
        <is>
          <t>致同会计师事务所</t>
        </is>
      </c>
      <c r="B1" s="0" t="n"/>
      <c r="C1" s="0" t="n"/>
      <c r="D1" s="0" t="n"/>
      <c r="E1" s="0" t="n"/>
      <c r="F1" s="0" t="n"/>
      <c r="G1" s="0" t="n"/>
      <c r="H1" s="0" t="n"/>
      <c r="I1" s="0" t="n"/>
      <c r="J1" s="0" t="n"/>
      <c r="K1" s="0" t="n"/>
      <c r="L1" s="0" t="n"/>
      <c r="M1" s="0" t="n"/>
      <c r="N1" s="0" t="n"/>
      <c r="O1" s="0" t="n"/>
      <c r="P1" s="0" t="n"/>
    </row>
    <row r="2" ht="19.95" customFormat="1" customHeight="1" s="1">
      <c r="A2" s="340" t="inlineStr">
        <is>
          <t>长期应付款检查表</t>
        </is>
      </c>
      <c r="B2" s="0" t="n"/>
      <c r="C2" s="0" t="n"/>
      <c r="D2" s="0" t="n"/>
      <c r="E2" s="0" t="n"/>
      <c r="F2" s="0" t="n"/>
      <c r="G2" s="0" t="n"/>
      <c r="H2" s="0" t="n"/>
      <c r="I2" s="0" t="n"/>
      <c r="J2" s="0" t="n"/>
      <c r="K2" s="0" t="n"/>
      <c r="L2" s="0" t="n"/>
      <c r="M2" s="0" t="n"/>
      <c r="N2" s="0" t="n"/>
      <c r="O2" s="0" t="n"/>
      <c r="P2" s="0" t="n"/>
    </row>
    <row r="3" ht="19.95" customFormat="1" customHeight="1" s="70">
      <c r="A3" s="70">
        <f>底稿目录!A2</f>
        <v/>
      </c>
      <c r="B3" s="29" t="n"/>
      <c r="C3" s="29" t="n"/>
      <c r="D3" s="29">
        <f>底稿目录!A4</f>
        <v/>
      </c>
      <c r="G3" s="7">
        <f>底稿目录!A5</f>
        <v/>
      </c>
      <c r="H3" s="8" t="n"/>
      <c r="I3" s="8" t="n"/>
      <c r="O3" s="70" t="inlineStr">
        <is>
          <t>索引号：</t>
        </is>
      </c>
      <c r="P3" s="369">
        <f>底稿目录!F19</f>
        <v/>
      </c>
    </row>
    <row r="4" ht="19.95" customFormat="1" customHeight="1" s="70">
      <c r="A4" s="70">
        <f>底稿目录!A3</f>
        <v/>
      </c>
      <c r="B4" s="29" t="n"/>
      <c r="C4" s="29" t="n"/>
      <c r="D4" s="29">
        <f>底稿目录!A6</f>
        <v/>
      </c>
      <c r="G4" s="7">
        <f>底稿目录!A7</f>
        <v/>
      </c>
      <c r="H4" s="8" t="n"/>
      <c r="I4" s="8" t="n"/>
      <c r="O4" s="70" t="inlineStr">
        <is>
          <t>页次：</t>
        </is>
      </c>
    </row>
    <row r="5" ht="19.95" customFormat="1" customHeight="1" s="19">
      <c r="A5" s="9" t="inlineStr">
        <is>
          <t>一、审计目标：</t>
        </is>
      </c>
      <c r="B5" s="9" t="n"/>
      <c r="C5" s="359" t="n"/>
    </row>
    <row r="6" ht="19.95" customFormat="1" customHeight="1" s="19">
      <c r="A6" s="16" t="inlineStr">
        <is>
          <t>1.资产负债表中记录的长期应付款是存在的，且已经记录在恰当的账户中；     2.记录的长期应付款由被审计单位拥有或控制；</t>
        </is>
      </c>
      <c r="B6" s="12" t="n"/>
      <c r="C6" s="359" t="n"/>
      <c r="D6" s="13" t="n"/>
      <c r="E6" s="13" t="n"/>
      <c r="F6" s="13" t="n"/>
      <c r="G6" s="13" t="n"/>
      <c r="H6" s="13" t="n"/>
      <c r="I6" s="13" t="n"/>
      <c r="J6" s="13" t="n"/>
      <c r="K6" s="13" t="n"/>
      <c r="L6" s="13" t="n"/>
      <c r="M6" s="13" t="n"/>
      <c r="N6" s="35" t="n"/>
      <c r="O6" s="35" t="n"/>
      <c r="P6" s="35" t="n"/>
      <c r="Q6" s="35" t="n"/>
      <c r="R6" s="35" t="n"/>
      <c r="S6" s="35" t="n"/>
    </row>
    <row r="7" ht="19.95" customFormat="1" customHeight="1" s="19">
      <c r="A7" s="16" t="inlineStr">
        <is>
          <t xml:space="preserve">3.长期应付款以恰当的金额包括在财务报表中，与之相关的计价或分摊调整已恰当记录，相关披露已得到恰当计量和描述 </t>
        </is>
      </c>
      <c r="B7" s="12" t="n"/>
      <c r="C7" s="359" t="n"/>
      <c r="D7" s="13" t="n"/>
      <c r="E7" s="13" t="n"/>
      <c r="F7" s="13" t="n"/>
      <c r="G7" s="13" t="n"/>
      <c r="H7" s="13" t="n"/>
      <c r="I7" s="13" t="n"/>
      <c r="J7" s="13" t="n"/>
      <c r="K7" s="13" t="n"/>
      <c r="L7" s="13" t="n"/>
      <c r="M7" s="13" t="n"/>
      <c r="N7" s="35" t="n"/>
      <c r="O7" s="35" t="n"/>
      <c r="P7" s="35" t="n"/>
      <c r="Q7" s="35" t="n"/>
      <c r="R7" s="35" t="n"/>
      <c r="S7" s="35" t="n"/>
    </row>
    <row r="8" ht="19.95" customFormat="1" customHeight="1" s="19">
      <c r="A8" s="14" t="inlineStr">
        <is>
          <t>二、测试：</t>
        </is>
      </c>
      <c r="B8" s="15" t="n"/>
      <c r="C8" s="16" t="inlineStr">
        <is>
          <t>测试原因：大额（）关联方（）大额交易频繁（）异常（）其他（）</t>
        </is>
      </c>
      <c r="D8" s="17" t="n"/>
      <c r="E8" s="18" t="n"/>
      <c r="F8" s="19" t="n"/>
      <c r="G8" s="19" t="n"/>
      <c r="H8" s="19" t="n"/>
      <c r="I8" s="19" t="n"/>
      <c r="J8" s="19" t="n"/>
      <c r="K8" s="19" t="n"/>
      <c r="L8" s="19" t="n"/>
      <c r="M8" s="19" t="n"/>
      <c r="N8" s="19" t="n"/>
    </row>
    <row r="9" ht="19.95" customFormat="1" customHeight="1" s="19">
      <c r="A9" s="20" t="inlineStr">
        <is>
          <t>测试内容说明：1.原始凭证是否齐全； 2.记账凭证与原始凭证是否相符；3.账务处理是否正确；4.是否记录于恰当的会计期间；5.……</t>
        </is>
      </c>
      <c r="B9" s="21" t="n"/>
      <c r="C9" s="22" t="n"/>
      <c r="D9" s="23" t="n"/>
      <c r="E9" s="23" t="n"/>
      <c r="F9" s="23" t="n"/>
      <c r="G9" s="23" t="n"/>
      <c r="H9" s="23" t="n"/>
      <c r="I9" s="23" t="n"/>
      <c r="J9" s="23" t="n"/>
      <c r="K9" s="23" t="n"/>
      <c r="L9" s="23" t="n"/>
      <c r="M9" s="23" t="n"/>
      <c r="N9" s="23" t="n"/>
      <c r="O9" s="23" t="n"/>
      <c r="P9" s="23" t="n"/>
    </row>
    <row r="10" ht="19.95" customFormat="1" customHeight="1" s="70">
      <c r="A10" s="360" t="inlineStr">
        <is>
          <t>记账凭证</t>
        </is>
      </c>
      <c r="B10" s="371" t="n"/>
      <c r="C10" s="371" t="n"/>
      <c r="D10" s="371" t="n"/>
      <c r="E10" s="371" t="n"/>
      <c r="F10" s="371" t="n"/>
      <c r="G10" s="372" t="n"/>
      <c r="H10" s="362" t="inlineStr">
        <is>
          <t>支持性文件</t>
        </is>
      </c>
      <c r="I10" s="361" t="inlineStr">
        <is>
          <t>核对内容</t>
        </is>
      </c>
      <c r="J10" s="371" t="n"/>
      <c r="K10" s="371" t="n"/>
      <c r="L10" s="371" t="n"/>
      <c r="M10" s="372" t="n"/>
      <c r="N10" s="356" t="inlineStr">
        <is>
          <t>索引号</t>
        </is>
      </c>
      <c r="O10" s="356" t="inlineStr">
        <is>
          <t>是否异常</t>
        </is>
      </c>
      <c r="P10" s="357" t="inlineStr">
        <is>
          <t>备注说明</t>
        </is>
      </c>
    </row>
    <row r="11" ht="19.95" customFormat="1" customHeight="1" s="70">
      <c r="A11" s="360" t="inlineStr">
        <is>
          <t>日期</t>
        </is>
      </c>
      <c r="B11" s="360" t="inlineStr">
        <is>
          <t>凭证编号</t>
        </is>
      </c>
      <c r="C11" s="360" t="inlineStr">
        <is>
          <t>业务内容</t>
        </is>
      </c>
      <c r="D11" s="360" t="inlineStr">
        <is>
          <t>对方科目</t>
        </is>
      </c>
      <c r="E11" s="360" t="inlineStr">
        <is>
          <t>对方明细科目</t>
        </is>
      </c>
      <c r="F11" s="24" t="inlineStr">
        <is>
          <t>借方金额</t>
        </is>
      </c>
      <c r="G11" s="24" t="inlineStr">
        <is>
          <t>贷方金额</t>
        </is>
      </c>
      <c r="H11" s="375" t="n"/>
      <c r="I11" s="361" t="n">
        <v>1</v>
      </c>
      <c r="J11" s="361" t="n">
        <v>2</v>
      </c>
      <c r="K11" s="361" t="n">
        <v>3</v>
      </c>
      <c r="L11" s="361" t="n">
        <v>4</v>
      </c>
      <c r="M11" s="361" t="n">
        <v>5</v>
      </c>
      <c r="N11" s="457" t="n"/>
      <c r="O11" s="457" t="n"/>
      <c r="P11" s="375" t="n"/>
    </row>
    <row r="12" ht="19.95" customFormat="1" customHeight="1" s="70">
      <c r="A12" s="25" t="n"/>
      <c r="B12" s="26" t="n"/>
      <c r="C12" s="27" t="n"/>
      <c r="D12" s="26" t="n"/>
      <c r="E12" s="26" t="n"/>
      <c r="F12" s="458" t="n"/>
      <c r="G12" s="459" t="n"/>
      <c r="H12" s="28" t="n"/>
      <c r="I12" s="28" t="n"/>
      <c r="J12" s="28" t="n"/>
      <c r="K12" s="459" t="n"/>
      <c r="L12" s="28" t="n"/>
      <c r="M12" s="28" t="n"/>
      <c r="N12" s="38" t="n"/>
      <c r="O12" s="292" t="n"/>
      <c r="P12" s="292" t="n"/>
    </row>
    <row r="13" ht="19.95" customFormat="1" customHeight="1" s="70">
      <c r="A13" s="25" t="n"/>
      <c r="B13" s="26" t="n"/>
      <c r="C13" s="27" t="n"/>
      <c r="D13" s="26" t="n"/>
      <c r="E13" s="26" t="n"/>
      <c r="F13" s="458" t="n"/>
      <c r="G13" s="459" t="n"/>
      <c r="H13" s="28" t="n"/>
      <c r="I13" s="28" t="n"/>
      <c r="J13" s="28" t="n"/>
      <c r="K13" s="459" t="n"/>
      <c r="L13" s="28" t="n"/>
      <c r="M13" s="28" t="n"/>
      <c r="N13" s="38" t="n"/>
      <c r="O13" s="292" t="n"/>
      <c r="P13" s="292" t="n"/>
    </row>
    <row r="14" ht="19.95" customFormat="1" customHeight="1" s="70">
      <c r="A14" s="25" t="n"/>
      <c r="B14" s="26" t="n"/>
      <c r="C14" s="27" t="n"/>
      <c r="D14" s="26" t="n"/>
      <c r="E14" s="26" t="n"/>
      <c r="F14" s="458" t="n"/>
      <c r="G14" s="459" t="n"/>
      <c r="H14" s="28" t="n"/>
      <c r="I14" s="28" t="n"/>
      <c r="J14" s="28" t="n"/>
      <c r="K14" s="459" t="n"/>
      <c r="L14" s="28" t="n"/>
      <c r="M14" s="28" t="n"/>
      <c r="N14" s="38" t="n"/>
      <c r="O14" s="292" t="n"/>
      <c r="P14" s="292" t="n"/>
    </row>
    <row r="15" ht="19.95" customFormat="1" customHeight="1" s="70">
      <c r="A15" s="25" t="n"/>
      <c r="B15" s="26" t="n"/>
      <c r="C15" s="27" t="n"/>
      <c r="D15" s="26" t="n"/>
      <c r="E15" s="26" t="n"/>
      <c r="F15" s="458" t="n"/>
      <c r="G15" s="459" t="n"/>
      <c r="H15" s="28" t="n"/>
      <c r="I15" s="28" t="n"/>
      <c r="J15" s="28" t="n"/>
      <c r="K15" s="459" t="n"/>
      <c r="L15" s="28" t="n"/>
      <c r="M15" s="28" t="n"/>
      <c r="N15" s="38" t="n"/>
      <c r="O15" s="292" t="n"/>
      <c r="P15" s="292" t="n"/>
    </row>
    <row r="16" ht="19.95" customFormat="1" customHeight="1" s="70">
      <c r="A16" s="25" t="n"/>
      <c r="B16" s="26" t="n"/>
      <c r="C16" s="27" t="n"/>
      <c r="D16" s="26" t="n"/>
      <c r="E16" s="26" t="n"/>
      <c r="F16" s="458" t="n"/>
      <c r="G16" s="459" t="n"/>
      <c r="H16" s="28" t="n"/>
      <c r="I16" s="28" t="n"/>
      <c r="J16" s="28" t="n"/>
      <c r="K16" s="459" t="n"/>
      <c r="L16" s="28" t="n"/>
      <c r="M16" s="28" t="n"/>
      <c r="N16" s="38" t="n"/>
      <c r="O16" s="292" t="n"/>
      <c r="P16" s="292" t="n"/>
    </row>
    <row r="17" ht="19.95" customFormat="1" customHeight="1" s="70">
      <c r="A17" s="25" t="n"/>
      <c r="B17" s="26" t="n"/>
      <c r="C17" s="27" t="n"/>
      <c r="D17" s="26" t="n"/>
      <c r="E17" s="26" t="n"/>
      <c r="F17" s="458" t="n"/>
      <c r="G17" s="459" t="n"/>
      <c r="H17" s="28" t="n"/>
      <c r="I17" s="28" t="n"/>
      <c r="J17" s="28" t="n"/>
      <c r="K17" s="459" t="n"/>
      <c r="L17" s="28" t="n"/>
      <c r="M17" s="28" t="n"/>
      <c r="N17" s="38" t="n"/>
      <c r="O17" s="292" t="n"/>
      <c r="P17" s="292" t="n"/>
    </row>
    <row r="18" ht="19.95" customFormat="1" customHeight="1" s="70">
      <c r="A18" s="25" t="n"/>
      <c r="B18" s="26" t="n"/>
      <c r="C18" s="27" t="n"/>
      <c r="D18" s="26" t="n"/>
      <c r="E18" s="26" t="n"/>
      <c r="F18" s="458" t="n"/>
      <c r="G18" s="459" t="n"/>
      <c r="H18" s="28" t="n"/>
      <c r="I18" s="28" t="n"/>
      <c r="J18" s="28" t="n"/>
      <c r="K18" s="459" t="n"/>
      <c r="L18" s="28" t="n"/>
      <c r="M18" s="28" t="n"/>
      <c r="N18" s="38" t="n"/>
      <c r="O18" s="292" t="n"/>
      <c r="P18" s="292" t="n"/>
    </row>
    <row r="19" ht="19.95" customFormat="1" customHeight="1" s="70">
      <c r="A19" s="25" t="n"/>
      <c r="B19" s="26" t="n"/>
      <c r="C19" s="27" t="n"/>
      <c r="D19" s="26" t="n"/>
      <c r="E19" s="26" t="n"/>
      <c r="F19" s="458" t="n"/>
      <c r="G19" s="459" t="n"/>
      <c r="H19" s="28" t="n"/>
      <c r="I19" s="28" t="n"/>
      <c r="J19" s="28" t="n"/>
      <c r="K19" s="459" t="n"/>
      <c r="L19" s="28" t="n"/>
      <c r="M19" s="28" t="n"/>
      <c r="N19" s="38" t="n"/>
      <c r="O19" s="292" t="n"/>
      <c r="P19" s="292" t="n"/>
    </row>
    <row r="20" ht="19.95" customFormat="1" customHeight="1" s="70">
      <c r="A20" s="25" t="n"/>
      <c r="B20" s="26" t="n"/>
      <c r="C20" s="27" t="n"/>
      <c r="D20" s="26" t="n"/>
      <c r="E20" s="26" t="n"/>
      <c r="F20" s="458" t="n"/>
      <c r="G20" s="459" t="n"/>
      <c r="H20" s="28" t="n"/>
      <c r="I20" s="28" t="n"/>
      <c r="J20" s="28" t="n"/>
      <c r="K20" s="459" t="n"/>
      <c r="L20" s="28" t="n"/>
      <c r="M20" s="28" t="n"/>
      <c r="N20" s="38" t="n"/>
      <c r="O20" s="292" t="n"/>
      <c r="P20" s="292" t="n"/>
    </row>
    <row r="21" ht="19.95" customFormat="1" customHeight="1" s="291">
      <c r="A21" s="355" t="inlineStr">
        <is>
          <t>合计</t>
        </is>
      </c>
      <c r="B21" s="371" t="n"/>
      <c r="C21" s="372" t="n"/>
      <c r="D21" s="460" t="n"/>
      <c r="E21" s="460" t="n"/>
      <c r="F21" s="461">
        <f>SUM(F12:F20)</f>
        <v/>
      </c>
      <c r="G21" s="461">
        <f>SUM(G12:G20)</f>
        <v/>
      </c>
      <c r="H21" s="280" t="n"/>
      <c r="I21" s="288" t="n"/>
      <c r="J21" s="288" t="n"/>
      <c r="K21" s="288" t="n"/>
      <c r="L21" s="288" t="n"/>
      <c r="M21" s="288" t="n"/>
      <c r="N21" s="282" t="n"/>
      <c r="O21" s="283" t="n"/>
      <c r="P21" s="283" t="n"/>
    </row>
    <row r="22" ht="19.95" customFormat="1" customHeight="1" s="291">
      <c r="A22" s="355" t="inlineStr">
        <is>
          <t>本期发生额</t>
        </is>
      </c>
      <c r="B22" s="371" t="n"/>
      <c r="C22" s="372" t="n"/>
      <c r="D22" s="460" t="n"/>
      <c r="E22" s="460" t="n"/>
      <c r="F22" s="461">
        <f>'明细表L5-2'!M25</f>
        <v/>
      </c>
      <c r="G22" s="461">
        <f>'明细表L5-2'!N25</f>
        <v/>
      </c>
      <c r="H22" s="280" t="n"/>
      <c r="I22" s="288" t="n"/>
      <c r="J22" s="288" t="n"/>
      <c r="K22" s="288" t="n"/>
      <c r="L22" s="288" t="n"/>
      <c r="M22" s="288" t="n"/>
      <c r="N22" s="282" t="n"/>
      <c r="O22" s="283" t="n"/>
      <c r="P22" s="283" t="n"/>
    </row>
    <row r="23" ht="19.95" customFormat="1" customHeight="1" s="291">
      <c r="A23" s="355" t="inlineStr">
        <is>
          <t>检查比例</t>
        </is>
      </c>
      <c r="B23" s="371" t="n"/>
      <c r="C23" s="372" t="n"/>
      <c r="D23" s="286" t="n"/>
      <c r="E23" s="286" t="n"/>
      <c r="F23" s="287">
        <f>F21/F22</f>
        <v/>
      </c>
      <c r="G23" s="287">
        <f>G21/G22</f>
        <v/>
      </c>
      <c r="H23" s="288" t="n"/>
      <c r="I23" s="288" t="n"/>
      <c r="J23" s="288" t="n"/>
      <c r="K23" s="288" t="n"/>
      <c r="L23" s="288" t="n"/>
      <c r="M23" s="288" t="n"/>
      <c r="N23" s="289" t="n"/>
      <c r="O23" s="290" t="n"/>
      <c r="P23" s="290" t="n"/>
    </row>
    <row r="24" ht="19.95" customFormat="1" customHeight="1" s="70">
      <c r="A24" s="14" t="inlineStr">
        <is>
          <t>三、审计说明：</t>
        </is>
      </c>
      <c r="B24" s="70" t="n"/>
      <c r="C24" s="70" t="n"/>
      <c r="D24" s="70" t="n"/>
      <c r="E24" s="70" t="n"/>
      <c r="F24" s="70" t="n"/>
      <c r="G24" s="55" t="n"/>
      <c r="H24" s="30" t="n"/>
      <c r="I24" s="30" t="n"/>
      <c r="J24" s="30" t="n"/>
      <c r="K24" s="30" t="n"/>
      <c r="L24" s="30" t="n"/>
      <c r="M24" s="30" t="n"/>
      <c r="N24" s="29" t="n"/>
      <c r="O24" s="70" t="n"/>
    </row>
    <row r="25" ht="19.95" customFormat="1" customHeight="1" s="70">
      <c r="G25" s="32" t="n"/>
      <c r="H25" s="29" t="n"/>
      <c r="I25" s="29" t="n"/>
      <c r="J25" s="29" t="n"/>
      <c r="K25" s="29" t="n"/>
      <c r="L25" s="29" t="n"/>
      <c r="M25" s="29" t="n"/>
      <c r="N25" s="29" t="n"/>
    </row>
    <row r="26" ht="19.95" customFormat="1" customHeight="1" s="70">
      <c r="A26" s="33" t="inlineStr">
        <is>
          <t>四、审计结论：</t>
        </is>
      </c>
      <c r="G26" s="29" t="n"/>
      <c r="H26" s="29" t="n"/>
      <c r="I26" s="29" t="n"/>
      <c r="J26" s="29" t="n"/>
      <c r="K26" s="29" t="n"/>
      <c r="L26" s="29" t="n"/>
      <c r="M26" s="29" t="n"/>
      <c r="N26" s="29" t="n"/>
    </row>
    <row r="27" ht="19.95" customFormat="1" customHeight="1" s="70">
      <c r="G27" s="29" t="n"/>
      <c r="H27" s="29" t="n"/>
      <c r="I27" s="29" t="n"/>
      <c r="J27" s="29" t="n"/>
      <c r="K27" s="29" t="n"/>
      <c r="L27" s="29" t="n"/>
      <c r="M27" s="29" t="n"/>
      <c r="N27" s="29" t="n"/>
    </row>
  </sheetData>
  <mergeCells count="12">
    <mergeCell ref="P10:P11"/>
    <mergeCell ref="N10:N11"/>
    <mergeCell ref="O10:O11"/>
    <mergeCell ref="A23:C23"/>
    <mergeCell ref="A1:P1"/>
    <mergeCell ref="C5:N5"/>
    <mergeCell ref="I10:M10"/>
    <mergeCell ref="A22:C22"/>
    <mergeCell ref="A21:C21"/>
    <mergeCell ref="H10:H11"/>
    <mergeCell ref="A10:G10"/>
    <mergeCell ref="A2:P2"/>
  </mergeCells>
  <dataValidations count="1">
    <dataValidation sqref="I21:M22" showDropDown="0" showInputMessage="1" showErrorMessage="1" allowBlank="1" type="list">
      <formula1>"√,X"</formula1>
    </dataValidation>
  </dataValidations>
  <hyperlinks>
    <hyperlink ref="P3" location="底稿目录!A1" display="=底稿目录!F12"/>
  </hyperlinks>
  <printOptions horizontalCentered="1"/>
  <pageMargins left="0.7086614173228351" right="0.7086614173228351" top="0.748031496062992" bottom="0.748031496062992" header="0.31496062992126" footer="0.31496062992126"/>
  <pageSetup orientation="landscape" paperSize="9" scale="75" fitToHeight="0" fitToWidth="0" blackAndWhite="1"/>
  <headerFooter alignWithMargins="0">
    <oddHeader/>
    <oddFooter>&amp;C&amp;P/&amp;N</oddFooter>
    <evenHeader/>
    <evenFooter/>
    <firstHeader/>
    <firstFooter/>
  </headerFooter>
</worksheet>
</file>

<file path=xl/worksheets/sheet12.xml><?xml version="1.0" encoding="utf-8"?>
<worksheet xmlns="http://schemas.openxmlformats.org/spreadsheetml/2006/main">
  <sheetPr codeName="Sheet14">
    <outlinePr summaryBelow="1" summaryRight="1"/>
    <pageSetUpPr/>
  </sheetPr>
  <dimension ref="A1:B8"/>
  <sheetViews>
    <sheetView workbookViewId="0">
      <selection activeCell="A1" sqref="A1"/>
    </sheetView>
  </sheetViews>
  <sheetFormatPr baseColWidth="8" defaultColWidth="8.796875"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2007-05-20T08:51:00Z</dcterms:created>
  <dcterms:modified xmlns:dcterms="http://purl.org/dc/terms/" xmlns:xsi="http://www.w3.org/2001/XMLSchema-instance" xsi:type="dcterms:W3CDTF">2026-09-27T15:13:14Z</dcterms:modified>
  <cp:lastModifiedBy>何先琴</cp:lastModifiedBy>
  <cp:lastPrinted>2025-10-24T03:20:25Z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EB8428FB486E4D75A741718C6CC9EE0C_12</vt:lpwstr>
  </property>
  <property name="KSOProductBuildVer" fmtid="{D5CDD505-2E9C-101B-9397-08002B2CF9AE}" pid="3">
    <vt:lpwstr xmlns:vt="http://schemas.openxmlformats.org/officeDocument/2006/docPropsVTypes">2052-12.1.0.22529</vt:lpwstr>
  </property>
</Properties>
</file>